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ey.lung\Downloads\"/>
    </mc:Choice>
  </mc:AlternateContent>
  <xr:revisionPtr revIDLastSave="0" documentId="13_ncr:1_{CD8080E3-D096-4B8C-842B-505CBA2E4D7C}" xr6:coauthVersionLast="47" xr6:coauthVersionMax="47" xr10:uidLastSave="{00000000-0000-0000-0000-000000000000}"/>
  <bookViews>
    <workbookView xWindow="-110" yWindow="-110" windowWidth="19420" windowHeight="11500" tabRatio="614" activeTab="1" xr2:uid="{00000000-000D-0000-FFFF-FFFF00000000}"/>
  </bookViews>
  <sheets>
    <sheet name="DPS原始" sheetId="1" r:id="rId1"/>
    <sheet name="DPS整理后" sheetId="38" r:id="rId2"/>
    <sheet name="AVTC标准工时" sheetId="15" state="hidden" r:id="rId3"/>
  </sheets>
  <externalReferences>
    <externalReference r:id="rId4"/>
    <externalReference r:id="rId5"/>
  </externalReferences>
  <definedNames>
    <definedName name="_xlnm._FilterDatabase" localSheetId="2" hidden="1">AVTC标准工时!$A$6:$AI$624</definedName>
    <definedName name="_xlnm._FilterDatabase" localSheetId="0" hidden="1">DPS原始!$A$9:$K$481</definedName>
    <definedName name="_xlnm._FilterDatabase" localSheetId="1" hidden="1">DPS整理后!$A$1:$BT$144</definedName>
    <definedName name="Calendar10Month">#REF!</definedName>
    <definedName name="Calendar10MonthOption">MATCH(Calendar10Month,月,0)</definedName>
    <definedName name="Calendar10Year">#REF!</definedName>
    <definedName name="Calendar11Month">#REF!</definedName>
    <definedName name="Calendar11MonthOption">MATCH(Calendar11Month,月,0)</definedName>
    <definedName name="Calendar11Year">#REF!</definedName>
    <definedName name="Calendar12Month">#REF!</definedName>
    <definedName name="Calendar12MonthOption">MATCH(Calendar12Month,月,0)</definedName>
    <definedName name="Calendar12Year">#REF!</definedName>
    <definedName name="Calendar1Month">#REF!</definedName>
    <definedName name="Calendar1MonthOption">MATCH(Calendar1Month,月,0)</definedName>
    <definedName name="Calendar1Year">#REF!</definedName>
    <definedName name="Calendar2Month">#REF!</definedName>
    <definedName name="Calendar2MonthOption">MATCH(Calendar2Month,月,0)</definedName>
    <definedName name="Calendar2Year">#REF!</definedName>
    <definedName name="Calendar3Month">#REF!</definedName>
    <definedName name="Calendar3MonthOption">MATCH(Calendar3Month,月,0)</definedName>
    <definedName name="Calendar3Year">#REF!</definedName>
    <definedName name="Calendar4Month">#REF!</definedName>
    <definedName name="Calendar4MonthOption">MATCH(Calendar4Month,月,0)</definedName>
    <definedName name="Calendar4Year">#REF!</definedName>
    <definedName name="Calendar5Month">#REF!</definedName>
    <definedName name="Calendar5MonthOption">MATCH(Calendar5Month,月,0)</definedName>
    <definedName name="Calendar5Year">#REF!</definedName>
    <definedName name="Calendar6Month">#REF!</definedName>
    <definedName name="Calendar6MonthOption">MATCH(Calendar6Month,月,0)</definedName>
    <definedName name="Calendar6Year">#REF!</definedName>
    <definedName name="Calendar7Month">#REF!</definedName>
    <definedName name="Calendar7MonthOption">MATCH(Calendar7Month,月,0)</definedName>
    <definedName name="Calendar7Year">#REF!</definedName>
    <definedName name="Calendar8Month">#REF!</definedName>
    <definedName name="Calendar8MonthOption">MATCH(Calendar8Month,月,0)</definedName>
    <definedName name="Calendar8Year">#REF!</definedName>
    <definedName name="Calendar9Month">#REF!</definedName>
    <definedName name="Calendar9MonthOption">MATCH(Calendar9Month,月,0)</definedName>
    <definedName name="Calendar9Year">#REF!</definedName>
    <definedName name="CalendarYear">'[1]1 月'!$K$5</definedName>
    <definedName name="ColumnTitleRegion1..H12.1">#REF!</definedName>
    <definedName name="ColumnTitleRegion10..H54.1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DaysAndWeeks">{0,1,2,3,4,5,6}+{0;1;2;3;4;5}*7</definedName>
    <definedName name="_xlnm.Print_Area" localSheetId="2">AVTC标准工时!$A$1:$AI$6</definedName>
    <definedName name="WeekdayOption">MATCH(WeekStart,工作日,0)+10</definedName>
    <definedName name="WeekStart">#REF!</definedName>
    <definedName name="WeekStartValue">IF(WeekStart="星期一",2,1)</definedName>
    <definedName name="一周开始之日">'[1]1 月'!$L$5</definedName>
    <definedName name="工作日">{"星期一","星期二","星期三","星期四","星期五","星期六","星期日"}</definedName>
    <definedName name="日">{0,1,2,3,4,5,6}</definedName>
    <definedName name="月">{"1月","2月","3月","4月","5月","6月","7月","8月","9月","10月","11月","12月"}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144" i="38" l="1"/>
  <c r="BT143" i="38"/>
  <c r="BT142" i="38"/>
  <c r="BT141" i="38"/>
  <c r="BT140" i="38"/>
  <c r="BT139" i="38"/>
  <c r="BT138" i="38"/>
  <c r="BT137" i="38"/>
  <c r="BT136" i="38"/>
  <c r="BT135" i="38"/>
  <c r="BT134" i="38"/>
  <c r="BT133" i="38"/>
  <c r="BT132" i="38"/>
  <c r="BT131" i="38"/>
  <c r="BT130" i="38"/>
  <c r="BT129" i="38"/>
  <c r="BT128" i="38"/>
  <c r="BT127" i="38"/>
  <c r="BT126" i="38"/>
  <c r="BT125" i="38"/>
  <c r="BT124" i="38"/>
  <c r="BT123" i="38"/>
  <c r="BT122" i="38"/>
  <c r="BT121" i="38"/>
  <c r="BT120" i="38"/>
  <c r="BT119" i="38"/>
  <c r="BT118" i="38"/>
  <c r="BT117" i="38"/>
  <c r="BT116" i="38"/>
  <c r="BT115" i="38"/>
  <c r="BT114" i="38"/>
  <c r="BT113" i="38"/>
  <c r="BT112" i="38"/>
  <c r="BT111" i="38"/>
  <c r="BT110" i="38"/>
  <c r="BT109" i="38"/>
  <c r="BT108" i="38"/>
  <c r="BT107" i="38"/>
  <c r="BT106" i="38"/>
  <c r="BT105" i="38"/>
  <c r="BT104" i="38"/>
  <c r="BT103" i="38"/>
  <c r="BT102" i="38"/>
  <c r="BT101" i="38"/>
  <c r="BT100" i="38"/>
  <c r="BT99" i="38"/>
  <c r="BT98" i="38"/>
  <c r="BT97" i="38"/>
  <c r="BT96" i="38"/>
  <c r="BT95" i="38"/>
  <c r="BT94" i="38"/>
  <c r="BT93" i="38"/>
  <c r="BT92" i="38"/>
  <c r="BT91" i="38"/>
  <c r="BT90" i="38"/>
  <c r="BT89" i="38"/>
  <c r="BT88" i="38"/>
  <c r="BT87" i="38"/>
  <c r="BT86" i="38"/>
  <c r="BT85" i="38"/>
  <c r="BT84" i="38"/>
  <c r="BT83" i="38"/>
  <c r="BT82" i="38"/>
  <c r="BT81" i="38"/>
  <c r="BT80" i="38"/>
  <c r="BT79" i="38"/>
  <c r="BT78" i="38"/>
  <c r="BT77" i="38"/>
  <c r="BT76" i="38"/>
  <c r="BT75" i="38"/>
  <c r="BT74" i="38"/>
  <c r="BT73" i="38"/>
  <c r="BT72" i="38"/>
  <c r="BT71" i="38"/>
  <c r="BT70" i="38"/>
  <c r="BT69" i="38"/>
  <c r="BT68" i="38"/>
  <c r="BT67" i="38"/>
  <c r="BT66" i="38"/>
  <c r="BT65" i="38"/>
  <c r="BT64" i="38"/>
  <c r="BT63" i="38"/>
  <c r="BT62" i="38"/>
  <c r="BT61" i="38"/>
  <c r="BT60" i="38"/>
  <c r="BT59" i="38"/>
  <c r="BT58" i="38"/>
  <c r="BT57" i="38"/>
  <c r="BT56" i="38"/>
  <c r="BT55" i="38"/>
  <c r="BT54" i="38"/>
  <c r="BT53" i="38"/>
  <c r="BT52" i="38"/>
  <c r="BT51" i="38"/>
  <c r="BT50" i="38"/>
  <c r="BT49" i="38"/>
  <c r="BT48" i="38"/>
  <c r="BT47" i="38"/>
  <c r="BT46" i="38"/>
  <c r="BT45" i="38"/>
  <c r="BT44" i="38"/>
  <c r="BT43" i="38"/>
  <c r="BT42" i="38"/>
  <c r="BT41" i="38"/>
  <c r="BT40" i="38"/>
  <c r="BT39" i="38"/>
  <c r="BT38" i="38"/>
  <c r="BT37" i="38"/>
  <c r="BT36" i="38"/>
  <c r="BT35" i="38"/>
  <c r="BT34" i="38"/>
  <c r="BT33" i="38"/>
  <c r="BT32" i="38"/>
  <c r="BT31" i="38"/>
  <c r="BT30" i="38"/>
  <c r="BT29" i="38"/>
  <c r="BT28" i="38"/>
  <c r="BT27" i="38"/>
  <c r="BT26" i="38"/>
  <c r="BT25" i="38"/>
  <c r="BT24" i="38"/>
  <c r="BT23" i="38"/>
  <c r="BT22" i="38"/>
  <c r="BT21" i="38"/>
  <c r="BT20" i="38"/>
  <c r="BT19" i="38"/>
  <c r="BT18" i="38"/>
  <c r="BT17" i="38"/>
  <c r="BT16" i="38"/>
  <c r="BT15" i="38"/>
  <c r="BT14" i="38"/>
  <c r="BT13" i="38"/>
  <c r="BT12" i="38"/>
  <c r="BT11" i="38"/>
  <c r="BT10" i="38"/>
  <c r="BT9" i="38"/>
  <c r="BT8" i="38"/>
  <c r="BT7" i="38"/>
  <c r="BT6" i="38"/>
  <c r="BT5" i="38"/>
  <c r="BT4" i="38"/>
  <c r="BT3" i="38"/>
  <c r="BT2" i="38"/>
  <c r="J198" i="1" l="1"/>
  <c r="J390" i="1"/>
  <c r="J440" i="1"/>
  <c r="J444" i="1"/>
  <c r="J445" i="1"/>
  <c r="J446" i="1"/>
  <c r="J314" i="1"/>
  <c r="J313" i="1"/>
  <c r="J360" i="1"/>
  <c r="J358" i="1"/>
  <c r="J359" i="1"/>
  <c r="J234" i="1"/>
  <c r="J237" i="1"/>
  <c r="J238" i="1"/>
  <c r="J240" i="1"/>
  <c r="J241" i="1"/>
  <c r="J108" i="1"/>
  <c r="J109" i="1"/>
  <c r="J118" i="1"/>
  <c r="J119" i="1"/>
  <c r="J120" i="1"/>
  <c r="J121" i="1"/>
  <c r="J63" i="1"/>
  <c r="J202" i="1"/>
  <c r="J210" i="1" l="1"/>
  <c r="J209" i="1"/>
  <c r="J208" i="1"/>
  <c r="J95" i="1" l="1"/>
  <c r="J94" i="1"/>
  <c r="J93" i="1"/>
  <c r="J223" i="1" l="1"/>
  <c r="J312" i="1" l="1"/>
  <c r="J311" i="1"/>
  <c r="J310" i="1"/>
  <c r="J309" i="1"/>
  <c r="J111" i="1"/>
  <c r="J206" i="1" l="1"/>
  <c r="J205" i="1"/>
  <c r="J204" i="1"/>
  <c r="J203" i="1"/>
  <c r="J201" i="1"/>
  <c r="J200" i="1"/>
  <c r="J199" i="1"/>
  <c r="J197" i="1"/>
  <c r="J353" i="1" l="1"/>
  <c r="J351" i="1"/>
  <c r="J302" i="1" l="1"/>
  <c r="J300" i="1" l="1"/>
  <c r="J98" i="1"/>
  <c r="J97" i="1"/>
  <c r="J96" i="1"/>
  <c r="J229" i="1" l="1"/>
  <c r="J478" i="1" l="1"/>
  <c r="J228" i="1" l="1"/>
  <c r="J225" i="1"/>
  <c r="J297" i="1" l="1"/>
  <c r="J386" i="1"/>
  <c r="J387" i="1"/>
  <c r="J388" i="1"/>
  <c r="J389" i="1"/>
  <c r="J391" i="1"/>
  <c r="J424" i="1"/>
  <c r="J425" i="1"/>
  <c r="J432" i="1"/>
  <c r="J433" i="1"/>
  <c r="J427" i="1"/>
  <c r="J435" i="1"/>
  <c r="J436" i="1"/>
  <c r="J438" i="1"/>
  <c r="D389" i="1" l="1"/>
  <c r="J192" i="1"/>
  <c r="E192" i="1"/>
  <c r="J54" i="1"/>
  <c r="J481" i="1"/>
  <c r="J480" i="1"/>
  <c r="J479" i="1"/>
  <c r="J477" i="1"/>
  <c r="J476" i="1"/>
  <c r="J475" i="1"/>
  <c r="J472" i="1"/>
  <c r="J471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31" i="1"/>
  <c r="J430" i="1"/>
  <c r="J443" i="1"/>
  <c r="J442" i="1"/>
  <c r="J441" i="1"/>
  <c r="J428" i="1"/>
  <c r="J434" i="1"/>
  <c r="J429" i="1"/>
  <c r="J439" i="1"/>
  <c r="J420" i="1"/>
  <c r="J393" i="1"/>
  <c r="J423" i="1"/>
  <c r="J422" i="1"/>
  <c r="J421" i="1"/>
  <c r="J418" i="1"/>
  <c r="J437" i="1"/>
  <c r="J417" i="1"/>
  <c r="J426" i="1"/>
  <c r="J411" i="1"/>
  <c r="J414" i="1"/>
  <c r="J413" i="1"/>
  <c r="J412" i="1"/>
  <c r="J410" i="1"/>
  <c r="J409" i="1"/>
  <c r="J408" i="1"/>
  <c r="J416" i="1"/>
  <c r="J415" i="1"/>
  <c r="J419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2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54" i="1"/>
  <c r="J350" i="1"/>
  <c r="J308" i="1"/>
  <c r="J307" i="1"/>
  <c r="J306" i="1"/>
  <c r="J305" i="1"/>
  <c r="J304" i="1"/>
  <c r="J303" i="1"/>
  <c r="J301" i="1"/>
  <c r="J299" i="1"/>
  <c r="J296" i="1"/>
  <c r="J298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349" i="1"/>
  <c r="J348" i="1"/>
  <c r="J357" i="1"/>
  <c r="J352" i="1"/>
  <c r="J356" i="1"/>
  <c r="J347" i="1"/>
  <c r="J346" i="1"/>
  <c r="J355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273" i="1"/>
  <c r="J272" i="1"/>
  <c r="J270" i="1"/>
  <c r="J271" i="1"/>
  <c r="J267" i="1"/>
  <c r="J266" i="1"/>
  <c r="J265" i="1"/>
  <c r="J264" i="1"/>
  <c r="J269" i="1"/>
  <c r="J268" i="1"/>
  <c r="J263" i="1"/>
  <c r="J262" i="1"/>
  <c r="J260" i="1"/>
  <c r="J259" i="1"/>
  <c r="J261" i="1"/>
  <c r="J258" i="1"/>
  <c r="J257" i="1"/>
  <c r="J256" i="1"/>
  <c r="J255" i="1"/>
  <c r="J249" i="1"/>
  <c r="J231" i="1"/>
  <c r="J230" i="1"/>
  <c r="J239" i="1"/>
  <c r="J227" i="1"/>
  <c r="J226" i="1"/>
  <c r="J236" i="1"/>
  <c r="J235" i="1"/>
  <c r="J232" i="1"/>
  <c r="J218" i="1"/>
  <c r="J27" i="1"/>
  <c r="J222" i="1"/>
  <c r="J242" i="1"/>
  <c r="J221" i="1"/>
  <c r="J220" i="1"/>
  <c r="J212" i="1"/>
  <c r="J211" i="1"/>
  <c r="J224" i="1"/>
  <c r="J219" i="1"/>
  <c r="J217" i="1"/>
  <c r="J233" i="1"/>
  <c r="J214" i="1"/>
  <c r="J215" i="1"/>
  <c r="J216" i="1"/>
  <c r="J194" i="1"/>
  <c r="J196" i="1"/>
  <c r="J195" i="1"/>
  <c r="J213" i="1"/>
  <c r="J193" i="1"/>
  <c r="J188" i="1"/>
  <c r="J207" i="1"/>
  <c r="J191" i="1"/>
  <c r="J190" i="1"/>
  <c r="J189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05" i="1"/>
  <c r="J113" i="1"/>
  <c r="J106" i="1"/>
  <c r="J104" i="1"/>
  <c r="J117" i="1"/>
  <c r="J115" i="1"/>
  <c r="J116" i="1"/>
  <c r="J110" i="1"/>
  <c r="J114" i="1"/>
  <c r="J112" i="1"/>
  <c r="J103" i="1"/>
  <c r="J102" i="1"/>
  <c r="J101" i="1"/>
  <c r="J100" i="1"/>
  <c r="J99" i="1"/>
  <c r="J25" i="1"/>
  <c r="J24" i="1"/>
  <c r="J23" i="1"/>
  <c r="J22" i="1"/>
  <c r="J21" i="1"/>
  <c r="J20" i="1"/>
  <c r="J19" i="1"/>
  <c r="J18" i="1"/>
  <c r="J17" i="1"/>
  <c r="J90" i="1"/>
  <c r="J89" i="1"/>
  <c r="J92" i="1"/>
  <c r="J107" i="1"/>
  <c r="J91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59" i="1"/>
  <c r="J53" i="1"/>
  <c r="J61" i="1"/>
  <c r="J60" i="1"/>
  <c r="J62" i="1"/>
  <c r="J58" i="1"/>
  <c r="J57" i="1"/>
  <c r="J56" i="1"/>
  <c r="J55" i="1"/>
  <c r="J52" i="1"/>
  <c r="J49" i="1"/>
  <c r="J51" i="1"/>
  <c r="J50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1" i="1"/>
  <c r="J30" i="1"/>
  <c r="J29" i="1"/>
  <c r="J28" i="1"/>
  <c r="J26" i="1"/>
  <c r="J16" i="1"/>
  <c r="J15" i="1"/>
  <c r="J14" i="1"/>
  <c r="J13" i="1"/>
  <c r="J12" i="1"/>
  <c r="J11" i="1"/>
  <c r="E194" i="1" l="1"/>
  <c r="D371" i="1" l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65" i="1"/>
  <c r="D366" i="1"/>
  <c r="D367" i="1"/>
  <c r="D368" i="1"/>
  <c r="D369" i="1"/>
  <c r="D370" i="1"/>
  <c r="D385" i="1"/>
  <c r="D386" i="1"/>
  <c r="D387" i="1"/>
  <c r="D388" i="1"/>
  <c r="D392" i="1"/>
  <c r="E181" i="1" l="1"/>
  <c r="E15" i="1" l="1"/>
  <c r="E14" i="1"/>
  <c r="E16" i="1"/>
  <c r="E26" i="1"/>
  <c r="E28" i="1"/>
  <c r="E42" i="1" l="1"/>
  <c r="E215" i="1" l="1"/>
  <c r="E214" i="1"/>
  <c r="E193" i="1"/>
  <c r="E213" i="1"/>
  <c r="E190" i="1"/>
  <c r="E196" i="1"/>
  <c r="E195" i="1"/>
  <c r="E221" i="1"/>
  <c r="E219" i="1"/>
  <c r="E224" i="1"/>
  <c r="E211" i="1"/>
  <c r="E212" i="1"/>
  <c r="E217" i="1"/>
  <c r="E233" i="1"/>
  <c r="E84" i="1"/>
  <c r="E85" i="1"/>
  <c r="E86" i="1"/>
  <c r="E293" i="1" l="1"/>
  <c r="E100" i="1" l="1"/>
  <c r="E189" i="1" l="1"/>
  <c r="E290" i="1" l="1"/>
  <c r="E292" i="1"/>
  <c r="E291" i="1"/>
  <c r="E294" i="1"/>
  <c r="E295" i="1"/>
  <c r="E288" i="1"/>
  <c r="E140" i="1" l="1"/>
  <c r="E173" i="1" l="1"/>
  <c r="E178" i="1"/>
  <c r="E179" i="1"/>
  <c r="E180" i="1"/>
  <c r="E171" i="1"/>
  <c r="E184" i="1"/>
  <c r="E183" i="1"/>
  <c r="E182" i="1"/>
  <c r="E186" i="1"/>
  <c r="E187" i="1" l="1"/>
  <c r="E216" i="1"/>
  <c r="E166" i="1"/>
  <c r="E167" i="1"/>
  <c r="E188" i="1"/>
  <c r="E163" i="1"/>
  <c r="E164" i="1"/>
  <c r="E165" i="1"/>
  <c r="E172" i="1"/>
  <c r="E168" i="1"/>
  <c r="E185" i="1"/>
  <c r="E169" i="1"/>
  <c r="E146" i="1"/>
  <c r="E162" i="1"/>
  <c r="E143" i="1"/>
  <c r="E151" i="1"/>
  <c r="E161" i="1"/>
  <c r="E160" i="1"/>
  <c r="E152" i="1"/>
  <c r="E153" i="1"/>
  <c r="E154" i="1"/>
  <c r="E155" i="1"/>
  <c r="E191" i="1"/>
  <c r="E177" i="1"/>
  <c r="E207" i="1"/>
  <c r="E134" i="1"/>
  <c r="E135" i="1"/>
  <c r="E136" i="1"/>
  <c r="E137" i="1"/>
  <c r="E141" i="1"/>
  <c r="E156" i="1"/>
  <c r="E157" i="1"/>
  <c r="E158" i="1"/>
  <c r="E138" i="1"/>
  <c r="E139" i="1"/>
  <c r="E159" i="1"/>
  <c r="E148" i="1"/>
  <c r="E149" i="1"/>
  <c r="E147" i="1"/>
  <c r="E142" i="1"/>
  <c r="E150" i="1"/>
  <c r="E144" i="1"/>
  <c r="E145" i="1"/>
  <c r="E289" i="1" l="1"/>
  <c r="E333" i="1" l="1"/>
  <c r="E284" i="1"/>
  <c r="E328" i="1"/>
  <c r="E74" i="1"/>
  <c r="D364" i="1"/>
  <c r="E325" i="1"/>
  <c r="E73" i="1"/>
  <c r="E99" i="1"/>
  <c r="E71" i="1"/>
  <c r="E77" i="1"/>
  <c r="E72" i="1"/>
  <c r="E126" i="1"/>
  <c r="E307" i="1"/>
  <c r="E13" i="1"/>
  <c r="E12" i="1"/>
  <c r="E60" i="1"/>
  <c r="E41" i="1"/>
  <c r="E465" i="1"/>
  <c r="E379" i="1"/>
  <c r="E378" i="1"/>
  <c r="E397" i="1"/>
  <c r="E396" i="1"/>
  <c r="E395" i="1"/>
  <c r="E394" i="1"/>
  <c r="E373" i="1"/>
  <c r="E372" i="1"/>
  <c r="E371" i="1"/>
  <c r="E365" i="1"/>
  <c r="E364" i="1"/>
  <c r="E280" i="1"/>
  <c r="E282" i="1"/>
  <c r="E283" i="1"/>
  <c r="E281" i="1"/>
  <c r="E326" i="1"/>
  <c r="E327" i="1"/>
  <c r="E286" i="1"/>
  <c r="E133" i="1"/>
  <c r="E128" i="1"/>
  <c r="E127" i="1"/>
  <c r="E75" i="1"/>
  <c r="E471" i="1"/>
  <c r="E464" i="1"/>
  <c r="E462" i="1"/>
  <c r="E461" i="1"/>
  <c r="E460" i="1"/>
  <c r="E459" i="1"/>
  <c r="E458" i="1"/>
  <c r="E457" i="1"/>
  <c r="E456" i="1"/>
  <c r="E455" i="1"/>
  <c r="E454" i="1"/>
  <c r="E267" i="1"/>
  <c r="E266" i="1"/>
  <c r="E265" i="1"/>
  <c r="E264" i="1"/>
  <c r="E263" i="1"/>
  <c r="E262" i="1"/>
  <c r="E249" i="1"/>
  <c r="E110" i="1"/>
  <c r="E114" i="1"/>
  <c r="E115" i="1"/>
  <c r="E117" i="1"/>
  <c r="E116" i="1"/>
  <c r="E11" i="1"/>
  <c r="AD624" i="15"/>
  <c r="AE624" i="15"/>
  <c r="X624" i="15"/>
  <c r="Y624" i="15"/>
  <c r="S624" i="15"/>
  <c r="L624" i="15"/>
  <c r="D624" i="15"/>
  <c r="AD623" i="15"/>
  <c r="AE623" i="15"/>
  <c r="X623" i="15"/>
  <c r="Y623" i="15" s="1"/>
  <c r="S623" i="15"/>
  <c r="L623" i="15"/>
  <c r="D623" i="15"/>
  <c r="AD622" i="15"/>
  <c r="AE622" i="15"/>
  <c r="AG622" i="15" s="1"/>
  <c r="X622" i="15"/>
  <c r="Y622" i="15" s="1"/>
  <c r="S622" i="15"/>
  <c r="L622" i="15"/>
  <c r="D622" i="15"/>
  <c r="AD621" i="15"/>
  <c r="AE621" i="15" s="1"/>
  <c r="X621" i="15"/>
  <c r="Y621" i="15" s="1"/>
  <c r="S621" i="15"/>
  <c r="L621" i="15"/>
  <c r="M621" i="15"/>
  <c r="D621" i="15"/>
  <c r="AD620" i="15"/>
  <c r="AE620" i="15" s="1"/>
  <c r="X620" i="15"/>
  <c r="Y620" i="15" s="1"/>
  <c r="S620" i="15"/>
  <c r="L620" i="15"/>
  <c r="D620" i="15"/>
  <c r="AD619" i="15"/>
  <c r="AE619" i="15"/>
  <c r="AG619" i="15" s="1"/>
  <c r="X619" i="15"/>
  <c r="Y619" i="15" s="1"/>
  <c r="S619" i="15"/>
  <c r="L619" i="15"/>
  <c r="M619" i="15" s="1"/>
  <c r="D619" i="15"/>
  <c r="AD618" i="15"/>
  <c r="AE618" i="15"/>
  <c r="X618" i="15"/>
  <c r="Y618" i="15"/>
  <c r="S618" i="15"/>
  <c r="L618" i="15"/>
  <c r="D618" i="15"/>
  <c r="AD617" i="15"/>
  <c r="AE617" i="15" s="1"/>
  <c r="X617" i="15"/>
  <c r="Y617" i="15"/>
  <c r="S617" i="15"/>
  <c r="L617" i="15"/>
  <c r="AH617" i="15" s="1"/>
  <c r="M617" i="15"/>
  <c r="AI617" i="15" s="1"/>
  <c r="AJ617" i="15" s="1"/>
  <c r="D617" i="15"/>
  <c r="AD616" i="15"/>
  <c r="AE616" i="15"/>
  <c r="X616" i="15"/>
  <c r="Y616" i="15" s="1"/>
  <c r="S616" i="15"/>
  <c r="T616" i="15" s="1"/>
  <c r="L616" i="15"/>
  <c r="D616" i="15"/>
  <c r="AD615" i="15"/>
  <c r="AE615" i="15" s="1"/>
  <c r="X615" i="15"/>
  <c r="Y615" i="15" s="1"/>
  <c r="S615" i="15"/>
  <c r="M615" i="15"/>
  <c r="D615" i="15"/>
  <c r="AD614" i="15"/>
  <c r="AE614" i="15"/>
  <c r="X614" i="15"/>
  <c r="Y614" i="15"/>
  <c r="S614" i="15"/>
  <c r="L614" i="15"/>
  <c r="M614" i="15"/>
  <c r="D614" i="15"/>
  <c r="AD613" i="15"/>
  <c r="AE613" i="15"/>
  <c r="X613" i="15"/>
  <c r="Y613" i="15"/>
  <c r="S613" i="15"/>
  <c r="L613" i="15"/>
  <c r="D613" i="15"/>
  <c r="AD612" i="15"/>
  <c r="AE612" i="15" s="1"/>
  <c r="X612" i="15"/>
  <c r="Y612" i="15" s="1"/>
  <c r="S612" i="15"/>
  <c r="L612" i="15"/>
  <c r="M612" i="15"/>
  <c r="D612" i="15"/>
  <c r="AD611" i="15"/>
  <c r="AE611" i="15" s="1"/>
  <c r="X611" i="15"/>
  <c r="Y611" i="15"/>
  <c r="S611" i="15"/>
  <c r="T611" i="15" s="1"/>
  <c r="L611" i="15"/>
  <c r="D611" i="15"/>
  <c r="AD610" i="15"/>
  <c r="X610" i="15"/>
  <c r="Y610" i="15"/>
  <c r="S610" i="15"/>
  <c r="L610" i="15"/>
  <c r="M610" i="15"/>
  <c r="D610" i="15"/>
  <c r="AD609" i="15"/>
  <c r="X609" i="15"/>
  <c r="Y609" i="15" s="1"/>
  <c r="S609" i="15"/>
  <c r="T609" i="15"/>
  <c r="L609" i="15"/>
  <c r="D609" i="15"/>
  <c r="AD608" i="15"/>
  <c r="AE608" i="15"/>
  <c r="X608" i="15"/>
  <c r="Y608" i="15" s="1"/>
  <c r="S608" i="15"/>
  <c r="L608" i="15"/>
  <c r="M608" i="15"/>
  <c r="D608" i="15"/>
  <c r="AD607" i="15"/>
  <c r="AE607" i="15"/>
  <c r="X607" i="15"/>
  <c r="Y607" i="15" s="1"/>
  <c r="S607" i="15"/>
  <c r="L607" i="15"/>
  <c r="D607" i="15"/>
  <c r="AD606" i="15"/>
  <c r="AE606" i="15" s="1"/>
  <c r="X606" i="15"/>
  <c r="Y606" i="15"/>
  <c r="S606" i="15"/>
  <c r="T606" i="15" s="1"/>
  <c r="L606" i="15"/>
  <c r="D606" i="15"/>
  <c r="AE605" i="15"/>
  <c r="X605" i="15"/>
  <c r="S605" i="15"/>
  <c r="T605" i="15"/>
  <c r="L605" i="15"/>
  <c r="M605" i="15"/>
  <c r="D605" i="15"/>
  <c r="AE604" i="15"/>
  <c r="X604" i="15"/>
  <c r="S604" i="15"/>
  <c r="L604" i="15"/>
  <c r="M604" i="15" s="1"/>
  <c r="D604" i="15"/>
  <c r="AE603" i="15"/>
  <c r="X603" i="15"/>
  <c r="S603" i="15"/>
  <c r="T603" i="15" s="1"/>
  <c r="L603" i="15"/>
  <c r="D603" i="15"/>
  <c r="AE602" i="15"/>
  <c r="X602" i="15"/>
  <c r="Y602" i="15"/>
  <c r="S602" i="15"/>
  <c r="T602" i="15"/>
  <c r="L602" i="15"/>
  <c r="D602" i="15"/>
  <c r="AD601" i="15"/>
  <c r="AE601" i="15"/>
  <c r="X601" i="15"/>
  <c r="Y601" i="15" s="1"/>
  <c r="S601" i="15"/>
  <c r="L601" i="15"/>
  <c r="M601" i="15"/>
  <c r="D601" i="15"/>
  <c r="AD600" i="15"/>
  <c r="AF600" i="15" s="1"/>
  <c r="AE600" i="15"/>
  <c r="X600" i="15"/>
  <c r="Y600" i="15" s="1"/>
  <c r="S600" i="15"/>
  <c r="L600" i="15"/>
  <c r="D600" i="15"/>
  <c r="AD599" i="15"/>
  <c r="AE599" i="15" s="1"/>
  <c r="X599" i="15"/>
  <c r="AF599" i="15" s="1"/>
  <c r="Y599" i="15"/>
  <c r="S599" i="15"/>
  <c r="L599" i="15"/>
  <c r="D599" i="15"/>
  <c r="AD598" i="15"/>
  <c r="AE598" i="15"/>
  <c r="X598" i="15"/>
  <c r="S598" i="15"/>
  <c r="L598" i="15"/>
  <c r="D598" i="15"/>
  <c r="AD597" i="15"/>
  <c r="AE597" i="15" s="1"/>
  <c r="X597" i="15"/>
  <c r="Y597" i="15"/>
  <c r="S597" i="15"/>
  <c r="L597" i="15"/>
  <c r="M597" i="15" s="1"/>
  <c r="D597" i="15"/>
  <c r="AD596" i="15"/>
  <c r="AE596" i="15"/>
  <c r="X596" i="15"/>
  <c r="S596" i="15"/>
  <c r="L596" i="15"/>
  <c r="D596" i="15"/>
  <c r="AD595" i="15"/>
  <c r="AE595" i="15"/>
  <c r="X595" i="15"/>
  <c r="Y595" i="15"/>
  <c r="S595" i="15"/>
  <c r="L595" i="15"/>
  <c r="D595" i="15"/>
  <c r="AD594" i="15"/>
  <c r="AE594" i="15"/>
  <c r="X594" i="15"/>
  <c r="Y594" i="15" s="1"/>
  <c r="S594" i="15"/>
  <c r="T594" i="15"/>
  <c r="L594" i="15"/>
  <c r="D594" i="15"/>
  <c r="AD593" i="15"/>
  <c r="AE593" i="15"/>
  <c r="X593" i="15"/>
  <c r="Y593" i="15" s="1"/>
  <c r="S593" i="15"/>
  <c r="L593" i="15"/>
  <c r="M593" i="15"/>
  <c r="D593" i="15"/>
  <c r="AD592" i="15"/>
  <c r="AE592" i="15"/>
  <c r="AG592" i="15" s="1"/>
  <c r="X592" i="15"/>
  <c r="Y592" i="15" s="1"/>
  <c r="S592" i="15"/>
  <c r="T592" i="15"/>
  <c r="L592" i="15"/>
  <c r="M592" i="15" s="1"/>
  <c r="D592" i="15"/>
  <c r="AD591" i="15"/>
  <c r="X591" i="15"/>
  <c r="Y591" i="15"/>
  <c r="S591" i="15"/>
  <c r="T591" i="15" s="1"/>
  <c r="L591" i="15"/>
  <c r="D591" i="15"/>
  <c r="AE590" i="15"/>
  <c r="X590" i="15"/>
  <c r="Y590" i="15"/>
  <c r="S590" i="15"/>
  <c r="L590" i="15"/>
  <c r="D590" i="15"/>
  <c r="AE589" i="15"/>
  <c r="X589" i="15"/>
  <c r="Y589" i="15" s="1"/>
  <c r="AG589" i="15" s="1"/>
  <c r="S589" i="15"/>
  <c r="T589" i="15" s="1"/>
  <c r="L589" i="15"/>
  <c r="D589" i="15"/>
  <c r="AD588" i="15"/>
  <c r="AE588" i="15" s="1"/>
  <c r="X588" i="15"/>
  <c r="Y588" i="15"/>
  <c r="S588" i="15"/>
  <c r="AH588" i="15" s="1"/>
  <c r="T588" i="15"/>
  <c r="AG588" i="15" s="1"/>
  <c r="L588" i="15"/>
  <c r="D588" i="15"/>
  <c r="AD587" i="15"/>
  <c r="AE587" i="15" s="1"/>
  <c r="X587" i="15"/>
  <c r="Y587" i="15"/>
  <c r="S587" i="15"/>
  <c r="L587" i="15"/>
  <c r="M587" i="15" s="1"/>
  <c r="D587" i="15"/>
  <c r="AD586" i="15"/>
  <c r="X586" i="15"/>
  <c r="Y586" i="15" s="1"/>
  <c r="S586" i="15"/>
  <c r="T586" i="15"/>
  <c r="L586" i="15"/>
  <c r="M586" i="15"/>
  <c r="D586" i="15"/>
  <c r="AD585" i="15"/>
  <c r="AE585" i="15"/>
  <c r="X585" i="15"/>
  <c r="Y585" i="15"/>
  <c r="S585" i="15"/>
  <c r="L585" i="15"/>
  <c r="D585" i="15"/>
  <c r="AD584" i="15"/>
  <c r="AE584" i="15"/>
  <c r="X584" i="15"/>
  <c r="Y584" i="15"/>
  <c r="S584" i="15"/>
  <c r="L584" i="15"/>
  <c r="M584" i="15" s="1"/>
  <c r="D584" i="15"/>
  <c r="AD583" i="15"/>
  <c r="AE583" i="15"/>
  <c r="X583" i="15"/>
  <c r="Y583" i="15"/>
  <c r="S583" i="15"/>
  <c r="T583" i="15" s="1"/>
  <c r="L583" i="15"/>
  <c r="D583" i="15"/>
  <c r="AD582" i="15"/>
  <c r="AF582" i="15" s="1"/>
  <c r="AE582" i="15"/>
  <c r="X582" i="15"/>
  <c r="Y582" i="15" s="1"/>
  <c r="S582" i="15"/>
  <c r="L582" i="15"/>
  <c r="M582" i="15" s="1"/>
  <c r="D582" i="15"/>
  <c r="AD581" i="15"/>
  <c r="AE581" i="15" s="1"/>
  <c r="X581" i="15"/>
  <c r="Y581" i="15"/>
  <c r="S581" i="15"/>
  <c r="L581" i="15"/>
  <c r="D581" i="15"/>
  <c r="AD580" i="15"/>
  <c r="AE580" i="15"/>
  <c r="X580" i="15"/>
  <c r="Y580" i="15" s="1"/>
  <c r="S580" i="15"/>
  <c r="T580" i="15"/>
  <c r="L580" i="15"/>
  <c r="D580" i="15"/>
  <c r="AE579" i="15"/>
  <c r="X579" i="15"/>
  <c r="Y579" i="15" s="1"/>
  <c r="S579" i="15"/>
  <c r="L579" i="15"/>
  <c r="D579" i="15"/>
  <c r="AE578" i="15"/>
  <c r="X578" i="15"/>
  <c r="Y578" i="15"/>
  <c r="S578" i="15"/>
  <c r="L578" i="15"/>
  <c r="D578" i="15"/>
  <c r="AE577" i="15"/>
  <c r="X577" i="15"/>
  <c r="Y577" i="15"/>
  <c r="S577" i="15"/>
  <c r="L577" i="15"/>
  <c r="D577" i="15"/>
  <c r="AE576" i="15"/>
  <c r="X576" i="15"/>
  <c r="Y576" i="15"/>
  <c r="S576" i="15"/>
  <c r="L576" i="15"/>
  <c r="D576" i="15"/>
  <c r="AD575" i="15"/>
  <c r="AE575" i="15"/>
  <c r="X575" i="15"/>
  <c r="Y575" i="15" s="1"/>
  <c r="S575" i="15"/>
  <c r="L575" i="15"/>
  <c r="M575" i="15" s="1"/>
  <c r="D575" i="15"/>
  <c r="AD574" i="15"/>
  <c r="AE574" i="15"/>
  <c r="X574" i="15"/>
  <c r="Y574" i="15" s="1"/>
  <c r="S574" i="15"/>
  <c r="L574" i="15"/>
  <c r="M574" i="15" s="1"/>
  <c r="D574" i="15"/>
  <c r="AD573" i="15"/>
  <c r="AE573" i="15"/>
  <c r="X573" i="15"/>
  <c r="Y573" i="15" s="1"/>
  <c r="S573" i="15"/>
  <c r="T573" i="15"/>
  <c r="L573" i="15"/>
  <c r="D573" i="15"/>
  <c r="AD572" i="15"/>
  <c r="AE572" i="15"/>
  <c r="X572" i="15"/>
  <c r="Y572" i="15" s="1"/>
  <c r="S572" i="15"/>
  <c r="T572" i="15" s="1"/>
  <c r="L572" i="15"/>
  <c r="D572" i="15"/>
  <c r="AD571" i="15"/>
  <c r="AE571" i="15"/>
  <c r="X571" i="15"/>
  <c r="S571" i="15"/>
  <c r="L571" i="15"/>
  <c r="D571" i="15"/>
  <c r="AD570" i="15"/>
  <c r="AE570" i="15" s="1"/>
  <c r="X570" i="15"/>
  <c r="Y570" i="15" s="1"/>
  <c r="S570" i="15"/>
  <c r="L570" i="15"/>
  <c r="M570" i="15"/>
  <c r="D570" i="15"/>
  <c r="AD569" i="15"/>
  <c r="AE569" i="15"/>
  <c r="AG569" i="15" s="1"/>
  <c r="X569" i="15"/>
  <c r="Y569" i="15"/>
  <c r="S569" i="15"/>
  <c r="T569" i="15"/>
  <c r="L569" i="15"/>
  <c r="D569" i="15"/>
  <c r="AD568" i="15"/>
  <c r="AE568" i="15"/>
  <c r="X568" i="15"/>
  <c r="S568" i="15"/>
  <c r="T568" i="15" s="1"/>
  <c r="L568" i="15"/>
  <c r="D568" i="15"/>
  <c r="AD567" i="15"/>
  <c r="AE567" i="15"/>
  <c r="X567" i="15"/>
  <c r="Y567" i="15"/>
  <c r="S567" i="15"/>
  <c r="L567" i="15"/>
  <c r="D567" i="15"/>
  <c r="AD566" i="15"/>
  <c r="AE566" i="15" s="1"/>
  <c r="X566" i="15"/>
  <c r="S566" i="15"/>
  <c r="L566" i="15"/>
  <c r="M566" i="15"/>
  <c r="D566" i="15"/>
  <c r="AD565" i="15"/>
  <c r="AE565" i="15" s="1"/>
  <c r="X565" i="15"/>
  <c r="Y565" i="15" s="1"/>
  <c r="S565" i="15"/>
  <c r="T565" i="15" s="1"/>
  <c r="L565" i="15"/>
  <c r="D565" i="15"/>
  <c r="AD564" i="15"/>
  <c r="AF564" i="15" s="1"/>
  <c r="AE564" i="15"/>
  <c r="X564" i="15"/>
  <c r="Y564" i="15"/>
  <c r="S564" i="15"/>
  <c r="T564" i="15"/>
  <c r="L564" i="15"/>
  <c r="D564" i="15"/>
  <c r="AD563" i="15"/>
  <c r="AE563" i="15" s="1"/>
  <c r="X563" i="15"/>
  <c r="Y563" i="15" s="1"/>
  <c r="S563" i="15"/>
  <c r="L563" i="15"/>
  <c r="D563" i="15"/>
  <c r="AD562" i="15"/>
  <c r="AE562" i="15"/>
  <c r="X562" i="15"/>
  <c r="Y562" i="15" s="1"/>
  <c r="S562" i="15"/>
  <c r="L562" i="15"/>
  <c r="M562" i="15" s="1"/>
  <c r="D562" i="15"/>
  <c r="AD561" i="15"/>
  <c r="AE561" i="15"/>
  <c r="X561" i="15"/>
  <c r="Y561" i="15"/>
  <c r="S561" i="15"/>
  <c r="T561" i="15" s="1"/>
  <c r="L561" i="15"/>
  <c r="D561" i="15"/>
  <c r="AD560" i="15"/>
  <c r="AE560" i="15"/>
  <c r="AG560" i="15" s="1"/>
  <c r="AI560" i="15" s="1"/>
  <c r="X560" i="15"/>
  <c r="Y560" i="15" s="1"/>
  <c r="S560" i="15"/>
  <c r="L560" i="15"/>
  <c r="D560" i="15"/>
  <c r="AD559" i="15"/>
  <c r="AE559" i="15" s="1"/>
  <c r="X559" i="15"/>
  <c r="Y559" i="15" s="1"/>
  <c r="S559" i="15"/>
  <c r="L559" i="15"/>
  <c r="M559" i="15" s="1"/>
  <c r="D559" i="15"/>
  <c r="AD558" i="15"/>
  <c r="AE558" i="15" s="1"/>
  <c r="X558" i="15"/>
  <c r="Y558" i="15"/>
  <c r="S558" i="15"/>
  <c r="T558" i="15"/>
  <c r="L558" i="15"/>
  <c r="D558" i="15"/>
  <c r="AD557" i="15"/>
  <c r="AE557" i="15" s="1"/>
  <c r="X557" i="15"/>
  <c r="Y557" i="15" s="1"/>
  <c r="S557" i="15"/>
  <c r="L557" i="15"/>
  <c r="M557" i="15"/>
  <c r="D557" i="15"/>
  <c r="AD556" i="15"/>
  <c r="AE556" i="15" s="1"/>
  <c r="X556" i="15"/>
  <c r="Y556" i="15" s="1"/>
  <c r="S556" i="15"/>
  <c r="T556" i="15" s="1"/>
  <c r="L556" i="15"/>
  <c r="D556" i="15"/>
  <c r="AD555" i="15"/>
  <c r="AE555" i="15"/>
  <c r="X555" i="15"/>
  <c r="S555" i="15"/>
  <c r="L555" i="15"/>
  <c r="M555" i="15"/>
  <c r="D555" i="15"/>
  <c r="AD554" i="15"/>
  <c r="AE554" i="15" s="1"/>
  <c r="X554" i="15"/>
  <c r="Y554" i="15" s="1"/>
  <c r="S554" i="15"/>
  <c r="T554" i="15" s="1"/>
  <c r="L554" i="15"/>
  <c r="D554" i="15"/>
  <c r="AD553" i="15"/>
  <c r="AE553" i="15"/>
  <c r="X553" i="15"/>
  <c r="Y553" i="15"/>
  <c r="S553" i="15"/>
  <c r="L553" i="15"/>
  <c r="M553" i="15"/>
  <c r="D553" i="15"/>
  <c r="AD552" i="15"/>
  <c r="AE552" i="15" s="1"/>
  <c r="X552" i="15"/>
  <c r="Y552" i="15" s="1"/>
  <c r="S552" i="15"/>
  <c r="T552" i="15" s="1"/>
  <c r="L552" i="15"/>
  <c r="D552" i="15"/>
  <c r="AD551" i="15"/>
  <c r="AE551" i="15"/>
  <c r="X551" i="15"/>
  <c r="Y551" i="15" s="1"/>
  <c r="S551" i="15"/>
  <c r="L551" i="15"/>
  <c r="M551" i="15"/>
  <c r="D551" i="15"/>
  <c r="AD550" i="15"/>
  <c r="X550" i="15"/>
  <c r="Y550" i="15" s="1"/>
  <c r="S550" i="15"/>
  <c r="T550" i="15" s="1"/>
  <c r="L550" i="15"/>
  <c r="D550" i="15"/>
  <c r="AD549" i="15"/>
  <c r="AE549" i="15"/>
  <c r="S549" i="15"/>
  <c r="T549" i="15"/>
  <c r="AD548" i="15"/>
  <c r="AE548" i="15"/>
  <c r="X548" i="15"/>
  <c r="Y548" i="15"/>
  <c r="S548" i="15"/>
  <c r="T548" i="15"/>
  <c r="L548" i="15"/>
  <c r="D548" i="15"/>
  <c r="AD547" i="15"/>
  <c r="AE547" i="15"/>
  <c r="X547" i="15"/>
  <c r="Y547" i="15"/>
  <c r="S547" i="15"/>
  <c r="L547" i="15"/>
  <c r="M547" i="15"/>
  <c r="D547" i="15"/>
  <c r="AD546" i="15"/>
  <c r="AE546" i="15" s="1"/>
  <c r="X546" i="15"/>
  <c r="Y546" i="15"/>
  <c r="S546" i="15"/>
  <c r="L546" i="15"/>
  <c r="M546" i="15"/>
  <c r="D546" i="15"/>
  <c r="AD545" i="15"/>
  <c r="AE545" i="15"/>
  <c r="X545" i="15"/>
  <c r="Y545" i="15" s="1"/>
  <c r="S545" i="15"/>
  <c r="T545" i="15" s="1"/>
  <c r="L545" i="15"/>
  <c r="D545" i="15"/>
  <c r="AD544" i="15"/>
  <c r="AE544" i="15" s="1"/>
  <c r="X544" i="15"/>
  <c r="Y544" i="15" s="1"/>
  <c r="S544" i="15"/>
  <c r="T544" i="15" s="1"/>
  <c r="L544" i="15"/>
  <c r="D544" i="15"/>
  <c r="AD543" i="15"/>
  <c r="AE543" i="15" s="1"/>
  <c r="X543" i="15"/>
  <c r="S543" i="15"/>
  <c r="L543" i="15"/>
  <c r="M543" i="15"/>
  <c r="D543" i="15"/>
  <c r="AD542" i="15"/>
  <c r="AE542" i="15" s="1"/>
  <c r="AG542" i="15" s="1"/>
  <c r="AI542" i="15" s="1"/>
  <c r="X542" i="15"/>
  <c r="Y542" i="15"/>
  <c r="S542" i="15"/>
  <c r="L542" i="15"/>
  <c r="M542" i="15"/>
  <c r="D542" i="15"/>
  <c r="AD541" i="15"/>
  <c r="AE541" i="15" s="1"/>
  <c r="X541" i="15"/>
  <c r="Y541" i="15"/>
  <c r="S541" i="15"/>
  <c r="T541" i="15" s="1"/>
  <c r="L541" i="15"/>
  <c r="D541" i="15"/>
  <c r="AD540" i="15"/>
  <c r="AE540" i="15"/>
  <c r="X540" i="15"/>
  <c r="Y540" i="15"/>
  <c r="S540" i="15"/>
  <c r="T540" i="15" s="1"/>
  <c r="L540" i="15"/>
  <c r="AH540" i="15" s="1"/>
  <c r="D540" i="15"/>
  <c r="AD539" i="15"/>
  <c r="AE539" i="15" s="1"/>
  <c r="X539" i="15"/>
  <c r="Y539" i="15" s="1"/>
  <c r="S539" i="15"/>
  <c r="L539" i="15"/>
  <c r="M539" i="15"/>
  <c r="D539" i="15"/>
  <c r="AD538" i="15"/>
  <c r="AE538" i="15"/>
  <c r="X538" i="15"/>
  <c r="Y538" i="15"/>
  <c r="S538" i="15"/>
  <c r="L538" i="15"/>
  <c r="M538" i="15" s="1"/>
  <c r="D538" i="15"/>
  <c r="AD537" i="15"/>
  <c r="AE537" i="15"/>
  <c r="X537" i="15"/>
  <c r="Y537" i="15"/>
  <c r="S537" i="15"/>
  <c r="T537" i="15" s="1"/>
  <c r="L537" i="15"/>
  <c r="D537" i="15"/>
  <c r="AD536" i="15"/>
  <c r="AE536" i="15" s="1"/>
  <c r="X536" i="15"/>
  <c r="Y536" i="15" s="1"/>
  <c r="S536" i="15"/>
  <c r="T536" i="15" s="1"/>
  <c r="L536" i="15"/>
  <c r="D536" i="15"/>
  <c r="AD535" i="15"/>
  <c r="AE535" i="15" s="1"/>
  <c r="X535" i="15"/>
  <c r="Y535" i="15"/>
  <c r="S535" i="15"/>
  <c r="L535" i="15"/>
  <c r="M535" i="15" s="1"/>
  <c r="D535" i="15"/>
  <c r="AD534" i="15"/>
  <c r="AE534" i="15" s="1"/>
  <c r="X534" i="15"/>
  <c r="Y534" i="15" s="1"/>
  <c r="S534" i="15"/>
  <c r="L534" i="15"/>
  <c r="M534" i="15"/>
  <c r="D534" i="15"/>
  <c r="AD533" i="15"/>
  <c r="AE533" i="15" s="1"/>
  <c r="X533" i="15"/>
  <c r="Y533" i="15" s="1"/>
  <c r="AG533" i="15" s="1"/>
  <c r="S533" i="15"/>
  <c r="T533" i="15"/>
  <c r="L533" i="15"/>
  <c r="D533" i="15"/>
  <c r="AD532" i="15"/>
  <c r="AE532" i="15"/>
  <c r="X532" i="15"/>
  <c r="Y532" i="15"/>
  <c r="S532" i="15"/>
  <c r="T532" i="15" s="1"/>
  <c r="L532" i="15"/>
  <c r="D532" i="15"/>
  <c r="AD531" i="15"/>
  <c r="AE531" i="15" s="1"/>
  <c r="X531" i="15"/>
  <c r="Y531" i="15"/>
  <c r="S531" i="15"/>
  <c r="T531" i="15" s="1"/>
  <c r="AG531" i="15" s="1"/>
  <c r="AI531" i="15" s="1"/>
  <c r="L531" i="15"/>
  <c r="M531" i="15" s="1"/>
  <c r="D531" i="15"/>
  <c r="AD530" i="15"/>
  <c r="AE530" i="15" s="1"/>
  <c r="X530" i="15"/>
  <c r="Y530" i="15"/>
  <c r="S530" i="15"/>
  <c r="L530" i="15"/>
  <c r="M530" i="15" s="1"/>
  <c r="AI530" i="15" s="1"/>
  <c r="D530" i="15"/>
  <c r="AD529" i="15"/>
  <c r="AE529" i="15" s="1"/>
  <c r="X529" i="15"/>
  <c r="Y529" i="15" s="1"/>
  <c r="S529" i="15"/>
  <c r="T529" i="15"/>
  <c r="L529" i="15"/>
  <c r="D529" i="15"/>
  <c r="AD528" i="15"/>
  <c r="AE528" i="15"/>
  <c r="X528" i="15"/>
  <c r="Y528" i="15"/>
  <c r="S528" i="15"/>
  <c r="T528" i="15" s="1"/>
  <c r="L528" i="15"/>
  <c r="D528" i="15"/>
  <c r="AD527" i="15"/>
  <c r="AE527" i="15"/>
  <c r="X527" i="15"/>
  <c r="S527" i="15"/>
  <c r="L527" i="15"/>
  <c r="M527" i="15"/>
  <c r="D527" i="15"/>
  <c r="AD526" i="15"/>
  <c r="AE526" i="15" s="1"/>
  <c r="X526" i="15"/>
  <c r="Y526" i="15"/>
  <c r="S526" i="15"/>
  <c r="L526" i="15"/>
  <c r="M526" i="15" s="1"/>
  <c r="D526" i="15"/>
  <c r="AD525" i="15"/>
  <c r="AE525" i="15"/>
  <c r="X525" i="15"/>
  <c r="S525" i="15"/>
  <c r="T525" i="15" s="1"/>
  <c r="L525" i="15"/>
  <c r="D525" i="15"/>
  <c r="AD524" i="15"/>
  <c r="AE524" i="15" s="1"/>
  <c r="X524" i="15"/>
  <c r="Y524" i="15"/>
  <c r="S524" i="15"/>
  <c r="L524" i="15"/>
  <c r="M524" i="15" s="1"/>
  <c r="D524" i="15"/>
  <c r="AD523" i="15"/>
  <c r="AE523" i="15" s="1"/>
  <c r="X523" i="15"/>
  <c r="Y523" i="15"/>
  <c r="S523" i="15"/>
  <c r="L523" i="15"/>
  <c r="M523" i="15" s="1"/>
  <c r="D523" i="15"/>
  <c r="AD522" i="15"/>
  <c r="AE522" i="15" s="1"/>
  <c r="X522" i="15"/>
  <c r="S522" i="15"/>
  <c r="T522" i="15"/>
  <c r="L522" i="15"/>
  <c r="M522" i="15" s="1"/>
  <c r="D522" i="15"/>
  <c r="AD521" i="15"/>
  <c r="AE521" i="15" s="1"/>
  <c r="X521" i="15"/>
  <c r="Y521" i="15"/>
  <c r="S521" i="15"/>
  <c r="T521" i="15"/>
  <c r="AG521" i="15" s="1"/>
  <c r="L521" i="15"/>
  <c r="M521" i="15" s="1"/>
  <c r="D521" i="15"/>
  <c r="AD520" i="15"/>
  <c r="AE520" i="15"/>
  <c r="X520" i="15"/>
  <c r="S520" i="15"/>
  <c r="T520" i="15" s="1"/>
  <c r="L520" i="15"/>
  <c r="D520" i="15"/>
  <c r="AD519" i="15"/>
  <c r="AE519" i="15" s="1"/>
  <c r="X519" i="15"/>
  <c r="Y519" i="15"/>
  <c r="S519" i="15"/>
  <c r="L519" i="15"/>
  <c r="M519" i="15" s="1"/>
  <c r="D519" i="15"/>
  <c r="AD518" i="15"/>
  <c r="AE518" i="15"/>
  <c r="X518" i="15"/>
  <c r="S518" i="15"/>
  <c r="T518" i="15" s="1"/>
  <c r="L518" i="15"/>
  <c r="M518" i="15" s="1"/>
  <c r="D518" i="15"/>
  <c r="AD517" i="15"/>
  <c r="AE517" i="15"/>
  <c r="X517" i="15"/>
  <c r="Y517" i="15" s="1"/>
  <c r="AG517" i="15" s="1"/>
  <c r="AI517" i="15" s="1"/>
  <c r="S517" i="15"/>
  <c r="T517" i="15" s="1"/>
  <c r="L517" i="15"/>
  <c r="M517" i="15"/>
  <c r="D517" i="15"/>
  <c r="AD516" i="15"/>
  <c r="AE516" i="15" s="1"/>
  <c r="X516" i="15"/>
  <c r="Y516" i="15" s="1"/>
  <c r="S516" i="15"/>
  <c r="T516" i="15"/>
  <c r="AG516" i="15" s="1"/>
  <c r="L516" i="15"/>
  <c r="D516" i="15"/>
  <c r="AD515" i="15"/>
  <c r="AE515" i="15" s="1"/>
  <c r="X515" i="15"/>
  <c r="Y515" i="15" s="1"/>
  <c r="S515" i="15"/>
  <c r="L515" i="15"/>
  <c r="M515" i="15" s="1"/>
  <c r="D515" i="15"/>
  <c r="AD514" i="15"/>
  <c r="AE514" i="15" s="1"/>
  <c r="X514" i="15"/>
  <c r="S514" i="15"/>
  <c r="T514" i="15" s="1"/>
  <c r="L514" i="15"/>
  <c r="M514" i="15" s="1"/>
  <c r="D514" i="15"/>
  <c r="AD513" i="15"/>
  <c r="AE513" i="15"/>
  <c r="X513" i="15"/>
  <c r="Y513" i="15"/>
  <c r="S513" i="15"/>
  <c r="L513" i="15"/>
  <c r="M513" i="15"/>
  <c r="D513" i="15"/>
  <c r="AD512" i="15"/>
  <c r="AE512" i="15"/>
  <c r="X512" i="15"/>
  <c r="S512" i="15"/>
  <c r="T512" i="15"/>
  <c r="L512" i="15"/>
  <c r="D512" i="15"/>
  <c r="AD511" i="15"/>
  <c r="AE511" i="15" s="1"/>
  <c r="X511" i="15"/>
  <c r="Y511" i="15" s="1"/>
  <c r="S511" i="15"/>
  <c r="L511" i="15"/>
  <c r="M511" i="15"/>
  <c r="D511" i="15"/>
  <c r="AD510" i="15"/>
  <c r="AE510" i="15"/>
  <c r="X510" i="15"/>
  <c r="S510" i="15"/>
  <c r="T510" i="15" s="1"/>
  <c r="L510" i="15"/>
  <c r="M510" i="15"/>
  <c r="D510" i="15"/>
  <c r="AD509" i="15"/>
  <c r="AF509" i="15" s="1"/>
  <c r="AH509" i="15" s="1"/>
  <c r="AE509" i="15"/>
  <c r="X509" i="15"/>
  <c r="Y509" i="15"/>
  <c r="S509" i="15"/>
  <c r="T509" i="15" s="1"/>
  <c r="L509" i="15"/>
  <c r="M509" i="15" s="1"/>
  <c r="D509" i="15"/>
  <c r="AD508" i="15"/>
  <c r="AE508" i="15" s="1"/>
  <c r="X508" i="15"/>
  <c r="S508" i="15"/>
  <c r="T508" i="15" s="1"/>
  <c r="L508" i="15"/>
  <c r="D508" i="15"/>
  <c r="AD507" i="15"/>
  <c r="AE507" i="15"/>
  <c r="X507" i="15"/>
  <c r="Y507" i="15"/>
  <c r="S507" i="15"/>
  <c r="L507" i="15"/>
  <c r="M507" i="15" s="1"/>
  <c r="D507" i="15"/>
  <c r="AD506" i="15"/>
  <c r="AE506" i="15" s="1"/>
  <c r="AG506" i="15" s="1"/>
  <c r="X506" i="15"/>
  <c r="S506" i="15"/>
  <c r="T506" i="15"/>
  <c r="L506" i="15"/>
  <c r="M506" i="15" s="1"/>
  <c r="D506" i="15"/>
  <c r="AD505" i="15"/>
  <c r="X505" i="15"/>
  <c r="Y505" i="15" s="1"/>
  <c r="S505" i="15"/>
  <c r="T505" i="15"/>
  <c r="L505" i="15"/>
  <c r="M505" i="15"/>
  <c r="D505" i="15"/>
  <c r="AD504" i="15"/>
  <c r="AE504" i="15" s="1"/>
  <c r="X504" i="15"/>
  <c r="S504" i="15"/>
  <c r="T504" i="15" s="1"/>
  <c r="L504" i="15"/>
  <c r="D504" i="15"/>
  <c r="AD503" i="15"/>
  <c r="AE503" i="15"/>
  <c r="X503" i="15"/>
  <c r="Y503" i="15" s="1"/>
  <c r="S503" i="15"/>
  <c r="L503" i="15"/>
  <c r="M503" i="15" s="1"/>
  <c r="D503" i="15"/>
  <c r="AD502" i="15"/>
  <c r="AE502" i="15" s="1"/>
  <c r="X502" i="15"/>
  <c r="S502" i="15"/>
  <c r="T502" i="15"/>
  <c r="L502" i="15"/>
  <c r="M502" i="15" s="1"/>
  <c r="D502" i="15"/>
  <c r="AD501" i="15"/>
  <c r="AE501" i="15" s="1"/>
  <c r="AG501" i="15" s="1"/>
  <c r="X501" i="15"/>
  <c r="Y501" i="15"/>
  <c r="S501" i="15"/>
  <c r="AF501" i="15" s="1"/>
  <c r="L501" i="15"/>
  <c r="M501" i="15" s="1"/>
  <c r="D501" i="15"/>
  <c r="AD500" i="15"/>
  <c r="AF500" i="15" s="1"/>
  <c r="AH500" i="15" s="1"/>
  <c r="AE500" i="15"/>
  <c r="X500" i="15"/>
  <c r="S500" i="15"/>
  <c r="T500" i="15"/>
  <c r="L500" i="15"/>
  <c r="D500" i="15"/>
  <c r="AD499" i="15"/>
  <c r="AE499" i="15"/>
  <c r="X499" i="15"/>
  <c r="Y499" i="15" s="1"/>
  <c r="S499" i="15"/>
  <c r="L499" i="15"/>
  <c r="M499" i="15" s="1"/>
  <c r="D499" i="15"/>
  <c r="AD498" i="15"/>
  <c r="AE498" i="15"/>
  <c r="X498" i="15"/>
  <c r="Y498" i="15" s="1"/>
  <c r="S498" i="15"/>
  <c r="T498" i="15"/>
  <c r="AG498" i="15" s="1"/>
  <c r="AI498" i="15" s="1"/>
  <c r="AJ498" i="15" s="1"/>
  <c r="L498" i="15"/>
  <c r="M498" i="15"/>
  <c r="D498" i="15"/>
  <c r="AD497" i="15"/>
  <c r="AE497" i="15" s="1"/>
  <c r="X497" i="15"/>
  <c r="Y497" i="15"/>
  <c r="S497" i="15"/>
  <c r="L497" i="15"/>
  <c r="M497" i="15" s="1"/>
  <c r="D497" i="15"/>
  <c r="AD496" i="15"/>
  <c r="AE496" i="15"/>
  <c r="X496" i="15"/>
  <c r="S496" i="15"/>
  <c r="T496" i="15" s="1"/>
  <c r="L496" i="15"/>
  <c r="M496" i="15" s="1"/>
  <c r="D496" i="15"/>
  <c r="AD495" i="15"/>
  <c r="X495" i="15"/>
  <c r="Y495" i="15"/>
  <c r="S495" i="15"/>
  <c r="L495" i="15"/>
  <c r="D495" i="15"/>
  <c r="AD494" i="15"/>
  <c r="AE494" i="15" s="1"/>
  <c r="X494" i="15"/>
  <c r="Y494" i="15" s="1"/>
  <c r="S494" i="15"/>
  <c r="L494" i="15"/>
  <c r="D494" i="15"/>
  <c r="AD493" i="15"/>
  <c r="AE493" i="15" s="1"/>
  <c r="X493" i="15"/>
  <c r="S493" i="15"/>
  <c r="T493" i="15"/>
  <c r="L493" i="15"/>
  <c r="D493" i="15"/>
  <c r="AD492" i="15"/>
  <c r="AE492" i="15"/>
  <c r="X492" i="15"/>
  <c r="Y492" i="15"/>
  <c r="S492" i="15"/>
  <c r="AF492" i="15" s="1"/>
  <c r="AH492" i="15" s="1"/>
  <c r="L492" i="15"/>
  <c r="M492" i="15"/>
  <c r="D492" i="15"/>
  <c r="AD491" i="15"/>
  <c r="AE491" i="15" s="1"/>
  <c r="X491" i="15"/>
  <c r="Y491" i="15"/>
  <c r="S491" i="15"/>
  <c r="L491" i="15"/>
  <c r="D491" i="15"/>
  <c r="AD490" i="15"/>
  <c r="AE490" i="15"/>
  <c r="X490" i="15"/>
  <c r="Y490" i="15"/>
  <c r="S490" i="15"/>
  <c r="L490" i="15"/>
  <c r="M490" i="15" s="1"/>
  <c r="D490" i="15"/>
  <c r="AD489" i="15"/>
  <c r="AE489" i="15"/>
  <c r="X489" i="15"/>
  <c r="Y489" i="15" s="1"/>
  <c r="S489" i="15"/>
  <c r="L489" i="15"/>
  <c r="D489" i="15"/>
  <c r="AD488" i="15"/>
  <c r="AE488" i="15"/>
  <c r="X488" i="15"/>
  <c r="Y488" i="15" s="1"/>
  <c r="S488" i="15"/>
  <c r="L488" i="15"/>
  <c r="M488" i="15" s="1"/>
  <c r="D488" i="15"/>
  <c r="AD487" i="15"/>
  <c r="AE487" i="15"/>
  <c r="X487" i="15"/>
  <c r="Y487" i="15"/>
  <c r="S487" i="15"/>
  <c r="AF487" i="15" s="1"/>
  <c r="AH487" i="15" s="1"/>
  <c r="L487" i="15"/>
  <c r="M487" i="15" s="1"/>
  <c r="D487" i="15"/>
  <c r="AD486" i="15"/>
  <c r="AE486" i="15"/>
  <c r="X486" i="15"/>
  <c r="Y486" i="15" s="1"/>
  <c r="S486" i="15"/>
  <c r="L486" i="15"/>
  <c r="M486" i="15" s="1"/>
  <c r="D486" i="15"/>
  <c r="AD485" i="15"/>
  <c r="AE485" i="15"/>
  <c r="X485" i="15"/>
  <c r="Y485" i="15"/>
  <c r="S485" i="15"/>
  <c r="L485" i="15"/>
  <c r="M485" i="15" s="1"/>
  <c r="D485" i="15"/>
  <c r="AD484" i="15"/>
  <c r="AE484" i="15" s="1"/>
  <c r="X484" i="15"/>
  <c r="Y484" i="15" s="1"/>
  <c r="S484" i="15"/>
  <c r="L484" i="15"/>
  <c r="M484" i="15" s="1"/>
  <c r="D484" i="15"/>
  <c r="AD483" i="15"/>
  <c r="AE483" i="15"/>
  <c r="X483" i="15"/>
  <c r="Y483" i="15"/>
  <c r="S483" i="15"/>
  <c r="L483" i="15"/>
  <c r="M483" i="15"/>
  <c r="D483" i="15"/>
  <c r="AD482" i="15"/>
  <c r="AE482" i="15" s="1"/>
  <c r="X482" i="15"/>
  <c r="Y482" i="15"/>
  <c r="S482" i="15"/>
  <c r="L482" i="15"/>
  <c r="M482" i="15" s="1"/>
  <c r="D482" i="15"/>
  <c r="AD481" i="15"/>
  <c r="AE481" i="15"/>
  <c r="X481" i="15"/>
  <c r="S481" i="15"/>
  <c r="T481" i="15" s="1"/>
  <c r="L481" i="15"/>
  <c r="M481" i="15" s="1"/>
  <c r="D481" i="15"/>
  <c r="AD480" i="15"/>
  <c r="AE480" i="15"/>
  <c r="X480" i="15"/>
  <c r="Y480" i="15" s="1"/>
  <c r="S480" i="15"/>
  <c r="T480" i="15"/>
  <c r="L480" i="15"/>
  <c r="M480" i="15"/>
  <c r="AI480" i="15" s="1"/>
  <c r="D480" i="15"/>
  <c r="AD479" i="15"/>
  <c r="AE479" i="15"/>
  <c r="X479" i="15"/>
  <c r="Y479" i="15"/>
  <c r="S479" i="15"/>
  <c r="L479" i="15"/>
  <c r="M479" i="15" s="1"/>
  <c r="D479" i="15"/>
  <c r="AD478" i="15"/>
  <c r="AE478" i="15" s="1"/>
  <c r="X478" i="15"/>
  <c r="Y478" i="15" s="1"/>
  <c r="S478" i="15"/>
  <c r="T478" i="15"/>
  <c r="L478" i="15"/>
  <c r="M478" i="15" s="1"/>
  <c r="D478" i="15"/>
  <c r="AD477" i="15"/>
  <c r="AE477" i="15"/>
  <c r="X477" i="15"/>
  <c r="S477" i="15"/>
  <c r="T477" i="15"/>
  <c r="AG477" i="15" s="1"/>
  <c r="AI477" i="15" s="1"/>
  <c r="L477" i="15"/>
  <c r="M477" i="15"/>
  <c r="D477" i="15"/>
  <c r="AD476" i="15"/>
  <c r="AE476" i="15" s="1"/>
  <c r="X476" i="15"/>
  <c r="Y476" i="15"/>
  <c r="S476" i="15"/>
  <c r="T476" i="15"/>
  <c r="L476" i="15"/>
  <c r="M476" i="15"/>
  <c r="D476" i="15"/>
  <c r="AD475" i="15"/>
  <c r="AE475" i="15"/>
  <c r="X475" i="15"/>
  <c r="Y475" i="15"/>
  <c r="S475" i="15"/>
  <c r="L475" i="15"/>
  <c r="M475" i="15"/>
  <c r="D475" i="15"/>
  <c r="AD474" i="15"/>
  <c r="AE474" i="15" s="1"/>
  <c r="X474" i="15"/>
  <c r="Y474" i="15" s="1"/>
  <c r="S474" i="15"/>
  <c r="T474" i="15" s="1"/>
  <c r="L474" i="15"/>
  <c r="D474" i="15"/>
  <c r="AD473" i="15"/>
  <c r="AE473" i="15" s="1"/>
  <c r="X473" i="15"/>
  <c r="AF473" i="15" s="1"/>
  <c r="S473" i="15"/>
  <c r="T473" i="15" s="1"/>
  <c r="L473" i="15"/>
  <c r="M473" i="15"/>
  <c r="D473" i="15"/>
  <c r="AD472" i="15"/>
  <c r="AE472" i="15"/>
  <c r="X472" i="15"/>
  <c r="Y472" i="15"/>
  <c r="S472" i="15"/>
  <c r="T472" i="15"/>
  <c r="L472" i="15"/>
  <c r="M472" i="15" s="1"/>
  <c r="D472" i="15"/>
  <c r="AD471" i="15"/>
  <c r="AE471" i="15"/>
  <c r="X471" i="15"/>
  <c r="Y471" i="15" s="1"/>
  <c r="S471" i="15"/>
  <c r="L471" i="15"/>
  <c r="D471" i="15"/>
  <c r="AD470" i="15"/>
  <c r="AE470" i="15" s="1"/>
  <c r="X470" i="15"/>
  <c r="Y470" i="15" s="1"/>
  <c r="AG470" i="15" s="1"/>
  <c r="AI470" i="15" s="1"/>
  <c r="S470" i="15"/>
  <c r="T470" i="15"/>
  <c r="L470" i="15"/>
  <c r="M470" i="15"/>
  <c r="D470" i="15"/>
  <c r="AD469" i="15"/>
  <c r="AE469" i="15"/>
  <c r="X469" i="15"/>
  <c r="S469" i="15"/>
  <c r="T469" i="15"/>
  <c r="L469" i="15"/>
  <c r="M469" i="15" s="1"/>
  <c r="D469" i="15"/>
  <c r="AD468" i="15"/>
  <c r="AE468" i="15"/>
  <c r="X468" i="15"/>
  <c r="Y468" i="15"/>
  <c r="S468" i="15"/>
  <c r="T468" i="15" s="1"/>
  <c r="L468" i="15"/>
  <c r="M468" i="15"/>
  <c r="D468" i="15"/>
  <c r="AD467" i="15"/>
  <c r="AE467" i="15" s="1"/>
  <c r="X467" i="15"/>
  <c r="Y467" i="15"/>
  <c r="S467" i="15"/>
  <c r="L467" i="15"/>
  <c r="M467" i="15" s="1"/>
  <c r="D467" i="15"/>
  <c r="AD466" i="15"/>
  <c r="AE466" i="15" s="1"/>
  <c r="X466" i="15"/>
  <c r="Y466" i="15"/>
  <c r="AG466" i="15" s="1"/>
  <c r="S466" i="15"/>
  <c r="T466" i="15"/>
  <c r="L466" i="15"/>
  <c r="D466" i="15"/>
  <c r="AD465" i="15"/>
  <c r="AE465" i="15"/>
  <c r="X465" i="15"/>
  <c r="S465" i="15"/>
  <c r="T465" i="15"/>
  <c r="L465" i="15"/>
  <c r="M465" i="15"/>
  <c r="D465" i="15"/>
  <c r="AD464" i="15"/>
  <c r="AE464" i="15" s="1"/>
  <c r="X464" i="15"/>
  <c r="Y464" i="15"/>
  <c r="S464" i="15"/>
  <c r="T464" i="15"/>
  <c r="L464" i="15"/>
  <c r="M464" i="15"/>
  <c r="AI464" i="15" s="1"/>
  <c r="D464" i="15"/>
  <c r="AD463" i="15"/>
  <c r="AE463" i="15"/>
  <c r="X463" i="15"/>
  <c r="Y463" i="15"/>
  <c r="S463" i="15"/>
  <c r="L463" i="15"/>
  <c r="M463" i="15" s="1"/>
  <c r="D463" i="15"/>
  <c r="AD462" i="15"/>
  <c r="X462" i="15"/>
  <c r="S462" i="15"/>
  <c r="T462" i="15" s="1"/>
  <c r="L462" i="15"/>
  <c r="M462" i="15"/>
  <c r="D462" i="15"/>
  <c r="AD461" i="15"/>
  <c r="AE461" i="15" s="1"/>
  <c r="X461" i="15"/>
  <c r="Y461" i="15"/>
  <c r="S461" i="15"/>
  <c r="T461" i="15"/>
  <c r="AG461" i="15" s="1"/>
  <c r="L461" i="15"/>
  <c r="M461" i="15" s="1"/>
  <c r="D461" i="15"/>
  <c r="AD460" i="15"/>
  <c r="AE460" i="15"/>
  <c r="X460" i="15"/>
  <c r="Y460" i="15" s="1"/>
  <c r="S460" i="15"/>
  <c r="AF460" i="15" s="1"/>
  <c r="L460" i="15"/>
  <c r="D460" i="15"/>
  <c r="AD459" i="15"/>
  <c r="AE459" i="15"/>
  <c r="X459" i="15"/>
  <c r="Y459" i="15" s="1"/>
  <c r="S459" i="15"/>
  <c r="L459" i="15"/>
  <c r="M459" i="15" s="1"/>
  <c r="D459" i="15"/>
  <c r="AD458" i="15"/>
  <c r="AE458" i="15"/>
  <c r="X458" i="15"/>
  <c r="Y458" i="15"/>
  <c r="S458" i="15"/>
  <c r="T458" i="15" s="1"/>
  <c r="AG458" i="15" s="1"/>
  <c r="L458" i="15"/>
  <c r="M458" i="15" s="1"/>
  <c r="AI458" i="15" s="1"/>
  <c r="D458" i="15"/>
  <c r="AD457" i="15"/>
  <c r="AF457" i="15" s="1"/>
  <c r="AH457" i="15" s="1"/>
  <c r="X457" i="15"/>
  <c r="Y457" i="15" s="1"/>
  <c r="S457" i="15"/>
  <c r="L457" i="15"/>
  <c r="D457" i="15"/>
  <c r="AD456" i="15"/>
  <c r="AE456" i="15"/>
  <c r="X456" i="15"/>
  <c r="AF456" i="15" s="1"/>
  <c r="S456" i="15"/>
  <c r="T456" i="15"/>
  <c r="L456" i="15"/>
  <c r="M456" i="15"/>
  <c r="D456" i="15"/>
  <c r="AD455" i="15"/>
  <c r="AF455" i="15" s="1"/>
  <c r="AE455" i="15"/>
  <c r="X455" i="15"/>
  <c r="Y455" i="15"/>
  <c r="S455" i="15"/>
  <c r="L455" i="15"/>
  <c r="M455" i="15" s="1"/>
  <c r="D455" i="15"/>
  <c r="AD454" i="15"/>
  <c r="AE454" i="15"/>
  <c r="X454" i="15"/>
  <c r="Y454" i="15"/>
  <c r="S454" i="15"/>
  <c r="L454" i="15"/>
  <c r="AH454" i="15" s="1"/>
  <c r="M454" i="15"/>
  <c r="AI454" i="15" s="1"/>
  <c r="D454" i="15"/>
  <c r="AD453" i="15"/>
  <c r="AE453" i="15" s="1"/>
  <c r="X453" i="15"/>
  <c r="Y453" i="15"/>
  <c r="S453" i="15"/>
  <c r="T453" i="15" s="1"/>
  <c r="L453" i="15"/>
  <c r="M453" i="15" s="1"/>
  <c r="D453" i="15"/>
  <c r="AD452" i="15"/>
  <c r="AE452" i="15" s="1"/>
  <c r="X452" i="15"/>
  <c r="Y452" i="15" s="1"/>
  <c r="AG452" i="15" s="1"/>
  <c r="AI452" i="15" s="1"/>
  <c r="S452" i="15"/>
  <c r="T452" i="15" s="1"/>
  <c r="L452" i="15"/>
  <c r="D452" i="15"/>
  <c r="AD451" i="15"/>
  <c r="AE451" i="15" s="1"/>
  <c r="X451" i="15"/>
  <c r="Y451" i="15"/>
  <c r="S451" i="15"/>
  <c r="L451" i="15"/>
  <c r="M451" i="15" s="1"/>
  <c r="D451" i="15"/>
  <c r="AD450" i="15"/>
  <c r="AE450" i="15" s="1"/>
  <c r="X450" i="15"/>
  <c r="Y450" i="15"/>
  <c r="S450" i="15"/>
  <c r="L450" i="15"/>
  <c r="M450" i="15" s="1"/>
  <c r="D450" i="15"/>
  <c r="AD449" i="15"/>
  <c r="AE449" i="15" s="1"/>
  <c r="X449" i="15"/>
  <c r="Y449" i="15" s="1"/>
  <c r="S449" i="15"/>
  <c r="T449" i="15" s="1"/>
  <c r="AG449" i="15" s="1"/>
  <c r="L449" i="15"/>
  <c r="D449" i="15"/>
  <c r="AD448" i="15"/>
  <c r="AE448" i="15"/>
  <c r="X448" i="15"/>
  <c r="Y448" i="15" s="1"/>
  <c r="S448" i="15"/>
  <c r="T448" i="15" s="1"/>
  <c r="AG448" i="15" s="1"/>
  <c r="L448" i="15"/>
  <c r="M448" i="15"/>
  <c r="D448" i="15"/>
  <c r="AD447" i="15"/>
  <c r="AE447" i="15"/>
  <c r="X447" i="15"/>
  <c r="Y447" i="15"/>
  <c r="S447" i="15"/>
  <c r="L447" i="15"/>
  <c r="M447" i="15"/>
  <c r="D447" i="15"/>
  <c r="AD446" i="15"/>
  <c r="AE446" i="15" s="1"/>
  <c r="X446" i="15"/>
  <c r="S446" i="15"/>
  <c r="T446" i="15" s="1"/>
  <c r="L446" i="15"/>
  <c r="M446" i="15"/>
  <c r="D446" i="15"/>
  <c r="AD445" i="15"/>
  <c r="AE445" i="15" s="1"/>
  <c r="X445" i="15"/>
  <c r="Y445" i="15" s="1"/>
  <c r="S445" i="15"/>
  <c r="L445" i="15"/>
  <c r="D445" i="15"/>
  <c r="AD444" i="15"/>
  <c r="AE444" i="15" s="1"/>
  <c r="X444" i="15"/>
  <c r="Y444" i="15" s="1"/>
  <c r="S444" i="15"/>
  <c r="T444" i="15" s="1"/>
  <c r="L444" i="15"/>
  <c r="M444" i="15"/>
  <c r="D444" i="15"/>
  <c r="AD443" i="15"/>
  <c r="AE443" i="15" s="1"/>
  <c r="X443" i="15"/>
  <c r="Y443" i="15" s="1"/>
  <c r="S443" i="15"/>
  <c r="L443" i="15"/>
  <c r="M443" i="15" s="1"/>
  <c r="D443" i="15"/>
  <c r="AD442" i="15"/>
  <c r="AE442" i="15"/>
  <c r="X442" i="15"/>
  <c r="S442" i="15"/>
  <c r="L442" i="15"/>
  <c r="M442" i="15" s="1"/>
  <c r="D442" i="15"/>
  <c r="AD441" i="15"/>
  <c r="AE441" i="15"/>
  <c r="X441" i="15"/>
  <c r="Y441" i="15"/>
  <c r="S441" i="15"/>
  <c r="T441" i="15"/>
  <c r="L441" i="15"/>
  <c r="D441" i="15"/>
  <c r="AD440" i="15"/>
  <c r="AE440" i="15" s="1"/>
  <c r="X440" i="15"/>
  <c r="Y440" i="15"/>
  <c r="S440" i="15"/>
  <c r="T440" i="15" s="1"/>
  <c r="AG440" i="15" s="1"/>
  <c r="L440" i="15"/>
  <c r="D440" i="15"/>
  <c r="AD439" i="15"/>
  <c r="AE439" i="15"/>
  <c r="X439" i="15"/>
  <c r="Y439" i="15" s="1"/>
  <c r="S439" i="15"/>
  <c r="L439" i="15"/>
  <c r="M439" i="15" s="1"/>
  <c r="D439" i="15"/>
  <c r="AD438" i="15"/>
  <c r="AE438" i="15"/>
  <c r="X438" i="15"/>
  <c r="Y438" i="15"/>
  <c r="S438" i="15"/>
  <c r="L438" i="15"/>
  <c r="M438" i="15" s="1"/>
  <c r="D438" i="15"/>
  <c r="AD437" i="15"/>
  <c r="AE437" i="15"/>
  <c r="X437" i="15"/>
  <c r="S437" i="15"/>
  <c r="T437" i="15"/>
  <c r="L437" i="15"/>
  <c r="D437" i="15"/>
  <c r="AD436" i="15"/>
  <c r="AE436" i="15"/>
  <c r="AG436" i="15" s="1"/>
  <c r="X436" i="15"/>
  <c r="Y436" i="15"/>
  <c r="S436" i="15"/>
  <c r="T436" i="15" s="1"/>
  <c r="L436" i="15"/>
  <c r="M436" i="15"/>
  <c r="D436" i="15"/>
  <c r="AD435" i="15"/>
  <c r="AE435" i="15"/>
  <c r="X435" i="15"/>
  <c r="Y435" i="15"/>
  <c r="S435" i="15"/>
  <c r="L435" i="15"/>
  <c r="M435" i="15" s="1"/>
  <c r="D435" i="15"/>
  <c r="AD434" i="15"/>
  <c r="AE434" i="15" s="1"/>
  <c r="X434" i="15"/>
  <c r="Y434" i="15" s="1"/>
  <c r="AG434" i="15" s="1"/>
  <c r="S434" i="15"/>
  <c r="T434" i="15"/>
  <c r="L434" i="15"/>
  <c r="M434" i="15" s="1"/>
  <c r="D434" i="15"/>
  <c r="AD433" i="15"/>
  <c r="AE433" i="15" s="1"/>
  <c r="X433" i="15"/>
  <c r="S433" i="15"/>
  <c r="T433" i="15"/>
  <c r="L433" i="15"/>
  <c r="D433" i="15"/>
  <c r="AD432" i="15"/>
  <c r="AE432" i="15" s="1"/>
  <c r="X432" i="15"/>
  <c r="S432" i="15"/>
  <c r="T432" i="15" s="1"/>
  <c r="L432" i="15"/>
  <c r="D432" i="15"/>
  <c r="AD431" i="15"/>
  <c r="AE431" i="15"/>
  <c r="X431" i="15"/>
  <c r="Y431" i="15"/>
  <c r="S431" i="15"/>
  <c r="L431" i="15"/>
  <c r="M431" i="15"/>
  <c r="D431" i="15"/>
  <c r="AD430" i="15"/>
  <c r="X430" i="15"/>
  <c r="Y430" i="15"/>
  <c r="S430" i="15"/>
  <c r="L430" i="15"/>
  <c r="M430" i="15" s="1"/>
  <c r="D430" i="15"/>
  <c r="AD429" i="15"/>
  <c r="AE429" i="15" s="1"/>
  <c r="X429" i="15"/>
  <c r="Y429" i="15" s="1"/>
  <c r="S429" i="15"/>
  <c r="L429" i="15"/>
  <c r="AH429" i="15" s="1"/>
  <c r="D429" i="15"/>
  <c r="AD428" i="15"/>
  <c r="AE428" i="15"/>
  <c r="S428" i="15"/>
  <c r="AF428" i="15" s="1"/>
  <c r="AH428" i="15" s="1"/>
  <c r="S427" i="15"/>
  <c r="AF427" i="15" s="1"/>
  <c r="AH427" i="15" s="1"/>
  <c r="T427" i="15"/>
  <c r="AG427" i="15" s="1"/>
  <c r="AI427" i="15" s="1"/>
  <c r="S426" i="15"/>
  <c r="AF426" i="15"/>
  <c r="AH426" i="15" s="1"/>
  <c r="S425" i="15"/>
  <c r="AF425" i="15" s="1"/>
  <c r="AH425" i="15" s="1"/>
  <c r="S424" i="15"/>
  <c r="AF424" i="15" s="1"/>
  <c r="AH424" i="15" s="1"/>
  <c r="S423" i="15"/>
  <c r="T423" i="15"/>
  <c r="AG423" i="15"/>
  <c r="AI423" i="15" s="1"/>
  <c r="S422" i="15"/>
  <c r="S421" i="15"/>
  <c r="AF421" i="15" s="1"/>
  <c r="AH421" i="15" s="1"/>
  <c r="S420" i="15"/>
  <c r="S419" i="15"/>
  <c r="AF419" i="15" s="1"/>
  <c r="S418" i="15"/>
  <c r="T418" i="15" s="1"/>
  <c r="AG418" i="15" s="1"/>
  <c r="AI418" i="15" s="1"/>
  <c r="AF418" i="15"/>
  <c r="AH418" i="15" s="1"/>
  <c r="S417" i="15"/>
  <c r="S416" i="15"/>
  <c r="AF416" i="15" s="1"/>
  <c r="AH416" i="15" s="1"/>
  <c r="S415" i="15"/>
  <c r="S414" i="15"/>
  <c r="S413" i="15"/>
  <c r="T413" i="15"/>
  <c r="AG413" i="15" s="1"/>
  <c r="AI413" i="15" s="1"/>
  <c r="S412" i="15"/>
  <c r="T412" i="15" s="1"/>
  <c r="AG412" i="15" s="1"/>
  <c r="AI412" i="15" s="1"/>
  <c r="S411" i="15"/>
  <c r="T411" i="15"/>
  <c r="AG411" i="15" s="1"/>
  <c r="AI411" i="15" s="1"/>
  <c r="S410" i="15"/>
  <c r="AF410" i="15" s="1"/>
  <c r="AH410" i="15" s="1"/>
  <c r="S409" i="15"/>
  <c r="T409" i="15"/>
  <c r="AG409" i="15" s="1"/>
  <c r="AI409" i="15" s="1"/>
  <c r="S408" i="15"/>
  <c r="AF408" i="15"/>
  <c r="AH408" i="15"/>
  <c r="AD407" i="15"/>
  <c r="AE407" i="15" s="1"/>
  <c r="X407" i="15"/>
  <c r="S407" i="15"/>
  <c r="L407" i="15"/>
  <c r="D407" i="15"/>
  <c r="AD406" i="15"/>
  <c r="AE406" i="15" s="1"/>
  <c r="X406" i="15"/>
  <c r="Y406" i="15" s="1"/>
  <c r="S406" i="15"/>
  <c r="L406" i="15"/>
  <c r="M406" i="15"/>
  <c r="D406" i="15"/>
  <c r="AD405" i="15"/>
  <c r="AE405" i="15" s="1"/>
  <c r="X405" i="15"/>
  <c r="Y405" i="15" s="1"/>
  <c r="S405" i="15"/>
  <c r="T405" i="15" s="1"/>
  <c r="L405" i="15"/>
  <c r="M405" i="15"/>
  <c r="D405" i="15"/>
  <c r="AD404" i="15"/>
  <c r="AE404" i="15" s="1"/>
  <c r="X404" i="15"/>
  <c r="Y404" i="15" s="1"/>
  <c r="AG404" i="15" s="1"/>
  <c r="S404" i="15"/>
  <c r="T404" i="15"/>
  <c r="L404" i="15"/>
  <c r="D404" i="15"/>
  <c r="AD403" i="15"/>
  <c r="AE403" i="15" s="1"/>
  <c r="X403" i="15"/>
  <c r="S403" i="15"/>
  <c r="T403" i="15" s="1"/>
  <c r="AG403" i="15" s="1"/>
  <c r="L403" i="15"/>
  <c r="M403" i="15" s="1"/>
  <c r="D403" i="15"/>
  <c r="AD402" i="15"/>
  <c r="AE402" i="15" s="1"/>
  <c r="X402" i="15"/>
  <c r="Y402" i="15" s="1"/>
  <c r="S402" i="15"/>
  <c r="L402" i="15"/>
  <c r="M402" i="15"/>
  <c r="D402" i="15"/>
  <c r="AD401" i="15"/>
  <c r="AE401" i="15" s="1"/>
  <c r="X401" i="15"/>
  <c r="S401" i="15"/>
  <c r="T401" i="15" s="1"/>
  <c r="L401" i="15"/>
  <c r="D401" i="15"/>
  <c r="AD400" i="15"/>
  <c r="AE400" i="15" s="1"/>
  <c r="X400" i="15"/>
  <c r="Y400" i="15"/>
  <c r="S400" i="15"/>
  <c r="L400" i="15"/>
  <c r="M400" i="15"/>
  <c r="D400" i="15"/>
  <c r="AD399" i="15"/>
  <c r="AE399" i="15" s="1"/>
  <c r="X399" i="15"/>
  <c r="Y399" i="15" s="1"/>
  <c r="AG399" i="15" s="1"/>
  <c r="S399" i="15"/>
  <c r="T399" i="15" s="1"/>
  <c r="L399" i="15"/>
  <c r="M399" i="15" s="1"/>
  <c r="D399" i="15"/>
  <c r="AD398" i="15"/>
  <c r="AE398" i="15" s="1"/>
  <c r="X398" i="15"/>
  <c r="S398" i="15"/>
  <c r="T398" i="15" s="1"/>
  <c r="AG398" i="15" s="1"/>
  <c r="L398" i="15"/>
  <c r="M398" i="15"/>
  <c r="D398" i="15"/>
  <c r="AD397" i="15"/>
  <c r="AE397" i="15" s="1"/>
  <c r="X397" i="15"/>
  <c r="Y397" i="15"/>
  <c r="S397" i="15"/>
  <c r="T397" i="15" s="1"/>
  <c r="L397" i="15"/>
  <c r="M397" i="15"/>
  <c r="D397" i="15"/>
  <c r="AD396" i="15"/>
  <c r="AE396" i="15" s="1"/>
  <c r="X396" i="15"/>
  <c r="S396" i="15"/>
  <c r="L396" i="15"/>
  <c r="D396" i="15"/>
  <c r="AD395" i="15"/>
  <c r="AE395" i="15" s="1"/>
  <c r="X395" i="15"/>
  <c r="S395" i="15"/>
  <c r="AF395" i="15" s="1"/>
  <c r="AH395" i="15" s="1"/>
  <c r="T395" i="15"/>
  <c r="L395" i="15"/>
  <c r="M395" i="15"/>
  <c r="D395" i="15"/>
  <c r="AD394" i="15"/>
  <c r="AE394" i="15"/>
  <c r="X394" i="15"/>
  <c r="Y394" i="15" s="1"/>
  <c r="S394" i="15"/>
  <c r="L394" i="15"/>
  <c r="M394" i="15"/>
  <c r="D394" i="15"/>
  <c r="AD393" i="15"/>
  <c r="AE393" i="15" s="1"/>
  <c r="X393" i="15"/>
  <c r="Y393" i="15"/>
  <c r="S393" i="15"/>
  <c r="L393" i="15"/>
  <c r="M393" i="15" s="1"/>
  <c r="D393" i="15"/>
  <c r="AD392" i="15"/>
  <c r="X392" i="15"/>
  <c r="Y392" i="15"/>
  <c r="S392" i="15"/>
  <c r="T392" i="15"/>
  <c r="L392" i="15"/>
  <c r="D392" i="15"/>
  <c r="AD391" i="15"/>
  <c r="AF391" i="15" s="1"/>
  <c r="X391" i="15"/>
  <c r="S391" i="15"/>
  <c r="T391" i="15" s="1"/>
  <c r="L391" i="15"/>
  <c r="M391" i="15" s="1"/>
  <c r="D391" i="15"/>
  <c r="AD390" i="15"/>
  <c r="AE390" i="15"/>
  <c r="X390" i="15"/>
  <c r="Y390" i="15" s="1"/>
  <c r="S390" i="15"/>
  <c r="L390" i="15"/>
  <c r="M390" i="15"/>
  <c r="D390" i="15"/>
  <c r="AD389" i="15"/>
  <c r="AE389" i="15"/>
  <c r="X389" i="15"/>
  <c r="Y389" i="15"/>
  <c r="S389" i="15"/>
  <c r="L389" i="15"/>
  <c r="M389" i="15"/>
  <c r="D389" i="15"/>
  <c r="AD388" i="15"/>
  <c r="AE388" i="15"/>
  <c r="X388" i="15"/>
  <c r="Y388" i="15" s="1"/>
  <c r="S388" i="15"/>
  <c r="L388" i="15"/>
  <c r="D388" i="15"/>
  <c r="AD387" i="15"/>
  <c r="AE387" i="15" s="1"/>
  <c r="X387" i="15"/>
  <c r="Y387" i="15"/>
  <c r="S387" i="15"/>
  <c r="T387" i="15"/>
  <c r="L387" i="15"/>
  <c r="M387" i="15" s="1"/>
  <c r="D387" i="15"/>
  <c r="AD386" i="15"/>
  <c r="AE386" i="15"/>
  <c r="X386" i="15"/>
  <c r="Y386" i="15" s="1"/>
  <c r="S386" i="15"/>
  <c r="L386" i="15"/>
  <c r="D386" i="15"/>
  <c r="AD385" i="15"/>
  <c r="AE385" i="15"/>
  <c r="X385" i="15"/>
  <c r="Y385" i="15" s="1"/>
  <c r="S385" i="15"/>
  <c r="L385" i="15"/>
  <c r="D385" i="15"/>
  <c r="AD384" i="15"/>
  <c r="AE384" i="15"/>
  <c r="X384" i="15"/>
  <c r="Y384" i="15" s="1"/>
  <c r="S384" i="15"/>
  <c r="T384" i="15" s="1"/>
  <c r="L384" i="15"/>
  <c r="D384" i="15"/>
  <c r="AD383" i="15"/>
  <c r="AE383" i="15" s="1"/>
  <c r="X383" i="15"/>
  <c r="S383" i="15"/>
  <c r="T383" i="15" s="1"/>
  <c r="L383" i="15"/>
  <c r="D383" i="15"/>
  <c r="AD382" i="15"/>
  <c r="AE382" i="15" s="1"/>
  <c r="X382" i="15"/>
  <c r="Y382" i="15"/>
  <c r="S382" i="15"/>
  <c r="L382" i="15"/>
  <c r="M382" i="15"/>
  <c r="D382" i="15"/>
  <c r="AD381" i="15"/>
  <c r="AE381" i="15"/>
  <c r="X381" i="15"/>
  <c r="Y381" i="15" s="1"/>
  <c r="S381" i="15"/>
  <c r="T381" i="15"/>
  <c r="L381" i="15"/>
  <c r="M381" i="15" s="1"/>
  <c r="D381" i="15"/>
  <c r="AD380" i="15"/>
  <c r="X380" i="15"/>
  <c r="Y380" i="15" s="1"/>
  <c r="S380" i="15"/>
  <c r="T380" i="15" s="1"/>
  <c r="L380" i="15"/>
  <c r="D380" i="15"/>
  <c r="AD379" i="15"/>
  <c r="AE379" i="15"/>
  <c r="X379" i="15"/>
  <c r="AF379" i="15" s="1"/>
  <c r="AH379" i="15" s="1"/>
  <c r="S379" i="15"/>
  <c r="T379" i="15"/>
  <c r="L379" i="15"/>
  <c r="M379" i="15"/>
  <c r="D379" i="15"/>
  <c r="AD378" i="15"/>
  <c r="X378" i="15"/>
  <c r="Y378" i="15"/>
  <c r="S378" i="15"/>
  <c r="L378" i="15"/>
  <c r="M378" i="15"/>
  <c r="D378" i="15"/>
  <c r="AD377" i="15"/>
  <c r="AE377" i="15" s="1"/>
  <c r="X377" i="15"/>
  <c r="Y377" i="15" s="1"/>
  <c r="S377" i="15"/>
  <c r="L377" i="15"/>
  <c r="M377" i="15"/>
  <c r="D377" i="15"/>
  <c r="AD376" i="15"/>
  <c r="AE376" i="15"/>
  <c r="X376" i="15"/>
  <c r="Y376" i="15"/>
  <c r="S376" i="15"/>
  <c r="T376" i="15"/>
  <c r="AG376" i="15" s="1"/>
  <c r="L376" i="15"/>
  <c r="M376" i="15" s="1"/>
  <c r="D376" i="15"/>
  <c r="AD375" i="15"/>
  <c r="AE375" i="15" s="1"/>
  <c r="X375" i="15"/>
  <c r="S375" i="15"/>
  <c r="T375" i="15" s="1"/>
  <c r="L375" i="15"/>
  <c r="M375" i="15"/>
  <c r="D375" i="15"/>
  <c r="AD374" i="15"/>
  <c r="X374" i="15"/>
  <c r="Y374" i="15" s="1"/>
  <c r="S374" i="15"/>
  <c r="L374" i="15"/>
  <c r="M374" i="15" s="1"/>
  <c r="D374" i="15"/>
  <c r="AD373" i="15"/>
  <c r="AE373" i="15"/>
  <c r="X373" i="15"/>
  <c r="AF373" i="15" s="1"/>
  <c r="AH373" i="15" s="1"/>
  <c r="Y373" i="15"/>
  <c r="S373" i="15"/>
  <c r="L373" i="15"/>
  <c r="M373" i="15"/>
  <c r="D373" i="15"/>
  <c r="AD372" i="15"/>
  <c r="AE372" i="15"/>
  <c r="X372" i="15"/>
  <c r="Y372" i="15" s="1"/>
  <c r="S372" i="15"/>
  <c r="T372" i="15"/>
  <c r="L372" i="15"/>
  <c r="D372" i="15"/>
  <c r="AD371" i="15"/>
  <c r="AE371" i="15"/>
  <c r="X371" i="15"/>
  <c r="AF371" i="15" s="1"/>
  <c r="Y371" i="15"/>
  <c r="S371" i="15"/>
  <c r="T371" i="15"/>
  <c r="L371" i="15"/>
  <c r="D371" i="15"/>
  <c r="AD370" i="15"/>
  <c r="AE370" i="15"/>
  <c r="X370" i="15"/>
  <c r="Y370" i="15" s="1"/>
  <c r="S370" i="15"/>
  <c r="L370" i="15"/>
  <c r="M370" i="15"/>
  <c r="D370" i="15"/>
  <c r="AD369" i="15"/>
  <c r="AE369" i="15"/>
  <c r="X369" i="15"/>
  <c r="Y369" i="15" s="1"/>
  <c r="S369" i="15"/>
  <c r="L369" i="15"/>
  <c r="M369" i="15"/>
  <c r="D369" i="15"/>
  <c r="AD368" i="15"/>
  <c r="AE368" i="15" s="1"/>
  <c r="X368" i="15"/>
  <c r="Y368" i="15"/>
  <c r="S368" i="15"/>
  <c r="T368" i="15" s="1"/>
  <c r="L368" i="15"/>
  <c r="D368" i="15"/>
  <c r="AD367" i="15"/>
  <c r="AE367" i="15" s="1"/>
  <c r="X367" i="15"/>
  <c r="Y367" i="15" s="1"/>
  <c r="S367" i="15"/>
  <c r="T367" i="15" s="1"/>
  <c r="L367" i="15"/>
  <c r="D367" i="15"/>
  <c r="AD366" i="15"/>
  <c r="AE366" i="15" s="1"/>
  <c r="X366" i="15"/>
  <c r="Y366" i="15"/>
  <c r="S366" i="15"/>
  <c r="L366" i="15"/>
  <c r="M366" i="15"/>
  <c r="D366" i="15"/>
  <c r="AD365" i="15"/>
  <c r="AE365" i="15" s="1"/>
  <c r="X365" i="15"/>
  <c r="Y365" i="15" s="1"/>
  <c r="S365" i="15"/>
  <c r="L365" i="15"/>
  <c r="D365" i="15"/>
  <c r="AD364" i="15"/>
  <c r="AE364" i="15" s="1"/>
  <c r="X364" i="15"/>
  <c r="Y364" i="15" s="1"/>
  <c r="AG364" i="15" s="1"/>
  <c r="AI364" i="15" s="1"/>
  <c r="S364" i="15"/>
  <c r="T364" i="15" s="1"/>
  <c r="L364" i="15"/>
  <c r="D364" i="15"/>
  <c r="AD363" i="15"/>
  <c r="AE363" i="15" s="1"/>
  <c r="X363" i="15"/>
  <c r="S363" i="15"/>
  <c r="T363" i="15" s="1"/>
  <c r="L363" i="15"/>
  <c r="D363" i="15"/>
  <c r="AD362" i="15"/>
  <c r="AE362" i="15" s="1"/>
  <c r="X362" i="15"/>
  <c r="Y362" i="15" s="1"/>
  <c r="S362" i="15"/>
  <c r="T362" i="15" s="1"/>
  <c r="L362" i="15"/>
  <c r="M362" i="15" s="1"/>
  <c r="D362" i="15"/>
  <c r="AD361" i="15"/>
  <c r="AE361" i="15" s="1"/>
  <c r="X361" i="15"/>
  <c r="Y361" i="15"/>
  <c r="S361" i="15"/>
  <c r="L361" i="15"/>
  <c r="M361" i="15" s="1"/>
  <c r="D361" i="15"/>
  <c r="AD360" i="15"/>
  <c r="AE360" i="15" s="1"/>
  <c r="X360" i="15"/>
  <c r="S360" i="15"/>
  <c r="T360" i="15" s="1"/>
  <c r="L360" i="15"/>
  <c r="D360" i="15"/>
  <c r="AD359" i="15"/>
  <c r="AE359" i="15"/>
  <c r="X359" i="15"/>
  <c r="Y359" i="15"/>
  <c r="S359" i="15"/>
  <c r="L359" i="15"/>
  <c r="M359" i="15" s="1"/>
  <c r="D359" i="15"/>
  <c r="AD358" i="15"/>
  <c r="AE358" i="15"/>
  <c r="X358" i="15"/>
  <c r="Y358" i="15"/>
  <c r="S358" i="15"/>
  <c r="L358" i="15"/>
  <c r="M358" i="15" s="1"/>
  <c r="D358" i="15"/>
  <c r="AD357" i="15"/>
  <c r="AE357" i="15"/>
  <c r="X357" i="15"/>
  <c r="Y357" i="15" s="1"/>
  <c r="S357" i="15"/>
  <c r="T357" i="15"/>
  <c r="L357" i="15"/>
  <c r="M357" i="15"/>
  <c r="AI357" i="15" s="1"/>
  <c r="D357" i="15"/>
  <c r="AD356" i="15"/>
  <c r="AE356" i="15" s="1"/>
  <c r="X356" i="15"/>
  <c r="S356" i="15"/>
  <c r="T356" i="15"/>
  <c r="L356" i="15"/>
  <c r="D356" i="15"/>
  <c r="AD355" i="15"/>
  <c r="AF355" i="15" s="1"/>
  <c r="AH355" i="15" s="1"/>
  <c r="X355" i="15"/>
  <c r="Y355" i="15" s="1"/>
  <c r="S355" i="15"/>
  <c r="L355" i="15"/>
  <c r="D355" i="15"/>
  <c r="AD354" i="15"/>
  <c r="AE354" i="15"/>
  <c r="X354" i="15"/>
  <c r="Y354" i="15" s="1"/>
  <c r="S354" i="15"/>
  <c r="L354" i="15"/>
  <c r="D354" i="15"/>
  <c r="AD353" i="15"/>
  <c r="AE353" i="15"/>
  <c r="X353" i="15"/>
  <c r="Y353" i="15"/>
  <c r="S353" i="15"/>
  <c r="T353" i="15" s="1"/>
  <c r="AG353" i="15" s="1"/>
  <c r="AI353" i="15" s="1"/>
  <c r="L353" i="15"/>
  <c r="M353" i="15"/>
  <c r="D353" i="15"/>
  <c r="AD352" i="15"/>
  <c r="AE352" i="15"/>
  <c r="X352" i="15"/>
  <c r="S352" i="15"/>
  <c r="T352" i="15"/>
  <c r="L352" i="15"/>
  <c r="D352" i="15"/>
  <c r="AD351" i="15"/>
  <c r="AE351" i="15"/>
  <c r="X351" i="15"/>
  <c r="Y351" i="15"/>
  <c r="S351" i="15"/>
  <c r="T351" i="15"/>
  <c r="L351" i="15"/>
  <c r="AH351" i="15" s="1"/>
  <c r="D351" i="15"/>
  <c r="AD350" i="15"/>
  <c r="AE350" i="15" s="1"/>
  <c r="X350" i="15"/>
  <c r="Y350" i="15"/>
  <c r="S350" i="15"/>
  <c r="L350" i="15"/>
  <c r="M350" i="15"/>
  <c r="D350" i="15"/>
  <c r="AD349" i="15"/>
  <c r="AE349" i="15"/>
  <c r="X349" i="15"/>
  <c r="Y349" i="15" s="1"/>
  <c r="S349" i="15"/>
  <c r="T349" i="15"/>
  <c r="L349" i="15"/>
  <c r="M349" i="15" s="1"/>
  <c r="D349" i="15"/>
  <c r="AD348" i="15"/>
  <c r="AE348" i="15" s="1"/>
  <c r="X348" i="15"/>
  <c r="S348" i="15"/>
  <c r="L348" i="15"/>
  <c r="M348" i="15"/>
  <c r="D348" i="15"/>
  <c r="AD347" i="15"/>
  <c r="AE347" i="15"/>
  <c r="X347" i="15"/>
  <c r="Y347" i="15" s="1"/>
  <c r="S347" i="15"/>
  <c r="T347" i="15"/>
  <c r="L347" i="15"/>
  <c r="AH347" i="15" s="1"/>
  <c r="D347" i="15"/>
  <c r="AD346" i="15"/>
  <c r="AE346" i="15"/>
  <c r="X346" i="15"/>
  <c r="S346" i="15"/>
  <c r="T346" i="15"/>
  <c r="L346" i="15"/>
  <c r="M346" i="15"/>
  <c r="D346" i="15"/>
  <c r="AD345" i="15"/>
  <c r="AE345" i="15" s="1"/>
  <c r="X345" i="15"/>
  <c r="Y345" i="15" s="1"/>
  <c r="S345" i="15"/>
  <c r="L345" i="15"/>
  <c r="M345" i="15" s="1"/>
  <c r="D345" i="15"/>
  <c r="AD344" i="15"/>
  <c r="AE344" i="15" s="1"/>
  <c r="X344" i="15"/>
  <c r="AF344" i="15" s="1"/>
  <c r="Y344" i="15"/>
  <c r="S344" i="15"/>
  <c r="L344" i="15"/>
  <c r="M344" i="15"/>
  <c r="D344" i="15"/>
  <c r="AD343" i="15"/>
  <c r="AE343" i="15" s="1"/>
  <c r="X343" i="15"/>
  <c r="Y343" i="15"/>
  <c r="S343" i="15"/>
  <c r="L343" i="15"/>
  <c r="D343" i="15"/>
  <c r="AD342" i="15"/>
  <c r="AE342" i="15" s="1"/>
  <c r="X342" i="15"/>
  <c r="Y342" i="15" s="1"/>
  <c r="S342" i="15"/>
  <c r="T342" i="15"/>
  <c r="L342" i="15"/>
  <c r="D342" i="15"/>
  <c r="AD341" i="15"/>
  <c r="AE341" i="15"/>
  <c r="X341" i="15"/>
  <c r="Y341" i="15"/>
  <c r="S341" i="15"/>
  <c r="L341" i="15"/>
  <c r="M341" i="15"/>
  <c r="D341" i="15"/>
  <c r="AD340" i="15"/>
  <c r="AE340" i="15"/>
  <c r="X340" i="15"/>
  <c r="Y340" i="15"/>
  <c r="S340" i="15"/>
  <c r="T340" i="15" s="1"/>
  <c r="AG340" i="15" s="1"/>
  <c r="AI340" i="15" s="1"/>
  <c r="L340" i="15"/>
  <c r="M340" i="15" s="1"/>
  <c r="D340" i="15"/>
  <c r="AD339" i="15"/>
  <c r="AE339" i="15" s="1"/>
  <c r="X339" i="15"/>
  <c r="Y339" i="15" s="1"/>
  <c r="S339" i="15"/>
  <c r="L339" i="15"/>
  <c r="M339" i="15"/>
  <c r="D339" i="15"/>
  <c r="AD338" i="15"/>
  <c r="AE338" i="15"/>
  <c r="X338" i="15"/>
  <c r="Y338" i="15"/>
  <c r="S338" i="15"/>
  <c r="T338" i="15" s="1"/>
  <c r="L338" i="15"/>
  <c r="M338" i="15"/>
  <c r="D338" i="15"/>
  <c r="AD337" i="15"/>
  <c r="AE337" i="15" s="1"/>
  <c r="X337" i="15"/>
  <c r="Y337" i="15"/>
  <c r="S337" i="15"/>
  <c r="AF337" i="15" s="1"/>
  <c r="T337" i="15"/>
  <c r="L337" i="15"/>
  <c r="M337" i="15" s="1"/>
  <c r="D337" i="15"/>
  <c r="AD336" i="15"/>
  <c r="AE336" i="15" s="1"/>
  <c r="X336" i="15"/>
  <c r="Y336" i="15" s="1"/>
  <c r="S336" i="15"/>
  <c r="T336" i="15"/>
  <c r="L336" i="15"/>
  <c r="D336" i="15"/>
  <c r="AD335" i="15"/>
  <c r="AE335" i="15"/>
  <c r="X335" i="15"/>
  <c r="Y335" i="15" s="1"/>
  <c r="S335" i="15"/>
  <c r="L335" i="15"/>
  <c r="AH335" i="15" s="1"/>
  <c r="M335" i="15"/>
  <c r="D335" i="15"/>
  <c r="AD334" i="15"/>
  <c r="AE334" i="15"/>
  <c r="X334" i="15"/>
  <c r="Y334" i="15"/>
  <c r="S334" i="15"/>
  <c r="L334" i="15"/>
  <c r="D334" i="15"/>
  <c r="AD333" i="15"/>
  <c r="AE333" i="15"/>
  <c r="X333" i="15"/>
  <c r="Y333" i="15" s="1"/>
  <c r="S333" i="15"/>
  <c r="T333" i="15"/>
  <c r="L333" i="15"/>
  <c r="M333" i="15" s="1"/>
  <c r="D333" i="15"/>
  <c r="AD332" i="15"/>
  <c r="X332" i="15"/>
  <c r="Y332" i="15" s="1"/>
  <c r="S332" i="15"/>
  <c r="T332" i="15"/>
  <c r="L332" i="15"/>
  <c r="D332" i="15"/>
  <c r="AD331" i="15"/>
  <c r="AE331" i="15" s="1"/>
  <c r="X331" i="15"/>
  <c r="Y331" i="15" s="1"/>
  <c r="AG331" i="15" s="1"/>
  <c r="AI331" i="15" s="1"/>
  <c r="S331" i="15"/>
  <c r="T331" i="15" s="1"/>
  <c r="L331" i="15"/>
  <c r="M331" i="15" s="1"/>
  <c r="D331" i="15"/>
  <c r="AD330" i="15"/>
  <c r="AE330" i="15" s="1"/>
  <c r="X330" i="15"/>
  <c r="Y330" i="15" s="1"/>
  <c r="S330" i="15"/>
  <c r="T330" i="15" s="1"/>
  <c r="L330" i="15"/>
  <c r="D330" i="15"/>
  <c r="AD329" i="15"/>
  <c r="AE329" i="15"/>
  <c r="X329" i="15"/>
  <c r="Y329" i="15"/>
  <c r="S329" i="15"/>
  <c r="L329" i="15"/>
  <c r="M329" i="15"/>
  <c r="D329" i="15"/>
  <c r="AD328" i="15"/>
  <c r="X328" i="15"/>
  <c r="Y328" i="15"/>
  <c r="S328" i="15"/>
  <c r="T328" i="15" s="1"/>
  <c r="L328" i="15"/>
  <c r="D328" i="15"/>
  <c r="AD327" i="15"/>
  <c r="AE327" i="15"/>
  <c r="X327" i="15"/>
  <c r="Y327" i="15"/>
  <c r="S327" i="15"/>
  <c r="AF327" i="15" s="1"/>
  <c r="T327" i="15"/>
  <c r="L327" i="15"/>
  <c r="M327" i="15"/>
  <c r="D327" i="15"/>
  <c r="AD326" i="15"/>
  <c r="X326" i="15"/>
  <c r="Y326" i="15"/>
  <c r="S326" i="15"/>
  <c r="T326" i="15" s="1"/>
  <c r="L326" i="15"/>
  <c r="D326" i="15"/>
  <c r="AD325" i="15"/>
  <c r="AE325" i="15" s="1"/>
  <c r="X325" i="15"/>
  <c r="Y325" i="15"/>
  <c r="S325" i="15"/>
  <c r="L325" i="15"/>
  <c r="M325" i="15"/>
  <c r="D325" i="15"/>
  <c r="AD324" i="15"/>
  <c r="AE324" i="15" s="1"/>
  <c r="AG324" i="15" s="1"/>
  <c r="X324" i="15"/>
  <c r="Y324" i="15"/>
  <c r="S324" i="15"/>
  <c r="T324" i="15"/>
  <c r="L324" i="15"/>
  <c r="D324" i="15"/>
  <c r="AD323" i="15"/>
  <c r="AE323" i="15"/>
  <c r="X323" i="15"/>
  <c r="Y323" i="15" s="1"/>
  <c r="S323" i="15"/>
  <c r="L323" i="15"/>
  <c r="M323" i="15"/>
  <c r="D323" i="15"/>
  <c r="AD322" i="15"/>
  <c r="AE322" i="15"/>
  <c r="X322" i="15"/>
  <c r="Y322" i="15"/>
  <c r="S322" i="15"/>
  <c r="T322" i="15"/>
  <c r="L322" i="15"/>
  <c r="D322" i="15"/>
  <c r="AD321" i="15"/>
  <c r="AE321" i="15"/>
  <c r="X321" i="15"/>
  <c r="Y321" i="15"/>
  <c r="S321" i="15"/>
  <c r="L321" i="15"/>
  <c r="M321" i="15"/>
  <c r="D321" i="15"/>
  <c r="AD320" i="15"/>
  <c r="AE320" i="15" s="1"/>
  <c r="X320" i="15"/>
  <c r="S320" i="15"/>
  <c r="T320" i="15" s="1"/>
  <c r="L320" i="15"/>
  <c r="M320" i="15"/>
  <c r="D320" i="15"/>
  <c r="AD319" i="15"/>
  <c r="AE319" i="15" s="1"/>
  <c r="X319" i="15"/>
  <c r="Y319" i="15" s="1"/>
  <c r="S319" i="15"/>
  <c r="L319" i="15"/>
  <c r="M319" i="15" s="1"/>
  <c r="D319" i="15"/>
  <c r="AD318" i="15"/>
  <c r="AE318" i="15"/>
  <c r="X318" i="15"/>
  <c r="S318" i="15"/>
  <c r="T318" i="15" s="1"/>
  <c r="L318" i="15"/>
  <c r="D318" i="15"/>
  <c r="AD317" i="15"/>
  <c r="AE317" i="15" s="1"/>
  <c r="X317" i="15"/>
  <c r="Y317" i="15"/>
  <c r="S317" i="15"/>
  <c r="L317" i="15"/>
  <c r="D317" i="15"/>
  <c r="AD316" i="15"/>
  <c r="AE316" i="15" s="1"/>
  <c r="X316" i="15"/>
  <c r="Y316" i="15" s="1"/>
  <c r="S316" i="15"/>
  <c r="AF316" i="15" s="1"/>
  <c r="AH316" i="15" s="1"/>
  <c r="T316" i="15"/>
  <c r="AG316" i="15" s="1"/>
  <c r="L316" i="15"/>
  <c r="M316" i="15" s="1"/>
  <c r="D316" i="15"/>
  <c r="AD315" i="15"/>
  <c r="AE315" i="15" s="1"/>
  <c r="X315" i="15"/>
  <c r="Y315" i="15"/>
  <c r="S315" i="15"/>
  <c r="L315" i="15"/>
  <c r="M315" i="15" s="1"/>
  <c r="D315" i="15"/>
  <c r="AD314" i="15"/>
  <c r="AE314" i="15"/>
  <c r="X314" i="15"/>
  <c r="S314" i="15"/>
  <c r="AF314" i="15" s="1"/>
  <c r="AH314" i="15" s="1"/>
  <c r="L314" i="15"/>
  <c r="D314" i="15"/>
  <c r="AD313" i="15"/>
  <c r="AE313" i="15"/>
  <c r="X313" i="15"/>
  <c r="Y313" i="15" s="1"/>
  <c r="S313" i="15"/>
  <c r="L313" i="15"/>
  <c r="M313" i="15" s="1"/>
  <c r="D313" i="15"/>
  <c r="AD312" i="15"/>
  <c r="AE312" i="15"/>
  <c r="X312" i="15"/>
  <c r="Y312" i="15" s="1"/>
  <c r="S312" i="15"/>
  <c r="L312" i="15"/>
  <c r="M312" i="15"/>
  <c r="D312" i="15"/>
  <c r="AD311" i="15"/>
  <c r="AE311" i="15"/>
  <c r="X311" i="15"/>
  <c r="Y311" i="15" s="1"/>
  <c r="S311" i="15"/>
  <c r="L311" i="15"/>
  <c r="M311" i="15" s="1"/>
  <c r="D311" i="15"/>
  <c r="AD310" i="15"/>
  <c r="AE310" i="15" s="1"/>
  <c r="X310" i="15"/>
  <c r="S310" i="15"/>
  <c r="T310" i="15"/>
  <c r="AG310" i="15" s="1"/>
  <c r="L310" i="15"/>
  <c r="M310" i="15"/>
  <c r="D310" i="15"/>
  <c r="AD309" i="15"/>
  <c r="AE309" i="15"/>
  <c r="X309" i="15"/>
  <c r="Y309" i="15" s="1"/>
  <c r="S309" i="15"/>
  <c r="AF309" i="15" s="1"/>
  <c r="L309" i="15"/>
  <c r="M309" i="15"/>
  <c r="D309" i="15"/>
  <c r="AD308" i="15"/>
  <c r="AE308" i="15"/>
  <c r="AG308" i="15" s="1"/>
  <c r="AI308" i="15" s="1"/>
  <c r="X308" i="15"/>
  <c r="S308" i="15"/>
  <c r="T308" i="15"/>
  <c r="L308" i="15"/>
  <c r="M308" i="15" s="1"/>
  <c r="D308" i="15"/>
  <c r="AD307" i="15"/>
  <c r="AE307" i="15" s="1"/>
  <c r="X307" i="15"/>
  <c r="Y307" i="15"/>
  <c r="AG307" i="15" s="1"/>
  <c r="AI307" i="15" s="1"/>
  <c r="AJ307" i="15" s="1"/>
  <c r="S307" i="15"/>
  <c r="T307" i="15" s="1"/>
  <c r="L307" i="15"/>
  <c r="M307" i="15" s="1"/>
  <c r="D307" i="15"/>
  <c r="AD306" i="15"/>
  <c r="AE306" i="15" s="1"/>
  <c r="X306" i="15"/>
  <c r="S306" i="15"/>
  <c r="T306" i="15" s="1"/>
  <c r="AG306" i="15" s="1"/>
  <c r="L306" i="15"/>
  <c r="D306" i="15"/>
  <c r="AD305" i="15"/>
  <c r="AE305" i="15" s="1"/>
  <c r="X305" i="15"/>
  <c r="Y305" i="15"/>
  <c r="S305" i="15"/>
  <c r="T305" i="15" s="1"/>
  <c r="AG305" i="15" s="1"/>
  <c r="L305" i="15"/>
  <c r="D305" i="15"/>
  <c r="AD304" i="15"/>
  <c r="AE304" i="15" s="1"/>
  <c r="X304" i="15"/>
  <c r="S304" i="15"/>
  <c r="T304" i="15"/>
  <c r="AG304" i="15" s="1"/>
  <c r="AI304" i="15" s="1"/>
  <c r="AJ304" i="15" s="1"/>
  <c r="L304" i="15"/>
  <c r="M304" i="15" s="1"/>
  <c r="D304" i="15"/>
  <c r="AD303" i="15"/>
  <c r="AE303" i="15"/>
  <c r="X303" i="15"/>
  <c r="Y303" i="15" s="1"/>
  <c r="S303" i="15"/>
  <c r="T303" i="15" s="1"/>
  <c r="AG303" i="15" s="1"/>
  <c r="L303" i="15"/>
  <c r="M303" i="15" s="1"/>
  <c r="D303" i="15"/>
  <c r="AD302" i="15"/>
  <c r="AE302" i="15" s="1"/>
  <c r="X302" i="15"/>
  <c r="S302" i="15"/>
  <c r="T302" i="15"/>
  <c r="L302" i="15"/>
  <c r="D302" i="15"/>
  <c r="AD301" i="15"/>
  <c r="AE301" i="15" s="1"/>
  <c r="X301" i="15"/>
  <c r="Y301" i="15"/>
  <c r="S301" i="15"/>
  <c r="AF301" i="15" s="1"/>
  <c r="AH301" i="15" s="1"/>
  <c r="L301" i="15"/>
  <c r="M301" i="15" s="1"/>
  <c r="D301" i="15"/>
  <c r="AD300" i="15"/>
  <c r="AE300" i="15" s="1"/>
  <c r="X300" i="15"/>
  <c r="S300" i="15"/>
  <c r="T300" i="15"/>
  <c r="L300" i="15"/>
  <c r="M300" i="15"/>
  <c r="D300" i="15"/>
  <c r="AD299" i="15"/>
  <c r="AE299" i="15"/>
  <c r="X299" i="15"/>
  <c r="Y299" i="15" s="1"/>
  <c r="S299" i="15"/>
  <c r="L299" i="15"/>
  <c r="M299" i="15"/>
  <c r="D299" i="15"/>
  <c r="AD298" i="15"/>
  <c r="AF298" i="15" s="1"/>
  <c r="AH298" i="15" s="1"/>
  <c r="AE298" i="15"/>
  <c r="X298" i="15"/>
  <c r="S298" i="15"/>
  <c r="T298" i="15"/>
  <c r="L298" i="15"/>
  <c r="D298" i="15"/>
  <c r="AD297" i="15"/>
  <c r="AE297" i="15"/>
  <c r="X297" i="15"/>
  <c r="Y297" i="15"/>
  <c r="S297" i="15"/>
  <c r="L297" i="15"/>
  <c r="M297" i="15"/>
  <c r="D297" i="15"/>
  <c r="AD296" i="15"/>
  <c r="AE296" i="15"/>
  <c r="X296" i="15"/>
  <c r="S296" i="15"/>
  <c r="L296" i="15"/>
  <c r="M296" i="15"/>
  <c r="D296" i="15"/>
  <c r="AD295" i="15"/>
  <c r="AE295" i="15"/>
  <c r="X295" i="15"/>
  <c r="Y295" i="15"/>
  <c r="S295" i="15"/>
  <c r="T295" i="15"/>
  <c r="AG295" i="15" s="1"/>
  <c r="AI295" i="15" s="1"/>
  <c r="AJ295" i="15" s="1"/>
  <c r="L295" i="15"/>
  <c r="M295" i="15"/>
  <c r="D295" i="15"/>
  <c r="AD294" i="15"/>
  <c r="AE294" i="15"/>
  <c r="X294" i="15"/>
  <c r="AF294" i="15" s="1"/>
  <c r="AH294" i="15" s="1"/>
  <c r="S294" i="15"/>
  <c r="T294" i="15" s="1"/>
  <c r="L294" i="15"/>
  <c r="M294" i="15"/>
  <c r="D294" i="15"/>
  <c r="AD293" i="15"/>
  <c r="AF293" i="15" s="1"/>
  <c r="AE293" i="15"/>
  <c r="X293" i="15"/>
  <c r="Y293" i="15" s="1"/>
  <c r="S293" i="15"/>
  <c r="L293" i="15"/>
  <c r="M293" i="15"/>
  <c r="D293" i="15"/>
  <c r="AD292" i="15"/>
  <c r="AE292" i="15"/>
  <c r="AG292" i="15" s="1"/>
  <c r="X292" i="15"/>
  <c r="Y292" i="15"/>
  <c r="S292" i="15"/>
  <c r="T292" i="15" s="1"/>
  <c r="L292" i="15"/>
  <c r="AH292" i="15" s="1"/>
  <c r="D292" i="15"/>
  <c r="AD291" i="15"/>
  <c r="AE291" i="15" s="1"/>
  <c r="X291" i="15"/>
  <c r="Y291" i="15"/>
  <c r="S291" i="15"/>
  <c r="T291" i="15" s="1"/>
  <c r="L291" i="15"/>
  <c r="M291" i="15" s="1"/>
  <c r="D291" i="15"/>
  <c r="AD290" i="15"/>
  <c r="AE290" i="15"/>
  <c r="X290" i="15"/>
  <c r="S290" i="15"/>
  <c r="T290" i="15" s="1"/>
  <c r="L290" i="15"/>
  <c r="M290" i="15" s="1"/>
  <c r="D290" i="15"/>
  <c r="AD289" i="15"/>
  <c r="AE289" i="15"/>
  <c r="X289" i="15"/>
  <c r="Y289" i="15"/>
  <c r="S289" i="15"/>
  <c r="AF289" i="15" s="1"/>
  <c r="L289" i="15"/>
  <c r="AH289" i="15" s="1"/>
  <c r="D289" i="15"/>
  <c r="AD288" i="15"/>
  <c r="AE288" i="15" s="1"/>
  <c r="X288" i="15"/>
  <c r="S288" i="15"/>
  <c r="T288" i="15" s="1"/>
  <c r="L288" i="15"/>
  <c r="M288" i="15" s="1"/>
  <c r="D288" i="15"/>
  <c r="AD287" i="15"/>
  <c r="AE287" i="15"/>
  <c r="X287" i="15"/>
  <c r="Y287" i="15" s="1"/>
  <c r="S287" i="15"/>
  <c r="L287" i="15"/>
  <c r="M287" i="15"/>
  <c r="D287" i="15"/>
  <c r="AD286" i="15"/>
  <c r="AE286" i="15" s="1"/>
  <c r="X286" i="15"/>
  <c r="Y286" i="15" s="1"/>
  <c r="S286" i="15"/>
  <c r="L286" i="15"/>
  <c r="M286" i="15" s="1"/>
  <c r="D286" i="15"/>
  <c r="AD285" i="15"/>
  <c r="AE285" i="15" s="1"/>
  <c r="X285" i="15"/>
  <c r="Y285" i="15"/>
  <c r="S285" i="15"/>
  <c r="L285" i="15"/>
  <c r="M285" i="15" s="1"/>
  <c r="D285" i="15"/>
  <c r="AD284" i="15"/>
  <c r="X284" i="15"/>
  <c r="S284" i="15"/>
  <c r="T284" i="15"/>
  <c r="L284" i="15"/>
  <c r="M284" i="15" s="1"/>
  <c r="D284" i="15"/>
  <c r="AD283" i="15"/>
  <c r="AE283" i="15" s="1"/>
  <c r="X283" i="15"/>
  <c r="Y283" i="15"/>
  <c r="S283" i="15"/>
  <c r="T283" i="15" s="1"/>
  <c r="AG283" i="15" s="1"/>
  <c r="L283" i="15"/>
  <c r="M283" i="15"/>
  <c r="AI283" i="15" s="1"/>
  <c r="AJ283" i="15" s="1"/>
  <c r="D283" i="15"/>
  <c r="AD282" i="15"/>
  <c r="AE282" i="15"/>
  <c r="X282" i="15"/>
  <c r="S282" i="15"/>
  <c r="T282" i="15"/>
  <c r="L282" i="15"/>
  <c r="M282" i="15" s="1"/>
  <c r="D282" i="15"/>
  <c r="AD281" i="15"/>
  <c r="AE281" i="15" s="1"/>
  <c r="X281" i="15"/>
  <c r="Y281" i="15"/>
  <c r="S281" i="15"/>
  <c r="L281" i="15"/>
  <c r="M281" i="15" s="1"/>
  <c r="D281" i="15"/>
  <c r="AD280" i="15"/>
  <c r="AE280" i="15" s="1"/>
  <c r="X280" i="15"/>
  <c r="S280" i="15"/>
  <c r="AF280" i="15" s="1"/>
  <c r="T280" i="15"/>
  <c r="AG280" i="15" s="1"/>
  <c r="L280" i="15"/>
  <c r="M280" i="15" s="1"/>
  <c r="D280" i="15"/>
  <c r="AD279" i="15"/>
  <c r="AE279" i="15"/>
  <c r="X279" i="15"/>
  <c r="Y279" i="15"/>
  <c r="S279" i="15"/>
  <c r="T279" i="15"/>
  <c r="L279" i="15"/>
  <c r="M279" i="15" s="1"/>
  <c r="D279" i="15"/>
  <c r="AD278" i="15"/>
  <c r="AE278" i="15" s="1"/>
  <c r="X278" i="15"/>
  <c r="S278" i="15"/>
  <c r="T278" i="15" s="1"/>
  <c r="AG278" i="15" s="1"/>
  <c r="L278" i="15"/>
  <c r="D278" i="15"/>
  <c r="AD277" i="15"/>
  <c r="AE277" i="15"/>
  <c r="X277" i="15"/>
  <c r="Y277" i="15"/>
  <c r="S277" i="15"/>
  <c r="L277" i="15"/>
  <c r="M277" i="15"/>
  <c r="D277" i="15"/>
  <c r="AD276" i="15"/>
  <c r="AE276" i="15"/>
  <c r="X276" i="15"/>
  <c r="Y276" i="15" s="1"/>
  <c r="S276" i="15"/>
  <c r="L276" i="15"/>
  <c r="D276" i="15"/>
  <c r="AD275" i="15"/>
  <c r="AE275" i="15" s="1"/>
  <c r="X275" i="15"/>
  <c r="Y275" i="15" s="1"/>
  <c r="S275" i="15"/>
  <c r="T275" i="15" s="1"/>
  <c r="L275" i="15"/>
  <c r="M275" i="15"/>
  <c r="D275" i="15"/>
  <c r="AD274" i="15"/>
  <c r="AE274" i="15"/>
  <c r="X274" i="15"/>
  <c r="Y274" i="15"/>
  <c r="S274" i="15"/>
  <c r="T274" i="15" s="1"/>
  <c r="AG274" i="15" s="1"/>
  <c r="L274" i="15"/>
  <c r="D274" i="15"/>
  <c r="AD273" i="15"/>
  <c r="AE273" i="15"/>
  <c r="X273" i="15"/>
  <c r="Y273" i="15" s="1"/>
  <c r="S273" i="15"/>
  <c r="L273" i="15"/>
  <c r="M273" i="15" s="1"/>
  <c r="D273" i="15"/>
  <c r="AD272" i="15"/>
  <c r="AE272" i="15"/>
  <c r="X272" i="15"/>
  <c r="AF272" i="15" s="1"/>
  <c r="AH272" i="15" s="1"/>
  <c r="S272" i="15"/>
  <c r="T272" i="15"/>
  <c r="L272" i="15"/>
  <c r="M272" i="15"/>
  <c r="D272" i="15"/>
  <c r="AD271" i="15"/>
  <c r="AE271" i="15" s="1"/>
  <c r="X271" i="15"/>
  <c r="Y271" i="15" s="1"/>
  <c r="S271" i="15"/>
  <c r="AF271" i="15" s="1"/>
  <c r="AH271" i="15" s="1"/>
  <c r="L271" i="15"/>
  <c r="D271" i="15"/>
  <c r="AD270" i="15"/>
  <c r="AE270" i="15"/>
  <c r="X270" i="15"/>
  <c r="Y270" i="15" s="1"/>
  <c r="AG270" i="15" s="1"/>
  <c r="AI270" i="15" s="1"/>
  <c r="S270" i="15"/>
  <c r="T270" i="15"/>
  <c r="L270" i="15"/>
  <c r="M270" i="15"/>
  <c r="D270" i="15"/>
  <c r="AD269" i="15"/>
  <c r="AE269" i="15"/>
  <c r="X269" i="15"/>
  <c r="Y269" i="15"/>
  <c r="S269" i="15"/>
  <c r="AF269" i="15" s="1"/>
  <c r="L269" i="15"/>
  <c r="D269" i="15"/>
  <c r="AD268" i="15"/>
  <c r="X268" i="15"/>
  <c r="Y268" i="15"/>
  <c r="S268" i="15"/>
  <c r="L268" i="15"/>
  <c r="D268" i="15"/>
  <c r="AD267" i="15"/>
  <c r="AE267" i="15"/>
  <c r="X267" i="15"/>
  <c r="Y267" i="15"/>
  <c r="S267" i="15"/>
  <c r="AF267" i="15" s="1"/>
  <c r="L267" i="15"/>
  <c r="M267" i="15"/>
  <c r="D267" i="15"/>
  <c r="AD266" i="15"/>
  <c r="AE266" i="15"/>
  <c r="X266" i="15"/>
  <c r="Y266" i="15"/>
  <c r="S266" i="15"/>
  <c r="T266" i="15" s="1"/>
  <c r="L266" i="15"/>
  <c r="D266" i="15"/>
  <c r="AD265" i="15"/>
  <c r="AE265" i="15" s="1"/>
  <c r="X265" i="15"/>
  <c r="Y265" i="15" s="1"/>
  <c r="S265" i="15"/>
  <c r="L265" i="15"/>
  <c r="M265" i="15" s="1"/>
  <c r="D265" i="15"/>
  <c r="AD264" i="15"/>
  <c r="AE264" i="15" s="1"/>
  <c r="X264" i="15"/>
  <c r="Y264" i="15" s="1"/>
  <c r="AG264" i="15" s="1"/>
  <c r="S264" i="15"/>
  <c r="T264" i="15"/>
  <c r="L264" i="15"/>
  <c r="M264" i="15"/>
  <c r="AI264" i="15" s="1"/>
  <c r="D264" i="15"/>
  <c r="AD263" i="15"/>
  <c r="AE263" i="15" s="1"/>
  <c r="X263" i="15"/>
  <c r="Y263" i="15"/>
  <c r="S263" i="15"/>
  <c r="L263" i="15"/>
  <c r="M263" i="15" s="1"/>
  <c r="D263" i="15"/>
  <c r="AD262" i="15"/>
  <c r="AE262" i="15" s="1"/>
  <c r="X262" i="15"/>
  <c r="Y262" i="15" s="1"/>
  <c r="S262" i="15"/>
  <c r="T262" i="15" s="1"/>
  <c r="L262" i="15"/>
  <c r="M262" i="15" s="1"/>
  <c r="D262" i="15"/>
  <c r="AD261" i="15"/>
  <c r="AE261" i="15" s="1"/>
  <c r="X261" i="15"/>
  <c r="Y261" i="15" s="1"/>
  <c r="S261" i="15"/>
  <c r="L261" i="15"/>
  <c r="D261" i="15"/>
  <c r="AD260" i="15"/>
  <c r="AE260" i="15" s="1"/>
  <c r="X260" i="15"/>
  <c r="Y260" i="15"/>
  <c r="S260" i="15"/>
  <c r="L260" i="15"/>
  <c r="D260" i="15"/>
  <c r="AD259" i="15"/>
  <c r="AE259" i="15" s="1"/>
  <c r="X259" i="15"/>
  <c r="Y259" i="15"/>
  <c r="S259" i="15"/>
  <c r="T259" i="15" s="1"/>
  <c r="AG259" i="15" s="1"/>
  <c r="L259" i="15"/>
  <c r="M259" i="15"/>
  <c r="AI259" i="15" s="1"/>
  <c r="D259" i="15"/>
  <c r="AD258" i="15"/>
  <c r="AE258" i="15" s="1"/>
  <c r="X258" i="15"/>
  <c r="Y258" i="15"/>
  <c r="S258" i="15"/>
  <c r="T258" i="15" s="1"/>
  <c r="L258" i="15"/>
  <c r="D258" i="15"/>
  <c r="AD257" i="15"/>
  <c r="AE257" i="15" s="1"/>
  <c r="X257" i="15"/>
  <c r="Y257" i="15"/>
  <c r="S257" i="15"/>
  <c r="L257" i="15"/>
  <c r="M257" i="15" s="1"/>
  <c r="D257" i="15"/>
  <c r="AD256" i="15"/>
  <c r="AE256" i="15" s="1"/>
  <c r="X256" i="15"/>
  <c r="S256" i="15"/>
  <c r="T256" i="15" s="1"/>
  <c r="L256" i="15"/>
  <c r="D256" i="15"/>
  <c r="AD255" i="15"/>
  <c r="AE255" i="15" s="1"/>
  <c r="X255" i="15"/>
  <c r="Y255" i="15" s="1"/>
  <c r="S255" i="15"/>
  <c r="T255" i="15" s="1"/>
  <c r="AG255" i="15" s="1"/>
  <c r="L255" i="15"/>
  <c r="M255" i="15" s="1"/>
  <c r="D255" i="15"/>
  <c r="AD254" i="15"/>
  <c r="AE254" i="15"/>
  <c r="X254" i="15"/>
  <c r="Y254" i="15" s="1"/>
  <c r="S254" i="15"/>
  <c r="L254" i="15"/>
  <c r="M254" i="15"/>
  <c r="D254" i="15"/>
  <c r="AD253" i="15"/>
  <c r="X253" i="15"/>
  <c r="Y253" i="15"/>
  <c r="S253" i="15"/>
  <c r="L253" i="15"/>
  <c r="M253" i="15" s="1"/>
  <c r="D253" i="15"/>
  <c r="AD252" i="15"/>
  <c r="AE252" i="15"/>
  <c r="X252" i="15"/>
  <c r="S252" i="15"/>
  <c r="T252" i="15" s="1"/>
  <c r="AG252" i="15" s="1"/>
  <c r="AI252" i="15" s="1"/>
  <c r="L252" i="15"/>
  <c r="D252" i="15"/>
  <c r="AD251" i="15"/>
  <c r="AE251" i="15" s="1"/>
  <c r="AG251" i="15" s="1"/>
  <c r="X251" i="15"/>
  <c r="S251" i="15"/>
  <c r="T251" i="15"/>
  <c r="L251" i="15"/>
  <c r="D251" i="15"/>
  <c r="AD250" i="15"/>
  <c r="AE250" i="15" s="1"/>
  <c r="X250" i="15"/>
  <c r="Y250" i="15" s="1"/>
  <c r="S250" i="15"/>
  <c r="L250" i="15"/>
  <c r="M250" i="15"/>
  <c r="D250" i="15"/>
  <c r="AD249" i="15"/>
  <c r="AE249" i="15"/>
  <c r="X249" i="15"/>
  <c r="Y249" i="15"/>
  <c r="S249" i="15"/>
  <c r="AF249" i="15" s="1"/>
  <c r="AH249" i="15" s="1"/>
  <c r="L249" i="15"/>
  <c r="M249" i="15"/>
  <c r="D249" i="15"/>
  <c r="AD248" i="15"/>
  <c r="AE248" i="15"/>
  <c r="X248" i="15"/>
  <c r="S248" i="15"/>
  <c r="T248" i="15"/>
  <c r="L248" i="15"/>
  <c r="D248" i="15"/>
  <c r="AD247" i="15"/>
  <c r="AE247" i="15"/>
  <c r="X247" i="15"/>
  <c r="Y247" i="15"/>
  <c r="S247" i="15"/>
  <c r="T247" i="15" s="1"/>
  <c r="L247" i="15"/>
  <c r="M247" i="15" s="1"/>
  <c r="D247" i="15"/>
  <c r="AD246" i="15"/>
  <c r="X246" i="15"/>
  <c r="Y246" i="15"/>
  <c r="S246" i="15"/>
  <c r="L246" i="15"/>
  <c r="M246" i="15" s="1"/>
  <c r="D246" i="15"/>
  <c r="AD245" i="15"/>
  <c r="AE245" i="15" s="1"/>
  <c r="X245" i="15"/>
  <c r="Y245" i="15" s="1"/>
  <c r="S245" i="15"/>
  <c r="L245" i="15"/>
  <c r="M245" i="15"/>
  <c r="D245" i="15"/>
  <c r="AD244" i="15"/>
  <c r="AE244" i="15" s="1"/>
  <c r="X244" i="15"/>
  <c r="S244" i="15"/>
  <c r="T244" i="15" s="1"/>
  <c r="L244" i="15"/>
  <c r="D244" i="15"/>
  <c r="AD243" i="15"/>
  <c r="AE243" i="15" s="1"/>
  <c r="X243" i="15"/>
  <c r="S243" i="15"/>
  <c r="T243" i="15" s="1"/>
  <c r="L243" i="15"/>
  <c r="M243" i="15" s="1"/>
  <c r="D243" i="15"/>
  <c r="AD242" i="15"/>
  <c r="AE242" i="15"/>
  <c r="X242" i="15"/>
  <c r="Y242" i="15"/>
  <c r="S242" i="15"/>
  <c r="L242" i="15"/>
  <c r="M242" i="15"/>
  <c r="D242" i="15"/>
  <c r="AD241" i="15"/>
  <c r="AE241" i="15" s="1"/>
  <c r="X241" i="15"/>
  <c r="Y241" i="15"/>
  <c r="S241" i="15"/>
  <c r="L241" i="15"/>
  <c r="M241" i="15" s="1"/>
  <c r="D241" i="15"/>
  <c r="AD240" i="15"/>
  <c r="AE240" i="15"/>
  <c r="X240" i="15"/>
  <c r="S240" i="15"/>
  <c r="T240" i="15" s="1"/>
  <c r="L240" i="15"/>
  <c r="D240" i="15"/>
  <c r="AD239" i="15"/>
  <c r="AE239" i="15" s="1"/>
  <c r="X239" i="15"/>
  <c r="S239" i="15"/>
  <c r="T239" i="15" s="1"/>
  <c r="AG239" i="15" s="1"/>
  <c r="AI239" i="15" s="1"/>
  <c r="L239" i="15"/>
  <c r="M239" i="15" s="1"/>
  <c r="D239" i="15"/>
  <c r="AD238" i="15"/>
  <c r="AE238" i="15"/>
  <c r="X238" i="15"/>
  <c r="Y238" i="15"/>
  <c r="S238" i="15"/>
  <c r="L238" i="15"/>
  <c r="M238" i="15"/>
  <c r="D238" i="15"/>
  <c r="AD237" i="15"/>
  <c r="AE237" i="15" s="1"/>
  <c r="X237" i="15"/>
  <c r="Y237" i="15" s="1"/>
  <c r="S237" i="15"/>
  <c r="L237" i="15"/>
  <c r="M237" i="15"/>
  <c r="D237" i="15"/>
  <c r="AD236" i="15"/>
  <c r="X236" i="15"/>
  <c r="S236" i="15"/>
  <c r="T236" i="15" s="1"/>
  <c r="L236" i="15"/>
  <c r="D236" i="15"/>
  <c r="AD235" i="15"/>
  <c r="AE235" i="15" s="1"/>
  <c r="X235" i="15"/>
  <c r="Y235" i="15"/>
  <c r="S235" i="15"/>
  <c r="T235" i="15" s="1"/>
  <c r="L235" i="15"/>
  <c r="M235" i="15"/>
  <c r="D235" i="15"/>
  <c r="AD234" i="15"/>
  <c r="AE234" i="15" s="1"/>
  <c r="X234" i="15"/>
  <c r="Y234" i="15"/>
  <c r="S234" i="15"/>
  <c r="L234" i="15"/>
  <c r="M234" i="15" s="1"/>
  <c r="D234" i="15"/>
  <c r="AD233" i="15"/>
  <c r="AE233" i="15" s="1"/>
  <c r="X233" i="15"/>
  <c r="Y233" i="15" s="1"/>
  <c r="S233" i="15"/>
  <c r="L233" i="15"/>
  <c r="M233" i="15"/>
  <c r="D233" i="15"/>
  <c r="AD232" i="15"/>
  <c r="AE232" i="15" s="1"/>
  <c r="X232" i="15"/>
  <c r="S232" i="15"/>
  <c r="T232" i="15"/>
  <c r="L232" i="15"/>
  <c r="D232" i="15"/>
  <c r="AD231" i="15"/>
  <c r="AE231" i="15"/>
  <c r="X231" i="15"/>
  <c r="Y231" i="15" s="1"/>
  <c r="S231" i="15"/>
  <c r="AF231" i="15" s="1"/>
  <c r="T231" i="15"/>
  <c r="L231" i="15"/>
  <c r="M231" i="15" s="1"/>
  <c r="D231" i="15"/>
  <c r="AD230" i="15"/>
  <c r="AE230" i="15" s="1"/>
  <c r="X230" i="15"/>
  <c r="Y230" i="15"/>
  <c r="S230" i="15"/>
  <c r="L230" i="15"/>
  <c r="M230" i="15" s="1"/>
  <c r="AI230" i="15" s="1"/>
  <c r="D230" i="15"/>
  <c r="AD229" i="15"/>
  <c r="AE229" i="15"/>
  <c r="X229" i="15"/>
  <c r="Y229" i="15" s="1"/>
  <c r="AG229" i="15" s="1"/>
  <c r="AI229" i="15" s="1"/>
  <c r="S229" i="15"/>
  <c r="L229" i="15"/>
  <c r="M229" i="15"/>
  <c r="D229" i="15"/>
  <c r="AD228" i="15"/>
  <c r="AE228" i="15"/>
  <c r="AG228" i="15" s="1"/>
  <c r="AI228" i="15" s="1"/>
  <c r="X228" i="15"/>
  <c r="S228" i="15"/>
  <c r="T228" i="15" s="1"/>
  <c r="L228" i="15"/>
  <c r="D228" i="15"/>
  <c r="AD227" i="15"/>
  <c r="AE227" i="15" s="1"/>
  <c r="X227" i="15"/>
  <c r="Y227" i="15" s="1"/>
  <c r="S227" i="15"/>
  <c r="T227" i="15"/>
  <c r="AG227" i="15" s="1"/>
  <c r="AI227" i="15" s="1"/>
  <c r="L227" i="15"/>
  <c r="M227" i="15" s="1"/>
  <c r="D227" i="15"/>
  <c r="AD226" i="15"/>
  <c r="AE226" i="15"/>
  <c r="X226" i="15"/>
  <c r="Y226" i="15" s="1"/>
  <c r="S226" i="15"/>
  <c r="L226" i="15"/>
  <c r="M226" i="15"/>
  <c r="D226" i="15"/>
  <c r="AD225" i="15"/>
  <c r="AE225" i="15" s="1"/>
  <c r="X225" i="15"/>
  <c r="Y225" i="15"/>
  <c r="S225" i="15"/>
  <c r="L225" i="15"/>
  <c r="M225" i="15" s="1"/>
  <c r="D225" i="15"/>
  <c r="AD224" i="15"/>
  <c r="AE224" i="15" s="1"/>
  <c r="X224" i="15"/>
  <c r="S224" i="15"/>
  <c r="T224" i="15" s="1"/>
  <c r="L224" i="15"/>
  <c r="D224" i="15"/>
  <c r="AD223" i="15"/>
  <c r="AE223" i="15" s="1"/>
  <c r="X223" i="15"/>
  <c r="S223" i="15"/>
  <c r="AF223" i="15" s="1"/>
  <c r="T223" i="15"/>
  <c r="AG223" i="15" s="1"/>
  <c r="L223" i="15"/>
  <c r="D223" i="15"/>
  <c r="AD222" i="15"/>
  <c r="AE222" i="15" s="1"/>
  <c r="X222" i="15"/>
  <c r="Y222" i="15" s="1"/>
  <c r="S222" i="15"/>
  <c r="L222" i="15"/>
  <c r="M222" i="15"/>
  <c r="D222" i="15"/>
  <c r="AD221" i="15"/>
  <c r="X221" i="15"/>
  <c r="Y221" i="15" s="1"/>
  <c r="S221" i="15"/>
  <c r="L221" i="15"/>
  <c r="D221" i="15"/>
  <c r="AD220" i="15"/>
  <c r="AE220" i="15" s="1"/>
  <c r="X220" i="15"/>
  <c r="S220" i="15"/>
  <c r="T220" i="15"/>
  <c r="L220" i="15"/>
  <c r="M220" i="15" s="1"/>
  <c r="D220" i="15"/>
  <c r="AD219" i="15"/>
  <c r="AE219" i="15"/>
  <c r="X219" i="15"/>
  <c r="Y219" i="15"/>
  <c r="S219" i="15"/>
  <c r="AF219" i="15" s="1"/>
  <c r="L219" i="15"/>
  <c r="M219" i="15"/>
  <c r="D219" i="15"/>
  <c r="AD218" i="15"/>
  <c r="AE218" i="15" s="1"/>
  <c r="X218" i="15"/>
  <c r="Y218" i="15"/>
  <c r="S218" i="15"/>
  <c r="AF218" i="15" s="1"/>
  <c r="L218" i="15"/>
  <c r="M218" i="15" s="1"/>
  <c r="D218" i="15"/>
  <c r="AD217" i="15"/>
  <c r="AE217" i="15"/>
  <c r="X217" i="15"/>
  <c r="Y217" i="15" s="1"/>
  <c r="AG217" i="15" s="1"/>
  <c r="AI217" i="15" s="1"/>
  <c r="S217" i="15"/>
  <c r="L217" i="15"/>
  <c r="AH217" i="15" s="1"/>
  <c r="D217" i="15"/>
  <c r="AD216" i="15"/>
  <c r="AE216" i="15" s="1"/>
  <c r="X216" i="15"/>
  <c r="Y216" i="15"/>
  <c r="S216" i="15"/>
  <c r="L216" i="15"/>
  <c r="M216" i="15" s="1"/>
  <c r="D216" i="15"/>
  <c r="AD215" i="15"/>
  <c r="AE215" i="15"/>
  <c r="X215" i="15"/>
  <c r="Y215" i="15" s="1"/>
  <c r="S215" i="15"/>
  <c r="L215" i="15"/>
  <c r="M215" i="15" s="1"/>
  <c r="D215" i="15"/>
  <c r="AD214" i="15"/>
  <c r="AE214" i="15"/>
  <c r="X214" i="15"/>
  <c r="Y214" i="15"/>
  <c r="S214" i="15"/>
  <c r="L214" i="15"/>
  <c r="M214" i="15"/>
  <c r="D214" i="15"/>
  <c r="AD213" i="15"/>
  <c r="AE213" i="15" s="1"/>
  <c r="X213" i="15"/>
  <c r="Y213" i="15" s="1"/>
  <c r="S213" i="15"/>
  <c r="L213" i="15"/>
  <c r="D213" i="15"/>
  <c r="AD212" i="15"/>
  <c r="AE212" i="15" s="1"/>
  <c r="X212" i="15"/>
  <c r="Y212" i="15" s="1"/>
  <c r="S212" i="15"/>
  <c r="L212" i="15"/>
  <c r="D212" i="15"/>
  <c r="AD211" i="15"/>
  <c r="AE211" i="15" s="1"/>
  <c r="X211" i="15"/>
  <c r="Y211" i="15" s="1"/>
  <c r="S211" i="15"/>
  <c r="L211" i="15"/>
  <c r="D211" i="15"/>
  <c r="AD210" i="15"/>
  <c r="AE210" i="15" s="1"/>
  <c r="X210" i="15"/>
  <c r="Y210" i="15" s="1"/>
  <c r="S210" i="15"/>
  <c r="L210" i="15"/>
  <c r="M210" i="15"/>
  <c r="D210" i="15"/>
  <c r="AD209" i="15"/>
  <c r="AE209" i="15" s="1"/>
  <c r="X209" i="15"/>
  <c r="Y209" i="15"/>
  <c r="S209" i="15"/>
  <c r="L209" i="15"/>
  <c r="D209" i="15"/>
  <c r="AD208" i="15"/>
  <c r="AE208" i="15" s="1"/>
  <c r="X208" i="15"/>
  <c r="S208" i="15"/>
  <c r="T208" i="15" s="1"/>
  <c r="L208" i="15"/>
  <c r="D208" i="15"/>
  <c r="AD207" i="15"/>
  <c r="AE207" i="15" s="1"/>
  <c r="X207" i="15"/>
  <c r="Y207" i="15" s="1"/>
  <c r="S207" i="15"/>
  <c r="L207" i="15"/>
  <c r="M207" i="15" s="1"/>
  <c r="D207" i="15"/>
  <c r="AD206" i="15"/>
  <c r="AE206" i="15" s="1"/>
  <c r="X206" i="15"/>
  <c r="Y206" i="15"/>
  <c r="S206" i="15"/>
  <c r="AF206" i="15" s="1"/>
  <c r="L206" i="15"/>
  <c r="M206" i="15"/>
  <c r="D206" i="15"/>
  <c r="AD205" i="15"/>
  <c r="AE205" i="15" s="1"/>
  <c r="X205" i="15"/>
  <c r="Y205" i="15" s="1"/>
  <c r="S205" i="15"/>
  <c r="T205" i="15" s="1"/>
  <c r="L205" i="15"/>
  <c r="D205" i="15"/>
  <c r="AD204" i="15"/>
  <c r="AE204" i="15" s="1"/>
  <c r="X204" i="15"/>
  <c r="Y204" i="15" s="1"/>
  <c r="S204" i="15"/>
  <c r="T204" i="15"/>
  <c r="L204" i="15"/>
  <c r="M204" i="15" s="1"/>
  <c r="D204" i="15"/>
  <c r="AD203" i="15"/>
  <c r="AE203" i="15"/>
  <c r="X203" i="15"/>
  <c r="Y203" i="15" s="1"/>
  <c r="S203" i="15"/>
  <c r="L203" i="15"/>
  <c r="M203" i="15"/>
  <c r="D203" i="15"/>
  <c r="AD202" i="15"/>
  <c r="AE202" i="15" s="1"/>
  <c r="X202" i="15"/>
  <c r="S202" i="15"/>
  <c r="T202" i="15" s="1"/>
  <c r="L202" i="15"/>
  <c r="M202" i="15" s="1"/>
  <c r="D202" i="15"/>
  <c r="AD201" i="15"/>
  <c r="AE201" i="15" s="1"/>
  <c r="X201" i="15"/>
  <c r="Y201" i="15"/>
  <c r="AG201" i="15" s="1"/>
  <c r="S201" i="15"/>
  <c r="T201" i="15"/>
  <c r="L201" i="15"/>
  <c r="D201" i="15"/>
  <c r="AD200" i="15"/>
  <c r="AE200" i="15"/>
  <c r="X200" i="15"/>
  <c r="S200" i="15"/>
  <c r="T200" i="15" s="1"/>
  <c r="L200" i="15"/>
  <c r="M200" i="15"/>
  <c r="D200" i="15"/>
  <c r="AD199" i="15"/>
  <c r="AE199" i="15" s="1"/>
  <c r="X199" i="15"/>
  <c r="Y199" i="15"/>
  <c r="S199" i="15"/>
  <c r="L199" i="15"/>
  <c r="M199" i="15" s="1"/>
  <c r="D199" i="15"/>
  <c r="AD198" i="15"/>
  <c r="AE198" i="15"/>
  <c r="X198" i="15"/>
  <c r="S198" i="15"/>
  <c r="T198" i="15"/>
  <c r="L198" i="15"/>
  <c r="M198" i="15"/>
  <c r="D198" i="15"/>
  <c r="AD197" i="15"/>
  <c r="AE197" i="15" s="1"/>
  <c r="X197" i="15"/>
  <c r="Y197" i="15" s="1"/>
  <c r="S197" i="15"/>
  <c r="T197" i="15" s="1"/>
  <c r="L197" i="15"/>
  <c r="D197" i="15"/>
  <c r="AD196" i="15"/>
  <c r="X196" i="15"/>
  <c r="Y196" i="15"/>
  <c r="S196" i="15"/>
  <c r="T196" i="15" s="1"/>
  <c r="L196" i="15"/>
  <c r="M196" i="15"/>
  <c r="D196" i="15"/>
  <c r="AD195" i="15"/>
  <c r="AE195" i="15" s="1"/>
  <c r="X195" i="15"/>
  <c r="S195" i="15"/>
  <c r="L195" i="15"/>
  <c r="D195" i="15"/>
  <c r="AD194" i="15"/>
  <c r="AE194" i="15" s="1"/>
  <c r="X194" i="15"/>
  <c r="Y194" i="15" s="1"/>
  <c r="S194" i="15"/>
  <c r="L194" i="15"/>
  <c r="D194" i="15"/>
  <c r="AD193" i="15"/>
  <c r="X193" i="15"/>
  <c r="Y193" i="15" s="1"/>
  <c r="S193" i="15"/>
  <c r="T193" i="15"/>
  <c r="L193" i="15"/>
  <c r="M193" i="15" s="1"/>
  <c r="D193" i="15"/>
  <c r="AD192" i="15"/>
  <c r="AE192" i="15"/>
  <c r="X192" i="15"/>
  <c r="Y192" i="15" s="1"/>
  <c r="S192" i="15"/>
  <c r="L192" i="15"/>
  <c r="D192" i="15"/>
  <c r="AD191" i="15"/>
  <c r="AE191" i="15" s="1"/>
  <c r="X191" i="15"/>
  <c r="Y191" i="15"/>
  <c r="S191" i="15"/>
  <c r="L191" i="15"/>
  <c r="M191" i="15" s="1"/>
  <c r="D191" i="15"/>
  <c r="AD190" i="15"/>
  <c r="AE190" i="15"/>
  <c r="X190" i="15"/>
  <c r="Y190" i="15" s="1"/>
  <c r="AG190" i="15" s="1"/>
  <c r="S190" i="15"/>
  <c r="L190" i="15"/>
  <c r="D190" i="15"/>
  <c r="AD189" i="15"/>
  <c r="AE189" i="15" s="1"/>
  <c r="X189" i="15"/>
  <c r="S189" i="15"/>
  <c r="T189" i="15"/>
  <c r="L189" i="15"/>
  <c r="M189" i="15" s="1"/>
  <c r="D189" i="15"/>
  <c r="AD188" i="15"/>
  <c r="AE188" i="15"/>
  <c r="X188" i="15"/>
  <c r="Y188" i="15" s="1"/>
  <c r="S188" i="15"/>
  <c r="AF188" i="15" s="1"/>
  <c r="L188" i="15"/>
  <c r="D188" i="15"/>
  <c r="AD187" i="15"/>
  <c r="AE187" i="15"/>
  <c r="X187" i="15"/>
  <c r="Y187" i="15" s="1"/>
  <c r="S187" i="15"/>
  <c r="L187" i="15"/>
  <c r="M187" i="15" s="1"/>
  <c r="D187" i="15"/>
  <c r="AD186" i="15"/>
  <c r="AE186" i="15" s="1"/>
  <c r="AG186" i="15" s="1"/>
  <c r="AI186" i="15" s="1"/>
  <c r="X186" i="15"/>
  <c r="Y186" i="15"/>
  <c r="S186" i="15"/>
  <c r="T186" i="15" s="1"/>
  <c r="L186" i="15"/>
  <c r="D186" i="15"/>
  <c r="AD185" i="15"/>
  <c r="AE185" i="15"/>
  <c r="X185" i="15"/>
  <c r="Y185" i="15" s="1"/>
  <c r="S185" i="15"/>
  <c r="T185" i="15" s="1"/>
  <c r="AG185" i="15" s="1"/>
  <c r="AI185" i="15" s="1"/>
  <c r="L185" i="15"/>
  <c r="M185" i="15" s="1"/>
  <c r="D185" i="15"/>
  <c r="AD184" i="15"/>
  <c r="AE184" i="15" s="1"/>
  <c r="X184" i="15"/>
  <c r="Y184" i="15"/>
  <c r="S184" i="15"/>
  <c r="L184" i="15"/>
  <c r="D184" i="15"/>
  <c r="AD183" i="15"/>
  <c r="AE183" i="15"/>
  <c r="X183" i="15"/>
  <c r="Y183" i="15" s="1"/>
  <c r="S183" i="15"/>
  <c r="L183" i="15"/>
  <c r="M183" i="15"/>
  <c r="D183" i="15"/>
  <c r="AD182" i="15"/>
  <c r="AF182" i="15" s="1"/>
  <c r="AE182" i="15"/>
  <c r="AG182" i="15" s="1"/>
  <c r="X182" i="15"/>
  <c r="Y182" i="15"/>
  <c r="S182" i="15"/>
  <c r="L182" i="15"/>
  <c r="D182" i="15"/>
  <c r="AD181" i="15"/>
  <c r="AE181" i="15"/>
  <c r="X181" i="15"/>
  <c r="S181" i="15"/>
  <c r="T181" i="15" s="1"/>
  <c r="L181" i="15"/>
  <c r="M181" i="15"/>
  <c r="D181" i="15"/>
  <c r="AD180" i="15"/>
  <c r="AE180" i="15"/>
  <c r="X180" i="15"/>
  <c r="Y180" i="15" s="1"/>
  <c r="S180" i="15"/>
  <c r="L180" i="15"/>
  <c r="M180" i="15" s="1"/>
  <c r="D180" i="15"/>
  <c r="AD179" i="15"/>
  <c r="AE179" i="15" s="1"/>
  <c r="X179" i="15"/>
  <c r="Y179" i="15" s="1"/>
  <c r="S179" i="15"/>
  <c r="T179" i="15" s="1"/>
  <c r="L179" i="15"/>
  <c r="M179" i="15" s="1"/>
  <c r="D179" i="15"/>
  <c r="AD178" i="15"/>
  <c r="X178" i="15"/>
  <c r="Y178" i="15"/>
  <c r="S178" i="15"/>
  <c r="T178" i="15"/>
  <c r="L178" i="15"/>
  <c r="D178" i="15"/>
  <c r="AD177" i="15"/>
  <c r="X177" i="15"/>
  <c r="S177" i="15"/>
  <c r="T177" i="15"/>
  <c r="L177" i="15"/>
  <c r="D177" i="15"/>
  <c r="AD176" i="15"/>
  <c r="AE176" i="15"/>
  <c r="X176" i="15"/>
  <c r="Y176" i="15" s="1"/>
  <c r="S176" i="15"/>
  <c r="L176" i="15"/>
  <c r="M176" i="15"/>
  <c r="D176" i="15"/>
  <c r="AD175" i="15"/>
  <c r="AE175" i="15" s="1"/>
  <c r="X175" i="15"/>
  <c r="S175" i="15"/>
  <c r="T175" i="15"/>
  <c r="L175" i="15"/>
  <c r="D175" i="15"/>
  <c r="AD174" i="15"/>
  <c r="AE174" i="15" s="1"/>
  <c r="X174" i="15"/>
  <c r="S174" i="15"/>
  <c r="T174" i="15"/>
  <c r="L174" i="15"/>
  <c r="D174" i="15"/>
  <c r="AD173" i="15"/>
  <c r="AE173" i="15" s="1"/>
  <c r="X173" i="15"/>
  <c r="S173" i="15"/>
  <c r="L173" i="15"/>
  <c r="D173" i="15"/>
  <c r="AD172" i="15"/>
  <c r="AE172" i="15"/>
  <c r="X172" i="15"/>
  <c r="Y172" i="15"/>
  <c r="S172" i="15"/>
  <c r="L172" i="15"/>
  <c r="M172" i="15"/>
  <c r="D172" i="15"/>
  <c r="AD171" i="15"/>
  <c r="AE171" i="15" s="1"/>
  <c r="X171" i="15"/>
  <c r="Y171" i="15" s="1"/>
  <c r="S171" i="15"/>
  <c r="T171" i="15"/>
  <c r="AG171" i="15" s="1"/>
  <c r="L171" i="15"/>
  <c r="D171" i="15"/>
  <c r="AD170" i="15"/>
  <c r="AE170" i="15"/>
  <c r="X170" i="15"/>
  <c r="S170" i="15"/>
  <c r="T170" i="15" s="1"/>
  <c r="AG170" i="15" s="1"/>
  <c r="AI170" i="15" s="1"/>
  <c r="L170" i="15"/>
  <c r="D170" i="15"/>
  <c r="AD169" i="15"/>
  <c r="AE169" i="15"/>
  <c r="X169" i="15"/>
  <c r="Y169" i="15" s="1"/>
  <c r="S169" i="15"/>
  <c r="T169" i="15" s="1"/>
  <c r="AG169" i="15" s="1"/>
  <c r="L169" i="15"/>
  <c r="AH169" i="15" s="1"/>
  <c r="D169" i="15"/>
  <c r="AD168" i="15"/>
  <c r="AE168" i="15" s="1"/>
  <c r="X168" i="15"/>
  <c r="Y168" i="15"/>
  <c r="AG168" i="15" s="1"/>
  <c r="AI168" i="15" s="1"/>
  <c r="S168" i="15"/>
  <c r="L168" i="15"/>
  <c r="M168" i="15" s="1"/>
  <c r="D168" i="15"/>
  <c r="AD167" i="15"/>
  <c r="AE167" i="15" s="1"/>
  <c r="AG167" i="15" s="1"/>
  <c r="AI167" i="15" s="1"/>
  <c r="X167" i="15"/>
  <c r="Y167" i="15" s="1"/>
  <c r="S167" i="15"/>
  <c r="T167" i="15"/>
  <c r="L167" i="15"/>
  <c r="M167" i="15" s="1"/>
  <c r="D167" i="15"/>
  <c r="AD166" i="15"/>
  <c r="AE166" i="15"/>
  <c r="X166" i="15"/>
  <c r="Y166" i="15" s="1"/>
  <c r="S166" i="15"/>
  <c r="T166" i="15"/>
  <c r="L166" i="15"/>
  <c r="D166" i="15"/>
  <c r="AD165" i="15"/>
  <c r="AE165" i="15"/>
  <c r="X165" i="15"/>
  <c r="Y165" i="15" s="1"/>
  <c r="S165" i="15"/>
  <c r="L165" i="15"/>
  <c r="D165" i="15"/>
  <c r="AD164" i="15"/>
  <c r="AE164" i="15" s="1"/>
  <c r="X164" i="15"/>
  <c r="Y164" i="15"/>
  <c r="S164" i="15"/>
  <c r="L164" i="15"/>
  <c r="M164" i="15" s="1"/>
  <c r="D164" i="15"/>
  <c r="AD163" i="15"/>
  <c r="AE163" i="15" s="1"/>
  <c r="X163" i="15"/>
  <c r="Y163" i="15"/>
  <c r="S163" i="15"/>
  <c r="T163" i="15" s="1"/>
  <c r="AG163" i="15" s="1"/>
  <c r="AI163" i="15" s="1"/>
  <c r="L163" i="15"/>
  <c r="M163" i="15"/>
  <c r="D163" i="15"/>
  <c r="AD162" i="15"/>
  <c r="AE162" i="15" s="1"/>
  <c r="X162" i="15"/>
  <c r="S162" i="15"/>
  <c r="L162" i="15"/>
  <c r="D162" i="15"/>
  <c r="AD161" i="15"/>
  <c r="AE161" i="15" s="1"/>
  <c r="X161" i="15"/>
  <c r="S161" i="15"/>
  <c r="AF161" i="15" s="1"/>
  <c r="AH161" i="15" s="1"/>
  <c r="L161" i="15"/>
  <c r="M161" i="15" s="1"/>
  <c r="D161" i="15"/>
  <c r="AD160" i="15"/>
  <c r="AE160" i="15"/>
  <c r="X160" i="15"/>
  <c r="Y160" i="15"/>
  <c r="S160" i="15"/>
  <c r="L160" i="15"/>
  <c r="M160" i="15"/>
  <c r="D160" i="15"/>
  <c r="AD159" i="15"/>
  <c r="AE159" i="15" s="1"/>
  <c r="X159" i="15"/>
  <c r="Y159" i="15" s="1"/>
  <c r="S159" i="15"/>
  <c r="T159" i="15" s="1"/>
  <c r="AG159" i="15" s="1"/>
  <c r="L159" i="15"/>
  <c r="M159" i="15" s="1"/>
  <c r="D159" i="15"/>
  <c r="AD158" i="15"/>
  <c r="AE158" i="15" s="1"/>
  <c r="X158" i="15"/>
  <c r="S158" i="15"/>
  <c r="AF158" i="15" s="1"/>
  <c r="T158" i="15"/>
  <c r="AG158" i="15" s="1"/>
  <c r="L158" i="15"/>
  <c r="D158" i="15"/>
  <c r="AD157" i="15"/>
  <c r="AE157" i="15"/>
  <c r="X157" i="15"/>
  <c r="S157" i="15"/>
  <c r="T157" i="15"/>
  <c r="L157" i="15"/>
  <c r="D157" i="15"/>
  <c r="AD156" i="15"/>
  <c r="AE156" i="15" s="1"/>
  <c r="X156" i="15"/>
  <c r="Y156" i="15" s="1"/>
  <c r="S156" i="15"/>
  <c r="L156" i="15"/>
  <c r="M156" i="15"/>
  <c r="D156" i="15"/>
  <c r="AD155" i="15"/>
  <c r="AE155" i="15" s="1"/>
  <c r="X155" i="15"/>
  <c r="Y155" i="15"/>
  <c r="S155" i="15"/>
  <c r="AF155" i="15" s="1"/>
  <c r="T155" i="15"/>
  <c r="AG155" i="15" s="1"/>
  <c r="L155" i="15"/>
  <c r="M155" i="15" s="1"/>
  <c r="D155" i="15"/>
  <c r="AD154" i="15"/>
  <c r="AE154" i="15" s="1"/>
  <c r="X154" i="15"/>
  <c r="S154" i="15"/>
  <c r="T154" i="15" s="1"/>
  <c r="AG154" i="15" s="1"/>
  <c r="L154" i="15"/>
  <c r="D154" i="15"/>
  <c r="AD153" i="15"/>
  <c r="AE153" i="15"/>
  <c r="X153" i="15"/>
  <c r="Y153" i="15"/>
  <c r="S153" i="15"/>
  <c r="L153" i="15"/>
  <c r="D153" i="15"/>
  <c r="AD152" i="15"/>
  <c r="AE152" i="15" s="1"/>
  <c r="X152" i="15"/>
  <c r="Y152" i="15" s="1"/>
  <c r="S152" i="15"/>
  <c r="L152" i="15"/>
  <c r="M152" i="15" s="1"/>
  <c r="D152" i="15"/>
  <c r="AD151" i="15"/>
  <c r="AE151" i="15"/>
  <c r="X151" i="15"/>
  <c r="Y151" i="15" s="1"/>
  <c r="S151" i="15"/>
  <c r="T151" i="15"/>
  <c r="AG151" i="15" s="1"/>
  <c r="L151" i="15"/>
  <c r="M151" i="15"/>
  <c r="AI151" i="15" s="1"/>
  <c r="D151" i="15"/>
  <c r="AD150" i="15"/>
  <c r="AE150" i="15" s="1"/>
  <c r="X150" i="15"/>
  <c r="Y150" i="15" s="1"/>
  <c r="S150" i="15"/>
  <c r="T150" i="15" s="1"/>
  <c r="L150" i="15"/>
  <c r="D150" i="15"/>
  <c r="AD149" i="15"/>
  <c r="AE149" i="15"/>
  <c r="X149" i="15"/>
  <c r="S149" i="15"/>
  <c r="L149" i="15"/>
  <c r="D149" i="15"/>
  <c r="AD148" i="15"/>
  <c r="AE148" i="15" s="1"/>
  <c r="X148" i="15"/>
  <c r="Y148" i="15" s="1"/>
  <c r="S148" i="15"/>
  <c r="L148" i="15"/>
  <c r="M148" i="15"/>
  <c r="D148" i="15"/>
  <c r="AD147" i="15"/>
  <c r="AE147" i="15"/>
  <c r="X147" i="15"/>
  <c r="S147" i="15"/>
  <c r="T147" i="15" s="1"/>
  <c r="L147" i="15"/>
  <c r="D147" i="15"/>
  <c r="AD146" i="15"/>
  <c r="AE146" i="15"/>
  <c r="X146" i="15"/>
  <c r="S146" i="15"/>
  <c r="T146" i="15" s="1"/>
  <c r="L146" i="15"/>
  <c r="D146" i="15"/>
  <c r="AD145" i="15"/>
  <c r="AE145" i="15" s="1"/>
  <c r="X145" i="15"/>
  <c r="Y145" i="15"/>
  <c r="S145" i="15"/>
  <c r="L145" i="15"/>
  <c r="M145" i="15" s="1"/>
  <c r="D145" i="15"/>
  <c r="AD144" i="15"/>
  <c r="AE144" i="15" s="1"/>
  <c r="X144" i="15"/>
  <c r="Y144" i="15"/>
  <c r="S144" i="15"/>
  <c r="L144" i="15"/>
  <c r="M144" i="15"/>
  <c r="D144" i="15"/>
  <c r="AD143" i="15"/>
  <c r="AE143" i="15" s="1"/>
  <c r="AG143" i="15" s="1"/>
  <c r="X143" i="15"/>
  <c r="Y143" i="15"/>
  <c r="S143" i="15"/>
  <c r="T143" i="15"/>
  <c r="L143" i="15"/>
  <c r="D143" i="15"/>
  <c r="AD142" i="15"/>
  <c r="AE142" i="15" s="1"/>
  <c r="X142" i="15"/>
  <c r="S142" i="15"/>
  <c r="T142" i="15"/>
  <c r="L142" i="15"/>
  <c r="D142" i="15"/>
  <c r="AD141" i="15"/>
  <c r="AE141" i="15" s="1"/>
  <c r="X141" i="15"/>
  <c r="S141" i="15"/>
  <c r="T141" i="15" s="1"/>
  <c r="AG141" i="15" s="1"/>
  <c r="L141" i="15"/>
  <c r="D141" i="15"/>
  <c r="AD140" i="15"/>
  <c r="AE140" i="15" s="1"/>
  <c r="X140" i="15"/>
  <c r="Y140" i="15"/>
  <c r="S140" i="15"/>
  <c r="L140" i="15"/>
  <c r="M140" i="15" s="1"/>
  <c r="D140" i="15"/>
  <c r="AD139" i="15"/>
  <c r="AE139" i="15"/>
  <c r="X139" i="15"/>
  <c r="Y139" i="15" s="1"/>
  <c r="S139" i="15"/>
  <c r="T139" i="15" s="1"/>
  <c r="L139" i="15"/>
  <c r="M139" i="15"/>
  <c r="D139" i="15"/>
  <c r="AD138" i="15"/>
  <c r="AE138" i="15" s="1"/>
  <c r="X138" i="15"/>
  <c r="S138" i="15"/>
  <c r="T138" i="15"/>
  <c r="L138" i="15"/>
  <c r="D138" i="15"/>
  <c r="AD137" i="15"/>
  <c r="AE137" i="15"/>
  <c r="X137" i="15"/>
  <c r="S137" i="15"/>
  <c r="T137" i="15" s="1"/>
  <c r="L137" i="15"/>
  <c r="D137" i="15"/>
  <c r="AD136" i="15"/>
  <c r="AE136" i="15"/>
  <c r="X136" i="15"/>
  <c r="Y136" i="15" s="1"/>
  <c r="S136" i="15"/>
  <c r="L136" i="15"/>
  <c r="M136" i="15" s="1"/>
  <c r="D136" i="15"/>
  <c r="AD135" i="15"/>
  <c r="AE135" i="15" s="1"/>
  <c r="X135" i="15"/>
  <c r="Y135" i="15" s="1"/>
  <c r="S135" i="15"/>
  <c r="T135" i="15" s="1"/>
  <c r="AG135" i="15" s="1"/>
  <c r="AI135" i="15" s="1"/>
  <c r="L135" i="15"/>
  <c r="M135" i="15"/>
  <c r="D135" i="15"/>
  <c r="AD134" i="15"/>
  <c r="AE134" i="15"/>
  <c r="X134" i="15"/>
  <c r="S134" i="15"/>
  <c r="T134" i="15"/>
  <c r="L134" i="15"/>
  <c r="D134" i="15"/>
  <c r="AD133" i="15"/>
  <c r="AE133" i="15" s="1"/>
  <c r="X133" i="15"/>
  <c r="Y133" i="15" s="1"/>
  <c r="S133" i="15"/>
  <c r="L133" i="15"/>
  <c r="D133" i="15"/>
  <c r="AD132" i="15"/>
  <c r="AE132" i="15" s="1"/>
  <c r="X132" i="15"/>
  <c r="Y132" i="15"/>
  <c r="S132" i="15"/>
  <c r="AF132" i="15" s="1"/>
  <c r="L132" i="15"/>
  <c r="M132" i="15"/>
  <c r="D132" i="15"/>
  <c r="AD131" i="15"/>
  <c r="AE131" i="15" s="1"/>
  <c r="AG131" i="15" s="1"/>
  <c r="AI131" i="15" s="1"/>
  <c r="X131" i="15"/>
  <c r="Y131" i="15" s="1"/>
  <c r="S131" i="15"/>
  <c r="T131" i="15"/>
  <c r="L131" i="15"/>
  <c r="M131" i="15" s="1"/>
  <c r="D131" i="15"/>
  <c r="AD130" i="15"/>
  <c r="AE130" i="15" s="1"/>
  <c r="X130" i="15"/>
  <c r="S130" i="15"/>
  <c r="T130" i="15" s="1"/>
  <c r="L130" i="15"/>
  <c r="D130" i="15"/>
  <c r="AD129" i="15"/>
  <c r="AE129" i="15"/>
  <c r="X129" i="15"/>
  <c r="S129" i="15"/>
  <c r="L129" i="15"/>
  <c r="D129" i="15"/>
  <c r="AD128" i="15"/>
  <c r="AE128" i="15"/>
  <c r="X128" i="15"/>
  <c r="Y128" i="15" s="1"/>
  <c r="S128" i="15"/>
  <c r="L128" i="15"/>
  <c r="M128" i="15"/>
  <c r="D128" i="15"/>
  <c r="AD127" i="15"/>
  <c r="AE127" i="15" s="1"/>
  <c r="AG127" i="15" s="1"/>
  <c r="AI127" i="15" s="1"/>
  <c r="X127" i="15"/>
  <c r="Y127" i="15" s="1"/>
  <c r="S127" i="15"/>
  <c r="L127" i="15"/>
  <c r="M127" i="15" s="1"/>
  <c r="D127" i="15"/>
  <c r="AD126" i="15"/>
  <c r="AE126" i="15" s="1"/>
  <c r="X126" i="15"/>
  <c r="S126" i="15"/>
  <c r="L126" i="15"/>
  <c r="M126" i="15"/>
  <c r="D126" i="15"/>
  <c r="AD125" i="15"/>
  <c r="AE125" i="15" s="1"/>
  <c r="X125" i="15"/>
  <c r="AF125" i="15" s="1"/>
  <c r="S125" i="15"/>
  <c r="T125" i="15"/>
  <c r="L125" i="15"/>
  <c r="M125" i="15" s="1"/>
  <c r="D125" i="15"/>
  <c r="AD124" i="15"/>
  <c r="AE124" i="15"/>
  <c r="X124" i="15"/>
  <c r="S124" i="15"/>
  <c r="L124" i="15"/>
  <c r="M124" i="15" s="1"/>
  <c r="D124" i="15"/>
  <c r="AD123" i="15"/>
  <c r="AE123" i="15"/>
  <c r="X123" i="15"/>
  <c r="Y123" i="15" s="1"/>
  <c r="S123" i="15"/>
  <c r="L123" i="15"/>
  <c r="AH123" i="15" s="1"/>
  <c r="M123" i="15"/>
  <c r="D123" i="15"/>
  <c r="AD122" i="15"/>
  <c r="AE122" i="15" s="1"/>
  <c r="X122" i="15"/>
  <c r="S122" i="15"/>
  <c r="L122" i="15"/>
  <c r="M122" i="15"/>
  <c r="D122" i="15"/>
  <c r="AD121" i="15"/>
  <c r="AE121" i="15" s="1"/>
  <c r="AG121" i="15" s="1"/>
  <c r="AI121" i="15" s="1"/>
  <c r="X121" i="15"/>
  <c r="Y121" i="15" s="1"/>
  <c r="S121" i="15"/>
  <c r="T121" i="15"/>
  <c r="L121" i="15"/>
  <c r="M121" i="15" s="1"/>
  <c r="D121" i="15"/>
  <c r="AD120" i="15"/>
  <c r="AE120" i="15" s="1"/>
  <c r="X120" i="15"/>
  <c r="Y120" i="15"/>
  <c r="S120" i="15"/>
  <c r="L120" i="15"/>
  <c r="M120" i="15" s="1"/>
  <c r="D120" i="15"/>
  <c r="AD119" i="15"/>
  <c r="AE119" i="15" s="1"/>
  <c r="X119" i="15"/>
  <c r="Y119" i="15" s="1"/>
  <c r="S119" i="15"/>
  <c r="L119" i="15"/>
  <c r="M119" i="15" s="1"/>
  <c r="D119" i="15"/>
  <c r="AD118" i="15"/>
  <c r="AE118" i="15" s="1"/>
  <c r="X118" i="15"/>
  <c r="S118" i="15"/>
  <c r="T118" i="15"/>
  <c r="L118" i="15"/>
  <c r="M118" i="15"/>
  <c r="D118" i="15"/>
  <c r="AD117" i="15"/>
  <c r="AE117" i="15"/>
  <c r="X117" i="15"/>
  <c r="Y117" i="15"/>
  <c r="S117" i="15"/>
  <c r="AF117" i="15" s="1"/>
  <c r="T117" i="15"/>
  <c r="L117" i="15"/>
  <c r="D117" i="15"/>
  <c r="AD116" i="15"/>
  <c r="AE116" i="15" s="1"/>
  <c r="X116" i="15"/>
  <c r="Y116" i="15"/>
  <c r="S116" i="15"/>
  <c r="T116" i="15" s="1"/>
  <c r="AG116" i="15" s="1"/>
  <c r="AI116" i="15" s="1"/>
  <c r="L116" i="15"/>
  <c r="M116" i="15"/>
  <c r="D116" i="15"/>
  <c r="AD115" i="15"/>
  <c r="AE115" i="15" s="1"/>
  <c r="X115" i="15"/>
  <c r="Y115" i="15" s="1"/>
  <c r="S115" i="15"/>
  <c r="L115" i="15"/>
  <c r="M115" i="15"/>
  <c r="D115" i="15"/>
  <c r="AD114" i="15"/>
  <c r="AE114" i="15" s="1"/>
  <c r="AG114" i="15" s="1"/>
  <c r="AI114" i="15" s="1"/>
  <c r="X114" i="15"/>
  <c r="Y114" i="15"/>
  <c r="S114" i="15"/>
  <c r="T114" i="15" s="1"/>
  <c r="L114" i="15"/>
  <c r="D114" i="15"/>
  <c r="AD113" i="15"/>
  <c r="AE113" i="15" s="1"/>
  <c r="X113" i="15"/>
  <c r="Y113" i="15"/>
  <c r="AG113" i="15" s="1"/>
  <c r="S113" i="15"/>
  <c r="T113" i="15"/>
  <c r="L113" i="15"/>
  <c r="D113" i="15"/>
  <c r="AD112" i="15"/>
  <c r="AE112" i="15" s="1"/>
  <c r="X112" i="15"/>
  <c r="Y112" i="15" s="1"/>
  <c r="S112" i="15"/>
  <c r="L112" i="15"/>
  <c r="M112" i="15"/>
  <c r="D112" i="15"/>
  <c r="AD111" i="15"/>
  <c r="AE111" i="15" s="1"/>
  <c r="X111" i="15"/>
  <c r="Y111" i="15" s="1"/>
  <c r="S111" i="15"/>
  <c r="L111" i="15"/>
  <c r="M111" i="15"/>
  <c r="D111" i="15"/>
  <c r="AD110" i="15"/>
  <c r="AF110" i="15" s="1"/>
  <c r="X110" i="15"/>
  <c r="Y110" i="15"/>
  <c r="S110" i="15"/>
  <c r="T110" i="15" s="1"/>
  <c r="L110" i="15"/>
  <c r="M110" i="15" s="1"/>
  <c r="D110" i="15"/>
  <c r="AD109" i="15"/>
  <c r="AE109" i="15"/>
  <c r="X109" i="15"/>
  <c r="Y109" i="15"/>
  <c r="S109" i="15"/>
  <c r="T109" i="15" s="1"/>
  <c r="L109" i="15"/>
  <c r="AH109" i="15" s="1"/>
  <c r="D109" i="15"/>
  <c r="AD108" i="15"/>
  <c r="AE108" i="15" s="1"/>
  <c r="X108" i="15"/>
  <c r="Y108" i="15" s="1"/>
  <c r="S108" i="15"/>
  <c r="L108" i="15"/>
  <c r="M108" i="15"/>
  <c r="D108" i="15"/>
  <c r="AD107" i="15"/>
  <c r="AE107" i="15"/>
  <c r="X107" i="15"/>
  <c r="Y107" i="15" s="1"/>
  <c r="S107" i="15"/>
  <c r="L107" i="15"/>
  <c r="M107" i="15"/>
  <c r="D107" i="15"/>
  <c r="AD106" i="15"/>
  <c r="AE106" i="15" s="1"/>
  <c r="X106" i="15"/>
  <c r="AF106" i="15" s="1"/>
  <c r="AH106" i="15" s="1"/>
  <c r="S106" i="15"/>
  <c r="T106" i="15" s="1"/>
  <c r="L106" i="15"/>
  <c r="M106" i="15"/>
  <c r="D106" i="15"/>
  <c r="AD105" i="15"/>
  <c r="AE105" i="15"/>
  <c r="X105" i="15"/>
  <c r="Y105" i="15" s="1"/>
  <c r="AG105" i="15" s="1"/>
  <c r="S105" i="15"/>
  <c r="L105" i="15"/>
  <c r="M105" i="15" s="1"/>
  <c r="D105" i="15"/>
  <c r="AD104" i="15"/>
  <c r="AE104" i="15"/>
  <c r="X104" i="15"/>
  <c r="Y104" i="15"/>
  <c r="S104" i="15"/>
  <c r="L104" i="15"/>
  <c r="M104" i="15" s="1"/>
  <c r="D104" i="15"/>
  <c r="AD103" i="15"/>
  <c r="AE103" i="15" s="1"/>
  <c r="X103" i="15"/>
  <c r="Y103" i="15"/>
  <c r="S103" i="15"/>
  <c r="L103" i="15"/>
  <c r="M103" i="15"/>
  <c r="D103" i="15"/>
  <c r="AD102" i="15"/>
  <c r="AE102" i="15" s="1"/>
  <c r="X102" i="15"/>
  <c r="Y102" i="15" s="1"/>
  <c r="S102" i="15"/>
  <c r="L102" i="15"/>
  <c r="M102" i="15"/>
  <c r="D102" i="15"/>
  <c r="AD101" i="15"/>
  <c r="AE101" i="15" s="1"/>
  <c r="X101" i="15"/>
  <c r="S101" i="15"/>
  <c r="T101" i="15" s="1"/>
  <c r="L101" i="15"/>
  <c r="D101" i="15"/>
  <c r="AD100" i="15"/>
  <c r="AE100" i="15"/>
  <c r="X100" i="15"/>
  <c r="Y100" i="15" s="1"/>
  <c r="S100" i="15"/>
  <c r="T100" i="15"/>
  <c r="L100" i="15"/>
  <c r="M100" i="15"/>
  <c r="D100" i="15"/>
  <c r="AD99" i="15"/>
  <c r="AE99" i="15" s="1"/>
  <c r="X99" i="15"/>
  <c r="Y99" i="15" s="1"/>
  <c r="AG99" i="15" s="1"/>
  <c r="AI99" i="15" s="1"/>
  <c r="S99" i="15"/>
  <c r="L99" i="15"/>
  <c r="M99" i="15" s="1"/>
  <c r="D99" i="15"/>
  <c r="AD98" i="15"/>
  <c r="AE98" i="15" s="1"/>
  <c r="X98" i="15"/>
  <c r="Y98" i="15"/>
  <c r="S98" i="15"/>
  <c r="L98" i="15"/>
  <c r="M98" i="15"/>
  <c r="D98" i="15"/>
  <c r="AD97" i="15"/>
  <c r="AE97" i="15" s="1"/>
  <c r="X97" i="15"/>
  <c r="Y97" i="15" s="1"/>
  <c r="S97" i="15"/>
  <c r="L97" i="15"/>
  <c r="D97" i="15"/>
  <c r="AD96" i="15"/>
  <c r="X96" i="15"/>
  <c r="S96" i="15"/>
  <c r="T96" i="15" s="1"/>
  <c r="L96" i="15"/>
  <c r="M96" i="15" s="1"/>
  <c r="D96" i="15"/>
  <c r="AD95" i="15"/>
  <c r="AE95" i="15" s="1"/>
  <c r="X95" i="15"/>
  <c r="Y95" i="15" s="1"/>
  <c r="S95" i="15"/>
  <c r="AF95" i="15" s="1"/>
  <c r="AH95" i="15" s="1"/>
  <c r="L95" i="15"/>
  <c r="M95" i="15" s="1"/>
  <c r="D95" i="15"/>
  <c r="AD94" i="15"/>
  <c r="AE94" i="15" s="1"/>
  <c r="X94" i="15"/>
  <c r="Y94" i="15"/>
  <c r="S94" i="15"/>
  <c r="AF94" i="15" s="1"/>
  <c r="AH94" i="15" s="1"/>
  <c r="L94" i="15"/>
  <c r="M94" i="15" s="1"/>
  <c r="D94" i="15"/>
  <c r="AD93" i="15"/>
  <c r="AE93" i="15" s="1"/>
  <c r="X93" i="15"/>
  <c r="Y93" i="15"/>
  <c r="S93" i="15"/>
  <c r="L93" i="15"/>
  <c r="D93" i="15"/>
  <c r="AD92" i="15"/>
  <c r="AE92" i="15" s="1"/>
  <c r="X92" i="15"/>
  <c r="Y92" i="15" s="1"/>
  <c r="S92" i="15"/>
  <c r="AF92" i="15" s="1"/>
  <c r="AH92" i="15" s="1"/>
  <c r="L92" i="15"/>
  <c r="M92" i="15"/>
  <c r="D92" i="15"/>
  <c r="AD91" i="15"/>
  <c r="X91" i="15"/>
  <c r="Y91" i="15"/>
  <c r="S91" i="15"/>
  <c r="L91" i="15"/>
  <c r="M91" i="15" s="1"/>
  <c r="D91" i="15"/>
  <c r="AD90" i="15"/>
  <c r="AE90" i="15"/>
  <c r="X90" i="15"/>
  <c r="Y90" i="15" s="1"/>
  <c r="S90" i="15"/>
  <c r="L90" i="15"/>
  <c r="M90" i="15"/>
  <c r="D90" i="15"/>
  <c r="AD89" i="15"/>
  <c r="AE89" i="15" s="1"/>
  <c r="X89" i="15"/>
  <c r="Y89" i="15"/>
  <c r="S89" i="15"/>
  <c r="L89" i="15"/>
  <c r="D89" i="15"/>
  <c r="AD88" i="15"/>
  <c r="AE88" i="15" s="1"/>
  <c r="X88" i="15"/>
  <c r="Y88" i="15" s="1"/>
  <c r="S88" i="15"/>
  <c r="L88" i="15"/>
  <c r="M88" i="15"/>
  <c r="D88" i="15"/>
  <c r="AD87" i="15"/>
  <c r="AE87" i="15"/>
  <c r="X87" i="15"/>
  <c r="Y87" i="15" s="1"/>
  <c r="S87" i="15"/>
  <c r="L87" i="15"/>
  <c r="AH87" i="15" s="1"/>
  <c r="D87" i="15"/>
  <c r="AD86" i="15"/>
  <c r="AE86" i="15" s="1"/>
  <c r="X86" i="15"/>
  <c r="Y86" i="15" s="1"/>
  <c r="S86" i="15"/>
  <c r="L86" i="15"/>
  <c r="M86" i="15" s="1"/>
  <c r="D86" i="15"/>
  <c r="AD85" i="15"/>
  <c r="AE85" i="15" s="1"/>
  <c r="X85" i="15"/>
  <c r="Y85" i="15"/>
  <c r="S85" i="15"/>
  <c r="L85" i="15"/>
  <c r="D85" i="15"/>
  <c r="AD84" i="15"/>
  <c r="AE84" i="15" s="1"/>
  <c r="X84" i="15"/>
  <c r="Y84" i="15"/>
  <c r="S84" i="15"/>
  <c r="T84" i="15" s="1"/>
  <c r="L84" i="15"/>
  <c r="M84" i="15" s="1"/>
  <c r="D84" i="15"/>
  <c r="AD83" i="15"/>
  <c r="AE83" i="15" s="1"/>
  <c r="X83" i="15"/>
  <c r="Y83" i="15" s="1"/>
  <c r="S83" i="15"/>
  <c r="AF83" i="15" s="1"/>
  <c r="AH83" i="15" s="1"/>
  <c r="L83" i="15"/>
  <c r="M83" i="15" s="1"/>
  <c r="D83" i="15"/>
  <c r="AD82" i="15"/>
  <c r="AE82" i="15"/>
  <c r="X82" i="15"/>
  <c r="S82" i="15"/>
  <c r="L82" i="15"/>
  <c r="M82" i="15"/>
  <c r="D82" i="15"/>
  <c r="AD81" i="15"/>
  <c r="AE81" i="15" s="1"/>
  <c r="X81" i="15"/>
  <c r="Y81" i="15" s="1"/>
  <c r="S81" i="15"/>
  <c r="T81" i="15" s="1"/>
  <c r="L81" i="15"/>
  <c r="D81" i="15"/>
  <c r="AD80" i="15"/>
  <c r="AE80" i="15" s="1"/>
  <c r="AG80" i="15" s="1"/>
  <c r="X80" i="15"/>
  <c r="Y80" i="15"/>
  <c r="S80" i="15"/>
  <c r="L80" i="15"/>
  <c r="M80" i="15"/>
  <c r="D80" i="15"/>
  <c r="AD79" i="15"/>
  <c r="AE79" i="15"/>
  <c r="X79" i="15"/>
  <c r="Y79" i="15"/>
  <c r="S79" i="15"/>
  <c r="AF79" i="15" s="1"/>
  <c r="L79" i="15"/>
  <c r="M79" i="15"/>
  <c r="D79" i="15"/>
  <c r="AD78" i="15"/>
  <c r="AE78" i="15" s="1"/>
  <c r="X78" i="15"/>
  <c r="Y78" i="15"/>
  <c r="S78" i="15"/>
  <c r="L78" i="15"/>
  <c r="D78" i="15"/>
  <c r="AD77" i="15"/>
  <c r="AE77" i="15" s="1"/>
  <c r="X77" i="15"/>
  <c r="Y77" i="15" s="1"/>
  <c r="S77" i="15"/>
  <c r="T77" i="15" s="1"/>
  <c r="L77" i="15"/>
  <c r="D77" i="15"/>
  <c r="AD76" i="15"/>
  <c r="AE76" i="15"/>
  <c r="X76" i="15"/>
  <c r="Y76" i="15" s="1"/>
  <c r="S76" i="15"/>
  <c r="T76" i="15" s="1"/>
  <c r="L76" i="15"/>
  <c r="M76" i="15"/>
  <c r="D76" i="15"/>
  <c r="AD75" i="15"/>
  <c r="AE75" i="15"/>
  <c r="X75" i="15"/>
  <c r="Y75" i="15"/>
  <c r="S75" i="15"/>
  <c r="L75" i="15"/>
  <c r="M75" i="15" s="1"/>
  <c r="D75" i="15"/>
  <c r="AD74" i="15"/>
  <c r="AE74" i="15" s="1"/>
  <c r="X74" i="15"/>
  <c r="Y74" i="15"/>
  <c r="S74" i="15"/>
  <c r="T74" i="15"/>
  <c r="AG74" i="15" s="1"/>
  <c r="AI74" i="15" s="1"/>
  <c r="L74" i="15"/>
  <c r="M74" i="15"/>
  <c r="D74" i="15"/>
  <c r="AD73" i="15"/>
  <c r="AE73" i="15" s="1"/>
  <c r="X73" i="15"/>
  <c r="Y73" i="15"/>
  <c r="S73" i="15"/>
  <c r="L73" i="15"/>
  <c r="D73" i="15"/>
  <c r="AD72" i="15"/>
  <c r="AE72" i="15" s="1"/>
  <c r="X72" i="15"/>
  <c r="Y72" i="15" s="1"/>
  <c r="S72" i="15"/>
  <c r="T72" i="15" s="1"/>
  <c r="L72" i="15"/>
  <c r="M72" i="15"/>
  <c r="D72" i="15"/>
  <c r="AD71" i="15"/>
  <c r="AE71" i="15" s="1"/>
  <c r="X71" i="15"/>
  <c r="Y71" i="15"/>
  <c r="S71" i="15"/>
  <c r="AF71" i="15" s="1"/>
  <c r="AH71" i="15" s="1"/>
  <c r="L71" i="15"/>
  <c r="M71" i="15" s="1"/>
  <c r="D71" i="15"/>
  <c r="AD70" i="15"/>
  <c r="AE70" i="15"/>
  <c r="X70" i="15"/>
  <c r="AF70" i="15" s="1"/>
  <c r="S70" i="15"/>
  <c r="T70" i="15"/>
  <c r="L70" i="15"/>
  <c r="M70" i="15" s="1"/>
  <c r="D70" i="15"/>
  <c r="AD69" i="15"/>
  <c r="AE69" i="15"/>
  <c r="X69" i="15"/>
  <c r="AF69" i="15" s="1"/>
  <c r="S69" i="15"/>
  <c r="L69" i="15"/>
  <c r="AH69" i="15" s="1"/>
  <c r="D69" i="15"/>
  <c r="AD68" i="15"/>
  <c r="AE68" i="15" s="1"/>
  <c r="X68" i="15"/>
  <c r="Y68" i="15" s="1"/>
  <c r="S68" i="15"/>
  <c r="L68" i="15"/>
  <c r="M68" i="15"/>
  <c r="D68" i="15"/>
  <c r="AD67" i="15"/>
  <c r="AE67" i="15"/>
  <c r="X67" i="15"/>
  <c r="Y67" i="15" s="1"/>
  <c r="S67" i="15"/>
  <c r="L67" i="15"/>
  <c r="M67" i="15" s="1"/>
  <c r="D67" i="15"/>
  <c r="AD66" i="15"/>
  <c r="AE66" i="15"/>
  <c r="X66" i="15"/>
  <c r="Y66" i="15"/>
  <c r="S66" i="15"/>
  <c r="T66" i="15" s="1"/>
  <c r="L66" i="15"/>
  <c r="M66" i="15" s="1"/>
  <c r="D66" i="15"/>
  <c r="AD65" i="15"/>
  <c r="AE65" i="15"/>
  <c r="X65" i="15"/>
  <c r="Y65" i="15" s="1"/>
  <c r="S65" i="15"/>
  <c r="T65" i="15"/>
  <c r="L65" i="15"/>
  <c r="D65" i="15"/>
  <c r="AD64" i="15"/>
  <c r="AE64" i="15"/>
  <c r="X64" i="15"/>
  <c r="Y64" i="15" s="1"/>
  <c r="S64" i="15"/>
  <c r="L64" i="15"/>
  <c r="M64" i="15" s="1"/>
  <c r="D64" i="15"/>
  <c r="AD63" i="15"/>
  <c r="AE63" i="15" s="1"/>
  <c r="X63" i="15"/>
  <c r="Y63" i="15" s="1"/>
  <c r="S63" i="15"/>
  <c r="L63" i="15"/>
  <c r="M63" i="15"/>
  <c r="D63" i="15"/>
  <c r="AD62" i="15"/>
  <c r="AE62" i="15"/>
  <c r="X62" i="15"/>
  <c r="Y62" i="15"/>
  <c r="S62" i="15"/>
  <c r="T62" i="15"/>
  <c r="AG62" i="15" s="1"/>
  <c r="L62" i="15"/>
  <c r="D62" i="15"/>
  <c r="AD61" i="15"/>
  <c r="AE61" i="15"/>
  <c r="X61" i="15"/>
  <c r="S61" i="15"/>
  <c r="T61" i="15" s="1"/>
  <c r="L61" i="15"/>
  <c r="D61" i="15"/>
  <c r="AD60" i="15"/>
  <c r="AE60" i="15"/>
  <c r="X60" i="15"/>
  <c r="S60" i="15"/>
  <c r="T60" i="15"/>
  <c r="L60" i="15"/>
  <c r="M60" i="15" s="1"/>
  <c r="D60" i="15"/>
  <c r="AD59" i="15"/>
  <c r="AE59" i="15" s="1"/>
  <c r="X59" i="15"/>
  <c r="Y59" i="15" s="1"/>
  <c r="S59" i="15"/>
  <c r="AF59" i="15" s="1"/>
  <c r="L59" i="15"/>
  <c r="AH59" i="15" s="1"/>
  <c r="M59" i="15"/>
  <c r="D59" i="15"/>
  <c r="AD58" i="15"/>
  <c r="AE58" i="15" s="1"/>
  <c r="X58" i="15"/>
  <c r="S58" i="15"/>
  <c r="T58" i="15" s="1"/>
  <c r="L58" i="15"/>
  <c r="M58" i="15"/>
  <c r="D58" i="15"/>
  <c r="AD57" i="15"/>
  <c r="AE57" i="15" s="1"/>
  <c r="X57" i="15"/>
  <c r="Y57" i="15"/>
  <c r="S57" i="15"/>
  <c r="T57" i="15" s="1"/>
  <c r="AG57" i="15" s="1"/>
  <c r="AI57" i="15" s="1"/>
  <c r="L57" i="15"/>
  <c r="D57" i="15"/>
  <c r="AD56" i="15"/>
  <c r="AE56" i="15"/>
  <c r="X56" i="15"/>
  <c r="Y56" i="15"/>
  <c r="S56" i="15"/>
  <c r="L56" i="15"/>
  <c r="M56" i="15"/>
  <c r="D56" i="15"/>
  <c r="AD55" i="15"/>
  <c r="AE55" i="15" s="1"/>
  <c r="X55" i="15"/>
  <c r="Y55" i="15"/>
  <c r="S55" i="15"/>
  <c r="L55" i="15"/>
  <c r="M55" i="15"/>
  <c r="D55" i="15"/>
  <c r="AD54" i="15"/>
  <c r="AE54" i="15"/>
  <c r="X54" i="15"/>
  <c r="Y54" i="15"/>
  <c r="S54" i="15"/>
  <c r="L54" i="15"/>
  <c r="M54" i="15"/>
  <c r="AI54" i="15" s="1"/>
  <c r="D54" i="15"/>
  <c r="AD53" i="15"/>
  <c r="AE53" i="15"/>
  <c r="X53" i="15"/>
  <c r="Y53" i="15"/>
  <c r="S53" i="15"/>
  <c r="T53" i="15" s="1"/>
  <c r="AG53" i="15" s="1"/>
  <c r="AI53" i="15" s="1"/>
  <c r="L53" i="15"/>
  <c r="D53" i="15"/>
  <c r="AD52" i="15"/>
  <c r="AE52" i="15" s="1"/>
  <c r="X52" i="15"/>
  <c r="Y52" i="15"/>
  <c r="S52" i="15"/>
  <c r="L52" i="15"/>
  <c r="M52" i="15" s="1"/>
  <c r="D52" i="15"/>
  <c r="AD51" i="15"/>
  <c r="AE51" i="15" s="1"/>
  <c r="X51" i="15"/>
  <c r="Y51" i="15" s="1"/>
  <c r="S51" i="15"/>
  <c r="L51" i="15"/>
  <c r="M51" i="15"/>
  <c r="AI51" i="15" s="1"/>
  <c r="D51" i="15"/>
  <c r="AD50" i="15"/>
  <c r="AF50" i="15" s="1"/>
  <c r="AH50" i="15" s="1"/>
  <c r="AE50" i="15"/>
  <c r="X50" i="15"/>
  <c r="Y50" i="15" s="1"/>
  <c r="S50" i="15"/>
  <c r="L50" i="15"/>
  <c r="M50" i="15"/>
  <c r="D50" i="15"/>
  <c r="AD49" i="15"/>
  <c r="AE49" i="15" s="1"/>
  <c r="X49" i="15"/>
  <c r="Y49" i="15"/>
  <c r="S49" i="15"/>
  <c r="L49" i="15"/>
  <c r="D49" i="15"/>
  <c r="AD48" i="15"/>
  <c r="AF48" i="15" s="1"/>
  <c r="X48" i="15"/>
  <c r="S48" i="15"/>
  <c r="T48" i="15"/>
  <c r="L48" i="15"/>
  <c r="D48" i="15"/>
  <c r="AD47" i="15"/>
  <c r="AE47" i="15" s="1"/>
  <c r="X47" i="15"/>
  <c r="Y47" i="15" s="1"/>
  <c r="S47" i="15"/>
  <c r="L47" i="15"/>
  <c r="M47" i="15"/>
  <c r="D47" i="15"/>
  <c r="AD46" i="15"/>
  <c r="AE46" i="15"/>
  <c r="X46" i="15"/>
  <c r="S46" i="15"/>
  <c r="T46" i="15"/>
  <c r="L46" i="15"/>
  <c r="M46" i="15" s="1"/>
  <c r="D46" i="15"/>
  <c r="AD45" i="15"/>
  <c r="AE45" i="15" s="1"/>
  <c r="X45" i="15"/>
  <c r="Y45" i="15"/>
  <c r="S45" i="15"/>
  <c r="AF45" i="15" s="1"/>
  <c r="AH45" i="15" s="1"/>
  <c r="T45" i="15"/>
  <c r="AG45" i="15" s="1"/>
  <c r="AI45" i="15" s="1"/>
  <c r="L45" i="15"/>
  <c r="D45" i="15"/>
  <c r="AD44" i="15"/>
  <c r="AE44" i="15"/>
  <c r="X44" i="15"/>
  <c r="AF44" i="15" s="1"/>
  <c r="AH44" i="15" s="1"/>
  <c r="Y44" i="15"/>
  <c r="S44" i="15"/>
  <c r="T44" i="15" s="1"/>
  <c r="L44" i="15"/>
  <c r="M44" i="15"/>
  <c r="D44" i="15"/>
  <c r="AD43" i="15"/>
  <c r="AE43" i="15"/>
  <c r="X43" i="15"/>
  <c r="Y43" i="15"/>
  <c r="S43" i="15"/>
  <c r="T43" i="15" s="1"/>
  <c r="L43" i="15"/>
  <c r="D43" i="15"/>
  <c r="AD42" i="15"/>
  <c r="AF42" i="15" s="1"/>
  <c r="AE42" i="15"/>
  <c r="X42" i="15"/>
  <c r="Y42" i="15" s="1"/>
  <c r="S42" i="15"/>
  <c r="T42" i="15"/>
  <c r="L42" i="15"/>
  <c r="AH42" i="15" s="1"/>
  <c r="D42" i="15"/>
  <c r="AD41" i="15"/>
  <c r="AE41" i="15"/>
  <c r="X41" i="15"/>
  <c r="Y41" i="15"/>
  <c r="S41" i="15"/>
  <c r="L41" i="15"/>
  <c r="D41" i="15"/>
  <c r="AD40" i="15"/>
  <c r="AE40" i="15"/>
  <c r="X40" i="15"/>
  <c r="Y40" i="15" s="1"/>
  <c r="S40" i="15"/>
  <c r="T40" i="15"/>
  <c r="AG40" i="15" s="1"/>
  <c r="L40" i="15"/>
  <c r="D40" i="15"/>
  <c r="AD39" i="15"/>
  <c r="AE39" i="15"/>
  <c r="X39" i="15"/>
  <c r="Y39" i="15"/>
  <c r="S39" i="15"/>
  <c r="T39" i="15" s="1"/>
  <c r="AG39" i="15" s="1"/>
  <c r="AI39" i="15" s="1"/>
  <c r="L39" i="15"/>
  <c r="M39" i="15"/>
  <c r="D39" i="15"/>
  <c r="AD38" i="15"/>
  <c r="AE38" i="15" s="1"/>
  <c r="X38" i="15"/>
  <c r="S38" i="15"/>
  <c r="L38" i="15"/>
  <c r="M38" i="15"/>
  <c r="D38" i="15"/>
  <c r="AD37" i="15"/>
  <c r="AE37" i="15"/>
  <c r="X37" i="15"/>
  <c r="Y37" i="15" s="1"/>
  <c r="AG37" i="15" s="1"/>
  <c r="S37" i="15"/>
  <c r="T37" i="15"/>
  <c r="L37" i="15"/>
  <c r="AH37" i="15" s="1"/>
  <c r="D37" i="15"/>
  <c r="AD36" i="15"/>
  <c r="AE36" i="15" s="1"/>
  <c r="X36" i="15"/>
  <c r="Y36" i="15"/>
  <c r="S36" i="15"/>
  <c r="T36" i="15" s="1"/>
  <c r="L36" i="15"/>
  <c r="D36" i="15"/>
  <c r="AD35" i="15"/>
  <c r="AE35" i="15"/>
  <c r="X35" i="15"/>
  <c r="Y35" i="15"/>
  <c r="S35" i="15"/>
  <c r="L35" i="15"/>
  <c r="D35" i="15"/>
  <c r="AD34" i="15"/>
  <c r="AE34" i="15" s="1"/>
  <c r="X34" i="15"/>
  <c r="Y34" i="15"/>
  <c r="S34" i="15"/>
  <c r="T34" i="15" s="1"/>
  <c r="AG34" i="15" s="1"/>
  <c r="L34" i="15"/>
  <c r="D34" i="15"/>
  <c r="AD33" i="15"/>
  <c r="AE33" i="15"/>
  <c r="X33" i="15"/>
  <c r="S33" i="15"/>
  <c r="T33" i="15"/>
  <c r="AG33" i="15" s="1"/>
  <c r="L33" i="15"/>
  <c r="D33" i="15"/>
  <c r="AD32" i="15"/>
  <c r="AE32" i="15" s="1"/>
  <c r="X32" i="15"/>
  <c r="Y32" i="15"/>
  <c r="S32" i="15"/>
  <c r="T32" i="15" s="1"/>
  <c r="L32" i="15"/>
  <c r="M32" i="15" s="1"/>
  <c r="D32" i="15"/>
  <c r="AD31" i="15"/>
  <c r="AE31" i="15" s="1"/>
  <c r="X31" i="15"/>
  <c r="Y31" i="15" s="1"/>
  <c r="S31" i="15"/>
  <c r="L31" i="15"/>
  <c r="D31" i="15"/>
  <c r="AD30" i="15"/>
  <c r="AE30" i="15"/>
  <c r="X30" i="15"/>
  <c r="S30" i="15"/>
  <c r="T30" i="15"/>
  <c r="L30" i="15"/>
  <c r="D30" i="15"/>
  <c r="AD29" i="15"/>
  <c r="AE29" i="15"/>
  <c r="X29" i="15"/>
  <c r="S29" i="15"/>
  <c r="T29" i="15"/>
  <c r="L29" i="15"/>
  <c r="M29" i="15" s="1"/>
  <c r="D29" i="15"/>
  <c r="AD28" i="15"/>
  <c r="AE28" i="15"/>
  <c r="X28" i="15"/>
  <c r="AF28" i="15" s="1"/>
  <c r="AH28" i="15" s="1"/>
  <c r="S28" i="15"/>
  <c r="L28" i="15"/>
  <c r="M28" i="15"/>
  <c r="D28" i="15"/>
  <c r="AD27" i="15"/>
  <c r="AE27" i="15" s="1"/>
  <c r="X27" i="15"/>
  <c r="Y27" i="15" s="1"/>
  <c r="S27" i="15"/>
  <c r="T27" i="15"/>
  <c r="AG27" i="15" s="1"/>
  <c r="L27" i="15"/>
  <c r="AH27" i="15" s="1"/>
  <c r="D27" i="15"/>
  <c r="AD26" i="15"/>
  <c r="AE26" i="15"/>
  <c r="X26" i="15"/>
  <c r="Y26" i="15" s="1"/>
  <c r="S26" i="15"/>
  <c r="T26" i="15"/>
  <c r="L26" i="15"/>
  <c r="M26" i="15" s="1"/>
  <c r="D26" i="15"/>
  <c r="AD25" i="15"/>
  <c r="AE25" i="15"/>
  <c r="X25" i="15"/>
  <c r="Y25" i="15"/>
  <c r="S25" i="15"/>
  <c r="L25" i="15"/>
  <c r="D25" i="15"/>
  <c r="AD24" i="15"/>
  <c r="AE24" i="15"/>
  <c r="X24" i="15"/>
  <c r="Y24" i="15" s="1"/>
  <c r="S24" i="15"/>
  <c r="L24" i="15"/>
  <c r="M24" i="15" s="1"/>
  <c r="D24" i="15"/>
  <c r="AD23" i="15"/>
  <c r="AE23" i="15"/>
  <c r="X23" i="15"/>
  <c r="Y23" i="15"/>
  <c r="S23" i="15"/>
  <c r="L23" i="15"/>
  <c r="D23" i="15"/>
  <c r="AD22" i="15"/>
  <c r="AE22" i="15"/>
  <c r="X22" i="15"/>
  <c r="Y22" i="15"/>
  <c r="AG22" i="15" s="1"/>
  <c r="S22" i="15"/>
  <c r="T22" i="15" s="1"/>
  <c r="L22" i="15"/>
  <c r="M22" i="15" s="1"/>
  <c r="AI22" i="15" s="1"/>
  <c r="D22" i="15"/>
  <c r="AD21" i="15"/>
  <c r="AE21" i="15"/>
  <c r="X21" i="15"/>
  <c r="AF21" i="15" s="1"/>
  <c r="AH21" i="15" s="1"/>
  <c r="S21" i="15"/>
  <c r="T21" i="15"/>
  <c r="L21" i="15"/>
  <c r="D21" i="15"/>
  <c r="AD20" i="15"/>
  <c r="AE20" i="15"/>
  <c r="X20" i="15"/>
  <c r="Y20" i="15" s="1"/>
  <c r="S20" i="15"/>
  <c r="L20" i="15"/>
  <c r="M20" i="15" s="1"/>
  <c r="D20" i="15"/>
  <c r="AD19" i="15"/>
  <c r="AE19" i="15"/>
  <c r="X19" i="15"/>
  <c r="Y19" i="15" s="1"/>
  <c r="S19" i="15"/>
  <c r="L19" i="15"/>
  <c r="D19" i="15"/>
  <c r="AD18" i="15"/>
  <c r="X18" i="15"/>
  <c r="Y18" i="15" s="1"/>
  <c r="S18" i="15"/>
  <c r="T18" i="15"/>
  <c r="L18" i="15"/>
  <c r="D18" i="15"/>
  <c r="AD17" i="15"/>
  <c r="X17" i="15"/>
  <c r="Y17" i="15"/>
  <c r="S17" i="15"/>
  <c r="T17" i="15" s="1"/>
  <c r="L17" i="15"/>
  <c r="D17" i="15"/>
  <c r="AD16" i="15"/>
  <c r="AE16" i="15"/>
  <c r="X16" i="15"/>
  <c r="Y16" i="15"/>
  <c r="S16" i="15"/>
  <c r="AF16" i="15" s="1"/>
  <c r="L16" i="15"/>
  <c r="M16" i="15" s="1"/>
  <c r="D16" i="15"/>
  <c r="AD15" i="15"/>
  <c r="AE15" i="15"/>
  <c r="X15" i="15"/>
  <c r="Y15" i="15"/>
  <c r="S15" i="15"/>
  <c r="T15" i="15" s="1"/>
  <c r="L15" i="15"/>
  <c r="M15" i="15" s="1"/>
  <c r="D15" i="15"/>
  <c r="AD14" i="15"/>
  <c r="AE14" i="15"/>
  <c r="X14" i="15"/>
  <c r="Y14" i="15" s="1"/>
  <c r="S14" i="15"/>
  <c r="T14" i="15" s="1"/>
  <c r="L14" i="15"/>
  <c r="D14" i="15"/>
  <c r="AD13" i="15"/>
  <c r="AE13" i="15"/>
  <c r="X13" i="15"/>
  <c r="Y13" i="15" s="1"/>
  <c r="S13" i="15"/>
  <c r="L13" i="15"/>
  <c r="D13" i="15"/>
  <c r="AD12" i="15"/>
  <c r="AE12" i="15"/>
  <c r="X12" i="15"/>
  <c r="Y12" i="15" s="1"/>
  <c r="S12" i="15"/>
  <c r="L12" i="15"/>
  <c r="M12" i="15"/>
  <c r="D12" i="15"/>
  <c r="AD11" i="15"/>
  <c r="AE11" i="15"/>
  <c r="X11" i="15"/>
  <c r="Y11" i="15" s="1"/>
  <c r="S11" i="15"/>
  <c r="T11" i="15" s="1"/>
  <c r="L11" i="15"/>
  <c r="D11" i="15"/>
  <c r="AD10" i="15"/>
  <c r="AE10" i="15" s="1"/>
  <c r="X10" i="15"/>
  <c r="Y10" i="15"/>
  <c r="S10" i="15"/>
  <c r="T10" i="15"/>
  <c r="L10" i="15"/>
  <c r="M10" i="15"/>
  <c r="D10" i="15"/>
  <c r="AD9" i="15"/>
  <c r="AE9" i="15"/>
  <c r="X9" i="15"/>
  <c r="Y9" i="15" s="1"/>
  <c r="S9" i="15"/>
  <c r="L9" i="15"/>
  <c r="M9" i="15"/>
  <c r="D9" i="15"/>
  <c r="AD8" i="15"/>
  <c r="AE8" i="15"/>
  <c r="X8" i="15"/>
  <c r="Y8" i="15"/>
  <c r="S8" i="15"/>
  <c r="T8" i="15" s="1"/>
  <c r="L8" i="15"/>
  <c r="M8" i="15"/>
  <c r="D8" i="15"/>
  <c r="AD7" i="15"/>
  <c r="AE7" i="15" s="1"/>
  <c r="X7" i="15"/>
  <c r="S7" i="15"/>
  <c r="L7" i="15"/>
  <c r="M7" i="15"/>
  <c r="D7" i="15"/>
  <c r="AF369" i="15"/>
  <c r="AH369" i="15" s="1"/>
  <c r="AF260" i="15"/>
  <c r="AF261" i="15"/>
  <c r="AH261" i="15" s="1"/>
  <c r="AH501" i="15"/>
  <c r="AF590" i="15"/>
  <c r="AF514" i="15"/>
  <c r="AG441" i="15"/>
  <c r="AF423" i="15"/>
  <c r="AH423" i="15"/>
  <c r="AF263" i="15"/>
  <c r="AH263" i="15" s="1"/>
  <c r="T416" i="15"/>
  <c r="AG416" i="15"/>
  <c r="AI416" i="15" s="1"/>
  <c r="T426" i="15"/>
  <c r="AG426" i="15"/>
  <c r="AI426" i="15" s="1"/>
  <c r="AF547" i="15"/>
  <c r="AH547" i="15" s="1"/>
  <c r="AF88" i="15"/>
  <c r="AH88" i="15" s="1"/>
  <c r="AF187" i="15"/>
  <c r="AH187" i="15"/>
  <c r="AF310" i="15"/>
  <c r="T410" i="15"/>
  <c r="AG410" i="15"/>
  <c r="AI410" i="15" s="1"/>
  <c r="AF438" i="15"/>
  <c r="AH438" i="15" s="1"/>
  <c r="AF321" i="15"/>
  <c r="AH321" i="15" s="1"/>
  <c r="AG384" i="15"/>
  <c r="T424" i="15"/>
  <c r="AG424" i="15"/>
  <c r="AI424" i="15" s="1"/>
  <c r="AF11" i="15"/>
  <c r="AH11" i="15" s="1"/>
  <c r="AH419" i="15"/>
  <c r="AH604" i="15"/>
  <c r="AF84" i="15"/>
  <c r="AH84" i="15"/>
  <c r="AF308" i="15"/>
  <c r="AH308" i="15"/>
  <c r="AF315" i="15"/>
  <c r="AH315" i="15" s="1"/>
  <c r="AF411" i="15"/>
  <c r="AH411" i="15" s="1"/>
  <c r="AI436" i="15"/>
  <c r="AF591" i="15"/>
  <c r="AF54" i="15"/>
  <c r="AH54" i="15"/>
  <c r="AF217" i="15"/>
  <c r="AF13" i="15"/>
  <c r="AH13" i="15"/>
  <c r="AF29" i="15"/>
  <c r="AH29" i="15"/>
  <c r="AF137" i="15"/>
  <c r="AH137" i="15"/>
  <c r="AF190" i="15"/>
  <c r="AH190" i="15" s="1"/>
  <c r="AF278" i="15"/>
  <c r="AH278" i="15"/>
  <c r="AF335" i="15"/>
  <c r="AG552" i="15"/>
  <c r="AI592" i="15"/>
  <c r="AF603" i="15"/>
  <c r="Y514" i="15"/>
  <c r="AG514" i="15"/>
  <c r="AI514" i="15" s="1"/>
  <c r="AE591" i="15"/>
  <c r="AG591" i="15" s="1"/>
  <c r="AF169" i="15"/>
  <c r="AF300" i="15"/>
  <c r="AH300" i="15" s="1"/>
  <c r="AF320" i="15"/>
  <c r="AH320" i="15" s="1"/>
  <c r="AG381" i="15"/>
  <c r="AI381" i="15"/>
  <c r="AG444" i="15"/>
  <c r="AI444" i="15" s="1"/>
  <c r="AF549" i="15"/>
  <c r="AH549" i="15"/>
  <c r="AG583" i="15"/>
  <c r="AG611" i="15"/>
  <c r="AI611" i="15" s="1"/>
  <c r="AJ611" i="15" s="1"/>
  <c r="AF412" i="15"/>
  <c r="AH412" i="15" s="1"/>
  <c r="T260" i="15"/>
  <c r="AG260" i="15" s="1"/>
  <c r="T315" i="15"/>
  <c r="AG315" i="15" s="1"/>
  <c r="T153" i="15"/>
  <c r="AF153" i="15"/>
  <c r="AH153" i="15"/>
  <c r="T421" i="15"/>
  <c r="AG421" i="15" s="1"/>
  <c r="AI421" i="15" s="1"/>
  <c r="Y96" i="15"/>
  <c r="Y137" i="15"/>
  <c r="AF347" i="15"/>
  <c r="AF405" i="15"/>
  <c r="AH405" i="15" s="1"/>
  <c r="AF436" i="15"/>
  <c r="AH436" i="15"/>
  <c r="AF453" i="15"/>
  <c r="AH453" i="15" s="1"/>
  <c r="AF291" i="15"/>
  <c r="AH291" i="15" s="1"/>
  <c r="T182" i="15"/>
  <c r="AH182" i="15"/>
  <c r="T276" i="15"/>
  <c r="AF90" i="15"/>
  <c r="AH90" i="15" s="1"/>
  <c r="AF186" i="15"/>
  <c r="AH186" i="15"/>
  <c r="AF376" i="15"/>
  <c r="AH376" i="15"/>
  <c r="AF498" i="15"/>
  <c r="AH498" i="15" s="1"/>
  <c r="AF513" i="15"/>
  <c r="AH513" i="15"/>
  <c r="AF535" i="15"/>
  <c r="AH535" i="15"/>
  <c r="AF398" i="15"/>
  <c r="AH398" i="15" s="1"/>
  <c r="AF365" i="15"/>
  <c r="AH365" i="15" s="1"/>
  <c r="AF392" i="15"/>
  <c r="AH392" i="15" s="1"/>
  <c r="T408" i="15"/>
  <c r="AG408" i="15"/>
  <c r="AI408" i="15" s="1"/>
  <c r="AF441" i="15"/>
  <c r="AH441" i="15"/>
  <c r="AF531" i="15"/>
  <c r="AF596" i="15"/>
  <c r="AG606" i="15"/>
  <c r="AI606" i="15" s="1"/>
  <c r="AF502" i="15"/>
  <c r="AH502" i="15" s="1"/>
  <c r="AF508" i="15"/>
  <c r="AH508" i="15" s="1"/>
  <c r="AH561" i="15"/>
  <c r="Y278" i="15"/>
  <c r="AF375" i="15"/>
  <c r="AH375" i="15"/>
  <c r="AF389" i="15"/>
  <c r="AF409" i="15"/>
  <c r="AH409" i="15" s="1"/>
  <c r="AF553" i="15"/>
  <c r="AH553" i="15"/>
  <c r="AF563" i="15"/>
  <c r="AF288" i="15"/>
  <c r="AH288" i="15"/>
  <c r="AF518" i="15"/>
  <c r="AH518" i="15" s="1"/>
  <c r="AF109" i="15"/>
  <c r="AF141" i="15"/>
  <c r="AH141" i="15" s="1"/>
  <c r="AF323" i="15"/>
  <c r="AH323" i="15" s="1"/>
  <c r="AF325" i="15"/>
  <c r="AH325" i="15" s="1"/>
  <c r="AG357" i="15"/>
  <c r="T389" i="15"/>
  <c r="AG389" i="15"/>
  <c r="T445" i="15"/>
  <c r="AG445" i="15"/>
  <c r="AF580" i="15"/>
  <c r="AH592" i="15"/>
  <c r="T54" i="15"/>
  <c r="AG54" i="15" s="1"/>
  <c r="AF15" i="15"/>
  <c r="AH15" i="15"/>
  <c r="AG179" i="15"/>
  <c r="AI179" i="15"/>
  <c r="AH267" i="15"/>
  <c r="AG387" i="15"/>
  <c r="AF521" i="15"/>
  <c r="AH521" i="15" s="1"/>
  <c r="AF539" i="15"/>
  <c r="AH539" i="15"/>
  <c r="AH583" i="15"/>
  <c r="T149" i="15"/>
  <c r="AF383" i="15"/>
  <c r="AH383" i="15" s="1"/>
  <c r="Y383" i="15"/>
  <c r="AG42" i="15"/>
  <c r="Y251" i="15"/>
  <c r="T438" i="15"/>
  <c r="AG438" i="15"/>
  <c r="AI438" i="15"/>
  <c r="Y508" i="15"/>
  <c r="AG508" i="15" s="1"/>
  <c r="AF57" i="15"/>
  <c r="AH57" i="15" s="1"/>
  <c r="T105" i="15"/>
  <c r="AF105" i="15"/>
  <c r="AE178" i="15"/>
  <c r="AG178" i="15"/>
  <c r="T190" i="15"/>
  <c r="M302" i="15"/>
  <c r="T323" i="15"/>
  <c r="AG323" i="15" s="1"/>
  <c r="AI323" i="15"/>
  <c r="AJ323" i="15" s="1"/>
  <c r="AF403" i="15"/>
  <c r="AH403" i="15"/>
  <c r="Y403" i="15"/>
  <c r="M432" i="15"/>
  <c r="T442" i="15"/>
  <c r="T460" i="15"/>
  <c r="AG460" i="15"/>
  <c r="M23" i="15"/>
  <c r="AF53" i="15"/>
  <c r="AH53" i="15" s="1"/>
  <c r="Y101" i="15"/>
  <c r="AG101" i="15"/>
  <c r="AF101" i="15"/>
  <c r="AH101" i="15" s="1"/>
  <c r="T129" i="15"/>
  <c r="M328" i="15"/>
  <c r="M365" i="15"/>
  <c r="AG453" i="15"/>
  <c r="Y7" i="15"/>
  <c r="M11" i="15"/>
  <c r="Y272" i="15"/>
  <c r="AG272" i="15" s="1"/>
  <c r="AI272" i="15" s="1"/>
  <c r="AJ272" i="15" s="1"/>
  <c r="Y320" i="15"/>
  <c r="AG320" i="15" s="1"/>
  <c r="M322" i="15"/>
  <c r="AI322" i="15" s="1"/>
  <c r="AJ322" i="15" s="1"/>
  <c r="T355" i="15"/>
  <c r="T359" i="15"/>
  <c r="AG359" i="15"/>
  <c r="AF359" i="15"/>
  <c r="AH359" i="15"/>
  <c r="AE392" i="15"/>
  <c r="AG392" i="15"/>
  <c r="T396" i="15"/>
  <c r="Y462" i="15"/>
  <c r="T560" i="15"/>
  <c r="AF560" i="15"/>
  <c r="M21" i="15"/>
  <c r="T92" i="15"/>
  <c r="AG92" i="15"/>
  <c r="AI92" i="15" s="1"/>
  <c r="T221" i="15"/>
  <c r="M314" i="15"/>
  <c r="T325" i="15"/>
  <c r="AG325" i="15" s="1"/>
  <c r="AI325" i="15"/>
  <c r="AJ325" i="15" s="1"/>
  <c r="AF351" i="15"/>
  <c r="T457" i="15"/>
  <c r="T599" i="15"/>
  <c r="AG599" i="15" s="1"/>
  <c r="M19" i="15"/>
  <c r="T41" i="15"/>
  <c r="AG41" i="15"/>
  <c r="AF41" i="15"/>
  <c r="AH41" i="15"/>
  <c r="Y48" i="15"/>
  <c r="AF118" i="15"/>
  <c r="AH118" i="15"/>
  <c r="Y161" i="15"/>
  <c r="AH231" i="15"/>
  <c r="AG266" i="15"/>
  <c r="M271" i="15"/>
  <c r="AH309" i="15"/>
  <c r="T309" i="15"/>
  <c r="AG309" i="15" s="1"/>
  <c r="AI309" i="15" s="1"/>
  <c r="AJ309" i="15" s="1"/>
  <c r="AG333" i="15"/>
  <c r="AI333" i="15" s="1"/>
  <c r="AJ333" i="15" s="1"/>
  <c r="Y363" i="15"/>
  <c r="AF363" i="15"/>
  <c r="AH363" i="15"/>
  <c r="T425" i="15"/>
  <c r="AG425" i="15"/>
  <c r="AI425" i="15" s="1"/>
  <c r="M452" i="15"/>
  <c r="M504" i="15"/>
  <c r="Y29" i="15"/>
  <c r="AG29" i="15" s="1"/>
  <c r="AF77" i="15"/>
  <c r="AH77" i="15"/>
  <c r="Y118" i="15"/>
  <c r="AG118" i="15"/>
  <c r="AI118" i="15" s="1"/>
  <c r="T124" i="15"/>
  <c r="T165" i="15"/>
  <c r="Y173" i="15"/>
  <c r="T187" i="15"/>
  <c r="AG187" i="15"/>
  <c r="AI187" i="15"/>
  <c r="M261" i="15"/>
  <c r="AF281" i="15"/>
  <c r="AH281" i="15" s="1"/>
  <c r="T281" i="15"/>
  <c r="AG281" i="15" s="1"/>
  <c r="AI281" i="15"/>
  <c r="AJ281" i="15" s="1"/>
  <c r="AF311" i="15"/>
  <c r="AH311" i="15" s="1"/>
  <c r="AJ311" i="15" s="1"/>
  <c r="T311" i="15"/>
  <c r="AG311" i="15" s="1"/>
  <c r="AI311" i="15" s="1"/>
  <c r="AE380" i="15"/>
  <c r="AG380" i="15"/>
  <c r="AF380" i="15"/>
  <c r="AH391" i="15"/>
  <c r="AF413" i="15"/>
  <c r="AH413" i="15" s="1"/>
  <c r="AF420" i="15"/>
  <c r="AH420" i="15"/>
  <c r="T420" i="15"/>
  <c r="AG420" i="15" s="1"/>
  <c r="AI420" i="15" s="1"/>
  <c r="T429" i="15"/>
  <c r="AG429" i="15"/>
  <c r="AF429" i="15"/>
  <c r="Y502" i="15"/>
  <c r="AG502" i="15"/>
  <c r="T590" i="15"/>
  <c r="AG590" i="15"/>
  <c r="AH616" i="15"/>
  <c r="M616" i="15"/>
  <c r="AI616" i="15" s="1"/>
  <c r="AJ616" i="15" s="1"/>
  <c r="AF37" i="15"/>
  <c r="AF113" i="15"/>
  <c r="AH113" i="15"/>
  <c r="Y122" i="15"/>
  <c r="Y141" i="15"/>
  <c r="M298" i="15"/>
  <c r="AF306" i="15"/>
  <c r="AH306" i="15" s="1"/>
  <c r="T335" i="15"/>
  <c r="AG335" i="15" s="1"/>
  <c r="AI335" i="15" s="1"/>
  <c r="AJ335" i="15" s="1"/>
  <c r="AH344" i="15"/>
  <c r="T344" i="15"/>
  <c r="AG344" i="15"/>
  <c r="AI344" i="15" s="1"/>
  <c r="AF384" i="15"/>
  <c r="AH384" i="15" s="1"/>
  <c r="Y391" i="15"/>
  <c r="T450" i="15"/>
  <c r="AG450" i="15" s="1"/>
  <c r="M563" i="15"/>
  <c r="AI563" i="15" s="1"/>
  <c r="AH618" i="15"/>
  <c r="M618" i="15"/>
  <c r="AI618" i="15" s="1"/>
  <c r="AJ618" i="15" s="1"/>
  <c r="M622" i="15"/>
  <c r="AI622" i="15" s="1"/>
  <c r="AF81" i="15"/>
  <c r="AH81" i="15"/>
  <c r="AH218" i="15"/>
  <c r="T261" i="15"/>
  <c r="AG261" i="15"/>
  <c r="Y306" i="15"/>
  <c r="Y375" i="15"/>
  <c r="AG375" i="15"/>
  <c r="AI375" i="15" s="1"/>
  <c r="T388" i="15"/>
  <c r="AG388" i="15"/>
  <c r="AF388" i="15"/>
  <c r="AH388" i="15"/>
  <c r="T501" i="15"/>
  <c r="AF511" i="15"/>
  <c r="AH511" i="15" s="1"/>
  <c r="T511" i="15"/>
  <c r="AG511" i="15" s="1"/>
  <c r="AI511" i="15" s="1"/>
  <c r="AJ511" i="15" s="1"/>
  <c r="M516" i="15"/>
  <c r="AH586" i="15"/>
  <c r="AE586" i="15"/>
  <c r="AG586" i="15"/>
  <c r="M512" i="15"/>
  <c r="AG602" i="15"/>
  <c r="M571" i="15"/>
  <c r="Y223" i="15"/>
  <c r="AF243" i="15"/>
  <c r="AH243" i="15" s="1"/>
  <c r="Y243" i="15"/>
  <c r="AG243" i="15" s="1"/>
  <c r="M383" i="15"/>
  <c r="T415" i="15"/>
  <c r="AG415" i="15"/>
  <c r="AI415" i="15" s="1"/>
  <c r="AF415" i="15"/>
  <c r="AH415" i="15"/>
  <c r="AF448" i="15"/>
  <c r="AH448" i="15"/>
  <c r="AE609" i="15"/>
  <c r="AG609" i="15"/>
  <c r="AF609" i="15"/>
  <c r="T88" i="15"/>
  <c r="AG88" i="15" s="1"/>
  <c r="T604" i="15"/>
  <c r="AH615" i="15"/>
  <c r="T615" i="15"/>
  <c r="AG615" i="15" s="1"/>
  <c r="AI615" i="15" s="1"/>
  <c r="AJ615" i="15" s="1"/>
  <c r="Y300" i="15"/>
  <c r="AG300" i="15"/>
  <c r="AI300" i="15"/>
  <c r="T90" i="15"/>
  <c r="AG90" i="15"/>
  <c r="AI90" i="15" s="1"/>
  <c r="T595" i="15"/>
  <c r="AG595" i="15"/>
  <c r="AF595" i="15"/>
  <c r="T13" i="15"/>
  <c r="AG13" i="15" s="1"/>
  <c r="M17" i="15"/>
  <c r="T50" i="15"/>
  <c r="T268" i="15"/>
  <c r="AF60" i="15"/>
  <c r="AH60" i="15" s="1"/>
  <c r="AF78" i="15"/>
  <c r="M114" i="15"/>
  <c r="Y60" i="15"/>
  <c r="AG60" i="15" s="1"/>
  <c r="AI60" i="15" s="1"/>
  <c r="AF62" i="15"/>
  <c r="T69" i="15"/>
  <c r="T78" i="15"/>
  <c r="AG78" i="15" s="1"/>
  <c r="AF80" i="15"/>
  <c r="AH80" i="15" s="1"/>
  <c r="T80" i="15"/>
  <c r="AF247" i="15"/>
  <c r="AH247" i="15"/>
  <c r="AF285" i="15"/>
  <c r="AH285" i="15"/>
  <c r="T285" i="15"/>
  <c r="AG285" i="15"/>
  <c r="AI285" i="15" s="1"/>
  <c r="AJ285" i="15" s="1"/>
  <c r="Y288" i="15"/>
  <c r="AG288" i="15" s="1"/>
  <c r="AI303" i="15"/>
  <c r="M334" i="15"/>
  <c r="AG472" i="15"/>
  <c r="AI472" i="15"/>
  <c r="AG478" i="15"/>
  <c r="T494" i="15"/>
  <c r="AG494" i="15"/>
  <c r="AF494" i="15"/>
  <c r="AH494" i="15" s="1"/>
  <c r="T513" i="15"/>
  <c r="AG513" i="15"/>
  <c r="AI513" i="15" s="1"/>
  <c r="AJ513" i="15" s="1"/>
  <c r="AF516" i="15"/>
  <c r="AH516" i="15" s="1"/>
  <c r="AJ516" i="15" s="1"/>
  <c r="Y525" i="15"/>
  <c r="AF525" i="15"/>
  <c r="AH525" i="15" s="1"/>
  <c r="AF557" i="15"/>
  <c r="AH606" i="15"/>
  <c r="M606" i="15"/>
  <c r="AF520" i="15"/>
  <c r="AH520" i="15"/>
  <c r="Y520" i="15"/>
  <c r="AG520" i="15"/>
  <c r="Y296" i="15"/>
  <c r="AF305" i="15"/>
  <c r="AF504" i="15"/>
  <c r="AH504" i="15"/>
  <c r="AF507" i="15"/>
  <c r="AH507" i="15"/>
  <c r="T507" i="15"/>
  <c r="AG507" i="15"/>
  <c r="Y603" i="15"/>
  <c r="AG603" i="15" s="1"/>
  <c r="AI603" i="15" s="1"/>
  <c r="AF605" i="15"/>
  <c r="T613" i="15"/>
  <c r="AG613" i="15" s="1"/>
  <c r="AF613" i="15"/>
  <c r="T622" i="15"/>
  <c r="AF27" i="15"/>
  <c r="AH70" i="15"/>
  <c r="T94" i="15"/>
  <c r="AG94" i="15" s="1"/>
  <c r="AH110" i="15"/>
  <c r="T112" i="15"/>
  <c r="AG112" i="15"/>
  <c r="T217" i="15"/>
  <c r="M278" i="15"/>
  <c r="AI278" i="15" s="1"/>
  <c r="AJ278" i="15" s="1"/>
  <c r="AF295" i="15"/>
  <c r="AH295" i="15" s="1"/>
  <c r="Y302" i="15"/>
  <c r="AG302" i="15" s="1"/>
  <c r="Y310" i="15"/>
  <c r="AF336" i="15"/>
  <c r="AH336" i="15" s="1"/>
  <c r="Y395" i="15"/>
  <c r="T428" i="15"/>
  <c r="AG428" i="15" s="1"/>
  <c r="AI428" i="15" s="1"/>
  <c r="AF454" i="15"/>
  <c r="T454" i="15"/>
  <c r="AG454" i="15"/>
  <c r="AF493" i="15"/>
  <c r="AH493" i="15" s="1"/>
  <c r="Y493" i="15"/>
  <c r="Y504" i="15"/>
  <c r="AG504" i="15"/>
  <c r="AI504" i="15" s="1"/>
  <c r="AJ504" i="15" s="1"/>
  <c r="AF510" i="15"/>
  <c r="AH510" i="15" s="1"/>
  <c r="Y510" i="15"/>
  <c r="AG564" i="15"/>
  <c r="AF579" i="15"/>
  <c r="AH600" i="15"/>
  <c r="M600" i="15"/>
  <c r="Y605" i="15"/>
  <c r="AG605" i="15" s="1"/>
  <c r="AI605" i="15" s="1"/>
  <c r="AG327" i="15"/>
  <c r="AI327" i="15" s="1"/>
  <c r="AJ327" i="15" s="1"/>
  <c r="AG330" i="15"/>
  <c r="AG336" i="15"/>
  <c r="AF397" i="15"/>
  <c r="AH397" i="15"/>
  <c r="T491" i="15"/>
  <c r="AG491" i="15"/>
  <c r="AF491" i="15"/>
  <c r="AH491" i="15" s="1"/>
  <c r="AF497" i="15"/>
  <c r="AH497" i="15" s="1"/>
  <c r="AF522" i="15"/>
  <c r="AH522" i="15"/>
  <c r="AF572" i="15"/>
  <c r="T600" i="15"/>
  <c r="AG600" i="15" s="1"/>
  <c r="M602" i="15"/>
  <c r="AH602" i="15"/>
  <c r="AF607" i="15"/>
  <c r="T617" i="15"/>
  <c r="AG617" i="15" s="1"/>
  <c r="AF220" i="15"/>
  <c r="AH220" i="15"/>
  <c r="AF287" i="15"/>
  <c r="AH287" i="15" s="1"/>
  <c r="T287" i="15"/>
  <c r="AG287" i="15" s="1"/>
  <c r="AF313" i="15"/>
  <c r="AH313" i="15"/>
  <c r="T313" i="15"/>
  <c r="AF515" i="15"/>
  <c r="AH515" i="15" s="1"/>
  <c r="T515" i="15"/>
  <c r="T133" i="15"/>
  <c r="AG133" i="15"/>
  <c r="AF133" i="15"/>
  <c r="AH133" i="15" s="1"/>
  <c r="M177" i="15"/>
  <c r="AF189" i="15"/>
  <c r="AH189" i="15" s="1"/>
  <c r="Y189" i="15"/>
  <c r="AG189" i="15"/>
  <c r="Y220" i="15"/>
  <c r="AG220" i="15" s="1"/>
  <c r="AI316" i="15"/>
  <c r="M318" i="15"/>
  <c r="AF333" i="15"/>
  <c r="AH333" i="15"/>
  <c r="T339" i="15"/>
  <c r="AG339" i="15" s="1"/>
  <c r="AI339" i="15" s="1"/>
  <c r="T348" i="15"/>
  <c r="AF385" i="15"/>
  <c r="T385" i="15"/>
  <c r="Y398" i="15"/>
  <c r="AI398" i="15"/>
  <c r="AG405" i="15"/>
  <c r="AI405" i="15" s="1"/>
  <c r="T417" i="15"/>
  <c r="AG417" i="15"/>
  <c r="AI417" i="15" s="1"/>
  <c r="AF417" i="15"/>
  <c r="AH417" i="15"/>
  <c r="M500" i="15"/>
  <c r="AI500" i="15" s="1"/>
  <c r="AJ500" i="15" s="1"/>
  <c r="AF512" i="15"/>
  <c r="AH512" i="15" s="1"/>
  <c r="Y512" i="15"/>
  <c r="AG512" i="15"/>
  <c r="M35" i="15"/>
  <c r="AI35" i="15" s="1"/>
  <c r="AJ35" i="15" s="1"/>
  <c r="T49" i="15"/>
  <c r="AG49" i="15" s="1"/>
  <c r="AF49" i="15"/>
  <c r="T89" i="15"/>
  <c r="AF89" i="15"/>
  <c r="AH89" i="15" s="1"/>
  <c r="AF212" i="15"/>
  <c r="AH212" i="15" s="1"/>
  <c r="AF275" i="15"/>
  <c r="AH275" i="15" s="1"/>
  <c r="M31" i="15"/>
  <c r="M33" i="15"/>
  <c r="AI33" i="15" s="1"/>
  <c r="AF40" i="15"/>
  <c r="AH40" i="15" s="1"/>
  <c r="AG77" i="15"/>
  <c r="T82" i="15"/>
  <c r="Y126" i="15"/>
  <c r="Y177" i="15"/>
  <c r="AF179" i="15"/>
  <c r="AH179" i="15"/>
  <c r="T212" i="15"/>
  <c r="AG212" i="15"/>
  <c r="Y239" i="15"/>
  <c r="AG275" i="15"/>
  <c r="AI275" i="15" s="1"/>
  <c r="T289" i="15"/>
  <c r="AG289" i="15" s="1"/>
  <c r="AF292" i="15"/>
  <c r="Y298" i="15"/>
  <c r="AG298" i="15"/>
  <c r="T301" i="15"/>
  <c r="AG301" i="15"/>
  <c r="AI301" i="15" s="1"/>
  <c r="AJ301" i="15" s="1"/>
  <c r="M326" i="15"/>
  <c r="M332" i="15"/>
  <c r="T430" i="15"/>
  <c r="T497" i="15"/>
  <c r="Y500" i="15"/>
  <c r="AG500" i="15" s="1"/>
  <c r="Y522" i="15"/>
  <c r="AG522" i="15" s="1"/>
  <c r="AI522" i="15" s="1"/>
  <c r="AH605" i="15"/>
  <c r="T607" i="15"/>
  <c r="AG607" i="15" s="1"/>
  <c r="AI607" i="15" s="1"/>
  <c r="AJ607" i="15" s="1"/>
  <c r="AF104" i="15"/>
  <c r="AH104" i="15" s="1"/>
  <c r="AF318" i="15"/>
  <c r="AH318" i="15"/>
  <c r="AG322" i="15"/>
  <c r="AF393" i="15"/>
  <c r="AH393" i="15" s="1"/>
  <c r="T393" i="15"/>
  <c r="AF432" i="15"/>
  <c r="AH432" i="15"/>
  <c r="AF503" i="15"/>
  <c r="AH503" i="15"/>
  <c r="T503" i="15"/>
  <c r="AG503" i="15" s="1"/>
  <c r="AF66" i="15"/>
  <c r="AH66" i="15"/>
  <c r="AF74" i="15"/>
  <c r="AH74" i="15" s="1"/>
  <c r="AF76" i="15"/>
  <c r="AH76" i="15" s="1"/>
  <c r="T104" i="15"/>
  <c r="AG104" i="15" s="1"/>
  <c r="AF222" i="15"/>
  <c r="AF235" i="15"/>
  <c r="AH235" i="15" s="1"/>
  <c r="T267" i="15"/>
  <c r="AG267" i="15" s="1"/>
  <c r="AI267" i="15" s="1"/>
  <c r="AF283" i="15"/>
  <c r="AH283" i="15"/>
  <c r="Y284" i="15"/>
  <c r="Y294" i="15"/>
  <c r="AG294" i="15"/>
  <c r="AF297" i="15"/>
  <c r="AH297" i="15" s="1"/>
  <c r="T297" i="15"/>
  <c r="AG297" i="15"/>
  <c r="AF307" i="15"/>
  <c r="AH307" i="15"/>
  <c r="Y308" i="15"/>
  <c r="Y318" i="15"/>
  <c r="AG318" i="15"/>
  <c r="AI318" i="15" s="1"/>
  <c r="T321" i="15"/>
  <c r="AG321" i="15" s="1"/>
  <c r="AI321" i="15" s="1"/>
  <c r="AJ321" i="15" s="1"/>
  <c r="Y407" i="15"/>
  <c r="Y432" i="15"/>
  <c r="AG432" i="15" s="1"/>
  <c r="AG509" i="15"/>
  <c r="AI509" i="15" s="1"/>
  <c r="Y518" i="15"/>
  <c r="AG518" i="15"/>
  <c r="AI518" i="15"/>
  <c r="AJ518" i="15" s="1"/>
  <c r="M520" i="15"/>
  <c r="AG554" i="15"/>
  <c r="AH556" i="15"/>
  <c r="AH565" i="15"/>
  <c r="AH567" i="15"/>
  <c r="M567" i="15"/>
  <c r="AF586" i="15"/>
  <c r="M596" i="15"/>
  <c r="AH621" i="15"/>
  <c r="AF35" i="15"/>
  <c r="AH35" i="15"/>
  <c r="AF183" i="15"/>
  <c r="AG235" i="15"/>
  <c r="AF290" i="15"/>
  <c r="AH290" i="15"/>
  <c r="AF304" i="15"/>
  <c r="AH304" i="15" s="1"/>
  <c r="M330" i="15"/>
  <c r="AI330" i="15" s="1"/>
  <c r="AF422" i="15"/>
  <c r="AH422" i="15"/>
  <c r="T422" i="15"/>
  <c r="AG422" i="15"/>
  <c r="AI422" i="15"/>
  <c r="AF496" i="15"/>
  <c r="AH496" i="15"/>
  <c r="Y496" i="15"/>
  <c r="AG496" i="15"/>
  <c r="M508" i="15"/>
  <c r="AH558" i="15"/>
  <c r="AF567" i="15"/>
  <c r="AG594" i="15"/>
  <c r="AH603" i="15"/>
  <c r="M603" i="15"/>
  <c r="AG616" i="15"/>
  <c r="AG258" i="15"/>
  <c r="AF604" i="15"/>
  <c r="Y604" i="15"/>
  <c r="T619" i="15"/>
  <c r="AI619" i="15"/>
  <c r="AF23" i="15"/>
  <c r="AH23" i="15" s="1"/>
  <c r="AF46" i="15"/>
  <c r="AH46" i="15"/>
  <c r="AG66" i="15"/>
  <c r="AG81" i="15"/>
  <c r="AF86" i="15"/>
  <c r="AH86" i="15" s="1"/>
  <c r="M13" i="15"/>
  <c r="Y21" i="15"/>
  <c r="AG21" i="15" s="1"/>
  <c r="AI21" i="15" s="1"/>
  <c r="T23" i="15"/>
  <c r="AG23" i="15" s="1"/>
  <c r="M25" i="15"/>
  <c r="Y33" i="15"/>
  <c r="T35" i="15"/>
  <c r="AG35" i="15"/>
  <c r="T38" i="15"/>
  <c r="M40" i="15"/>
  <c r="Y46" i="15"/>
  <c r="AG46" i="15" s="1"/>
  <c r="T86" i="15"/>
  <c r="AG86" i="15"/>
  <c r="AI86" i="15"/>
  <c r="AF114" i="15"/>
  <c r="AH114" i="15"/>
  <c r="AF116" i="15"/>
  <c r="AH116" i="15" s="1"/>
  <c r="T183" i="15"/>
  <c r="AG183" i="15" s="1"/>
  <c r="AI183" i="15" s="1"/>
  <c r="AF199" i="15"/>
  <c r="AH199" i="15" s="1"/>
  <c r="AF227" i="15"/>
  <c r="AH227" i="15"/>
  <c r="AF255" i="15"/>
  <c r="Y280" i="15"/>
  <c r="Y290" i="15"/>
  <c r="AG290" i="15"/>
  <c r="AI290" i="15"/>
  <c r="AH293" i="15"/>
  <c r="T293" i="15"/>
  <c r="AG293" i="15"/>
  <c r="AI293" i="15"/>
  <c r="AJ293" i="15" s="1"/>
  <c r="AF303" i="15"/>
  <c r="AH303" i="15"/>
  <c r="AJ303" i="15" s="1"/>
  <c r="Y304" i="15"/>
  <c r="M306" i="15"/>
  <c r="Y314" i="15"/>
  <c r="T317" i="15"/>
  <c r="AG317" i="15"/>
  <c r="M336" i="15"/>
  <c r="AI336" i="15" s="1"/>
  <c r="AJ336" i="15" s="1"/>
  <c r="AF340" i="15"/>
  <c r="AH340" i="15" s="1"/>
  <c r="M342" i="15"/>
  <c r="AG371" i="15"/>
  <c r="Y379" i="15"/>
  <c r="AG379" i="15"/>
  <c r="AI379" i="15"/>
  <c r="AF449" i="15"/>
  <c r="AH449" i="15"/>
  <c r="M493" i="15"/>
  <c r="AF506" i="15"/>
  <c r="AH506" i="15" s="1"/>
  <c r="Y506" i="15"/>
  <c r="AF589" i="15"/>
  <c r="T596" i="15"/>
  <c r="AF616" i="15"/>
  <c r="AF621" i="15"/>
  <c r="T621" i="15"/>
  <c r="AG621" i="15" s="1"/>
  <c r="AI621" i="15" s="1"/>
  <c r="AF264" i="15"/>
  <c r="AH264" i="15"/>
  <c r="AF331" i="15"/>
  <c r="AH331" i="15" s="1"/>
  <c r="AJ331" i="15" s="1"/>
  <c r="AF341" i="15"/>
  <c r="AH341" i="15" s="1"/>
  <c r="T341" i="15"/>
  <c r="AG341" i="15"/>
  <c r="AG351" i="15"/>
  <c r="AF377" i="15"/>
  <c r="AH377" i="15"/>
  <c r="T377" i="15"/>
  <c r="AG377" i="15" s="1"/>
  <c r="AF387" i="15"/>
  <c r="AH387" i="15"/>
  <c r="M440" i="15"/>
  <c r="AG476" i="15"/>
  <c r="AI476" i="15"/>
  <c r="AF499" i="15"/>
  <c r="AH499" i="15"/>
  <c r="T499" i="15"/>
  <c r="AG499" i="15" s="1"/>
  <c r="AI499" i="15" s="1"/>
  <c r="AF523" i="15"/>
  <c r="AH523" i="15" s="1"/>
  <c r="T523" i="15"/>
  <c r="AG523" i="15" s="1"/>
  <c r="AI523" i="15" s="1"/>
  <c r="AJ523" i="15" s="1"/>
  <c r="AF565" i="15"/>
  <c r="AH569" i="15"/>
  <c r="AH573" i="15"/>
  <c r="AH575" i="15"/>
  <c r="AF577" i="15"/>
  <c r="AH624" i="15"/>
  <c r="M624" i="15"/>
  <c r="AI624" i="15" s="1"/>
  <c r="AJ624" i="15" s="1"/>
  <c r="AF270" i="15"/>
  <c r="AH270" i="15"/>
  <c r="AF324" i="15"/>
  <c r="AH327" i="15"/>
  <c r="AH337" i="15"/>
  <c r="AG338" i="15"/>
  <c r="AI338" i="15" s="1"/>
  <c r="AF434" i="15"/>
  <c r="AH434" i="15" s="1"/>
  <c r="AF440" i="15"/>
  <c r="AH440" i="15" s="1"/>
  <c r="AF458" i="15"/>
  <c r="AH458" i="15"/>
  <c r="AG480" i="15"/>
  <c r="T495" i="15"/>
  <c r="AF519" i="15"/>
  <c r="AH519" i="15"/>
  <c r="T519" i="15"/>
  <c r="AG519" i="15" s="1"/>
  <c r="AI519" i="15" s="1"/>
  <c r="AJ519" i="15" s="1"/>
  <c r="AF551" i="15"/>
  <c r="AH551" i="15" s="1"/>
  <c r="AF575" i="15"/>
  <c r="AH594" i="15"/>
  <c r="AF322" i="15"/>
  <c r="AH322" i="15"/>
  <c r="AF330" i="15"/>
  <c r="AF338" i="15"/>
  <c r="AH338" i="15" s="1"/>
  <c r="AF342" i="15"/>
  <c r="AH342" i="15"/>
  <c r="AF381" i="15"/>
  <c r="AH381" i="15"/>
  <c r="AF399" i="15"/>
  <c r="AH399" i="15" s="1"/>
  <c r="AF452" i="15"/>
  <c r="AH452" i="15" s="1"/>
  <c r="AH514" i="15"/>
  <c r="AF602" i="15"/>
  <c r="AF606" i="15"/>
  <c r="AF618" i="15"/>
  <c r="AF624" i="15"/>
  <c r="AF444" i="15"/>
  <c r="AH444" i="15" s="1"/>
  <c r="AG464" i="15"/>
  <c r="AF592" i="15"/>
  <c r="T618" i="15"/>
  <c r="AG618" i="15"/>
  <c r="AF75" i="15"/>
  <c r="AH75" i="15" s="1"/>
  <c r="T75" i="15"/>
  <c r="AG75" i="15" s="1"/>
  <c r="AF87" i="15"/>
  <c r="T87" i="15"/>
  <c r="AG87" i="15"/>
  <c r="T91" i="15"/>
  <c r="AF107" i="15"/>
  <c r="AH107" i="15"/>
  <c r="T107" i="15"/>
  <c r="AG107" i="15"/>
  <c r="AI107" i="15" s="1"/>
  <c r="AF111" i="15"/>
  <c r="AH111" i="15"/>
  <c r="T111" i="15"/>
  <c r="Y170" i="15"/>
  <c r="AF170" i="15"/>
  <c r="AH170" i="15" s="1"/>
  <c r="M268" i="15"/>
  <c r="AH589" i="15"/>
  <c r="M589" i="15"/>
  <c r="AI589" i="15" s="1"/>
  <c r="AG10" i="15"/>
  <c r="M14" i="15"/>
  <c r="AF14" i="15"/>
  <c r="AH14" i="15"/>
  <c r="AF22" i="15"/>
  <c r="AF26" i="15"/>
  <c r="M30" i="15"/>
  <c r="M34" i="15"/>
  <c r="AF34" i="15"/>
  <c r="AH34" i="15" s="1"/>
  <c r="M133" i="15"/>
  <c r="M149" i="15"/>
  <c r="AI155" i="15"/>
  <c r="Y158" i="15"/>
  <c r="M165" i="15"/>
  <c r="Y174" i="15"/>
  <c r="AG174" i="15" s="1"/>
  <c r="AF174" i="15"/>
  <c r="AH174" i="15"/>
  <c r="AH206" i="15"/>
  <c r="T206" i="15"/>
  <c r="T207" i="15"/>
  <c r="AG207" i="15"/>
  <c r="AI207" i="15" s="1"/>
  <c r="AF207" i="15"/>
  <c r="AH207" i="15"/>
  <c r="M355" i="15"/>
  <c r="AF43" i="15"/>
  <c r="AG43" i="15"/>
  <c r="AF47" i="15"/>
  <c r="T47" i="15"/>
  <c r="AG47" i="15" s="1"/>
  <c r="AF55" i="15"/>
  <c r="AH55" i="15"/>
  <c r="T55" i="15"/>
  <c r="AG55" i="15" s="1"/>
  <c r="AI55" i="15"/>
  <c r="AF63" i="15"/>
  <c r="AH63" i="15" s="1"/>
  <c r="T63" i="15"/>
  <c r="AG63" i="15"/>
  <c r="AI63" i="15"/>
  <c r="T67" i="15"/>
  <c r="AF103" i="15"/>
  <c r="AH103" i="15" s="1"/>
  <c r="T103" i="15"/>
  <c r="AG103" i="15" s="1"/>
  <c r="AF115" i="15"/>
  <c r="AH115" i="15"/>
  <c r="T115" i="15"/>
  <c r="AG115" i="15" s="1"/>
  <c r="Y208" i="15"/>
  <c r="AG208" i="15" s="1"/>
  <c r="AI208" i="15" s="1"/>
  <c r="AF208" i="15"/>
  <c r="AH208" i="15" s="1"/>
  <c r="AF20" i="15"/>
  <c r="AH20" i="15"/>
  <c r="T20" i="15"/>
  <c r="AG20" i="15"/>
  <c r="T24" i="15"/>
  <c r="AG26" i="15"/>
  <c r="T28" i="15"/>
  <c r="Y130" i="15"/>
  <c r="AF130" i="15"/>
  <c r="AH130" i="15"/>
  <c r="M137" i="15"/>
  <c r="Y146" i="15"/>
  <c r="AG146" i="15"/>
  <c r="AF146" i="15"/>
  <c r="AH146" i="15"/>
  <c r="M153" i="15"/>
  <c r="AI159" i="15"/>
  <c r="Y162" i="15"/>
  <c r="M169" i="15"/>
  <c r="AI169" i="15" s="1"/>
  <c r="AF51" i="15"/>
  <c r="AH51" i="15"/>
  <c r="T51" i="15"/>
  <c r="AG51" i="15" s="1"/>
  <c r="AH79" i="15"/>
  <c r="T79" i="15"/>
  <c r="AG79" i="15"/>
  <c r="AI79" i="15"/>
  <c r="AF99" i="15"/>
  <c r="AH99" i="15"/>
  <c r="T99" i="15"/>
  <c r="Y138" i="15"/>
  <c r="AG138" i="15"/>
  <c r="AF138" i="15"/>
  <c r="AH138" i="15" s="1"/>
  <c r="Y154" i="15"/>
  <c r="AF154" i="15"/>
  <c r="AH154" i="15"/>
  <c r="AF8" i="15"/>
  <c r="AH8" i="15"/>
  <c r="T12" i="15"/>
  <c r="AG12" i="15" s="1"/>
  <c r="AI12" i="15" s="1"/>
  <c r="AH16" i="15"/>
  <c r="T16" i="15"/>
  <c r="AG16" i="15"/>
  <c r="AI16" i="15"/>
  <c r="AF32" i="15"/>
  <c r="AH32" i="15"/>
  <c r="AG32" i="15"/>
  <c r="AI32" i="15" s="1"/>
  <c r="AG8" i="15"/>
  <c r="AI8" i="15"/>
  <c r="M37" i="15"/>
  <c r="M41" i="15"/>
  <c r="M45" i="15"/>
  <c r="M49" i="15"/>
  <c r="M53" i="15"/>
  <c r="M57" i="15"/>
  <c r="M61" i="15"/>
  <c r="M65" i="15"/>
  <c r="M69" i="15"/>
  <c r="M73" i="15"/>
  <c r="M77" i="15"/>
  <c r="AI77" i="15" s="1"/>
  <c r="M81" i="15"/>
  <c r="AI81" i="15" s="1"/>
  <c r="M85" i="15"/>
  <c r="M89" i="15"/>
  <c r="M93" i="15"/>
  <c r="M97" i="15"/>
  <c r="M101" i="15"/>
  <c r="AI101" i="15" s="1"/>
  <c r="M109" i="15"/>
  <c r="M113" i="15"/>
  <c r="AI113" i="15"/>
  <c r="AF119" i="15"/>
  <c r="AH119" i="15" s="1"/>
  <c r="AF123" i="15"/>
  <c r="AF127" i="15"/>
  <c r="AH127" i="15" s="1"/>
  <c r="Y134" i="15"/>
  <c r="AG134" i="15" s="1"/>
  <c r="AI134" i="15" s="1"/>
  <c r="AF134" i="15"/>
  <c r="AH134" i="15" s="1"/>
  <c r="M141" i="15"/>
  <c r="AI141" i="15" s="1"/>
  <c r="AG150" i="15"/>
  <c r="AI150" i="15" s="1"/>
  <c r="M157" i="15"/>
  <c r="AG166" i="15"/>
  <c r="AF166" i="15"/>
  <c r="AH166" i="15" s="1"/>
  <c r="M173" i="15"/>
  <c r="AF176" i="15"/>
  <c r="AH176" i="15" s="1"/>
  <c r="T176" i="15"/>
  <c r="AG176" i="15"/>
  <c r="AF180" i="15"/>
  <c r="AH180" i="15" s="1"/>
  <c r="T180" i="15"/>
  <c r="AG180" i="15"/>
  <c r="AI180" i="15"/>
  <c r="AF184" i="15"/>
  <c r="T184" i="15"/>
  <c r="AG184" i="15"/>
  <c r="T188" i="15"/>
  <c r="AG188" i="15" s="1"/>
  <c r="AF121" i="15"/>
  <c r="AH121" i="15" s="1"/>
  <c r="AH125" i="15"/>
  <c r="AF128" i="15"/>
  <c r="AH128" i="15"/>
  <c r="T128" i="15"/>
  <c r="AG128" i="15"/>
  <c r="AI128" i="15" s="1"/>
  <c r="M130" i="15"/>
  <c r="AH132" i="15"/>
  <c r="T132" i="15"/>
  <c r="AG132" i="15"/>
  <c r="AI132" i="15" s="1"/>
  <c r="M134" i="15"/>
  <c r="AF136" i="15"/>
  <c r="AH136" i="15" s="1"/>
  <c r="T136" i="15"/>
  <c r="AG136" i="15" s="1"/>
  <c r="AI136" i="15"/>
  <c r="M138" i="15"/>
  <c r="AF140" i="15"/>
  <c r="AH140" i="15" s="1"/>
  <c r="T140" i="15"/>
  <c r="AG140" i="15" s="1"/>
  <c r="AI140" i="15"/>
  <c r="M142" i="15"/>
  <c r="AF144" i="15"/>
  <c r="AH144" i="15"/>
  <c r="T144" i="15"/>
  <c r="AG144" i="15" s="1"/>
  <c r="AI144" i="15" s="1"/>
  <c r="M146" i="15"/>
  <c r="AI146" i="15" s="1"/>
  <c r="AF148" i="15"/>
  <c r="AH148" i="15" s="1"/>
  <c r="T148" i="15"/>
  <c r="AG148" i="15"/>
  <c r="AI148" i="15"/>
  <c r="M150" i="15"/>
  <c r="AF152" i="15"/>
  <c r="AH152" i="15"/>
  <c r="T152" i="15"/>
  <c r="AG152" i="15"/>
  <c r="AI152" i="15"/>
  <c r="M154" i="15"/>
  <c r="AF156" i="15"/>
  <c r="AH156" i="15" s="1"/>
  <c r="T156" i="15"/>
  <c r="AG156" i="15"/>
  <c r="AI156" i="15"/>
  <c r="AF160" i="15"/>
  <c r="AH160" i="15"/>
  <c r="T160" i="15"/>
  <c r="AG160" i="15" s="1"/>
  <c r="AI160" i="15" s="1"/>
  <c r="M162" i="15"/>
  <c r="AF164" i="15"/>
  <c r="AH164" i="15" s="1"/>
  <c r="T164" i="15"/>
  <c r="AG164" i="15"/>
  <c r="AI164" i="15"/>
  <c r="M166" i="15"/>
  <c r="AI166" i="15" s="1"/>
  <c r="AF168" i="15"/>
  <c r="AH168" i="15"/>
  <c r="T168" i="15"/>
  <c r="M170" i="15"/>
  <c r="AF172" i="15"/>
  <c r="AH172" i="15"/>
  <c r="T172" i="15"/>
  <c r="AG172" i="15"/>
  <c r="AI172" i="15" s="1"/>
  <c r="M174" i="15"/>
  <c r="AG204" i="15"/>
  <c r="AI204" i="15"/>
  <c r="M208" i="15"/>
  <c r="M209" i="15"/>
  <c r="AF210" i="15"/>
  <c r="AH210" i="15"/>
  <c r="T210" i="15"/>
  <c r="AG210" i="15"/>
  <c r="AI210" i="15" s="1"/>
  <c r="AH219" i="15"/>
  <c r="T219" i="15"/>
  <c r="AG219" i="15" s="1"/>
  <c r="AI219" i="15" s="1"/>
  <c r="AF225" i="15"/>
  <c r="AH225" i="15" s="1"/>
  <c r="T225" i="15"/>
  <c r="AG225" i="15"/>
  <c r="AI225" i="15" s="1"/>
  <c r="AF229" i="15"/>
  <c r="AH229" i="15"/>
  <c r="T229" i="15"/>
  <c r="AF233" i="15"/>
  <c r="AH233" i="15"/>
  <c r="T233" i="15"/>
  <c r="AG233" i="15"/>
  <c r="AI233" i="15" s="1"/>
  <c r="T237" i="15"/>
  <c r="AG237" i="15"/>
  <c r="AI237" i="15" s="1"/>
  <c r="AF241" i="15"/>
  <c r="AH241" i="15" s="1"/>
  <c r="T241" i="15"/>
  <c r="AG241" i="15"/>
  <c r="AI241" i="15" s="1"/>
  <c r="AF245" i="15"/>
  <c r="AH245" i="15"/>
  <c r="T245" i="15"/>
  <c r="AG245" i="15" s="1"/>
  <c r="AI245" i="15"/>
  <c r="T253" i="15"/>
  <c r="AF257" i="15"/>
  <c r="AH257" i="15" s="1"/>
  <c r="T257" i="15"/>
  <c r="AG257" i="15" s="1"/>
  <c r="AI257" i="15" s="1"/>
  <c r="AJ257" i="15" s="1"/>
  <c r="AF273" i="15"/>
  <c r="AH273" i="15" s="1"/>
  <c r="T273" i="15"/>
  <c r="AG273" i="15"/>
  <c r="AI273" i="15"/>
  <c r="M367" i="15"/>
  <c r="M178" i="15"/>
  <c r="AI178" i="15" s="1"/>
  <c r="M182" i="15"/>
  <c r="M186" i="15"/>
  <c r="M190" i="15"/>
  <c r="AI190" i="15" s="1"/>
  <c r="AF192" i="15"/>
  <c r="T192" i="15"/>
  <c r="AG192" i="15" s="1"/>
  <c r="Y198" i="15"/>
  <c r="AG198" i="15" s="1"/>
  <c r="AF198" i="15"/>
  <c r="AH198" i="15"/>
  <c r="AF209" i="15"/>
  <c r="AH209" i="15" s="1"/>
  <c r="M212" i="15"/>
  <c r="M213" i="15"/>
  <c r="AF214" i="15"/>
  <c r="AH214" i="15" s="1"/>
  <c r="T214" i="15"/>
  <c r="AG214" i="15" s="1"/>
  <c r="AF215" i="15"/>
  <c r="AH215" i="15"/>
  <c r="T215" i="15"/>
  <c r="AG215" i="15" s="1"/>
  <c r="AI215" i="15"/>
  <c r="Y224" i="15"/>
  <c r="AG224" i="15"/>
  <c r="AF224" i="15"/>
  <c r="AH224" i="15" s="1"/>
  <c r="Y228" i="15"/>
  <c r="Y232" i="15"/>
  <c r="AG232" i="15" s="1"/>
  <c r="AF232" i="15"/>
  <c r="AH232" i="15"/>
  <c r="Y236" i="15"/>
  <c r="Y240" i="15"/>
  <c r="AG240" i="15"/>
  <c r="AF240" i="15"/>
  <c r="AH240" i="15" s="1"/>
  <c r="Y244" i="15"/>
  <c r="AG244" i="15" s="1"/>
  <c r="AI244" i="15" s="1"/>
  <c r="AF244" i="15"/>
  <c r="AH244" i="15"/>
  <c r="Y248" i="15"/>
  <c r="AG248" i="15"/>
  <c r="AI248" i="15" s="1"/>
  <c r="AF248" i="15"/>
  <c r="AH248" i="15"/>
  <c r="Y252" i="15"/>
  <c r="Y256" i="15"/>
  <c r="AG256" i="15"/>
  <c r="AH260" i="15"/>
  <c r="M260" i="15"/>
  <c r="M276" i="15"/>
  <c r="AF404" i="15"/>
  <c r="AH404" i="15"/>
  <c r="T119" i="15"/>
  <c r="AG119" i="15"/>
  <c r="AI119" i="15"/>
  <c r="T123" i="15"/>
  <c r="AG123" i="15"/>
  <c r="AI123" i="15"/>
  <c r="T127" i="15"/>
  <c r="AF139" i="15"/>
  <c r="AH139" i="15" s="1"/>
  <c r="AF143" i="15"/>
  <c r="AF151" i="15"/>
  <c r="AH151" i="15" s="1"/>
  <c r="AF159" i="15"/>
  <c r="AH159" i="15" s="1"/>
  <c r="AF163" i="15"/>
  <c r="AH163" i="15"/>
  <c r="AF167" i="15"/>
  <c r="AH167" i="15"/>
  <c r="AF171" i="15"/>
  <c r="M194" i="15"/>
  <c r="M195" i="15"/>
  <c r="Y202" i="15"/>
  <c r="AG202" i="15"/>
  <c r="AI202" i="15"/>
  <c r="AF202" i="15"/>
  <c r="AH202" i="15"/>
  <c r="AF213" i="15"/>
  <c r="AH213" i="15"/>
  <c r="AF265" i="15"/>
  <c r="T265" i="15"/>
  <c r="AG265" i="15" s="1"/>
  <c r="AF475" i="15"/>
  <c r="AH475" i="15"/>
  <c r="T475" i="15"/>
  <c r="AG475" i="15"/>
  <c r="AI475" i="15"/>
  <c r="AJ475" i="15" s="1"/>
  <c r="AF476" i="15"/>
  <c r="AH476" i="15"/>
  <c r="AJ476" i="15" s="1"/>
  <c r="AF197" i="15"/>
  <c r="AH197" i="15"/>
  <c r="AF201" i="15"/>
  <c r="AH201" i="15"/>
  <c r="AF204" i="15"/>
  <c r="AH204" i="15"/>
  <c r="AF205" i="15"/>
  <c r="AH205" i="15" s="1"/>
  <c r="M224" i="15"/>
  <c r="M228" i="15"/>
  <c r="M232" i="15"/>
  <c r="M236" i="15"/>
  <c r="M240" i="15"/>
  <c r="M244" i="15"/>
  <c r="M248" i="15"/>
  <c r="M252" i="15"/>
  <c r="M256" i="15"/>
  <c r="AF258" i="15"/>
  <c r="AH258" i="15"/>
  <c r="AJ258" i="15" s="1"/>
  <c r="AF266" i="15"/>
  <c r="AH266" i="15" s="1"/>
  <c r="M343" i="15"/>
  <c r="M347" i="15"/>
  <c r="AI347" i="15" s="1"/>
  <c r="Y352" i="15"/>
  <c r="AG352" i="15" s="1"/>
  <c r="AI352" i="15" s="1"/>
  <c r="AF352" i="15"/>
  <c r="AH352" i="15"/>
  <c r="AF467" i="15"/>
  <c r="AH467" i="15"/>
  <c r="T467" i="15"/>
  <c r="AG467" i="15"/>
  <c r="AI467" i="15" s="1"/>
  <c r="AJ467" i="15" s="1"/>
  <c r="AF468" i="15"/>
  <c r="AH468" i="15"/>
  <c r="M474" i="15"/>
  <c r="T191" i="15"/>
  <c r="AG191" i="15" s="1"/>
  <c r="AI191" i="15" s="1"/>
  <c r="T195" i="15"/>
  <c r="M197" i="15"/>
  <c r="T199" i="15"/>
  <c r="AG199" i="15"/>
  <c r="AI199" i="15"/>
  <c r="M201" i="15"/>
  <c r="AI201" i="15" s="1"/>
  <c r="M205" i="15"/>
  <c r="T209" i="15"/>
  <c r="T213" i="15"/>
  <c r="M217" i="15"/>
  <c r="T218" i="15"/>
  <c r="AG218" i="15" s="1"/>
  <c r="AI218" i="15" s="1"/>
  <c r="M221" i="15"/>
  <c r="T222" i="15"/>
  <c r="AG222" i="15" s="1"/>
  <c r="AI222" i="15" s="1"/>
  <c r="M258" i="15"/>
  <c r="T263" i="15"/>
  <c r="AG263" i="15" s="1"/>
  <c r="AI263" i="15" s="1"/>
  <c r="AJ263" i="15" s="1"/>
  <c r="M266" i="15"/>
  <c r="AI266" i="15" s="1"/>
  <c r="AJ266" i="15" s="1"/>
  <c r="AF345" i="15"/>
  <c r="AH345" i="15"/>
  <c r="T345" i="15"/>
  <c r="AG345" i="15" s="1"/>
  <c r="AG347" i="15"/>
  <c r="Y356" i="15"/>
  <c r="AG356" i="15"/>
  <c r="AF356" i="15"/>
  <c r="AH356" i="15"/>
  <c r="M363" i="15"/>
  <c r="AF367" i="15"/>
  <c r="AH367" i="15"/>
  <c r="AH371" i="15"/>
  <c r="M371" i="15"/>
  <c r="AI371" i="15" s="1"/>
  <c r="M466" i="15"/>
  <c r="AI466" i="15" s="1"/>
  <c r="AJ466" i="15" s="1"/>
  <c r="AF226" i="15"/>
  <c r="AH226" i="15"/>
  <c r="T226" i="15"/>
  <c r="AG226" i="15" s="1"/>
  <c r="AF230" i="15"/>
  <c r="AH230" i="15"/>
  <c r="T230" i="15"/>
  <c r="AG230" i="15"/>
  <c r="AF234" i="15"/>
  <c r="AH234" i="15"/>
  <c r="T234" i="15"/>
  <c r="AG234" i="15" s="1"/>
  <c r="AF238" i="15"/>
  <c r="AH238" i="15" s="1"/>
  <c r="T238" i="15"/>
  <c r="AG238" i="15"/>
  <c r="AI238" i="15" s="1"/>
  <c r="AF242" i="15"/>
  <c r="AH242" i="15" s="1"/>
  <c r="T242" i="15"/>
  <c r="AG242" i="15" s="1"/>
  <c r="AI242" i="15" s="1"/>
  <c r="T246" i="15"/>
  <c r="AF250" i="15"/>
  <c r="AH250" i="15"/>
  <c r="T250" i="15"/>
  <c r="AG250" i="15"/>
  <c r="AF254" i="15"/>
  <c r="AH254" i="15"/>
  <c r="T254" i="15"/>
  <c r="AG254" i="15"/>
  <c r="AG349" i="15"/>
  <c r="AI349" i="15" s="1"/>
  <c r="M351" i="15"/>
  <c r="AI351" i="15" s="1"/>
  <c r="Y360" i="15"/>
  <c r="AG360" i="15"/>
  <c r="AF360" i="15"/>
  <c r="AH360" i="15" s="1"/>
  <c r="T374" i="15"/>
  <c r="T378" i="15"/>
  <c r="AH380" i="15"/>
  <c r="M380" i="15"/>
  <c r="AI380" i="15" s="1"/>
  <c r="M384" i="15"/>
  <c r="AI384" i="15"/>
  <c r="AF386" i="15"/>
  <c r="T386" i="15"/>
  <c r="AG386" i="15"/>
  <c r="M388" i="15"/>
  <c r="AF390" i="15"/>
  <c r="AH390" i="15" s="1"/>
  <c r="T390" i="15"/>
  <c r="AG390" i="15"/>
  <c r="AI390" i="15"/>
  <c r="M392" i="15"/>
  <c r="AF394" i="15"/>
  <c r="AH394" i="15"/>
  <c r="T394" i="15"/>
  <c r="AG394" i="15" s="1"/>
  <c r="AI394" i="15"/>
  <c r="M396" i="15"/>
  <c r="AF400" i="15"/>
  <c r="AH400" i="15"/>
  <c r="T400" i="15"/>
  <c r="AG400" i="15" s="1"/>
  <c r="AF350" i="15"/>
  <c r="AH350" i="15"/>
  <c r="T350" i="15"/>
  <c r="AG350" i="15" s="1"/>
  <c r="AI350" i="15" s="1"/>
  <c r="M352" i="15"/>
  <c r="AF354" i="15"/>
  <c r="T354" i="15"/>
  <c r="AG354" i="15"/>
  <c r="M356" i="15"/>
  <c r="AF358" i="15"/>
  <c r="AH358" i="15" s="1"/>
  <c r="T358" i="15"/>
  <c r="AG358" i="15" s="1"/>
  <c r="AI358" i="15"/>
  <c r="M360" i="15"/>
  <c r="AF362" i="15"/>
  <c r="AH362" i="15" s="1"/>
  <c r="AG362" i="15"/>
  <c r="AI362" i="15" s="1"/>
  <c r="AF366" i="15"/>
  <c r="AH366" i="15"/>
  <c r="T366" i="15"/>
  <c r="AG366" i="15" s="1"/>
  <c r="AI366" i="15" s="1"/>
  <c r="AG368" i="15"/>
  <c r="AF368" i="15"/>
  <c r="AH368" i="15"/>
  <c r="AF370" i="15"/>
  <c r="AH370" i="15"/>
  <c r="T370" i="15"/>
  <c r="AG370" i="15" s="1"/>
  <c r="AI370" i="15" s="1"/>
  <c r="AG372" i="15"/>
  <c r="AF372" i="15"/>
  <c r="AH372" i="15" s="1"/>
  <c r="AF402" i="15"/>
  <c r="AH402" i="15"/>
  <c r="T402" i="15"/>
  <c r="AG402" i="15"/>
  <c r="AI402" i="15"/>
  <c r="M404" i="15"/>
  <c r="AI404" i="15" s="1"/>
  <c r="AF406" i="15"/>
  <c r="AH406" i="15"/>
  <c r="T406" i="15"/>
  <c r="AG406" i="15"/>
  <c r="AI406" i="15" s="1"/>
  <c r="Y469" i="15"/>
  <c r="AG469" i="15"/>
  <c r="AI469" i="15" s="1"/>
  <c r="AF469" i="15"/>
  <c r="AH469" i="15"/>
  <c r="Y477" i="15"/>
  <c r="AF477" i="15"/>
  <c r="AH477" i="15"/>
  <c r="T482" i="15"/>
  <c r="AG482" i="15" s="1"/>
  <c r="AI482" i="15" s="1"/>
  <c r="AF482" i="15"/>
  <c r="AH482" i="15" s="1"/>
  <c r="T484" i="15"/>
  <c r="AG484" i="15" s="1"/>
  <c r="AI484" i="15" s="1"/>
  <c r="AJ484" i="15" s="1"/>
  <c r="AF484" i="15"/>
  <c r="AH484" i="15" s="1"/>
  <c r="T486" i="15"/>
  <c r="AG486" i="15" s="1"/>
  <c r="AI486" i="15" s="1"/>
  <c r="AF486" i="15"/>
  <c r="AH486" i="15" s="1"/>
  <c r="AJ486" i="15" s="1"/>
  <c r="T488" i="15"/>
  <c r="AG488" i="15"/>
  <c r="AI488" i="15"/>
  <c r="AJ488" i="15" s="1"/>
  <c r="AF488" i="15"/>
  <c r="AH488" i="15" s="1"/>
  <c r="M491" i="15"/>
  <c r="M401" i="15"/>
  <c r="M429" i="15"/>
  <c r="AF431" i="15"/>
  <c r="AH431" i="15"/>
  <c r="T431" i="15"/>
  <c r="AG431" i="15"/>
  <c r="AI431" i="15" s="1"/>
  <c r="M433" i="15"/>
  <c r="AF435" i="15"/>
  <c r="AH435" i="15" s="1"/>
  <c r="T435" i="15"/>
  <c r="AG435" i="15" s="1"/>
  <c r="AI435" i="15" s="1"/>
  <c r="M437" i="15"/>
  <c r="AF439" i="15"/>
  <c r="AH439" i="15"/>
  <c r="T439" i="15"/>
  <c r="AG439" i="15" s="1"/>
  <c r="AI439" i="15" s="1"/>
  <c r="M441" i="15"/>
  <c r="AF443" i="15"/>
  <c r="AH443" i="15"/>
  <c r="T443" i="15"/>
  <c r="AG443" i="15"/>
  <c r="AI443" i="15" s="1"/>
  <c r="M445" i="15"/>
  <c r="AF447" i="15"/>
  <c r="AH447" i="15" s="1"/>
  <c r="T447" i="15"/>
  <c r="AG447" i="15"/>
  <c r="AI447" i="15"/>
  <c r="M449" i="15"/>
  <c r="AF451" i="15"/>
  <c r="AH451" i="15" s="1"/>
  <c r="T451" i="15"/>
  <c r="AG451" i="15"/>
  <c r="AI451" i="15" s="1"/>
  <c r="AH455" i="15"/>
  <c r="T455" i="15"/>
  <c r="AG455" i="15"/>
  <c r="M457" i="15"/>
  <c r="AF459" i="15"/>
  <c r="AH459" i="15"/>
  <c r="T459" i="15"/>
  <c r="AG459" i="15"/>
  <c r="AI459" i="15"/>
  <c r="AF463" i="15"/>
  <c r="T463" i="15"/>
  <c r="AG463" i="15" s="1"/>
  <c r="AF464" i="15"/>
  <c r="AH464" i="15" s="1"/>
  <c r="AJ464" i="15" s="1"/>
  <c r="AF471" i="15"/>
  <c r="T471" i="15"/>
  <c r="AG471" i="15"/>
  <c r="AF472" i="15"/>
  <c r="AH472" i="15"/>
  <c r="AF479" i="15"/>
  <c r="AH479" i="15"/>
  <c r="T479" i="15"/>
  <c r="AG479" i="15"/>
  <c r="AI479" i="15"/>
  <c r="AJ479" i="15" s="1"/>
  <c r="AF480" i="15"/>
  <c r="AH480" i="15"/>
  <c r="AF349" i="15"/>
  <c r="AH349" i="15"/>
  <c r="AF353" i="15"/>
  <c r="AH353" i="15"/>
  <c r="AF357" i="15"/>
  <c r="AH357" i="15"/>
  <c r="M364" i="15"/>
  <c r="T365" i="15"/>
  <c r="AG365" i="15" s="1"/>
  <c r="M368" i="15"/>
  <c r="AI368" i="15" s="1"/>
  <c r="T369" i="15"/>
  <c r="AG369" i="15" s="1"/>
  <c r="AI369" i="15" s="1"/>
  <c r="M372" i="15"/>
  <c r="T373" i="15"/>
  <c r="AG373" i="15"/>
  <c r="AI373" i="15"/>
  <c r="AI387" i="15"/>
  <c r="Y465" i="15"/>
  <c r="AG465" i="15"/>
  <c r="AI465" i="15"/>
  <c r="AJ465" i="15" s="1"/>
  <c r="AF465" i="15"/>
  <c r="AH465" i="15"/>
  <c r="Y473" i="15"/>
  <c r="AG473" i="15"/>
  <c r="AH473" i="15"/>
  <c r="Y481" i="15"/>
  <c r="AG481" i="15"/>
  <c r="AI481" i="15" s="1"/>
  <c r="AF481" i="15"/>
  <c r="AH481" i="15"/>
  <c r="T483" i="15"/>
  <c r="AG483" i="15" s="1"/>
  <c r="AI483" i="15" s="1"/>
  <c r="AJ483" i="15" s="1"/>
  <c r="AF483" i="15"/>
  <c r="AH483" i="15"/>
  <c r="T485" i="15"/>
  <c r="AG485" i="15" s="1"/>
  <c r="AI485" i="15" s="1"/>
  <c r="AJ485" i="15" s="1"/>
  <c r="AF485" i="15"/>
  <c r="AH485" i="15" s="1"/>
  <c r="T487" i="15"/>
  <c r="AG487" i="15"/>
  <c r="AF530" i="15"/>
  <c r="AH530" i="15"/>
  <c r="T530" i="15"/>
  <c r="AG530" i="15"/>
  <c r="AF534" i="15"/>
  <c r="AH534" i="15" s="1"/>
  <c r="T534" i="15"/>
  <c r="AG534" i="15"/>
  <c r="AI534" i="15"/>
  <c r="AF538" i="15"/>
  <c r="AH538" i="15" s="1"/>
  <c r="T538" i="15"/>
  <c r="AG538" i="15" s="1"/>
  <c r="T542" i="15"/>
  <c r="AF546" i="15"/>
  <c r="AH546" i="15"/>
  <c r="T546" i="15"/>
  <c r="AG546" i="15"/>
  <c r="AI546" i="15"/>
  <c r="AI461" i="15"/>
  <c r="AF466" i="15"/>
  <c r="AH466" i="15"/>
  <c r="AF470" i="15"/>
  <c r="AH470" i="15"/>
  <c r="AF478" i="15"/>
  <c r="AH478" i="15"/>
  <c r="M525" i="15"/>
  <c r="AF559" i="15"/>
  <c r="AH559" i="15"/>
  <c r="T559" i="15"/>
  <c r="AG559" i="15"/>
  <c r="AI559" i="15" s="1"/>
  <c r="AJ559" i="15" s="1"/>
  <c r="AF574" i="15"/>
  <c r="T574" i="15"/>
  <c r="AG574" i="15" s="1"/>
  <c r="AI574" i="15"/>
  <c r="AH574" i="15"/>
  <c r="AF461" i="15"/>
  <c r="AH461" i="15" s="1"/>
  <c r="M489" i="15"/>
  <c r="AF490" i="15"/>
  <c r="AH490" i="15"/>
  <c r="T490" i="15"/>
  <c r="AG490" i="15" s="1"/>
  <c r="M494" i="15"/>
  <c r="AF524" i="15"/>
  <c r="AH524" i="15"/>
  <c r="T524" i="15"/>
  <c r="AG524" i="15" s="1"/>
  <c r="AI524" i="15" s="1"/>
  <c r="AJ524" i="15" s="1"/>
  <c r="M528" i="15"/>
  <c r="AF528" i="15"/>
  <c r="AH528" i="15"/>
  <c r="AG529" i="15"/>
  <c r="AI529" i="15" s="1"/>
  <c r="AH531" i="15"/>
  <c r="M532" i="15"/>
  <c r="AF532" i="15"/>
  <c r="AH532" i="15" s="1"/>
  <c r="M536" i="15"/>
  <c r="AF536" i="15"/>
  <c r="AH536" i="15"/>
  <c r="AG537" i="15"/>
  <c r="M540" i="15"/>
  <c r="AI540" i="15" s="1"/>
  <c r="AF540" i="15"/>
  <c r="AG541" i="15"/>
  <c r="AH544" i="15"/>
  <c r="M544" i="15"/>
  <c r="AF544" i="15"/>
  <c r="AG545" i="15"/>
  <c r="M548" i="15"/>
  <c r="AF548" i="15"/>
  <c r="AH548" i="15" s="1"/>
  <c r="T584" i="15"/>
  <c r="AG584" i="15" s="1"/>
  <c r="AI584" i="15" s="1"/>
  <c r="AJ584" i="15" s="1"/>
  <c r="AF584" i="15"/>
  <c r="AG528" i="15"/>
  <c r="AI528" i="15" s="1"/>
  <c r="AG532" i="15"/>
  <c r="AG536" i="15"/>
  <c r="AG540" i="15"/>
  <c r="AG544" i="15"/>
  <c r="AI544" i="15" s="1"/>
  <c r="AG548" i="15"/>
  <c r="AI548" i="15" s="1"/>
  <c r="AG549" i="15"/>
  <c r="AI549" i="15"/>
  <c r="T566" i="15"/>
  <c r="AF526" i="15"/>
  <c r="AH526" i="15"/>
  <c r="T526" i="15"/>
  <c r="AG526" i="15"/>
  <c r="AI526" i="15" s="1"/>
  <c r="AF570" i="15"/>
  <c r="T570" i="15"/>
  <c r="AG570" i="15"/>
  <c r="AI570" i="15" s="1"/>
  <c r="AH570" i="15"/>
  <c r="AF529" i="15"/>
  <c r="AH529" i="15"/>
  <c r="AF533" i="15"/>
  <c r="AH533" i="15" s="1"/>
  <c r="AF537" i="15"/>
  <c r="AH537" i="15"/>
  <c r="AF541" i="15"/>
  <c r="AH541" i="15" s="1"/>
  <c r="AF545" i="15"/>
  <c r="AH545" i="15" s="1"/>
  <c r="AF552" i="15"/>
  <c r="AH552" i="15"/>
  <c r="AF554" i="15"/>
  <c r="AH554" i="15" s="1"/>
  <c r="AH555" i="15"/>
  <c r="AH557" i="15"/>
  <c r="AF558" i="15"/>
  <c r="AG561" i="15"/>
  <c r="AI561" i="15" s="1"/>
  <c r="AF562" i="15"/>
  <c r="T562" i="15"/>
  <c r="AG562" i="15" s="1"/>
  <c r="AI562" i="15" s="1"/>
  <c r="AH562" i="15"/>
  <c r="AG565" i="15"/>
  <c r="AI565" i="15" s="1"/>
  <c r="AH568" i="15"/>
  <c r="M568" i="15"/>
  <c r="AH572" i="15"/>
  <c r="M572" i="15"/>
  <c r="AI572" i="15" s="1"/>
  <c r="AG573" i="15"/>
  <c r="AH576" i="15"/>
  <c r="M576" i="15"/>
  <c r="AH578" i="15"/>
  <c r="M578" i="15"/>
  <c r="AH580" i="15"/>
  <c r="M580" i="15"/>
  <c r="AF581" i="15"/>
  <c r="T581" i="15"/>
  <c r="AG581" i="15" s="1"/>
  <c r="M585" i="15"/>
  <c r="AH585" i="15"/>
  <c r="T527" i="15"/>
  <c r="M529" i="15"/>
  <c r="M533" i="15"/>
  <c r="T535" i="15"/>
  <c r="AG535" i="15"/>
  <c r="AI535" i="15"/>
  <c r="M537" i="15"/>
  <c r="AI537" i="15" s="1"/>
  <c r="T539" i="15"/>
  <c r="AG539" i="15"/>
  <c r="AI539" i="15" s="1"/>
  <c r="M541" i="15"/>
  <c r="AI541" i="15" s="1"/>
  <c r="T543" i="15"/>
  <c r="M545" i="15"/>
  <c r="AI545" i="15" s="1"/>
  <c r="T547" i="15"/>
  <c r="AG547" i="15" s="1"/>
  <c r="AI547" i="15" s="1"/>
  <c r="M550" i="15"/>
  <c r="T551" i="15"/>
  <c r="AG551" i="15"/>
  <c r="AI551" i="15"/>
  <c r="AJ551" i="15" s="1"/>
  <c r="M552" i="15"/>
  <c r="AI552" i="15"/>
  <c r="AJ552" i="15" s="1"/>
  <c r="T553" i="15"/>
  <c r="AG553" i="15"/>
  <c r="AI553" i="15" s="1"/>
  <c r="AJ553" i="15" s="1"/>
  <c r="M554" i="15"/>
  <c r="AI554" i="15" s="1"/>
  <c r="T555" i="15"/>
  <c r="M556" i="15"/>
  <c r="T557" i="15"/>
  <c r="AG557" i="15"/>
  <c r="AI557" i="15"/>
  <c r="M558" i="15"/>
  <c r="AG572" i="15"/>
  <c r="AF576" i="15"/>
  <c r="AF578" i="15"/>
  <c r="AG580" i="15"/>
  <c r="AH584" i="15"/>
  <c r="M591" i="15"/>
  <c r="AI591" i="15" s="1"/>
  <c r="AH591" i="15"/>
  <c r="M595" i="15"/>
  <c r="AI595" i="15" s="1"/>
  <c r="AH595" i="15"/>
  <c r="M599" i="15"/>
  <c r="AI599" i="15" s="1"/>
  <c r="AH599" i="15"/>
  <c r="AE610" i="15"/>
  <c r="AG610" i="15" s="1"/>
  <c r="AI610" i="15" s="1"/>
  <c r="AJ610" i="15" s="1"/>
  <c r="AH610" i="15"/>
  <c r="T614" i="15"/>
  <c r="AG614" i="15"/>
  <c r="AI614" i="15"/>
  <c r="AF614" i="15"/>
  <c r="AH614" i="15"/>
  <c r="AH560" i="15"/>
  <c r="M560" i="15"/>
  <c r="AH564" i="15"/>
  <c r="M564" i="15"/>
  <c r="AH577" i="15"/>
  <c r="M577" i="15"/>
  <c r="AI577" i="15" s="1"/>
  <c r="AH579" i="15"/>
  <c r="M579" i="15"/>
  <c r="AI579" i="15" s="1"/>
  <c r="AH590" i="15"/>
  <c r="M590" i="15"/>
  <c r="AI590" i="15" s="1"/>
  <c r="M609" i="15"/>
  <c r="AH609" i="15"/>
  <c r="AJ609" i="15" s="1"/>
  <c r="M613" i="15"/>
  <c r="AH613" i="15"/>
  <c r="AF561" i="15"/>
  <c r="AF569" i="15"/>
  <c r="AF573" i="15"/>
  <c r="AH582" i="15"/>
  <c r="AF583" i="15"/>
  <c r="AF588" i="15"/>
  <c r="AF594" i="15"/>
  <c r="M561" i="15"/>
  <c r="T563" i="15"/>
  <c r="AG563" i="15"/>
  <c r="M565" i="15"/>
  <c r="T567" i="15"/>
  <c r="AG567" i="15" s="1"/>
  <c r="AI567" i="15" s="1"/>
  <c r="M569" i="15"/>
  <c r="AI569" i="15" s="1"/>
  <c r="T571" i="15"/>
  <c r="M573" i="15"/>
  <c r="T575" i="15"/>
  <c r="AG575" i="15"/>
  <c r="AI575" i="15"/>
  <c r="T582" i="15"/>
  <c r="AG582" i="15" s="1"/>
  <c r="AI582" i="15" s="1"/>
  <c r="AJ582" i="15" s="1"/>
  <c r="M583" i="15"/>
  <c r="T587" i="15"/>
  <c r="AG587" i="15" s="1"/>
  <c r="AI587" i="15" s="1"/>
  <c r="AF587" i="15"/>
  <c r="M588" i="15"/>
  <c r="AI588" i="15" s="1"/>
  <c r="T593" i="15"/>
  <c r="AG593" i="15" s="1"/>
  <c r="AI593" i="15" s="1"/>
  <c r="AF593" i="15"/>
  <c r="M594" i="15"/>
  <c r="T597" i="15"/>
  <c r="AG597" i="15"/>
  <c r="AI597" i="15" s="1"/>
  <c r="AF597" i="15"/>
  <c r="M598" i="15"/>
  <c r="T601" i="15"/>
  <c r="AG601" i="15"/>
  <c r="AI601" i="15"/>
  <c r="AF601" i="15"/>
  <c r="T608" i="15"/>
  <c r="AG608" i="15"/>
  <c r="AI608" i="15" s="1"/>
  <c r="AF608" i="15"/>
  <c r="AH608" i="15"/>
  <c r="T610" i="15"/>
  <c r="AF610" i="15"/>
  <c r="AH612" i="15"/>
  <c r="T576" i="15"/>
  <c r="AG576" i="15" s="1"/>
  <c r="T577" i="15"/>
  <c r="AG577" i="15" s="1"/>
  <c r="T578" i="15"/>
  <c r="AG578" i="15" s="1"/>
  <c r="AI578" i="15" s="1"/>
  <c r="T579" i="15"/>
  <c r="AG579" i="15"/>
  <c r="AH587" i="15"/>
  <c r="AH593" i="15"/>
  <c r="AH597" i="15"/>
  <c r="AH601" i="15"/>
  <c r="M607" i="15"/>
  <c r="AH607" i="15"/>
  <c r="M611" i="15"/>
  <c r="AH611" i="15"/>
  <c r="AF611" i="15"/>
  <c r="T612" i="15"/>
  <c r="AG612" i="15"/>
  <c r="AI612" i="15"/>
  <c r="AF612" i="15"/>
  <c r="AF615" i="15"/>
  <c r="AF617" i="15"/>
  <c r="T624" i="15"/>
  <c r="AG624" i="15"/>
  <c r="AI429" i="15"/>
  <c r="AI441" i="15"/>
  <c r="AI23" i="15"/>
  <c r="AJ470" i="15"/>
  <c r="AI261" i="15"/>
  <c r="AJ261" i="15" s="1"/>
  <c r="AI37" i="15"/>
  <c r="AI564" i="15"/>
  <c r="AI105" i="15"/>
  <c r="AI508" i="15"/>
  <c r="AJ508" i="15"/>
  <c r="AI258" i="15"/>
  <c r="AI453" i="15"/>
  <c r="AJ557" i="15"/>
  <c r="AI600" i="15"/>
  <c r="AJ522" i="15"/>
  <c r="AJ398" i="15"/>
  <c r="AI189" i="15"/>
  <c r="AJ300" i="15"/>
  <c r="AJ290" i="15"/>
  <c r="AG604" i="15"/>
  <c r="AI604" i="15"/>
  <c r="AJ481" i="15"/>
  <c r="AI46" i="15"/>
  <c r="AJ264" i="15"/>
  <c r="AI449" i="15"/>
  <c r="AI49" i="15"/>
  <c r="AI13" i="15"/>
  <c r="AI613" i="15"/>
  <c r="AI532" i="15"/>
  <c r="AJ267" i="15"/>
  <c r="AJ477" i="15"/>
  <c r="AI260" i="15"/>
  <c r="AJ260" i="15"/>
  <c r="AJ275" i="15"/>
  <c r="AI432" i="15"/>
  <c r="AI182" i="15"/>
  <c r="AI445" i="15"/>
  <c r="AI40" i="15"/>
  <c r="AJ308" i="15"/>
  <c r="AI494" i="15"/>
  <c r="AJ316" i="15"/>
  <c r="AI594" i="15"/>
  <c r="AJ509" i="15"/>
  <c r="AJ338" i="15"/>
  <c r="AI516" i="15"/>
  <c r="AI376" i="15"/>
  <c r="AJ340" i="15"/>
  <c r="AJ614" i="15"/>
  <c r="AJ499" i="15"/>
  <c r="AI520" i="15"/>
  <c r="AJ520" i="15" s="1"/>
  <c r="AJ621" i="15"/>
  <c r="AI212" i="15"/>
  <c r="AI41" i="15"/>
  <c r="AI306" i="15"/>
  <c r="AJ306" i="15" s="1"/>
  <c r="AI392" i="15"/>
  <c r="AJ514" i="15"/>
  <c r="AI365" i="15"/>
  <c r="AI388" i="15"/>
  <c r="AI609" i="15"/>
  <c r="AI298" i="15"/>
  <c r="AJ298" i="15"/>
  <c r="AJ608" i="15"/>
  <c r="AI372" i="15"/>
  <c r="AJ273" i="15"/>
  <c r="AI602" i="15"/>
  <c r="AI224" i="15"/>
  <c r="AJ472" i="15"/>
  <c r="AI491" i="15"/>
  <c r="AJ491" i="15"/>
  <c r="AI174" i="15"/>
  <c r="AI154" i="15"/>
  <c r="AI138" i="15"/>
  <c r="AI240" i="15"/>
  <c r="AI573" i="15"/>
  <c r="AI34" i="15"/>
  <c r="AI26" i="15"/>
  <c r="AI256" i="15"/>
  <c r="AI232" i="15"/>
  <c r="AI580" i="15"/>
  <c r="AJ580" i="15" s="1"/>
  <c r="AI360" i="15"/>
  <c r="AI356" i="15"/>
  <c r="AI359" i="15"/>
  <c r="AI133" i="15"/>
  <c r="T9" i="1"/>
  <c r="V9" i="1" s="1"/>
  <c r="X9" i="1" s="1"/>
  <c r="Z9" i="1" s="1"/>
  <c r="AB9" i="1" s="1"/>
  <c r="AD9" i="1" s="1"/>
  <c r="AF9" i="1" s="1"/>
  <c r="AH9" i="1" s="1"/>
  <c r="AJ9" i="1" s="1"/>
  <c r="AL9" i="1" s="1"/>
  <c r="AN9" i="1" s="1"/>
  <c r="AP9" i="1" s="1"/>
  <c r="AR9" i="1" s="1"/>
  <c r="AT9" i="1" s="1"/>
  <c r="AV9" i="1" s="1"/>
  <c r="AX9" i="1" s="1"/>
  <c r="AZ9" i="1" s="1"/>
  <c r="BB9" i="1" s="1"/>
  <c r="BD9" i="1" s="1"/>
  <c r="BF9" i="1" s="1"/>
  <c r="BH9" i="1" s="1"/>
  <c r="BJ9" i="1" s="1"/>
  <c r="BL9" i="1" s="1"/>
  <c r="BN9" i="1" s="1"/>
  <c r="BP9" i="1" s="1"/>
  <c r="BR9" i="1" s="1"/>
  <c r="BT9" i="1" s="1"/>
  <c r="BV9" i="1" s="1"/>
  <c r="BX9" i="1" s="1"/>
  <c r="BZ9" i="1" s="1"/>
  <c r="CB9" i="1" s="1"/>
  <c r="CD9" i="1" s="1"/>
  <c r="CF9" i="1" s="1"/>
  <c r="CH9" i="1" s="1"/>
  <c r="CJ9" i="1" s="1"/>
  <c r="CL9" i="1" s="1"/>
  <c r="CN9" i="1" s="1"/>
  <c r="CP9" i="1" s="1"/>
  <c r="CR9" i="1" s="1"/>
  <c r="CT9" i="1" s="1"/>
  <c r="CV9" i="1" s="1"/>
  <c r="CX9" i="1" s="1"/>
  <c r="CZ9" i="1" s="1"/>
  <c r="DB9" i="1" s="1"/>
  <c r="DD9" i="1" s="1"/>
  <c r="DF9" i="1" s="1"/>
  <c r="DH9" i="1" s="1"/>
  <c r="DJ9" i="1" s="1"/>
  <c r="DL9" i="1" s="1"/>
  <c r="DN9" i="1" s="1"/>
  <c r="DP9" i="1" s="1"/>
  <c r="DR9" i="1" s="1"/>
  <c r="DT9" i="1" s="1"/>
  <c r="DV9" i="1" s="1"/>
  <c r="DX9" i="1" s="1"/>
  <c r="DZ9" i="1" s="1"/>
  <c r="EB9" i="1" s="1"/>
  <c r="ED9" i="1" s="1"/>
  <c r="EF9" i="1" s="1"/>
  <c r="EH9" i="1" s="1"/>
  <c r="EJ9" i="1" s="1"/>
  <c r="EL9" i="1" s="1"/>
  <c r="EN9" i="1" s="1"/>
  <c r="EP9" i="1" s="1"/>
  <c r="ER9" i="1" s="1"/>
  <c r="ET9" i="1" s="1"/>
  <c r="EV9" i="1" s="1"/>
  <c r="EX9" i="1" s="1"/>
  <c r="EZ9" i="1" s="1"/>
  <c r="FB9" i="1" s="1"/>
  <c r="FD9" i="1" s="1"/>
  <c r="FF9" i="1" s="1"/>
  <c r="FH9" i="1" s="1"/>
  <c r="FJ9" i="1" s="1"/>
  <c r="FL9" i="1" s="1"/>
  <c r="FN9" i="1" s="1"/>
  <c r="FP9" i="1" s="1"/>
  <c r="FR9" i="1" s="1"/>
  <c r="FT9" i="1" s="1"/>
  <c r="FV9" i="1" s="1"/>
  <c r="FX9" i="1" s="1"/>
  <c r="FZ9" i="1" s="1"/>
  <c r="GB9" i="1" s="1"/>
  <c r="GD9" i="1" s="1"/>
  <c r="GF9" i="1" s="1"/>
  <c r="GH9" i="1" s="1"/>
  <c r="GJ9" i="1" s="1"/>
  <c r="GL9" i="1" s="1"/>
  <c r="GN9" i="1" s="1"/>
  <c r="S9" i="1"/>
  <c r="U9" i="1" s="1"/>
  <c r="W9" i="1" s="1"/>
  <c r="Y9" i="1" s="1"/>
  <c r="AA9" i="1" s="1"/>
  <c r="AC9" i="1" s="1"/>
  <c r="AE9" i="1" s="1"/>
  <c r="AG9" i="1" s="1"/>
  <c r="AI9" i="1" s="1"/>
  <c r="AK9" i="1" s="1"/>
  <c r="AM9" i="1" s="1"/>
  <c r="AO9" i="1" s="1"/>
  <c r="AQ9" i="1" s="1"/>
  <c r="AS9" i="1" s="1"/>
  <c r="AU9" i="1" s="1"/>
  <c r="AW9" i="1" s="1"/>
  <c r="AY9" i="1" s="1"/>
  <c r="BA9" i="1" s="1"/>
  <c r="BC9" i="1" s="1"/>
  <c r="BE9" i="1" s="1"/>
  <c r="BG9" i="1" s="1"/>
  <c r="BI9" i="1" s="1"/>
  <c r="BK9" i="1" s="1"/>
  <c r="BM9" i="1" s="1"/>
  <c r="BO9" i="1" s="1"/>
  <c r="BQ9" i="1" s="1"/>
  <c r="BS9" i="1" s="1"/>
  <c r="BU9" i="1" s="1"/>
  <c r="BW9" i="1" s="1"/>
  <c r="BY9" i="1" s="1"/>
  <c r="CA9" i="1" s="1"/>
  <c r="CC9" i="1" s="1"/>
  <c r="CE9" i="1" s="1"/>
  <c r="CG9" i="1" s="1"/>
  <c r="CI9" i="1" s="1"/>
  <c r="CK9" i="1" s="1"/>
  <c r="CM9" i="1" s="1"/>
  <c r="CO9" i="1" s="1"/>
  <c r="CQ9" i="1" s="1"/>
  <c r="CS9" i="1" s="1"/>
  <c r="CU9" i="1" s="1"/>
  <c r="CW9" i="1" s="1"/>
  <c r="CY9" i="1" s="1"/>
  <c r="DA9" i="1" s="1"/>
  <c r="DC9" i="1" s="1"/>
  <c r="DE9" i="1" s="1"/>
  <c r="DG9" i="1" s="1"/>
  <c r="DI9" i="1" s="1"/>
  <c r="DK9" i="1" s="1"/>
  <c r="DM9" i="1" s="1"/>
  <c r="DO9" i="1" s="1"/>
  <c r="DQ9" i="1" s="1"/>
  <c r="DS9" i="1" s="1"/>
  <c r="DU9" i="1" s="1"/>
  <c r="DW9" i="1" s="1"/>
  <c r="DY9" i="1" s="1"/>
  <c r="EA9" i="1" s="1"/>
  <c r="EC9" i="1" s="1"/>
  <c r="EE9" i="1" s="1"/>
  <c r="EG9" i="1" s="1"/>
  <c r="EI9" i="1" s="1"/>
  <c r="EK9" i="1" s="1"/>
  <c r="EM9" i="1" s="1"/>
  <c r="EO9" i="1" s="1"/>
  <c r="EQ9" i="1" s="1"/>
  <c r="ES9" i="1" s="1"/>
  <c r="EU9" i="1" s="1"/>
  <c r="EW9" i="1" s="1"/>
  <c r="EY9" i="1" s="1"/>
  <c r="FA9" i="1" s="1"/>
  <c r="FC9" i="1" s="1"/>
  <c r="FE9" i="1" s="1"/>
  <c r="FG9" i="1" s="1"/>
  <c r="FI9" i="1" s="1"/>
  <c r="FK9" i="1" s="1"/>
  <c r="FM9" i="1" s="1"/>
  <c r="FO9" i="1" s="1"/>
  <c r="FQ9" i="1" s="1"/>
  <c r="FS9" i="1" s="1"/>
  <c r="FU9" i="1" s="1"/>
  <c r="FW9" i="1" s="1"/>
  <c r="FY9" i="1" s="1"/>
  <c r="GA9" i="1" s="1"/>
  <c r="GC9" i="1" s="1"/>
  <c r="GE9" i="1" s="1"/>
  <c r="GG9" i="1" s="1"/>
  <c r="GI9" i="1" s="1"/>
  <c r="GK9" i="1" s="1"/>
  <c r="GM9" i="1" s="1"/>
  <c r="AJ482" i="15" l="1"/>
  <c r="AF286" i="15"/>
  <c r="AH286" i="15" s="1"/>
  <c r="T286" i="15"/>
  <c r="AG286" i="15" s="1"/>
  <c r="AI286" i="15" s="1"/>
  <c r="AJ286" i="15" s="1"/>
  <c r="AI490" i="15"/>
  <c r="AJ490" i="15" s="1"/>
  <c r="AI265" i="15"/>
  <c r="AJ265" i="15" s="1"/>
  <c r="AI556" i="15"/>
  <c r="AJ556" i="15" s="1"/>
  <c r="AJ339" i="15"/>
  <c r="AG196" i="15"/>
  <c r="AI196" i="15" s="1"/>
  <c r="AI206" i="15"/>
  <c r="AI457" i="15"/>
  <c r="AJ554" i="15"/>
  <c r="AI493" i="15"/>
  <c r="AI243" i="15"/>
  <c r="AJ622" i="15"/>
  <c r="AJ613" i="15"/>
  <c r="AI536" i="15"/>
  <c r="AE17" i="15"/>
  <c r="AF17" i="15"/>
  <c r="AH17" i="15" s="1"/>
  <c r="AG36" i="15"/>
  <c r="M42" i="15"/>
  <c r="AI42" i="15" s="1"/>
  <c r="T145" i="15"/>
  <c r="AG145" i="15" s="1"/>
  <c r="AI145" i="15" s="1"/>
  <c r="AF145" i="15"/>
  <c r="AH145" i="15" s="1"/>
  <c r="M158" i="15"/>
  <c r="AI158" i="15" s="1"/>
  <c r="AH158" i="15"/>
  <c r="T161" i="15"/>
  <c r="AG161" i="15" s="1"/>
  <c r="AI161" i="15" s="1"/>
  <c r="M171" i="15"/>
  <c r="AI171" i="15" s="1"/>
  <c r="AH171" i="15"/>
  <c r="AI214" i="15"/>
  <c r="AE268" i="15"/>
  <c r="AG268" i="15" s="1"/>
  <c r="AF268" i="15"/>
  <c r="AH268" i="15" s="1"/>
  <c r="T585" i="15"/>
  <c r="AG585" i="15" s="1"/>
  <c r="AI585" i="15" s="1"/>
  <c r="AF585" i="15"/>
  <c r="AH619" i="15"/>
  <c r="AJ619" i="15" s="1"/>
  <c r="AF619" i="15"/>
  <c r="AI280" i="15"/>
  <c r="AJ280" i="15" s="1"/>
  <c r="AI440" i="15"/>
  <c r="AI533" i="15"/>
  <c r="AF239" i="15"/>
  <c r="AH239" i="15" s="1"/>
  <c r="AG30" i="15"/>
  <c r="AI30" i="15" s="1"/>
  <c r="Y142" i="15"/>
  <c r="AG142" i="15" s="1"/>
  <c r="AI142" i="15" s="1"/>
  <c r="AF142" i="15"/>
  <c r="AH142" i="15" s="1"/>
  <c r="AF177" i="15"/>
  <c r="AH177" i="15" s="1"/>
  <c r="AE177" i="15"/>
  <c r="Y200" i="15"/>
  <c r="AF200" i="15"/>
  <c r="AH200" i="15" s="1"/>
  <c r="AE246" i="15"/>
  <c r="AG246" i="15" s="1"/>
  <c r="AI246" i="15" s="1"/>
  <c r="AF246" i="15"/>
  <c r="AH246" i="15" s="1"/>
  <c r="AH269" i="15"/>
  <c r="M269" i="15"/>
  <c r="Y566" i="15"/>
  <c r="AG566" i="15" s="1"/>
  <c r="AI566" i="15" s="1"/>
  <c r="AH566" i="15"/>
  <c r="AH620" i="15"/>
  <c r="M620" i="15"/>
  <c r="AI620" i="15" s="1"/>
  <c r="AF262" i="15"/>
  <c r="AH262" i="15" s="1"/>
  <c r="M27" i="15"/>
  <c r="AI27" i="15" s="1"/>
  <c r="AG15" i="15"/>
  <c r="AI15" i="15" s="1"/>
  <c r="AH48" i="15"/>
  <c r="M48" i="15"/>
  <c r="Y129" i="15"/>
  <c r="AG129" i="15" s="1"/>
  <c r="AF129" i="15"/>
  <c r="AH129" i="15" s="1"/>
  <c r="AG139" i="15"/>
  <c r="AI139" i="15" s="1"/>
  <c r="M184" i="15"/>
  <c r="AI184" i="15" s="1"/>
  <c r="AH184" i="15"/>
  <c r="T620" i="15"/>
  <c r="AG620" i="15" s="1"/>
  <c r="AF620" i="15"/>
  <c r="AH56" i="15"/>
  <c r="AF277" i="15"/>
  <c r="AH277" i="15" s="1"/>
  <c r="T277" i="15"/>
  <c r="AG277" i="15" s="1"/>
  <c r="AI277" i="15" s="1"/>
  <c r="AJ277" i="15" s="1"/>
  <c r="M317" i="15"/>
  <c r="AI317" i="15" s="1"/>
  <c r="AI492" i="15"/>
  <c r="AF68" i="15"/>
  <c r="AH68" i="15" s="1"/>
  <c r="T68" i="15"/>
  <c r="AG68" i="15" s="1"/>
  <c r="AI68" i="15" s="1"/>
  <c r="M129" i="15"/>
  <c r="T71" i="15"/>
  <c r="AG71" i="15" s="1"/>
  <c r="AI71" i="15" s="1"/>
  <c r="AH274" i="15"/>
  <c r="AI489" i="15"/>
  <c r="AJ489" i="15" s="1"/>
  <c r="M274" i="15"/>
  <c r="AI274" i="15" s="1"/>
  <c r="AJ274" i="15" s="1"/>
  <c r="AH47" i="15"/>
  <c r="AF56" i="15"/>
  <c r="T56" i="15"/>
  <c r="AG56" i="15" s="1"/>
  <c r="M36" i="15"/>
  <c r="AH36" i="15"/>
  <c r="T489" i="15"/>
  <c r="AG489" i="15" s="1"/>
  <c r="AF489" i="15"/>
  <c r="AH489" i="15" s="1"/>
  <c r="AI268" i="15"/>
  <c r="AJ268" i="15" s="1"/>
  <c r="AG355" i="15"/>
  <c r="AI355" i="15" s="1"/>
  <c r="AH24" i="15"/>
  <c r="Y456" i="15"/>
  <c r="AG456" i="15" s="1"/>
  <c r="AI456" i="15" s="1"/>
  <c r="AF9" i="15"/>
  <c r="T9" i="15"/>
  <c r="AG9" i="15" s="1"/>
  <c r="AI9" i="15" s="1"/>
  <c r="AG48" i="15"/>
  <c r="AH178" i="15"/>
  <c r="T194" i="15"/>
  <c r="AG194" i="15" s="1"/>
  <c r="AI194" i="15" s="1"/>
  <c r="AF194" i="15"/>
  <c r="AH194" i="15" s="1"/>
  <c r="AF542" i="15"/>
  <c r="AH542" i="15" s="1"/>
  <c r="AF24" i="15"/>
  <c r="AG67" i="15"/>
  <c r="AF12" i="15"/>
  <c r="AH12" i="15" s="1"/>
  <c r="AE91" i="15"/>
  <c r="AG91" i="15" s="1"/>
  <c r="AI91" i="15" s="1"/>
  <c r="AF91" i="15"/>
  <c r="AH91" i="15" s="1"/>
  <c r="AH117" i="15"/>
  <c r="M117" i="15"/>
  <c r="AI117" i="15" s="1"/>
  <c r="T126" i="15"/>
  <c r="AG126" i="15" s="1"/>
  <c r="AI126" i="15" s="1"/>
  <c r="AF126" i="15"/>
  <c r="AH126" i="15" s="1"/>
  <c r="M143" i="15"/>
  <c r="AI143" i="15" s="1"/>
  <c r="AH143" i="15"/>
  <c r="M175" i="15"/>
  <c r="AI175" i="15" s="1"/>
  <c r="AH175" i="15"/>
  <c r="Y181" i="15"/>
  <c r="AG181" i="15" s="1"/>
  <c r="AI181" i="15" s="1"/>
  <c r="AF181" i="15"/>
  <c r="AH181" i="15" s="1"/>
  <c r="AI198" i="15"/>
  <c r="AE378" i="15"/>
  <c r="AG378" i="15" s="1"/>
  <c r="AI378" i="15" s="1"/>
  <c r="AF378" i="15"/>
  <c r="AH378" i="15" s="1"/>
  <c r="M385" i="15"/>
  <c r="AH385" i="15"/>
  <c r="AG397" i="15"/>
  <c r="AI397" i="15" s="1"/>
  <c r="AJ397" i="15" s="1"/>
  <c r="T419" i="15"/>
  <c r="AG419" i="15" s="1"/>
  <c r="AI419" i="15" s="1"/>
  <c r="AG525" i="15"/>
  <c r="AI525" i="15" s="1"/>
  <c r="AJ525" i="15" s="1"/>
  <c r="AI538" i="15"/>
  <c r="AE550" i="15"/>
  <c r="AG550" i="15" s="1"/>
  <c r="AI550" i="15" s="1"/>
  <c r="AF550" i="15"/>
  <c r="AH550" i="15" s="1"/>
  <c r="Y598" i="15"/>
  <c r="AF598" i="15"/>
  <c r="AG495" i="15"/>
  <c r="AE18" i="15"/>
  <c r="AG18" i="15" s="1"/>
  <c r="AF18" i="15"/>
  <c r="AH18" i="15" s="1"/>
  <c r="T85" i="15"/>
  <c r="AG85" i="15" s="1"/>
  <c r="AI85" i="15" s="1"/>
  <c r="AF85" i="15"/>
  <c r="AH85" i="15" s="1"/>
  <c r="AI108" i="15"/>
  <c r="AG117" i="15"/>
  <c r="T162" i="15"/>
  <c r="AG162" i="15" s="1"/>
  <c r="AI162" i="15" s="1"/>
  <c r="AF162" i="15"/>
  <c r="AH162" i="15" s="1"/>
  <c r="AG493" i="15"/>
  <c r="AF67" i="15"/>
  <c r="AH67" i="15" s="1"/>
  <c r="T59" i="15"/>
  <c r="AG59" i="15" s="1"/>
  <c r="AI59" i="15" s="1"/>
  <c r="AI302" i="15"/>
  <c r="AJ302" i="15" s="1"/>
  <c r="AF102" i="15"/>
  <c r="AH102" i="15" s="1"/>
  <c r="T102" i="15"/>
  <c r="AG102" i="15" s="1"/>
  <c r="AI102" i="15" s="1"/>
  <c r="AF120" i="15"/>
  <c r="AH120" i="15" s="1"/>
  <c r="T120" i="15"/>
  <c r="AG120" i="15" s="1"/>
  <c r="AI120" i="15" s="1"/>
  <c r="M354" i="15"/>
  <c r="AI354" i="15" s="1"/>
  <c r="AH354" i="15"/>
  <c r="AG367" i="15"/>
  <c r="AI367" i="15" s="1"/>
  <c r="AI455" i="15"/>
  <c r="T249" i="15"/>
  <c r="AG249" i="15" s="1"/>
  <c r="AI249" i="15" s="1"/>
  <c r="AH280" i="15"/>
  <c r="AF108" i="15"/>
  <c r="AH108" i="15" s="1"/>
  <c r="T108" i="15"/>
  <c r="AG108" i="15" s="1"/>
  <c r="AG130" i="15"/>
  <c r="AI130" i="15" s="1"/>
  <c r="T312" i="15"/>
  <c r="AG312" i="15" s="1"/>
  <c r="AI312" i="15" s="1"/>
  <c r="AF312" i="15"/>
  <c r="AH312" i="15" s="1"/>
  <c r="AE391" i="15"/>
  <c r="AG391" i="15" s="1"/>
  <c r="AI391" i="15" s="1"/>
  <c r="AF556" i="15"/>
  <c r="AI10" i="15"/>
  <c r="AF19" i="15"/>
  <c r="AH19" i="15" s="1"/>
  <c r="T19" i="15"/>
  <c r="AG19" i="15" s="1"/>
  <c r="AI19" i="15" s="1"/>
  <c r="AG70" i="15"/>
  <c r="AI70" i="15" s="1"/>
  <c r="AF73" i="15"/>
  <c r="AH73" i="15" s="1"/>
  <c r="T73" i="15"/>
  <c r="AG73" i="15" s="1"/>
  <c r="AI73" i="15" s="1"/>
  <c r="AG111" i="15"/>
  <c r="AI111" i="15" s="1"/>
  <c r="AI297" i="15"/>
  <c r="AJ297" i="15" s="1"/>
  <c r="AF382" i="15"/>
  <c r="AH382" i="15" s="1"/>
  <c r="T382" i="15"/>
  <c r="AG382" i="15" s="1"/>
  <c r="AI382" i="15" s="1"/>
  <c r="AH155" i="15"/>
  <c r="AJ318" i="15"/>
  <c r="AF7" i="15"/>
  <c r="T7" i="15"/>
  <c r="AG7" i="15" s="1"/>
  <c r="AI7" i="15" s="1"/>
  <c r="AI64" i="15"/>
  <c r="AI67" i="15"/>
  <c r="Y82" i="15"/>
  <c r="AF82" i="15"/>
  <c r="AH82" i="15" s="1"/>
  <c r="AI254" i="15"/>
  <c r="T319" i="15"/>
  <c r="AG319" i="15" s="1"/>
  <c r="AI319" i="15" s="1"/>
  <c r="AJ319" i="15" s="1"/>
  <c r="AF319" i="15"/>
  <c r="AH319" i="15" s="1"/>
  <c r="AG337" i="15"/>
  <c r="AI337" i="15" s="1"/>
  <c r="AJ337" i="15" s="1"/>
  <c r="AF364" i="15"/>
  <c r="AH364" i="15" s="1"/>
  <c r="AJ612" i="15"/>
  <c r="AH265" i="15"/>
  <c r="T492" i="15"/>
  <c r="AG492" i="15" s="1"/>
  <c r="AH22" i="15"/>
  <c r="AH105" i="15"/>
  <c r="T64" i="15"/>
  <c r="AG64" i="15" s="1"/>
  <c r="AF64" i="15"/>
  <c r="Y70" i="15"/>
  <c r="AI176" i="15"/>
  <c r="Y282" i="15"/>
  <c r="AG282" i="15" s="1"/>
  <c r="AI282" i="15" s="1"/>
  <c r="AF282" i="15"/>
  <c r="AH282" i="15" s="1"/>
  <c r="M289" i="15"/>
  <c r="AI289" i="15" s="1"/>
  <c r="AJ289" i="15" s="1"/>
  <c r="M292" i="15"/>
  <c r="AI292" i="15" s="1"/>
  <c r="AJ292" i="15" s="1"/>
  <c r="M386" i="15"/>
  <c r="AI386" i="15" s="1"/>
  <c r="AH386" i="15"/>
  <c r="AF474" i="15"/>
  <c r="AH474" i="15" s="1"/>
  <c r="AF252" i="15"/>
  <c r="AH252" i="15" s="1"/>
  <c r="AF39" i="15"/>
  <c r="AH39" i="15" s="1"/>
  <c r="AF517" i="15"/>
  <c r="AH517" i="15" s="1"/>
  <c r="AJ517" i="15" s="1"/>
  <c r="Y61" i="15"/>
  <c r="AF61" i="15"/>
  <c r="AH61" i="15" s="1"/>
  <c r="AI103" i="15"/>
  <c r="AI112" i="15"/>
  <c r="T343" i="15"/>
  <c r="AG343" i="15" s="1"/>
  <c r="AI343" i="15" s="1"/>
  <c r="AF343" i="15"/>
  <c r="AH343" i="15" s="1"/>
  <c r="T361" i="15"/>
  <c r="AG361" i="15" s="1"/>
  <c r="AI361" i="15" s="1"/>
  <c r="AF361" i="15"/>
  <c r="AH361" i="15" s="1"/>
  <c r="M62" i="15"/>
  <c r="AI62" i="15" s="1"/>
  <c r="AH62" i="15"/>
  <c r="AI255" i="15"/>
  <c r="AF274" i="15"/>
  <c r="AH623" i="15"/>
  <c r="M623" i="15"/>
  <c r="T271" i="15"/>
  <c r="AG271" i="15" s="1"/>
  <c r="AI271" i="15" s="1"/>
  <c r="AJ271" i="15" s="1"/>
  <c r="T83" i="15"/>
  <c r="AG83" i="15" s="1"/>
  <c r="AI583" i="15"/>
  <c r="AJ583" i="15" s="1"/>
  <c r="AG213" i="15"/>
  <c r="AI213" i="15" s="1"/>
  <c r="AI576" i="15"/>
  <c r="AH463" i="15"/>
  <c r="AG209" i="15"/>
  <c r="AI209" i="15" s="1"/>
  <c r="T95" i="15"/>
  <c r="AG95" i="15" s="1"/>
  <c r="AI95" i="15" s="1"/>
  <c r="AF36" i="15"/>
  <c r="AF58" i="15"/>
  <c r="AH58" i="15" s="1"/>
  <c r="Y58" i="15"/>
  <c r="AE96" i="15"/>
  <c r="AG96" i="15" s="1"/>
  <c r="AI96" i="15" s="1"/>
  <c r="AF96" i="15"/>
  <c r="AH96" i="15" s="1"/>
  <c r="AJ270" i="15"/>
  <c r="AI310" i="15"/>
  <c r="AI313" i="15"/>
  <c r="AJ313" i="15" s="1"/>
  <c r="Y346" i="15"/>
  <c r="AG346" i="15" s="1"/>
  <c r="AI346" i="15" s="1"/>
  <c r="AF346" i="15"/>
  <c r="AH346" i="15" s="1"/>
  <c r="AI434" i="15"/>
  <c r="T216" i="15"/>
  <c r="AG216" i="15" s="1"/>
  <c r="AI216" i="15" s="1"/>
  <c r="AF216" i="15"/>
  <c r="AH216" i="15" s="1"/>
  <c r="AI56" i="15"/>
  <c r="AH495" i="15"/>
  <c r="M495" i="15"/>
  <c r="AI47" i="15"/>
  <c r="AH622" i="15"/>
  <c r="AF622" i="15"/>
  <c r="AE196" i="15"/>
  <c r="AF196" i="15"/>
  <c r="AH196" i="15" s="1"/>
  <c r="AI463" i="15"/>
  <c r="AJ463" i="15" s="1"/>
  <c r="AJ480" i="15"/>
  <c r="Y527" i="15"/>
  <c r="AG527" i="15" s="1"/>
  <c r="AI527" i="15" s="1"/>
  <c r="AF527" i="15"/>
  <c r="AH527" i="15" s="1"/>
  <c r="AE193" i="15"/>
  <c r="AG193" i="15" s="1"/>
  <c r="AI193" i="15" s="1"/>
  <c r="AF193" i="15"/>
  <c r="AH193" i="15" s="1"/>
  <c r="AE236" i="15"/>
  <c r="AG236" i="15" s="1"/>
  <c r="AI236" i="15" s="1"/>
  <c r="AF236" i="15"/>
  <c r="AH236" i="15" s="1"/>
  <c r="Y30" i="15"/>
  <c r="AF30" i="15"/>
  <c r="AH30" i="15" s="1"/>
  <c r="AF566" i="15"/>
  <c r="AJ469" i="15"/>
  <c r="M18" i="15"/>
  <c r="AI18" i="15" s="1"/>
  <c r="AF72" i="15"/>
  <c r="AH72" i="15" s="1"/>
  <c r="AI512" i="15"/>
  <c r="AJ512" i="15" s="1"/>
  <c r="T93" i="15"/>
  <c r="AG93" i="15" s="1"/>
  <c r="AI93" i="15" s="1"/>
  <c r="AF93" i="15"/>
  <c r="AH93" i="15" s="1"/>
  <c r="AH310" i="15"/>
  <c r="AI320" i="15"/>
  <c r="AJ320" i="15" s="1"/>
  <c r="AI389" i="15"/>
  <c r="Y401" i="15"/>
  <c r="AG401" i="15" s="1"/>
  <c r="AI401" i="15" s="1"/>
  <c r="AF401" i="15"/>
  <c r="AH401" i="15" s="1"/>
  <c r="AG556" i="15"/>
  <c r="AH563" i="15"/>
  <c r="AF623" i="15"/>
  <c r="T623" i="15"/>
  <c r="AG623" i="15" s="1"/>
  <c r="AG430" i="15"/>
  <c r="AI430" i="15" s="1"/>
  <c r="Y106" i="15"/>
  <c r="AG106" i="15" s="1"/>
  <c r="AG442" i="15"/>
  <c r="AI442" i="15" s="1"/>
  <c r="AG153" i="15"/>
  <c r="AI153" i="15" s="1"/>
  <c r="AH7" i="15"/>
  <c r="T25" i="15"/>
  <c r="AG25" i="15" s="1"/>
  <c r="AI25" i="15" s="1"/>
  <c r="AF25" i="15"/>
  <c r="AH25" i="15" s="1"/>
  <c r="AH188" i="15"/>
  <c r="M188" i="15"/>
  <c r="AI188" i="15" s="1"/>
  <c r="AF191" i="15"/>
  <c r="AH191" i="15" s="1"/>
  <c r="AI287" i="15"/>
  <c r="AJ287" i="15" s="1"/>
  <c r="AE328" i="15"/>
  <c r="AG328" i="15" s="1"/>
  <c r="AI328" i="15" s="1"/>
  <c r="AF328" i="15"/>
  <c r="AH328" i="15" s="1"/>
  <c r="AI478" i="15"/>
  <c r="AJ478" i="15" s="1"/>
  <c r="AI487" i="15"/>
  <c r="AJ487" i="15" s="1"/>
  <c r="T598" i="15"/>
  <c r="AH598" i="15"/>
  <c r="AG206" i="15"/>
  <c r="AG276" i="15"/>
  <c r="AI276" i="15" s="1"/>
  <c r="AJ276" i="15" s="1"/>
  <c r="Y28" i="15"/>
  <c r="AG28" i="15" s="1"/>
  <c r="AI28" i="15" s="1"/>
  <c r="T31" i="15"/>
  <c r="AG31" i="15" s="1"/>
  <c r="AI31" i="15" s="1"/>
  <c r="AF31" i="15"/>
  <c r="AH31" i="15" s="1"/>
  <c r="M43" i="15"/>
  <c r="AI43" i="15" s="1"/>
  <c r="AH43" i="15"/>
  <c r="AE48" i="15"/>
  <c r="M87" i="15"/>
  <c r="AI87" i="15" s="1"/>
  <c r="M211" i="15"/>
  <c r="AI234" i="15"/>
  <c r="AF237" i="15"/>
  <c r="AH237" i="15" s="1"/>
  <c r="AG247" i="15"/>
  <c r="AI247" i="15" s="1"/>
  <c r="T269" i="15"/>
  <c r="AG269" i="15" s="1"/>
  <c r="AE430" i="15"/>
  <c r="AF430" i="15"/>
  <c r="AH430" i="15" s="1"/>
  <c r="Y442" i="15"/>
  <c r="AF442" i="15"/>
  <c r="AH442" i="15" s="1"/>
  <c r="AI586" i="15"/>
  <c r="AG177" i="15"/>
  <c r="AI177" i="15" s="1"/>
  <c r="AF185" i="15"/>
  <c r="AH185" i="15" s="1"/>
  <c r="AF211" i="15"/>
  <c r="AH211" i="15" s="1"/>
  <c r="T211" i="15"/>
  <c r="AG211" i="15" s="1"/>
  <c r="AI250" i="15"/>
  <c r="AI503" i="15"/>
  <c r="AJ503" i="15" s="1"/>
  <c r="M147" i="15"/>
  <c r="AI147" i="15" s="1"/>
  <c r="AG231" i="15"/>
  <c r="AI231" i="15" s="1"/>
  <c r="AE332" i="15"/>
  <c r="AF332" i="15"/>
  <c r="AH332" i="15" s="1"/>
  <c r="AE374" i="15"/>
  <c r="AG374" i="15" s="1"/>
  <c r="AI374" i="15" s="1"/>
  <c r="AF374" i="15"/>
  <c r="AH374" i="15" s="1"/>
  <c r="AE253" i="15"/>
  <c r="AG253" i="15" s="1"/>
  <c r="AI253" i="15" s="1"/>
  <c r="AF253" i="15"/>
  <c r="AH253" i="15" s="1"/>
  <c r="AE326" i="15"/>
  <c r="AF326" i="15"/>
  <c r="AH326" i="15" s="1"/>
  <c r="AI473" i="15"/>
  <c r="AJ473" i="15" s="1"/>
  <c r="AI474" i="15"/>
  <c r="AG89" i="15"/>
  <c r="AI89" i="15" s="1"/>
  <c r="AF10" i="15"/>
  <c r="AH10" i="15" s="1"/>
  <c r="Y147" i="15"/>
  <c r="AG147" i="15" s="1"/>
  <c r="AF147" i="15"/>
  <c r="AH147" i="15" s="1"/>
  <c r="M192" i="15"/>
  <c r="AI192" i="15" s="1"/>
  <c r="AH192" i="15"/>
  <c r="Y195" i="15"/>
  <c r="AG195" i="15" s="1"/>
  <c r="AI195" i="15" s="1"/>
  <c r="AJ195" i="15" s="1"/>
  <c r="AF195" i="15"/>
  <c r="AH195" i="15" s="1"/>
  <c r="AE221" i="15"/>
  <c r="AG221" i="15" s="1"/>
  <c r="AI221" i="15" s="1"/>
  <c r="AF221" i="15"/>
  <c r="AH221" i="15" s="1"/>
  <c r="AI403" i="15"/>
  <c r="Y446" i="15"/>
  <c r="AG446" i="15" s="1"/>
  <c r="AI446" i="15" s="1"/>
  <c r="AF446" i="15"/>
  <c r="AH446" i="15" s="1"/>
  <c r="AI510" i="15"/>
  <c r="AJ510" i="15" s="1"/>
  <c r="AI122" i="15"/>
  <c r="T173" i="15"/>
  <c r="AG173" i="15" s="1"/>
  <c r="AI173" i="15" s="1"/>
  <c r="AF173" i="15"/>
  <c r="AH173" i="15" s="1"/>
  <c r="AF296" i="15"/>
  <c r="AH296" i="15" s="1"/>
  <c r="T296" i="15"/>
  <c r="AG296" i="15" s="1"/>
  <c r="AI296" i="15" s="1"/>
  <c r="AJ296" i="15" s="1"/>
  <c r="AI299" i="15"/>
  <c r="AJ299" i="15" s="1"/>
  <c r="AH324" i="15"/>
  <c r="M324" i="15"/>
  <c r="AI324" i="15" s="1"/>
  <c r="AJ324" i="15" s="1"/>
  <c r="Y396" i="15"/>
  <c r="AG396" i="15" s="1"/>
  <c r="AI396" i="15" s="1"/>
  <c r="AF396" i="15"/>
  <c r="AH396" i="15" s="1"/>
  <c r="AI75" i="15"/>
  <c r="Y157" i="15"/>
  <c r="AG157" i="15" s="1"/>
  <c r="AI157" i="15" s="1"/>
  <c r="AF157" i="15"/>
  <c r="AH157" i="15" s="1"/>
  <c r="AG205" i="15"/>
  <c r="AI205" i="15" s="1"/>
  <c r="AJ205" i="15" s="1"/>
  <c r="AI235" i="15"/>
  <c r="AI294" i="15"/>
  <c r="AJ294" i="15" s="1"/>
  <c r="AH302" i="15"/>
  <c r="AI345" i="15"/>
  <c r="AI400" i="15"/>
  <c r="AJ400" i="15" s="1"/>
  <c r="Y437" i="15"/>
  <c r="AG437" i="15" s="1"/>
  <c r="AI437" i="15" s="1"/>
  <c r="AF437" i="15"/>
  <c r="AH437" i="15" s="1"/>
  <c r="AG510" i="15"/>
  <c r="AF131" i="15"/>
  <c r="AH131" i="15" s="1"/>
  <c r="AG385" i="15"/>
  <c r="AF228" i="15"/>
  <c r="AH228" i="15" s="1"/>
  <c r="AF317" i="15"/>
  <c r="AH317" i="15" s="1"/>
  <c r="AF100" i="15"/>
  <c r="AH100" i="15" s="1"/>
  <c r="AG17" i="15"/>
  <c r="AI17" i="15" s="1"/>
  <c r="Y38" i="15"/>
  <c r="AG38" i="15" s="1"/>
  <c r="AI38" i="15" s="1"/>
  <c r="AF38" i="15"/>
  <c r="AH38" i="15" s="1"/>
  <c r="AI88" i="15"/>
  <c r="T122" i="15"/>
  <c r="AG122" i="15" s="1"/>
  <c r="AF122" i="15"/>
  <c r="AH122" i="15" s="1"/>
  <c r="AH222" i="15"/>
  <c r="AJ222" i="15" s="1"/>
  <c r="M251" i="15"/>
  <c r="AI251" i="15" s="1"/>
  <c r="AF299" i="15"/>
  <c r="AH299" i="15" s="1"/>
  <c r="T299" i="15"/>
  <c r="AG299" i="15" s="1"/>
  <c r="AI315" i="15"/>
  <c r="AJ315" i="15" s="1"/>
  <c r="M407" i="15"/>
  <c r="AI407" i="15" s="1"/>
  <c r="AH407" i="15"/>
  <c r="AI450" i="15"/>
  <c r="AF112" i="15"/>
  <c r="AH112" i="15" s="1"/>
  <c r="AG58" i="15"/>
  <c r="AI58" i="15" s="1"/>
  <c r="AG61" i="15"/>
  <c r="AI61" i="15" s="1"/>
  <c r="Y125" i="15"/>
  <c r="AG125" i="15" s="1"/>
  <c r="AI125" i="15" s="1"/>
  <c r="AG279" i="15"/>
  <c r="AI279" i="15" s="1"/>
  <c r="AF302" i="15"/>
  <c r="AG342" i="15"/>
  <c r="AI342" i="15" s="1"/>
  <c r="AF150" i="15"/>
  <c r="AH150" i="15" s="1"/>
  <c r="AG24" i="15"/>
  <c r="AI24" i="15" s="1"/>
  <c r="AG82" i="15"/>
  <c r="AI82" i="15" s="1"/>
  <c r="AG165" i="15"/>
  <c r="AI165" i="15" s="1"/>
  <c r="AG44" i="15"/>
  <c r="AH64" i="15"/>
  <c r="AF135" i="15"/>
  <c r="AH135" i="15" s="1"/>
  <c r="AI226" i="15"/>
  <c r="AF276" i="15"/>
  <c r="AH276" i="15" s="1"/>
  <c r="Y348" i="15"/>
  <c r="AG348" i="15" s="1"/>
  <c r="AI348" i="15" s="1"/>
  <c r="AF348" i="15"/>
  <c r="AH348" i="15" s="1"/>
  <c r="AE462" i="15"/>
  <c r="AG462" i="15" s="1"/>
  <c r="AI462" i="15" s="1"/>
  <c r="AF462" i="15"/>
  <c r="AH462" i="15" s="1"/>
  <c r="AG468" i="15"/>
  <c r="AI468" i="15" s="1"/>
  <c r="AJ468" i="15" s="1"/>
  <c r="M471" i="15"/>
  <c r="AI471" i="15" s="1"/>
  <c r="AH471" i="15"/>
  <c r="AI501" i="15"/>
  <c r="AJ501" i="15" s="1"/>
  <c r="Y555" i="15"/>
  <c r="AG555" i="15" s="1"/>
  <c r="AI555" i="15" s="1"/>
  <c r="AJ555" i="15" s="1"/>
  <c r="AF555" i="15"/>
  <c r="AH183" i="15"/>
  <c r="AF256" i="15"/>
  <c r="AH256" i="15" s="1"/>
  <c r="AF259" i="15"/>
  <c r="AH259" i="15" s="1"/>
  <c r="AJ259" i="15" s="1"/>
  <c r="T407" i="15"/>
  <c r="AG407" i="15" s="1"/>
  <c r="AF407" i="15"/>
  <c r="AI507" i="15"/>
  <c r="AJ507" i="15" s="1"/>
  <c r="M581" i="15"/>
  <c r="AI581" i="15" s="1"/>
  <c r="AH581" i="15"/>
  <c r="AI20" i="15"/>
  <c r="T97" i="15"/>
  <c r="AG97" i="15" s="1"/>
  <c r="AI97" i="15" s="1"/>
  <c r="AF97" i="15"/>
  <c r="AH97" i="15" s="1"/>
  <c r="AG100" i="15"/>
  <c r="AI100" i="15" s="1"/>
  <c r="AI106" i="15"/>
  <c r="AI115" i="15"/>
  <c r="AH203" i="15"/>
  <c r="AI341" i="15"/>
  <c r="AJ341" i="15" s="1"/>
  <c r="AF445" i="15"/>
  <c r="AH445" i="15" s="1"/>
  <c r="AE495" i="15"/>
  <c r="AF495" i="15"/>
  <c r="AH26" i="15"/>
  <c r="AG515" i="15"/>
  <c r="AI515" i="15" s="1"/>
  <c r="AJ515" i="15" s="1"/>
  <c r="AG50" i="15"/>
  <c r="AI50" i="15" s="1"/>
  <c r="AG14" i="15"/>
  <c r="AI14" i="15" s="1"/>
  <c r="AI29" i="15"/>
  <c r="AG109" i="15"/>
  <c r="AI109" i="15" s="1"/>
  <c r="Y175" i="15"/>
  <c r="AG175" i="15" s="1"/>
  <c r="AF175" i="15"/>
  <c r="AG197" i="15"/>
  <c r="AI197" i="15" s="1"/>
  <c r="AG200" i="15"/>
  <c r="AI200" i="15" s="1"/>
  <c r="AF203" i="15"/>
  <c r="T203" i="15"/>
  <c r="AG203" i="15" s="1"/>
  <c r="AI203" i="15" s="1"/>
  <c r="T314" i="15"/>
  <c r="AG314" i="15" s="1"/>
  <c r="AI314" i="15" s="1"/>
  <c r="AJ314" i="15" s="1"/>
  <c r="AG326" i="15"/>
  <c r="AI326" i="15" s="1"/>
  <c r="AJ326" i="15" s="1"/>
  <c r="AG332" i="15"/>
  <c r="AI332" i="15" s="1"/>
  <c r="AJ332" i="15" s="1"/>
  <c r="AE355" i="15"/>
  <c r="AI377" i="15"/>
  <c r="AG395" i="15"/>
  <c r="AI395" i="15" s="1"/>
  <c r="AE457" i="15"/>
  <c r="AG457" i="15" s="1"/>
  <c r="AF543" i="15"/>
  <c r="AH543" i="15" s="1"/>
  <c r="Y543" i="15"/>
  <c r="AG543" i="15" s="1"/>
  <c r="AI543" i="15" s="1"/>
  <c r="AG11" i="15"/>
  <c r="AI11" i="15" s="1"/>
  <c r="AG72" i="15"/>
  <c r="AI72" i="15" s="1"/>
  <c r="M78" i="15"/>
  <c r="AI78" i="15" s="1"/>
  <c r="AH78" i="15"/>
  <c r="AG84" i="15"/>
  <c r="AI84" i="15" s="1"/>
  <c r="AI94" i="15"/>
  <c r="AG137" i="15"/>
  <c r="AI137" i="15" s="1"/>
  <c r="M223" i="15"/>
  <c r="AI223" i="15" s="1"/>
  <c r="AH223" i="15"/>
  <c r="AH305" i="15"/>
  <c r="M305" i="15"/>
  <c r="AI305" i="15" s="1"/>
  <c r="AJ305" i="15" s="1"/>
  <c r="T329" i="15"/>
  <c r="AG329" i="15" s="1"/>
  <c r="AI329" i="15" s="1"/>
  <c r="AF329" i="15"/>
  <c r="AH329" i="15" s="1"/>
  <c r="AI496" i="15"/>
  <c r="AJ496" i="15" s="1"/>
  <c r="AG65" i="15"/>
  <c r="AI65" i="15" s="1"/>
  <c r="AG76" i="15"/>
  <c r="AI76" i="15" s="1"/>
  <c r="AF98" i="15"/>
  <c r="AH98" i="15" s="1"/>
  <c r="T98" i="15"/>
  <c r="AG98" i="15" s="1"/>
  <c r="AI98" i="15" s="1"/>
  <c r="AI104" i="15"/>
  <c r="AI220" i="15"/>
  <c r="AH330" i="15"/>
  <c r="AJ330" i="15" s="1"/>
  <c r="AF65" i="15"/>
  <c r="AH65" i="15" s="1"/>
  <c r="Y149" i="15"/>
  <c r="AG149" i="15" s="1"/>
  <c r="AI149" i="15" s="1"/>
  <c r="AF149" i="15"/>
  <c r="AH149" i="15" s="1"/>
  <c r="AF165" i="15"/>
  <c r="AH165" i="15" s="1"/>
  <c r="AG383" i="15"/>
  <c r="AI383" i="15" s="1"/>
  <c r="AI502" i="15"/>
  <c r="AJ502" i="15" s="1"/>
  <c r="AI521" i="15"/>
  <c r="AJ521" i="15" s="1"/>
  <c r="Y596" i="15"/>
  <c r="AG596" i="15" s="1"/>
  <c r="AI596" i="15" s="1"/>
  <c r="AH596" i="15"/>
  <c r="AE505" i="15"/>
  <c r="AG505" i="15" s="1"/>
  <c r="AI505" i="15" s="1"/>
  <c r="AF505" i="15"/>
  <c r="AH505" i="15" s="1"/>
  <c r="AF571" i="15"/>
  <c r="AH571" i="15"/>
  <c r="Y571" i="15"/>
  <c r="AG571" i="15" s="1"/>
  <c r="AI571" i="15" s="1"/>
  <c r="AG497" i="15"/>
  <c r="AH49" i="15"/>
  <c r="AI80" i="15"/>
  <c r="AE110" i="15"/>
  <c r="AG110" i="15" s="1"/>
  <c r="AI110" i="15" s="1"/>
  <c r="AE284" i="15"/>
  <c r="AG284" i="15" s="1"/>
  <c r="AI284" i="15" s="1"/>
  <c r="AJ284" i="15" s="1"/>
  <c r="AF284" i="15"/>
  <c r="AH284" i="15" s="1"/>
  <c r="AI291" i="15"/>
  <c r="AJ291" i="15" s="1"/>
  <c r="AG313" i="15"/>
  <c r="Y433" i="15"/>
  <c r="AG433" i="15" s="1"/>
  <c r="AI433" i="15" s="1"/>
  <c r="AF433" i="15"/>
  <c r="AH433" i="15" s="1"/>
  <c r="AI506" i="15"/>
  <c r="AJ506" i="15" s="1"/>
  <c r="AH9" i="15"/>
  <c r="AI66" i="15"/>
  <c r="AI83" i="15"/>
  <c r="AH255" i="15"/>
  <c r="AI288" i="15"/>
  <c r="AJ288" i="15" s="1"/>
  <c r="AG291" i="15"/>
  <c r="T334" i="15"/>
  <c r="AG334" i="15" s="1"/>
  <c r="AI334" i="15" s="1"/>
  <c r="AJ334" i="15" s="1"/>
  <c r="AF334" i="15"/>
  <c r="AH334" i="15" s="1"/>
  <c r="AI448" i="15"/>
  <c r="M460" i="15"/>
  <c r="AI460" i="15" s="1"/>
  <c r="AH460" i="15"/>
  <c r="AG262" i="15"/>
  <c r="AI262" i="15" s="1"/>
  <c r="AJ262" i="15" s="1"/>
  <c r="AF279" i="15"/>
  <c r="AH279" i="15" s="1"/>
  <c r="AF414" i="15"/>
  <c r="AH414" i="15" s="1"/>
  <c r="T414" i="15"/>
  <c r="AG414" i="15" s="1"/>
  <c r="AI414" i="15" s="1"/>
  <c r="AI497" i="15"/>
  <c r="AJ497" i="15" s="1"/>
  <c r="Y568" i="15"/>
  <c r="AG568" i="15" s="1"/>
  <c r="AI568" i="15" s="1"/>
  <c r="AF568" i="15"/>
  <c r="AG393" i="15"/>
  <c r="AI393" i="15" s="1"/>
  <c r="AF33" i="15"/>
  <c r="AH33" i="15" s="1"/>
  <c r="AI44" i="15"/>
  <c r="Y69" i="15"/>
  <c r="AG69" i="15" s="1"/>
  <c r="AI69" i="15" s="1"/>
  <c r="AF251" i="15"/>
  <c r="AH251" i="15" s="1"/>
  <c r="AI399" i="15"/>
  <c r="AF450" i="15"/>
  <c r="AH450" i="15" s="1"/>
  <c r="Y124" i="15"/>
  <c r="AG124" i="15" s="1"/>
  <c r="AI124" i="15" s="1"/>
  <c r="AF124" i="15"/>
  <c r="AH124" i="15" s="1"/>
  <c r="AF52" i="15"/>
  <c r="AH52" i="15" s="1"/>
  <c r="T52" i="15"/>
  <c r="AG52" i="15" s="1"/>
  <c r="AI52" i="15" s="1"/>
  <c r="AF178" i="15"/>
  <c r="AG363" i="15"/>
  <c r="AI363" i="15" s="1"/>
  <c r="AG474" i="15"/>
  <c r="AG558" i="15"/>
  <c r="AI558" i="15" s="1"/>
  <c r="AJ558" i="15" s="1"/>
  <c r="AH389" i="15"/>
  <c r="AF339" i="15"/>
  <c r="AH339" i="15" s="1"/>
  <c r="AH456" i="15"/>
  <c r="AJ505" i="15" l="1"/>
  <c r="AJ329" i="15"/>
  <c r="AI48" i="15"/>
  <c r="AI129" i="15"/>
  <c r="AJ474" i="15"/>
  <c r="AG598" i="15"/>
  <c r="AI598" i="15" s="1"/>
  <c r="AJ310" i="15"/>
  <c r="AJ620" i="15"/>
  <c r="AJ282" i="15"/>
  <c r="AJ550" i="15"/>
  <c r="AI623" i="15"/>
  <c r="AJ623" i="15" s="1"/>
  <c r="AJ328" i="15"/>
  <c r="AI211" i="15"/>
  <c r="AI36" i="15"/>
  <c r="AJ471" i="15"/>
  <c r="AI269" i="15"/>
  <c r="AJ269" i="15" s="1"/>
  <c r="AJ401" i="15"/>
  <c r="AJ312" i="15"/>
  <c r="AJ317" i="15"/>
  <c r="AI385" i="15"/>
  <c r="AJ279" i="15"/>
  <c r="AI495" i="15"/>
  <c r="AJ495" i="15" s="1"/>
</calcChain>
</file>

<file path=xl/sharedStrings.xml><?xml version="1.0" encoding="utf-8"?>
<sst xmlns="http://schemas.openxmlformats.org/spreadsheetml/2006/main" count="4769" uniqueCount="1345">
  <si>
    <t>Line</t>
  </si>
  <si>
    <t>W/O</t>
  </si>
  <si>
    <t>Pick</t>
  </si>
  <si>
    <t>Lot Qty</t>
  </si>
  <si>
    <t>Remark</t>
  </si>
  <si>
    <t>D</t>
  </si>
  <si>
    <t>N</t>
  </si>
  <si>
    <t>D901</t>
  </si>
  <si>
    <t>Remain</t>
  </si>
  <si>
    <t>D903</t>
  </si>
  <si>
    <t>D902</t>
  </si>
  <si>
    <t>shipping date</t>
  </si>
  <si>
    <t>AVTC TV Daily Production Schedule</t>
  </si>
  <si>
    <t>Start Date</t>
  </si>
  <si>
    <t xml:space="preserve"> </t>
  </si>
  <si>
    <t>M32TWAM22EHS.32GHDW1</t>
  </si>
  <si>
    <t>M32TWAM22EH-.AMT32C1</t>
  </si>
  <si>
    <t>M32TWAM22EH-.JVC32J1</t>
  </si>
  <si>
    <t>V901</t>
  </si>
  <si>
    <t>VXXUSOL2----.PARAKT7</t>
  </si>
  <si>
    <t>VXXEUOL2----.PARAKT7</t>
  </si>
  <si>
    <t>D905</t>
  </si>
  <si>
    <t>MNT</t>
  </si>
  <si>
    <t>P86USCV22EO-.CE86VK1</t>
  </si>
  <si>
    <t>P65USCV22EO-.EH65VH2</t>
  </si>
  <si>
    <t>P75USCV22EO-.EH75VH2</t>
  </si>
  <si>
    <t>P86USCV22EO-.EH86VH2</t>
  </si>
  <si>
    <t>M40TWAM22CF-.40BFHD4</t>
  </si>
  <si>
    <t>VXXUSOL2----.PARAKT5</t>
  </si>
  <si>
    <t>VXXAUOL2----.PARAKT5</t>
  </si>
  <si>
    <t>VXXEUOL2----.PARAKT5</t>
  </si>
  <si>
    <t>M50TWAM22COB.50W2UD1</t>
  </si>
  <si>
    <t>M50TWAM22COS.50TG2U1</t>
  </si>
  <si>
    <t>M55TWAM22EOB.55W2UD1</t>
  </si>
  <si>
    <t>M55TWAM22EOS.55TG2U1</t>
  </si>
  <si>
    <t>VXXUSOL2----.PARAKTA</t>
  </si>
  <si>
    <t>VXXAUOL2----.PARAKT7</t>
  </si>
  <si>
    <t>VXXEUOL2----.PARAKTA</t>
  </si>
  <si>
    <t>P86INCV22EO-.K86VG12</t>
  </si>
  <si>
    <t>M24NLSS22AFH.24D3601</t>
  </si>
  <si>
    <t>M24NLSS22AFH.24D3661</t>
  </si>
  <si>
    <t>M24VNSS22AFH.24D3661</t>
  </si>
  <si>
    <t>M24AUSS22AFH.24D3601</t>
  </si>
  <si>
    <t>M24CLSS22AFH.24D3601</t>
  </si>
  <si>
    <t>M32TWAM22EH-.AMT32C2</t>
  </si>
  <si>
    <t>M24GBSS22AFH.24D3601</t>
  </si>
  <si>
    <t>M24NLSS22AFH.24D3621</t>
  </si>
  <si>
    <t>M24NLSS22AFH.24D3641</t>
  </si>
  <si>
    <t>M24PHSS22AFH.24D3661</t>
  </si>
  <si>
    <t>M24AUSS22AFH.24D3661</t>
  </si>
  <si>
    <t>M24CLSS22AFH.24D3661</t>
  </si>
  <si>
    <t>M24USSS22AFH.24D3661</t>
  </si>
  <si>
    <t>M24TRSS22AFH.24D3661</t>
  </si>
  <si>
    <t>M27SGSS22AFH.27D3602</t>
  </si>
  <si>
    <t>M27MXSS22AFH.27D3602</t>
  </si>
  <si>
    <t>M27AUSS22AFH.27D3662</t>
  </si>
  <si>
    <t>M27CLSS22AFH.27D3662</t>
  </si>
  <si>
    <t>M27TRSS22AFH.27D3662</t>
  </si>
  <si>
    <t>M24AESS22AFH.24D3621</t>
  </si>
  <si>
    <t>M24GBSS22AFH.24D3621</t>
  </si>
  <si>
    <t>M24GBSS22AFH.24D3661</t>
  </si>
  <si>
    <t>M27GBSS22AFH.27D3602</t>
  </si>
  <si>
    <t>M27GBSS22AFH.27D3622</t>
  </si>
  <si>
    <t>M27GBSS22AFH.27D3662</t>
  </si>
  <si>
    <t>M27NLSS22AFH.27D3662</t>
  </si>
  <si>
    <t>M27NLSS22AFH.27D3602</t>
  </si>
  <si>
    <t>M27AUSS22AFH.27D3602</t>
  </si>
  <si>
    <t>M27NLSS22AFH.27D3642</t>
  </si>
  <si>
    <t>M27USSS22AFH.27D3662</t>
  </si>
  <si>
    <t>M27CLSS22AFH.27D3602</t>
  </si>
  <si>
    <t>M27NLSS22AFH.27D3622</t>
  </si>
  <si>
    <t>M27VNSS22AFH.27D3662</t>
  </si>
  <si>
    <t>M24TRSS22AF-.24D3661</t>
  </si>
  <si>
    <t>M27TRSS22AF-.27D3662</t>
  </si>
  <si>
    <t>VXXINOL2----.PARAKT1</t>
  </si>
  <si>
    <t>M27ILSS22AFH.27D3622</t>
  </si>
  <si>
    <t>Parakeet</t>
  </si>
  <si>
    <t>EH65VH</t>
  </si>
  <si>
    <t>EH75VH</t>
  </si>
  <si>
    <t>EH86VH</t>
  </si>
  <si>
    <t>CE86VK</t>
  </si>
  <si>
    <t>K86VG</t>
  </si>
  <si>
    <t>M24NLSS22EFH.24D3641</t>
  </si>
  <si>
    <t>M27AUSS22EFH.27D3661</t>
  </si>
  <si>
    <t>P55USCV22FO-.EH55VH1</t>
  </si>
  <si>
    <t>EH55VH</t>
  </si>
  <si>
    <t>M24AUSS22AF-.24D3601</t>
  </si>
  <si>
    <t>M27AUSS22AF-.27D3602</t>
  </si>
  <si>
    <t>M24ARSS22AFH.24D3661</t>
  </si>
  <si>
    <t>M27ARSS22AFH.27D3662</t>
  </si>
  <si>
    <t>M24IDSS22AFH.24D3661</t>
  </si>
  <si>
    <t>M27SGSS22AF-.27D3602</t>
  </si>
  <si>
    <t>M27VNSS22AF-.27D3662</t>
  </si>
  <si>
    <t>VXXAUOL2----.PARAKTA</t>
  </si>
  <si>
    <t>V65USLO22CO-.DIXIE-1</t>
  </si>
  <si>
    <t>V65USLO22CO-.DIXIE-3</t>
  </si>
  <si>
    <t>M27MXSS22AF-.27D3602</t>
  </si>
  <si>
    <t>3V65004203V0</t>
  </si>
  <si>
    <t>3V65007203V0</t>
  </si>
  <si>
    <t>3V65003203V0</t>
  </si>
  <si>
    <t>3V65006203V0</t>
  </si>
  <si>
    <t>M27NLSS22EFH.27D3661</t>
  </si>
  <si>
    <t>M24VNSS22AF-.24D3661</t>
  </si>
  <si>
    <t>V65EULO22CO-.DIXIE-1</t>
  </si>
  <si>
    <t>V65EULO22CO-.DIXIE-3</t>
  </si>
  <si>
    <t>V65GBLO22CO-.DIXIE-1</t>
  </si>
  <si>
    <t>V65SSLO22CO-.DIXIE-1</t>
  </si>
  <si>
    <t>V65INLO22CO-.DIXIE-1</t>
  </si>
  <si>
    <t>V65AULO22CO-.DIXIE-1</t>
  </si>
  <si>
    <t>M32USMS24SO-.321URX1</t>
  </si>
  <si>
    <t>V65GBLO22CO-.DIXIE-3</t>
  </si>
  <si>
    <t>V65SSLO22CO-.DIXIE-3</t>
  </si>
  <si>
    <t>V65INLO22CO-.DIXIE-3</t>
  </si>
  <si>
    <t>V65AULO22CO-.DIXIE-3</t>
  </si>
  <si>
    <t>V65BRLO22CO-.DIXIE-1</t>
  </si>
  <si>
    <t>V65BRLO22CO-.DIXIE-3</t>
  </si>
  <si>
    <t>V65THLO22CO-.DIXIE-1</t>
  </si>
  <si>
    <t>V65THLO22CO-.DIXIE-3</t>
  </si>
  <si>
    <t>V65ILLO22CO-.DIXIE-1</t>
  </si>
  <si>
    <t>V65ILLO22CO-.DIXIE-3</t>
  </si>
  <si>
    <t>V65CLLO22CO-.DIXIE-1</t>
  </si>
  <si>
    <t>V65CLLO22CO-.DIXIE-3</t>
  </si>
  <si>
    <t>V65CNLO22CO-.DIXIE-1</t>
  </si>
  <si>
    <t>V65CNLO22CO-.DIXIE-3</t>
  </si>
  <si>
    <t>V65JPLO22CO-.DIXIE-1</t>
  </si>
  <si>
    <t>V65JPLO22CO-.DIXIE-3</t>
  </si>
  <si>
    <t>M27USAS22AQ-.VG27AQ1</t>
  </si>
  <si>
    <t>M27AESS22AFH.27D3622</t>
  </si>
  <si>
    <t>M27USAS22AQ-.VG27AQ2</t>
  </si>
  <si>
    <t>P86USCV22EO-.EK86EA2</t>
  </si>
  <si>
    <t>V50WWNF22AO-.HARRIS4</t>
  </si>
  <si>
    <t>P65USCV22FO-.EL65BE1</t>
  </si>
  <si>
    <t>P86USCV22FO-.EL86BE1</t>
  </si>
  <si>
    <t>M27USAS22AQ-.VG27AQ4</t>
  </si>
  <si>
    <t>VXXWWNF2----.NFEBAR3</t>
  </si>
  <si>
    <t>P98USCV22FO-.1182BG1</t>
  </si>
  <si>
    <t>D906</t>
  </si>
  <si>
    <t>P75USCV22FO-.ND75CM1</t>
  </si>
  <si>
    <t>P86USCV22FO-.ND86CM1</t>
  </si>
  <si>
    <t>P43USCV22EO-.2182CG1</t>
  </si>
  <si>
    <t>P55USCV22EO-.1382BG1</t>
  </si>
  <si>
    <t>P65USCV22EO-.3182CG1</t>
  </si>
  <si>
    <t>P75USCV22EO-.3182CG1</t>
  </si>
  <si>
    <t>P86USCV22FO-.1082BG1</t>
  </si>
  <si>
    <t>M24NLSS22AF-.24D3601</t>
  </si>
  <si>
    <t>M27NLSS22AF-.27D3602</t>
  </si>
  <si>
    <t>M27ARSS22EFH.27D3661</t>
  </si>
  <si>
    <t>M27TRSS22EFH.27D3661</t>
  </si>
  <si>
    <t>M27NLSS22EFH.27D3621</t>
  </si>
  <si>
    <t>M24AUSS22EFH.24D3661</t>
  </si>
  <si>
    <t>M27AUSS22EFH.27D3601</t>
  </si>
  <si>
    <t>M27GBSS22EFH.27D3601</t>
  </si>
  <si>
    <t>M27ILSS22EFH.27D3621</t>
  </si>
  <si>
    <t>P43USCV22EO-.ND43CM1</t>
  </si>
  <si>
    <t>P55USCV22EO-.ND55CM1</t>
  </si>
  <si>
    <t>P65USCV22FO-.ND65CM1</t>
  </si>
  <si>
    <t>P98USCV22FO-.ND98CM1</t>
  </si>
  <si>
    <t>M27CLSS22EFH.27D3661</t>
  </si>
  <si>
    <t>M27GBSS22EFH.27D3661</t>
  </si>
  <si>
    <t>P65USCV22EO-.EK65EA1</t>
  </si>
  <si>
    <t>P75USCV22EO-.EK75EA1</t>
  </si>
  <si>
    <t>P86USCV22EO-.EK86EA1</t>
  </si>
  <si>
    <t>P75USCV22FO-.EL75BE1</t>
  </si>
  <si>
    <t>M24NLSS22EFH.24D3601</t>
  </si>
  <si>
    <t>M27USAS24SO-.XG27UC1</t>
  </si>
  <si>
    <t>P65USCV22EO-.EK65EA2</t>
  </si>
  <si>
    <t>P75USCV22EO-.EK75EA2</t>
  </si>
  <si>
    <t>P65USCV22FO-.EL65BE2</t>
  </si>
  <si>
    <t>P75USCV22FO-.EL75BE2</t>
  </si>
  <si>
    <t>P86USCV22FO-.EL86BE2</t>
  </si>
  <si>
    <t>M32KRSS22EQH.FG510-1</t>
  </si>
  <si>
    <t>M32NLSS22EQH.FG510-1</t>
  </si>
  <si>
    <t>M32USSS22EQH.FG51D-1</t>
  </si>
  <si>
    <t>P65USCV22EO-.VG65FA1</t>
  </si>
  <si>
    <t>P75USCV22EO-.VG75FA1</t>
  </si>
  <si>
    <t>P86USCV22EO-.VG86FA1</t>
  </si>
  <si>
    <t>M27USAS24SO-.PG27UC1</t>
  </si>
  <si>
    <t>M27USAS24SQ-.XG27AC1</t>
  </si>
  <si>
    <t>M27USAS22AQ-.VG27N51</t>
  </si>
  <si>
    <t>M27AUSS22EF-.27D3661</t>
  </si>
  <si>
    <t>M27USSS22AFH.27D36D2</t>
  </si>
  <si>
    <t>M27USSS22AFH.27D3682</t>
  </si>
  <si>
    <t>M32KRSS22EQH.FG512-1</t>
  </si>
  <si>
    <t>M32CLSS22EQH.FG512-1</t>
  </si>
  <si>
    <t>M32NLSS22EQH.FG512-1</t>
  </si>
  <si>
    <t>M32KRSS22EQH.FG514-1</t>
  </si>
  <si>
    <t>M27USSS22EFH.27D3681</t>
  </si>
  <si>
    <t>M27USSS22EFH.27D36D1</t>
  </si>
  <si>
    <t>M32USAS22EQ-.G32WCS1</t>
  </si>
  <si>
    <t>M24USSS22AFH.24D3681</t>
  </si>
  <si>
    <t>M24USSS22EFH.24D3681</t>
  </si>
  <si>
    <t>M32USAS22EQ-.32WCMS1</t>
  </si>
  <si>
    <t>P55USCV22FO-.EH55VH2</t>
  </si>
  <si>
    <t>P65USCV22EO-.EH65VH3</t>
  </si>
  <si>
    <t>P75USCV22EO-.EH75VH3</t>
  </si>
  <si>
    <t>P86USCV22EO-.EH86VH3</t>
  </si>
  <si>
    <t>M27NLSS22EQH.FG510-1</t>
  </si>
  <si>
    <t>M27KRSS22EQH.FG512-1</t>
  </si>
  <si>
    <t>M27CLSS22EQH.FG512-1</t>
  </si>
  <si>
    <t>M27USSS22EQH.FG512-1</t>
  </si>
  <si>
    <t>M27KRSS22EQH.FG514-1</t>
  </si>
  <si>
    <t>M27USMS24SC-.271QRX1</t>
  </si>
  <si>
    <t>M32USMS24SO-.32URXW1</t>
  </si>
  <si>
    <t>M27USMS24SO-.272URX1</t>
  </si>
  <si>
    <t>M27USMS24SO-.272UPX1</t>
  </si>
  <si>
    <t>M27USMS24SQ-.272QPX1</t>
  </si>
  <si>
    <t>M27USMS24SQ-.272QPW1</t>
  </si>
  <si>
    <t>M32USAS24SO-.PG32UC1</t>
  </si>
  <si>
    <t>P86USCV22EO-.EH86LG1</t>
  </si>
  <si>
    <t>P75USCV22EO-.EH75LG1</t>
  </si>
  <si>
    <t>P65USCV22EO-.EH65LG1</t>
  </si>
  <si>
    <t>P55USCV22EO-.EH55LG1</t>
  </si>
  <si>
    <t>V902</t>
  </si>
  <si>
    <t>P65USCV22FO-.CE65VK1</t>
  </si>
  <si>
    <t>T55USTY22AO-.TY55013</t>
  </si>
  <si>
    <t>P55USCV22EO-.IFP5551</t>
  </si>
  <si>
    <t>P65USCV22EO-.IFP6551</t>
  </si>
  <si>
    <t>P75USCV22EO-.IFP7551</t>
  </si>
  <si>
    <t>P86USCV22EO-.IFP8651</t>
  </si>
  <si>
    <t>P98USCV22EO-.IFP9851</t>
  </si>
  <si>
    <t>M27USAS24SQ-.XG27AQ2</t>
  </si>
  <si>
    <t>M32USMS24SO-.322URX1</t>
  </si>
  <si>
    <t>P65USCV22EO-.GX065N1</t>
  </si>
  <si>
    <t>P75USCV22EO-.GX075N1</t>
  </si>
  <si>
    <t>P86USCV22EO-.GX086N1</t>
  </si>
  <si>
    <t>M27AESS22EQH.FG510-1</t>
  </si>
  <si>
    <t>M32AESS22EQH.FG510-1</t>
  </si>
  <si>
    <t>M32INSS22EQH.FG510-1</t>
  </si>
  <si>
    <t>M27USMS24SC-.271QRX2</t>
  </si>
  <si>
    <t>M27USMS24SO-.272URX2</t>
  </si>
  <si>
    <t>E08WWNF22Q5E.NPADA21</t>
  </si>
  <si>
    <t>CE65VK</t>
  </si>
  <si>
    <t>M27USAS24SQ-.XG27AC2</t>
  </si>
  <si>
    <t>M27USAS24SO-.PG27UC2</t>
  </si>
  <si>
    <t>M27USAS24SO-.XG27UC2</t>
  </si>
  <si>
    <t>M32USMS22AO-.CUPDF01</t>
  </si>
  <si>
    <t>M32USSS22EQH.FG512-1</t>
  </si>
  <si>
    <t>M27USSS22EFH.27D3661</t>
  </si>
  <si>
    <t>P65USCV22EO-.EK65LE1</t>
  </si>
  <si>
    <t>P75USCV22EO-.EK75LE1</t>
  </si>
  <si>
    <t>P86USCV22EO-.EK86LE1</t>
  </si>
  <si>
    <t>VXXUSOL2----.OWRHEA1</t>
  </si>
  <si>
    <t>V10USOL22CA-.PARROT1</t>
  </si>
  <si>
    <t>M27USAS22AQ-.VG27AQB</t>
  </si>
  <si>
    <t>M27USAS24SQ-.XG27AQ3</t>
  </si>
  <si>
    <t>V65USLO22CO-.DIXIE-2</t>
  </si>
  <si>
    <t>V65USLO22CO-.DIXIE-4</t>
  </si>
  <si>
    <t>3V650C220300</t>
  </si>
  <si>
    <t>VXXTWOLC----.OWRHEA1</t>
  </si>
  <si>
    <t>T55USTY22AO-.TY55014</t>
  </si>
  <si>
    <t>VXXWWNF2----.NFEBAR5</t>
  </si>
  <si>
    <t>V32WWNF22AO-.NFM1323</t>
  </si>
  <si>
    <t>V32WWNF22AO-.NFM1324</t>
  </si>
  <si>
    <t>V32WWNF22AO-.NFM1321</t>
  </si>
  <si>
    <t>V32WWNF22AO-.NFM1322</t>
  </si>
  <si>
    <t>M55TWAM22EOS.55TG2U2</t>
  </si>
  <si>
    <t>M32NLSS22EQH.FG514-1</t>
  </si>
  <si>
    <t>M27NLSS22EQH.FG514-1</t>
  </si>
  <si>
    <t>Arran</t>
  </si>
  <si>
    <t>P55USCV22FO-.1382BG1</t>
  </si>
  <si>
    <t>M50TWAM22COS.50TG2U2</t>
  </si>
  <si>
    <t>Macallan</t>
  </si>
  <si>
    <t>V903</t>
  </si>
  <si>
    <t>P65USCV22EO-.VG65FA2</t>
  </si>
  <si>
    <t>P75USCV22EO-.VG75FA2</t>
  </si>
  <si>
    <t>P86USCV22EO-.VG86FA2</t>
  </si>
  <si>
    <t>P55USCV22FO-.VG55FA2</t>
  </si>
  <si>
    <t>P55USCV22FO-.VG55FA1</t>
  </si>
  <si>
    <t>P55USCV22FO-.NT55ND1</t>
  </si>
  <si>
    <t>P98USCV22FO-.NT98ND1</t>
  </si>
  <si>
    <t>P43USCV22FO-.NT43ND1</t>
  </si>
  <si>
    <t>P50USCV22FO-.NT50ND1</t>
  </si>
  <si>
    <t>P65USCV22FO-.NT65ND1</t>
  </si>
  <si>
    <t>UPH</t>
  </si>
  <si>
    <t>UPH</t>
    <phoneticPr fontId="95" type="noConversion"/>
  </si>
  <si>
    <t>Prepared By: jinke.yu        Rev.:34            Date:2025.08.01</t>
  </si>
  <si>
    <t>Mode</t>
  </si>
  <si>
    <t>机种</t>
  </si>
  <si>
    <t>料号</t>
  </si>
  <si>
    <t>料号+MES线体</t>
  </si>
  <si>
    <t>ERP线体</t>
  </si>
  <si>
    <t>MES线体</t>
  </si>
  <si>
    <t>BM Line</t>
  </si>
  <si>
    <t>SET Line</t>
  </si>
  <si>
    <t xml:space="preserve">TTL
 HC </t>
  </si>
  <si>
    <t>TTL 
ST (min)</t>
  </si>
  <si>
    <t>BM</t>
  </si>
  <si>
    <t>Ass'y</t>
  </si>
  <si>
    <t>Func.</t>
  </si>
  <si>
    <t>Packing</t>
  </si>
  <si>
    <t>TTL 
HC</t>
  </si>
  <si>
    <t>On Line</t>
  </si>
  <si>
    <t>Off Line</t>
  </si>
  <si>
    <t>TTL HC</t>
  </si>
  <si>
    <t>TTL ST (min)</t>
  </si>
  <si>
    <t>领班</t>
  </si>
  <si>
    <t>全才</t>
  </si>
  <si>
    <t>物料</t>
  </si>
  <si>
    <t>组长</t>
  </si>
  <si>
    <t>FG</t>
    <phoneticPr fontId="50" type="noConversion"/>
  </si>
  <si>
    <t>JVC32C</t>
  </si>
  <si>
    <t>M32TWAM22FH-.AMT32C1</t>
  </si>
  <si>
    <t>M32TWAM22AH-.AMT32C1</t>
  </si>
  <si>
    <t>JVC32J</t>
  </si>
  <si>
    <t>M32TWAM22AH-.JVC32J1</t>
  </si>
  <si>
    <t>M32TWAM22EH-.JVC32J2</t>
  </si>
  <si>
    <t>JVC32G</t>
  </si>
  <si>
    <t>M32TWAM22A5S.32GWEB1</t>
  </si>
  <si>
    <t>FG</t>
    <phoneticPr fontId="50" type="noConversion"/>
  </si>
  <si>
    <t>M32TWAM22EHS.32GHDW2</t>
  </si>
  <si>
    <t>JVC40B</t>
  </si>
  <si>
    <t>M40TWAM22CF-.40BFHD5</t>
  </si>
  <si>
    <t>M40TWAM22CF-.40BFHD6</t>
  </si>
  <si>
    <t>JVC50</t>
  </si>
  <si>
    <t>JVC55</t>
  </si>
  <si>
    <t>MNT LS24D36</t>
  </si>
  <si>
    <t>M24USSS22AFH.24D3601</t>
  </si>
  <si>
    <t>FG</t>
    <phoneticPr fontId="50" type="noConversion"/>
  </si>
  <si>
    <t>FG</t>
    <phoneticPr fontId="50" type="noConversion"/>
  </si>
  <si>
    <t>FG</t>
    <phoneticPr fontId="50" type="noConversion"/>
  </si>
  <si>
    <t>FG</t>
    <phoneticPr fontId="50" type="noConversion"/>
  </si>
  <si>
    <t>MNT LS27D36</t>
  </si>
  <si>
    <t>M27NLSS22AFH.27D3601</t>
  </si>
  <si>
    <t>M27NLSS22AFH.27D3621</t>
  </si>
  <si>
    <t>M27NLSS22AFH.27D3641</t>
  </si>
  <si>
    <t>M27NLSS22AFH.27D3661</t>
  </si>
  <si>
    <t>M27VNSS22AFH.27D3661</t>
  </si>
  <si>
    <t>M27AUSS22AFH.27D3601</t>
  </si>
  <si>
    <t>M27CLSS22AFH.27D3601</t>
  </si>
  <si>
    <t>M27USSS22AFH.27D3601</t>
  </si>
  <si>
    <t>M27USSS22AFH.27D3602</t>
  </si>
  <si>
    <t>M27USSS22AFH.27D3622</t>
  </si>
  <si>
    <t>M27USSS22AFH.27D3661</t>
  </si>
  <si>
    <t>M27USSS22AFH.27D36C2</t>
  </si>
  <si>
    <t>M27AESS22AFH.27D3621</t>
  </si>
  <si>
    <t>FG</t>
  </si>
  <si>
    <t>MNT LS27FG51</t>
  </si>
  <si>
    <t>M27USSS22FQH.FG510-1</t>
  </si>
  <si>
    <t>MNT LS32FG51</t>
  </si>
  <si>
    <t>M32USSS22FQH.FG510-1</t>
  </si>
  <si>
    <t>M32USSS22EQH.FG510-1</t>
  </si>
  <si>
    <t>M32USSS24EQH.FG512-1</t>
  </si>
  <si>
    <t>M32VNSS24EQH.FG510-1</t>
  </si>
  <si>
    <t>M32AUSS24EQH.FG510-1</t>
  </si>
  <si>
    <t>M32INSS24EQH.FG510-1</t>
  </si>
  <si>
    <t>M32CNSS24EQH.FG512-1</t>
  </si>
  <si>
    <t>M32GBSS24EQH.FG512-1</t>
  </si>
  <si>
    <t>cocoon Dixie</t>
  </si>
  <si>
    <t>AV bar Dixie</t>
  </si>
  <si>
    <t>Dixie 65</t>
  </si>
  <si>
    <t>FG</t>
    <phoneticPr fontId="50" type="noConversion"/>
  </si>
  <si>
    <t>FG</t>
    <phoneticPr fontId="50" type="noConversion"/>
  </si>
  <si>
    <t>FG</t>
    <phoneticPr fontId="50" type="noConversion"/>
  </si>
  <si>
    <t>FG</t>
    <phoneticPr fontId="50" type="noConversion"/>
  </si>
  <si>
    <t>FG</t>
    <phoneticPr fontId="50" type="noConversion"/>
  </si>
  <si>
    <t>FG</t>
    <phoneticPr fontId="50" type="noConversion"/>
  </si>
  <si>
    <t>FG</t>
    <phoneticPr fontId="50" type="noConversion"/>
  </si>
  <si>
    <t>FG</t>
    <phoneticPr fontId="50" type="noConversion"/>
  </si>
  <si>
    <t>FG</t>
    <phoneticPr fontId="50" type="noConversion"/>
  </si>
  <si>
    <t>Dixie 65  机头</t>
  </si>
  <si>
    <t>待确认BOM差异</t>
  </si>
  <si>
    <t>LCM4003</t>
  </si>
  <si>
    <t>363264820395</t>
  </si>
  <si>
    <t>D901</t>
    <phoneticPr fontId="50" type="noConversion"/>
  </si>
  <si>
    <t>D901</t>
    <phoneticPr fontId="50" type="noConversion"/>
  </si>
  <si>
    <t>363264720395</t>
  </si>
  <si>
    <t>D901</t>
    <phoneticPr fontId="50" type="noConversion"/>
  </si>
  <si>
    <t>D901</t>
    <phoneticPr fontId="50" type="noConversion"/>
  </si>
  <si>
    <t>363265120395</t>
  </si>
  <si>
    <t>363265320395</t>
  </si>
  <si>
    <t>363266120395</t>
  </si>
  <si>
    <t>363267320395</t>
  </si>
  <si>
    <t>D901</t>
    <phoneticPr fontId="50" type="noConversion"/>
  </si>
  <si>
    <t>363269920395</t>
  </si>
  <si>
    <t>363271220395</t>
  </si>
  <si>
    <t>LCM4003 MB</t>
  </si>
  <si>
    <t>363272320395</t>
  </si>
  <si>
    <t>D901</t>
    <phoneticPr fontId="50" type="noConversion"/>
  </si>
  <si>
    <t>363272220395</t>
  </si>
  <si>
    <t>LCM4500</t>
  </si>
  <si>
    <t>363264420395</t>
  </si>
  <si>
    <t>363265220395</t>
  </si>
  <si>
    <t>D901</t>
    <phoneticPr fontId="50" type="noConversion"/>
  </si>
  <si>
    <t>363266220395</t>
  </si>
  <si>
    <t>363267420395</t>
  </si>
  <si>
    <t>D901</t>
    <phoneticPr fontId="50" type="noConversion"/>
  </si>
  <si>
    <t>363270020395</t>
  </si>
  <si>
    <t>D901</t>
    <phoneticPr fontId="50" type="noConversion"/>
  </si>
  <si>
    <t>363271320395</t>
  </si>
  <si>
    <t>LCM5300</t>
  </si>
  <si>
    <t>363264520395</t>
  </si>
  <si>
    <t>FG</t>
    <phoneticPr fontId="50" type="noConversion"/>
  </si>
  <si>
    <t>363264920395</t>
  </si>
  <si>
    <t>363265020395</t>
  </si>
  <si>
    <t>D901</t>
    <phoneticPr fontId="50" type="noConversion"/>
  </si>
  <si>
    <t>D901</t>
    <phoneticPr fontId="50" type="noConversion"/>
  </si>
  <si>
    <t>363265720395</t>
  </si>
  <si>
    <t>363268220395</t>
  </si>
  <si>
    <t>363271420395</t>
  </si>
  <si>
    <t>LCM4202</t>
  </si>
  <si>
    <t>363269420395</t>
  </si>
  <si>
    <t>363270120395</t>
  </si>
  <si>
    <t>363269820395</t>
  </si>
  <si>
    <t>363270220395</t>
  </si>
  <si>
    <t>363272120395</t>
  </si>
  <si>
    <t>363272020395</t>
  </si>
  <si>
    <t>LCM MNT LS27FG5</t>
  </si>
  <si>
    <t>352768920395</t>
  </si>
  <si>
    <t>LCM MNT LS32FG5</t>
  </si>
  <si>
    <t>353256520395</t>
  </si>
  <si>
    <t>LCM MNT LS24D36</t>
  </si>
  <si>
    <t>352452720395</t>
  </si>
  <si>
    <t>352452820395</t>
  </si>
  <si>
    <t>LCM MNT LS27D36</t>
  </si>
  <si>
    <t>352762020395</t>
  </si>
  <si>
    <t xml:space="preserve">352762920395 </t>
  </si>
  <si>
    <t>LCM SS UN43CU7090</t>
  </si>
  <si>
    <t xml:space="preserve">364357120395 </t>
  </si>
  <si>
    <t>LCM SS UN50CU7090</t>
  </si>
  <si>
    <t>365057120395</t>
  </si>
  <si>
    <t>LCM SS UN55CU7090</t>
  </si>
  <si>
    <t>365587320395</t>
  </si>
  <si>
    <t>365587420395</t>
  </si>
  <si>
    <t>LCM SS UN65CU7090</t>
  </si>
  <si>
    <t>366582020395</t>
  </si>
  <si>
    <t>MB BBY43F</t>
  </si>
  <si>
    <t>364355820395</t>
  </si>
  <si>
    <t>线外</t>
  </si>
  <si>
    <t>364355920395</t>
  </si>
  <si>
    <t>364356220395</t>
  </si>
  <si>
    <t>364356520395</t>
  </si>
  <si>
    <t xml:space="preserve">364356620395 </t>
  </si>
  <si>
    <t>364356920395</t>
  </si>
  <si>
    <t>364356820395</t>
  </si>
  <si>
    <t>364357020395</t>
  </si>
  <si>
    <t>364304520395</t>
  </si>
  <si>
    <t>364304620395</t>
  </si>
  <si>
    <t>MB LS24D36</t>
  </si>
  <si>
    <t>352453120395</t>
  </si>
  <si>
    <t>MB LS27D36</t>
  </si>
  <si>
    <t>352763020395</t>
  </si>
  <si>
    <t>MB LS27C33</t>
  </si>
  <si>
    <t>352762820395</t>
  </si>
  <si>
    <t>352761420395</t>
  </si>
  <si>
    <t>MB LS24C36</t>
  </si>
  <si>
    <t>352452120395</t>
  </si>
  <si>
    <t>MB JVC50</t>
  </si>
  <si>
    <t>355050320395</t>
  </si>
  <si>
    <t>355050220395</t>
  </si>
  <si>
    <t>MB JVC55</t>
  </si>
  <si>
    <t>355550320395</t>
  </si>
  <si>
    <t>355550220395</t>
  </si>
  <si>
    <t xml:space="preserve">Dixie PCBA kit </t>
  </si>
  <si>
    <t>VXXUSLO2----.DIXIE-1</t>
  </si>
  <si>
    <t>K75</t>
    <phoneticPr fontId="119" type="noConversion"/>
  </si>
  <si>
    <t>P75USCV22EO-.K75VE21</t>
  </si>
  <si>
    <t>FG</t>
    <phoneticPr fontId="119" type="noConversion"/>
  </si>
  <si>
    <t>K65</t>
    <phoneticPr fontId="119" type="noConversion"/>
  </si>
  <si>
    <t>P65USCV22EO-.K65VE21</t>
    <phoneticPr fontId="119" type="noConversion"/>
  </si>
  <si>
    <t>K65</t>
  </si>
  <si>
    <t>P65USCV22EO-.K65VE22</t>
  </si>
  <si>
    <t>P65USCV22EO-.K65VE23</t>
  </si>
  <si>
    <t>P75USCV22EO-.K75VE22</t>
  </si>
  <si>
    <t>P65INCV22EO-.K65VF11</t>
  </si>
  <si>
    <t>P65INCV22EO-.K65VF12</t>
  </si>
  <si>
    <t>K75</t>
  </si>
  <si>
    <t>P75INCV22EO-.K75VF11</t>
  </si>
  <si>
    <t>P75USCV22EO-.K75VE23</t>
  </si>
  <si>
    <t>K75VG</t>
  </si>
  <si>
    <t>P75USCV22EO-.K75VG11</t>
    <phoneticPr fontId="119" type="noConversion"/>
  </si>
  <si>
    <t>P86INCV22EO-.K86VG11</t>
  </si>
  <si>
    <t>P65USCV22EO-.EH65VH1</t>
  </si>
  <si>
    <t>P75USCV22EO-.EH75VH1</t>
  </si>
  <si>
    <t>P86USCV22EO-.EH86VH1</t>
  </si>
  <si>
    <t>CE75VK</t>
  </si>
  <si>
    <t>P75USCV22FO-.CE75VK1</t>
  </si>
  <si>
    <t>BL W43PNC</t>
  </si>
  <si>
    <t>P43USCV22EO-.W43PNC1</t>
  </si>
  <si>
    <t>BL W55PNC</t>
  </si>
  <si>
    <t>P55USCV22EO-.W55PNC1</t>
  </si>
  <si>
    <t>BL W65PNC</t>
  </si>
  <si>
    <t>P65USCV22FO-.W65PNC1</t>
  </si>
  <si>
    <t>BL W75PNC</t>
  </si>
  <si>
    <t>P75USCV22FO-.W75PNC1</t>
  </si>
  <si>
    <t>BL W86PNC</t>
  </si>
  <si>
    <t>P86USCV22FO-.W86PNC1</t>
  </si>
  <si>
    <t>BL EK65XG</t>
  </si>
  <si>
    <t>P65USCV22EO-.EK65XG1</t>
  </si>
  <si>
    <t>BL EK75XG</t>
  </si>
  <si>
    <t>P75USCV22EO-.EK75XG1</t>
  </si>
  <si>
    <t>BL EK86XG</t>
  </si>
  <si>
    <t>P86USCV22EO-.EK86XG1</t>
  </si>
  <si>
    <t>CT EK65CC</t>
  </si>
  <si>
    <t>P65USCV22EO-.EK65CC1</t>
  </si>
  <si>
    <t>CT EK75CC</t>
  </si>
  <si>
    <t>P75USCV22EO-.EK75CC1</t>
  </si>
  <si>
    <t>CT EK86CC</t>
  </si>
  <si>
    <t>P86USCV22EO-.EK86CC1</t>
  </si>
  <si>
    <t>VS W43PNC</t>
  </si>
  <si>
    <t>VS W55PNC</t>
  </si>
  <si>
    <t>VS W65PNC</t>
  </si>
  <si>
    <t>VS W75PNC</t>
  </si>
  <si>
    <t>VS W86PNC</t>
  </si>
  <si>
    <t>NEC W43PNC</t>
  </si>
  <si>
    <t>NEC W50PNC</t>
  </si>
  <si>
    <t>NEC W55PNC</t>
  </si>
  <si>
    <t>NEC W65PNC</t>
  </si>
  <si>
    <t>BQ EL65BE</t>
  </si>
  <si>
    <t>BQ EL75BE</t>
  </si>
  <si>
    <t>BQ EL86BE</t>
  </si>
  <si>
    <t>LG EL65LE</t>
  </si>
  <si>
    <t>LG EL75LE</t>
  </si>
  <si>
    <t>LG EL86LE</t>
  </si>
  <si>
    <t>LG EH55LG</t>
  </si>
  <si>
    <t>LG EH65LG</t>
  </si>
  <si>
    <t>LG EH75LG</t>
  </si>
  <si>
    <t>LG EH86LG</t>
  </si>
  <si>
    <t>OBM PNC ND43CM</t>
  </si>
  <si>
    <t>OBM PNC ND55CM</t>
  </si>
  <si>
    <t>OBM PNC ND65CM</t>
  </si>
  <si>
    <t>OBM PNC ND75CM</t>
  </si>
  <si>
    <t>OBM PNC ND86CM</t>
  </si>
  <si>
    <t>OBM VG65FA</t>
  </si>
  <si>
    <t>OBM VG75FA</t>
  </si>
  <si>
    <t>OBM VG86FA</t>
  </si>
  <si>
    <t>OBM VG55FA</t>
  </si>
  <si>
    <t>NZS EK65EA</t>
  </si>
  <si>
    <t>NZS EK75EA</t>
  </si>
  <si>
    <t>NZS EK86EA</t>
  </si>
  <si>
    <t>SMT CG65MD</t>
  </si>
  <si>
    <t>SMT CG75MD</t>
  </si>
  <si>
    <t>SMT CG86MD</t>
  </si>
  <si>
    <t>VS CG55VR</t>
  </si>
  <si>
    <t>VS CG65VR</t>
  </si>
  <si>
    <t>VS CG75VR</t>
  </si>
  <si>
    <t>VS CG86VR</t>
  </si>
  <si>
    <t>Telly TY55-1</t>
  </si>
  <si>
    <t>T55USTY22AO-.TY55011</t>
  </si>
  <si>
    <t>T55USTY22AO-.TY55012</t>
  </si>
  <si>
    <t>VS 98PNC</t>
  </si>
  <si>
    <t>NEC 98PNC</t>
  </si>
  <si>
    <t>OBM 98PNC</t>
  </si>
  <si>
    <t>VS CG98VR</t>
  </si>
  <si>
    <t>VXXUSOL2----.PARAKT1</t>
  </si>
  <si>
    <t>VXXUSOL2----.PARAKT2</t>
  </si>
  <si>
    <t>VXXUSOL2----.PARAKT3</t>
  </si>
  <si>
    <t>VXXUSOLC----.PARAKT3</t>
  </si>
  <si>
    <t>VXXUSOLC----.PARAKT4</t>
  </si>
  <si>
    <t>VXXEUOL2----.PARAKT1</t>
  </si>
  <si>
    <t>VXXEUOL2----.PARAKT2</t>
  </si>
  <si>
    <t>VXXEUOL2----.PARAKT3</t>
  </si>
  <si>
    <t xml:space="preserve">VXXTWOLC----.OWRHEA1 </t>
  </si>
  <si>
    <t>CVTE-CT-MS31A</t>
  </si>
  <si>
    <t>VXXUSCV2----.MS31A-1</t>
  </si>
  <si>
    <t>CVTE-YD CP101</t>
  </si>
  <si>
    <t>M10WWCV22OR-.CP101_1</t>
  </si>
  <si>
    <t>CVTE-OBM DT12PA</t>
  </si>
  <si>
    <t>E12USCV2--F-.DT12PA1</t>
  </si>
  <si>
    <t>CVTE-OBM DT10PB</t>
  </si>
  <si>
    <t>E10USCV2--F-.DT10PB1</t>
  </si>
  <si>
    <t>TABLE STAND Parakeet</t>
  </si>
  <si>
    <t>3V9950120395</t>
  </si>
  <si>
    <t>3V9950120395(V901)</t>
  </si>
  <si>
    <t xml:space="preserve">ASUS MNT </t>
  </si>
  <si>
    <t>M27GBASB2AQ-.VG27AQ3</t>
  </si>
  <si>
    <t>ASUS VG27AQM5A</t>
  </si>
  <si>
    <t>ASUS XG32WCS</t>
  </si>
  <si>
    <t>ASUS XG32WCMS</t>
  </si>
  <si>
    <t>XG27UCDMG(Stone) OLED</t>
  </si>
  <si>
    <t>PVT已结束</t>
  </si>
  <si>
    <t>ASUS PG27UCDM(EGG)OLED</t>
  </si>
  <si>
    <t>ASUS  XG27ACDNG OLED</t>
  </si>
  <si>
    <t>ASUS PG32UCDMR</t>
  </si>
  <si>
    <t xml:space="preserve">ASUS XG27AQDPG  </t>
  </si>
  <si>
    <t>MSI MPG321URX(黑)</t>
  </si>
  <si>
    <t>M32USMS24SO-.322URX2</t>
  </si>
  <si>
    <t xml:space="preserve">MSI MPG321URXW QD-OLED(白) </t>
  </si>
  <si>
    <t>MSI MPG271QRX</t>
  </si>
  <si>
    <t>MSI MPG272URX</t>
  </si>
  <si>
    <t>MSI MPG322URX QD-OLED</t>
  </si>
  <si>
    <t xml:space="preserve">MSI MAG 272QPW QD-OLED X28 </t>
  </si>
  <si>
    <t>MSI MAG 272QP QD-OLED X50</t>
  </si>
  <si>
    <t>MSI MAG 272UP QD-OLED X24</t>
  </si>
  <si>
    <t>MAG321CUPDF</t>
  </si>
  <si>
    <t>GIGABYTE OLED  MO27U2</t>
  </si>
  <si>
    <t>M27USGG24SO-.MO27U21</t>
  </si>
  <si>
    <t>M32USMS24SO-.32URXW2</t>
  </si>
  <si>
    <t>MSI    MAG321CUPDF</t>
  </si>
  <si>
    <t xml:space="preserve">Harris </t>
  </si>
  <si>
    <t>V50WWNFB2AO-.HARRIS5</t>
  </si>
  <si>
    <t xml:space="preserve">V50WWNF22AO-.HARRIS3 </t>
  </si>
  <si>
    <t>Harris  TDM</t>
  </si>
  <si>
    <t>3V500022030A</t>
  </si>
  <si>
    <t>Macallan CAMERA MODULE</t>
  </si>
  <si>
    <t>3V32007203A3</t>
  </si>
  <si>
    <t>E08WWNFB2Q5E.NPADA2L</t>
  </si>
  <si>
    <t xml:space="preserve">E08WWNF22Q5E.NPADA23 </t>
  </si>
  <si>
    <t xml:space="preserve">Edradour </t>
  </si>
  <si>
    <t>VXXWWNFB----.NFEBARH</t>
  </si>
  <si>
    <t xml:space="preserve">VXXWWNF2----.NFEBAR5 </t>
  </si>
  <si>
    <t>OWL Rhea</t>
  </si>
  <si>
    <t>OWL PARROT</t>
  </si>
  <si>
    <t>0h</t>
  </si>
  <si>
    <t>V803</t>
  </si>
  <si>
    <t>AVTC P/N</t>
  </si>
  <si>
    <t>VXXWWNF2----.NFEBAR6</t>
  </si>
  <si>
    <t>VXXEUOL2----.OWRHEA1</t>
  </si>
  <si>
    <t>V802</t>
  </si>
  <si>
    <t>Customer P/N</t>
  </si>
  <si>
    <t>M32USAS24SO-.32CDM31</t>
  </si>
  <si>
    <t>3V32003203V0</t>
  </si>
  <si>
    <t>M32USAS24SO-.PG32UC2</t>
  </si>
  <si>
    <t>V805</t>
  </si>
  <si>
    <t>3V6551920395</t>
  </si>
  <si>
    <t>3V6552020395</t>
  </si>
  <si>
    <t>VXXWWNF2----.NFEBAR9</t>
  </si>
  <si>
    <t>E08WWNF22-5E.NPADUX1</t>
  </si>
  <si>
    <t>E08WWNF22Q5E.NPADUX1</t>
  </si>
  <si>
    <t>M32USAS24SO-.PG32UC3</t>
  </si>
  <si>
    <t>M24GBSS22EFH.24D3601</t>
  </si>
  <si>
    <t>M24GBSS22EFH.24D3661</t>
  </si>
  <si>
    <t>VXXWWNF2----.NFEBAR8</t>
  </si>
  <si>
    <t>V50WWNF22AO-.HARRIS6</t>
  </si>
  <si>
    <t>3V6553020395</t>
  </si>
  <si>
    <t>3V6552820395</t>
  </si>
  <si>
    <t>3V6552720395</t>
  </si>
  <si>
    <t>3V6552620395</t>
  </si>
  <si>
    <t>3V6552520395</t>
  </si>
  <si>
    <t>3V6552420395</t>
  </si>
  <si>
    <t>3V6552320395</t>
  </si>
  <si>
    <t>3V6552220395</t>
  </si>
  <si>
    <t>3V6552120395</t>
  </si>
  <si>
    <t>365500A203E0</t>
  </si>
  <si>
    <t>U530</t>
  </si>
  <si>
    <t>UXXWWUI2----.AIRQUA1</t>
  </si>
  <si>
    <t>UXXWWUI2----.UCCO2S1</t>
  </si>
  <si>
    <t>VXXUSLO2----.LANKY-3</t>
  </si>
  <si>
    <t>VXXUSLO2----.LANKY-4</t>
  </si>
  <si>
    <t>3V65019203V0</t>
  </si>
  <si>
    <t>3V65020203V0</t>
  </si>
  <si>
    <t>M27USSS22EQH.FG512-3</t>
  </si>
  <si>
    <t>T61E1415-UI-VN1</t>
  </si>
  <si>
    <t>1.5h</t>
  </si>
  <si>
    <t>P86WWCV22EO-.CG86VT1</t>
  </si>
  <si>
    <t>P75WWCV22EO-.CG75VT1</t>
  </si>
  <si>
    <t>P98WWCV22EO-.CG98VT1</t>
  </si>
  <si>
    <t>M27USAS24SQ-.XG27AC4</t>
  </si>
  <si>
    <t>T62E0398-UI-VN1</t>
  </si>
  <si>
    <t>M27KRSS22EQH.FG510-3</t>
  </si>
  <si>
    <t>VXXBRLO2----.LANKY-1</t>
  </si>
  <si>
    <t>VXXZALO2----.LANKY-1</t>
  </si>
  <si>
    <t>VXXZALO2----.LANKY-2</t>
  </si>
  <si>
    <t>VXXEULO2----.LANKY-1</t>
  </si>
  <si>
    <t>VXXEULO2----.LANKY-2</t>
  </si>
  <si>
    <t>VXXCHLO2----.LANKY-1</t>
  </si>
  <si>
    <t>VXXCHLO2----.LANKY-2</t>
  </si>
  <si>
    <t>VXXAULO2----.LANKY-1</t>
  </si>
  <si>
    <t>VXXAULO2----.LANKY-2</t>
  </si>
  <si>
    <t>VXXTWLO2----.LANKY-1</t>
  </si>
  <si>
    <t>VXXCNLO2----.LANKY-1</t>
  </si>
  <si>
    <t>VXXJPLO2----.LANKY-1</t>
  </si>
  <si>
    <t>VXXUSLO2----.PRIMUS1</t>
  </si>
  <si>
    <t>VXXGBLO2----.PRIMUS1</t>
  </si>
  <si>
    <t>VXXCHLO2----.PRIMUS1</t>
  </si>
  <si>
    <t>VXXAULO2----.PRIMUS1</t>
  </si>
  <si>
    <t>VXXGBLO2----.LANKY-1</t>
  </si>
  <si>
    <t>VXXGBLO2----.LANKY-2</t>
  </si>
  <si>
    <t>VXXEULO2----.PRIMUS1</t>
  </si>
  <si>
    <t>UXXWWUI2----.UCCO2S2</t>
  </si>
  <si>
    <t>3/23/26</t>
  </si>
  <si>
    <t>T63E0430-UI-VN1</t>
  </si>
  <si>
    <t>M27USAS24SO-.PG27UC4</t>
  </si>
  <si>
    <t>V50WWNF22AO-.HARRIS8</t>
  </si>
  <si>
    <t>T63E1317-TV-VN1</t>
  </si>
  <si>
    <t>T63E1332-UI-VN1</t>
  </si>
  <si>
    <t>P63E1995-UI-VN1</t>
  </si>
  <si>
    <t>T63E2011-UI-VN1</t>
  </si>
  <si>
    <t>E08WWNF22Q5E.NPADA2D</t>
  </si>
  <si>
    <t>M27USSS22EQH.FG510-3</t>
  </si>
  <si>
    <t>E08WWNF22Q5E.NPADA2F</t>
  </si>
  <si>
    <t>M27USAS22AQ-.VG27N5A</t>
  </si>
  <si>
    <t>M27KASS22EQH.FG512-3</t>
  </si>
  <si>
    <t>T64E0056-TV-VN1</t>
  </si>
  <si>
    <t>T64E0080-TV-VN1</t>
  </si>
  <si>
    <t>T64E0089-UI-VN1</t>
  </si>
  <si>
    <t>T64E0125-TV-VN1</t>
  </si>
  <si>
    <t>T64E0315-UI-VN1</t>
  </si>
  <si>
    <t>M27USSS22FSH.HG310-1</t>
  </si>
  <si>
    <t>M24USSS22FSH.HG310-1</t>
  </si>
  <si>
    <t>T64E0429-TV-VN1</t>
  </si>
  <si>
    <t>U529</t>
  </si>
  <si>
    <t>WK26</t>
  </si>
  <si>
    <t xml:space="preserve">C64E1017-UI-VN1  </t>
  </si>
  <si>
    <t>T64E1081-TV-VN1</t>
  </si>
  <si>
    <t>消耗SOM 板</t>
  </si>
  <si>
    <t>使用重工库存满足出货</t>
  </si>
  <si>
    <t>M27USAS22AQ-.VG27N51*</t>
  </si>
  <si>
    <t>T64E1178-TV-VN1</t>
  </si>
  <si>
    <t>T64E1179-TV-VN1</t>
  </si>
  <si>
    <t>T64E1180-TV-VN1</t>
  </si>
  <si>
    <t>T64E1181-TV-VN1</t>
  </si>
  <si>
    <t>B710</t>
  </si>
  <si>
    <t>T64E1360-TV-VN1</t>
  </si>
  <si>
    <t>T64E1361-TV-VN1</t>
  </si>
  <si>
    <t>T64E1703-TV-VN1</t>
  </si>
  <si>
    <t>T64E1713-TV-VN1</t>
  </si>
  <si>
    <t>T64E1716-TV-VN1</t>
  </si>
  <si>
    <t>M27MXSS22EFH.27D3601</t>
  </si>
  <si>
    <t>M50TWAM22COS.50G2UD1</t>
  </si>
  <si>
    <t>M27USAS24SQ-.XG27AC6</t>
  </si>
  <si>
    <t>M32USAS24SO-.PG32UC5</t>
  </si>
  <si>
    <t>M27USAS24SO-.XG27UQ2</t>
  </si>
  <si>
    <t>M27USSS22ESH.HG356-1</t>
  </si>
  <si>
    <t>[Config 2]</t>
  </si>
  <si>
    <t>[Config 3]</t>
  </si>
  <si>
    <t>Main build: 5/6/26</t>
  </si>
  <si>
    <t>T65E0114-TV-VN1</t>
  </si>
  <si>
    <t>3V9950820395</t>
  </si>
  <si>
    <t xml:space="preserve">3V9951120395 </t>
  </si>
  <si>
    <t>3V9950920395</t>
  </si>
  <si>
    <t>3V9951020395</t>
    <phoneticPr fontId="13" type="noConversion"/>
  </si>
  <si>
    <t>Logitech Lanky Power supply spare parts_10in1(952-000283)</t>
  </si>
  <si>
    <t>Logitech Lanky Wall mount (Graphite)_spare parts_4in1(952-000284)</t>
  </si>
  <si>
    <t>Logitech Lanky Fabric cover (Graphite)_spare parts_6in1(952-000285)</t>
  </si>
  <si>
    <t>Logitech Lanky Fabric cover (Off-White)_spare parts_6in1(952-000286)</t>
  </si>
  <si>
    <t>T65E0141-TV-VN1</t>
  </si>
  <si>
    <t>VXXUSOL2----.PARAKTB</t>
  </si>
  <si>
    <t>VXXEUOL2----.PARAKTB</t>
  </si>
  <si>
    <t>T65E0134-TV-VN1</t>
  </si>
  <si>
    <t>T65E0430-TV-VN1</t>
  </si>
  <si>
    <t>K65E0450-TV-VN1</t>
  </si>
  <si>
    <t>K65E0451-TV-VN1</t>
  </si>
  <si>
    <t>K65E0452-TV-VN1</t>
  </si>
  <si>
    <t>K65E0453-TV-VN1</t>
  </si>
  <si>
    <t>VXXARLO2----.LANKY-1</t>
  </si>
  <si>
    <t>T65E1062-TV-VN1</t>
  </si>
  <si>
    <t>T65E1088-TV-VN1</t>
  </si>
  <si>
    <t>T65E1091-TV-VN1</t>
  </si>
  <si>
    <t>T65E1093-TV-VN1</t>
  </si>
  <si>
    <t>T65E1094-TV-VN1</t>
  </si>
  <si>
    <t>T65E1101-TV-VN1</t>
  </si>
  <si>
    <t>T65E1103-TV-VN1</t>
  </si>
  <si>
    <t>T65E1108-TV-VN1</t>
  </si>
  <si>
    <t>T65E1131-TV-VN1</t>
  </si>
  <si>
    <t>T65E1122-TV-VN1</t>
  </si>
  <si>
    <t>T65E1123-TV-VN1</t>
  </si>
  <si>
    <t>T65E1124-TV-VN1</t>
  </si>
  <si>
    <t>M32KRSS22EQH.FG510-3</t>
  </si>
  <si>
    <t>M32KASS22EQH.FG512-3</t>
  </si>
  <si>
    <t>VXXUSOL2----.OWRHEA1*</t>
  </si>
  <si>
    <t>R65E1839-TV-VN1</t>
  </si>
  <si>
    <t>R65E1840-TV-VN1</t>
  </si>
  <si>
    <t>V65INLO22CO-.DIXIE-1*</t>
  </si>
  <si>
    <t>V65INLO22CO-.DIXIE-3*</t>
  </si>
  <si>
    <t>WK28</t>
  </si>
  <si>
    <t>WK30</t>
  </si>
  <si>
    <t>WK31</t>
  </si>
  <si>
    <t>T65E1901-TV-VN1</t>
  </si>
  <si>
    <t>T65E1883-TV-VN1</t>
  </si>
  <si>
    <t>T65E1889-TV-VN1</t>
  </si>
  <si>
    <t>T65E1890-TV-VN1</t>
  </si>
  <si>
    <t>T65E1897-TV-VN1</t>
  </si>
  <si>
    <t>T65E1898-TV-VN1</t>
  </si>
  <si>
    <t>T65E2007-TV-VN1</t>
  </si>
  <si>
    <t>R65E2045-TV-VN1</t>
  </si>
  <si>
    <t>5/28/26</t>
  </si>
  <si>
    <t>原工单：C64E1036-TV-VN1</t>
  </si>
  <si>
    <t>R65E2052-TV-VN1</t>
  </si>
  <si>
    <t>R65E2054-TV-VN1</t>
  </si>
  <si>
    <t>R65E2055-TV-VN1</t>
  </si>
  <si>
    <t>R65E2058-TV-VN1</t>
  </si>
  <si>
    <t>R65E2059-TV-VN1</t>
  </si>
  <si>
    <t>R65E2060-TV-VN1</t>
  </si>
  <si>
    <t>M27USAS22AQ-.VG27AQ4*</t>
  </si>
  <si>
    <t>VXXWWNF2----.NFEBAR9*</t>
  </si>
  <si>
    <t>原成品料号：M27USAS22AQ-.VG27AQB</t>
  </si>
  <si>
    <t>原成品料号：M27USAS22AQ-.VG27AQ2</t>
  </si>
  <si>
    <t xml:space="preserve">原成品料号：VXXUSOL2----.OWRHEA1 </t>
  </si>
  <si>
    <t>R65E2506-TV-VN1</t>
  </si>
  <si>
    <t>T65E2554-TV-VN1</t>
  </si>
  <si>
    <t>T65E2555-TV-VN1</t>
  </si>
  <si>
    <t>T65E2556-TV-VN1</t>
  </si>
  <si>
    <t>T65E2557-TV-VN1</t>
  </si>
  <si>
    <t>T65E2558-TV-VN1</t>
  </si>
  <si>
    <t>T65E2559-TV-VN1</t>
  </si>
  <si>
    <t>T65E2560-TV-VN1</t>
  </si>
  <si>
    <t>T65E2561-TV-VN1</t>
  </si>
  <si>
    <t>T65E2563-TV-VN1</t>
  </si>
  <si>
    <t>T65E2579-TV-VN1</t>
  </si>
  <si>
    <t>T65E2564-TV-VN1</t>
  </si>
  <si>
    <t>T65E2566-TV-VN1</t>
  </si>
  <si>
    <t>T65E2568-TV-VN1</t>
  </si>
  <si>
    <t>T65E2569-TV-VN1</t>
  </si>
  <si>
    <t>T65E2578-TV-VN1</t>
  </si>
  <si>
    <t>T65E2570-TV-VN1</t>
  </si>
  <si>
    <t>M32AUSS22EQH.FG510-3</t>
  </si>
  <si>
    <t>T65E2588-TV-VN1</t>
  </si>
  <si>
    <t>WK32</t>
  </si>
  <si>
    <t>FABRIC COVER(PC+ABS PCR85% FR/BLK,OFF WHITE)(DIXIE)ASSY(CS)(993-003350)</t>
  </si>
  <si>
    <t>FABRIC COVER(PC+ABS PCR85% FR/BLK,GRAPHITE)(DIXIE)ASSY(CS)(993-003349)</t>
  </si>
  <si>
    <t>CR 螺丝导入新厂商</t>
  </si>
  <si>
    <t>C66E0552-TV-VN1</t>
  </si>
  <si>
    <t>C66E0553-TV-VN1</t>
  </si>
  <si>
    <t>3V9951020395</t>
  </si>
  <si>
    <t>T66E0567-TV-VN1</t>
  </si>
  <si>
    <t>T66E0564-TV-VN1</t>
  </si>
  <si>
    <t>T66E0568-TV-VN1</t>
  </si>
  <si>
    <t>T66E0569-TV-VN1</t>
  </si>
  <si>
    <t>T66E0570-TV-VN1</t>
  </si>
  <si>
    <t>T66E0571-TV-VN1</t>
  </si>
  <si>
    <t>T66E0572-TV-VN1</t>
  </si>
  <si>
    <t>T66E0584-TV-VN1</t>
  </si>
  <si>
    <t>T66E0577-TV-VN1</t>
  </si>
  <si>
    <t>T66E0579-TV-VN1</t>
  </si>
  <si>
    <t>T66E0590-TV-VN1</t>
  </si>
  <si>
    <t>T66E0594-TV-VN1</t>
  </si>
  <si>
    <t>T66E0799-TV-VN1</t>
  </si>
  <si>
    <t>去D901</t>
  </si>
  <si>
    <t>T66E0858-TV-VN1</t>
  </si>
  <si>
    <t>P66E1317-EX-VN1</t>
  </si>
  <si>
    <t>C66E1373-TV-VN1</t>
  </si>
  <si>
    <t>C66E1374-TV-VN1</t>
  </si>
  <si>
    <t>YNRX-AVTCCKDCBU26040002</t>
  </si>
  <si>
    <t>验证IC
0431600849M4:IC LPDDR5X CXMT CXDD6DCBM-MC-M 64Gb 12.4 x 15 315FBGA LF
040001205012:ZENER 11.74~12.24V ( UDZVTE -1712B) 1/5W SOD-323 HF</t>
  </si>
  <si>
    <t>验证IC
043160091903:IC LPDDR5 Samsung K3LKCKC0BM-MGCP 64Gb 12.4 x 15 315FBGA LF
040001205012:ZENER 11.74~12.24V ( UDZVTE -1712B) 1/5W SOD-323 HF</t>
  </si>
  <si>
    <t>V65WWNF22AO-.KAVLAN3</t>
  </si>
  <si>
    <t>K66E1412-TV-VN1</t>
  </si>
  <si>
    <t>K66E1413-TV-VN1</t>
  </si>
  <si>
    <t>K66E1415-TV-VN1</t>
  </si>
  <si>
    <t>K66E1416-TV-VN1</t>
  </si>
  <si>
    <t>K66E1417-TV-VN1</t>
  </si>
  <si>
    <t>K66E1418-TV-VN1</t>
  </si>
  <si>
    <t>K66E1419-TV-VN1</t>
  </si>
  <si>
    <t>T66E1465-TV-VN1</t>
  </si>
  <si>
    <t>T66E1467-TV-VN1</t>
  </si>
  <si>
    <t>T66E1464-TV-VN1</t>
  </si>
  <si>
    <t>T66E1475-TV-VN1</t>
  </si>
  <si>
    <t>T66E1468-TV-VN1</t>
  </si>
  <si>
    <t>T66E1470-TV-VN1</t>
  </si>
  <si>
    <t>T66E1471-TV-VN1</t>
  </si>
  <si>
    <t>T66E1472-TV-VN1</t>
  </si>
  <si>
    <t>T66E1461-TV-VN1</t>
  </si>
  <si>
    <t>T66E1482-TV-VN1</t>
  </si>
  <si>
    <t>T66E1621-TV-VN1</t>
  </si>
  <si>
    <t>T66E1624-TV-VN1</t>
  </si>
  <si>
    <t>T66E1626-TV-VN1</t>
  </si>
  <si>
    <t>K66E1684-TV-VN1</t>
  </si>
  <si>
    <t>T66E2176-TV-VN1</t>
  </si>
  <si>
    <t>T66E2205-TV-VN1</t>
  </si>
  <si>
    <t>C66E2226-TV-VN1</t>
  </si>
  <si>
    <t>IC LPDDR5 SDRAM 96Gb 12Gbx8 K3KL4L40DM-BGCT FBGA-496 LF</t>
  </si>
  <si>
    <t>IC LPDDR5 SDRAM 64Gb 16Gbx4 K3KL3L30CM-BGCW FBGA-496 LF</t>
  </si>
  <si>
    <t>C66E2239-TV-VN1</t>
  </si>
  <si>
    <t>C66E2240-TV-VN1</t>
  </si>
  <si>
    <t xml:space="preserve">用 raken MB </t>
  </si>
  <si>
    <t>电源线  0320800009JI  7.1 ETA/ V65EULO22CO-.DIXIE-3  rework to V65INLO22CO-.DIXIE-3</t>
  </si>
  <si>
    <t>电源线  0320800009JI  7.1 ETA//  V65EULO22CO-.DIXIE-1 rework to V65INLO22CO-.DIXIE-1</t>
  </si>
  <si>
    <t>电源线  0320800009JI  7.1 ETA// V65EULO22CO-.DIXIE-1 rework to V65INLO22CO-.DIXIE-1</t>
  </si>
  <si>
    <t>T66E2294-TV-VN1</t>
  </si>
  <si>
    <t>T66E2295-TV-VN1</t>
  </si>
  <si>
    <t>T66E2304-TV-VN1</t>
  </si>
  <si>
    <t>T66E2309-TV-VN1</t>
  </si>
  <si>
    <t>T66E2328-TV-VN1</t>
  </si>
  <si>
    <t>V32WWNF22AO-.NFM1325</t>
  </si>
  <si>
    <t>T66E2305-TV-VN1</t>
  </si>
  <si>
    <t>T66E2306-TV-VN1</t>
  </si>
  <si>
    <t>T66E2310-TV-VN1</t>
  </si>
  <si>
    <t>T66E2311-TV-VN1</t>
  </si>
  <si>
    <t>T66E2312-TV-VN1</t>
  </si>
  <si>
    <t>T66E2315-TV-VN1</t>
  </si>
  <si>
    <t>T66E2316-TV-VN1</t>
  </si>
  <si>
    <t>T66E2298-TV-VN1</t>
  </si>
  <si>
    <t>T66E2299-TV-VN1</t>
  </si>
  <si>
    <t>T66E2302-TV-VN1</t>
  </si>
  <si>
    <t>T66E2303-TV-VN1</t>
  </si>
  <si>
    <t>T66E2308-TV-VN1</t>
  </si>
  <si>
    <t>T66E2325-TV-VN1</t>
  </si>
  <si>
    <t>T66E2301-TV-VN1</t>
  </si>
  <si>
    <t>T66E2339-TV-VN1</t>
  </si>
  <si>
    <t>T66E2397-TV-VN1</t>
  </si>
  <si>
    <t>T66E2410-TV-VN1</t>
  </si>
  <si>
    <t>WK27</t>
    <phoneticPr fontId="95" type="noConversion"/>
  </si>
  <si>
    <t>T66E2454-UI-VN1</t>
  </si>
  <si>
    <t>T66E2457-TV-VN1</t>
  </si>
  <si>
    <t>E08WWNF22Q5E.NPADA2F</t>
    <phoneticPr fontId="95" type="noConversion"/>
  </si>
  <si>
    <t>E08WWNF22Q5E.NPADA2F</t>
    <phoneticPr fontId="95" type="noConversion"/>
  </si>
  <si>
    <t>T66E2477-TV-VN1</t>
    <phoneticPr fontId="95" type="noConversion"/>
  </si>
  <si>
    <r>
      <t xml:space="preserve">Parakeet </t>
    </r>
    <r>
      <rPr>
        <sz val="11"/>
        <color rgb="FFFF0000"/>
        <rFont val="MingLiU"/>
        <family val="3"/>
        <charset val="136"/>
      </rPr>
      <t>重工白色</t>
    </r>
    <phoneticPr fontId="95" type="noConversion"/>
  </si>
  <si>
    <t>M27MXSS22AFH.27D3602</t>
    <phoneticPr fontId="95" type="noConversion"/>
  </si>
  <si>
    <t>T66E3002-TV-VN1</t>
  </si>
  <si>
    <t>T66E3004-TV-VN1</t>
  </si>
  <si>
    <t>T66E2296-TV-VN1</t>
  </si>
  <si>
    <t>K66E3006-TV-VN1</t>
  </si>
  <si>
    <t>K66E3007-TV-VN1</t>
  </si>
  <si>
    <t xml:space="preserve">PMP 2/ traning build </t>
  </si>
  <si>
    <t>P66E3011-EX-VN1</t>
  </si>
  <si>
    <t>T66E3016-TV-VN1</t>
  </si>
  <si>
    <t>[Config 1]● 三星樣機16台</t>
  </si>
  <si>
    <t>P66E3017-TV-VN1</t>
  </si>
  <si>
    <t>P66E3018-TV-VN1</t>
  </si>
  <si>
    <t>P66E3019-TV-VN1</t>
  </si>
  <si>
    <t>原工单：C63E1943-TV-VN1</t>
  </si>
  <si>
    <t>R66E3020-TV-VN1</t>
  </si>
  <si>
    <t>R66E3022-TV-VN1</t>
  </si>
  <si>
    <t>R66E3023-TV-VN1</t>
  </si>
  <si>
    <t>R66E3024-TV-VN1</t>
  </si>
  <si>
    <t>R66E3025-TV-VN1</t>
  </si>
  <si>
    <t>R66E3026-TV-VN1</t>
  </si>
  <si>
    <t>R66E3027-TV-VN1</t>
  </si>
  <si>
    <t>R66E3028-TV-VN1</t>
  </si>
  <si>
    <t>R66E3029-TV-VN1</t>
  </si>
  <si>
    <t>R66E3030-TV-VN1</t>
  </si>
  <si>
    <t>R66E3031-TV-VN1</t>
  </si>
  <si>
    <t>原成品料号：M27USAS22AQ-.VG27N51</t>
  </si>
  <si>
    <t>原成品料号：M27USAS22AQ-.VG27N5A</t>
  </si>
  <si>
    <t>原成品料号：M32USAS24SO-.32CDM31</t>
  </si>
  <si>
    <t>原成品料号：M32USAS24SO-.32CDM32</t>
  </si>
  <si>
    <t>原成品料号：M27USAS24SO-.PG27UC2</t>
  </si>
  <si>
    <t>原成品料号：M27USAS24SO-.PG27UC3</t>
  </si>
  <si>
    <t>原成品料号：M27USAS24SO-.XG27UC3</t>
  </si>
  <si>
    <t>原成品料号：M27USAS24SQ-.XG27AQ3</t>
  </si>
  <si>
    <t>原成品料号：M32USAS24SO-.PG32UC2</t>
  </si>
  <si>
    <t>原成品料号：M27USAS24SO-.PG27UC4</t>
  </si>
  <si>
    <t>M27USAS22AQ-.VG27N5A*</t>
  </si>
  <si>
    <t>M32USAS24SO-.32CDM31*</t>
  </si>
  <si>
    <t>M32USAS24SO-.32CDM32*</t>
  </si>
  <si>
    <t>M27USAS24SO-.PG27UC2*</t>
  </si>
  <si>
    <t>M27USAS24SO-.PG27UC3*</t>
  </si>
  <si>
    <t>M27USAS24SO-.XG27UC3*</t>
  </si>
  <si>
    <t>M27USAS24SQ-.XG27AQ3*</t>
  </si>
  <si>
    <t>M32USAS24SO-.PG32UC2*</t>
  </si>
  <si>
    <t>M27USAS24SO-.PG27UC4*</t>
  </si>
  <si>
    <t>V50WWNF22AO-.HARRIS6*</t>
  </si>
  <si>
    <r>
      <t xml:space="preserve">CR HOLDER/ </t>
    </r>
    <r>
      <rPr>
        <sz val="12"/>
        <color rgb="FF000000"/>
        <rFont val="宋体"/>
        <family val="3"/>
        <charset val="134"/>
      </rPr>
      <t>鐵背板修模</t>
    </r>
  </si>
  <si>
    <t>T66E3033-TV-VN1</t>
  </si>
  <si>
    <t>SMT打件（353216320150、352701220146、353202820156）</t>
  </si>
  <si>
    <t>T66E3058-TV-VN1</t>
  </si>
  <si>
    <t>T66E3067-TV-VN1</t>
  </si>
  <si>
    <t>T66E3070-TV-VN1</t>
  </si>
  <si>
    <t>R66E3032-TV-VN1</t>
  </si>
  <si>
    <t>T66E2453-UI-VN1</t>
  </si>
  <si>
    <t>T64E0448-UI-VN1</t>
  </si>
  <si>
    <t>T65E1135-UI-VN1</t>
  </si>
  <si>
    <t>T66E0589-UI-VN1</t>
  </si>
  <si>
    <t>YNRX-AVTCCKDCBU26010003</t>
  </si>
  <si>
    <t>T66E3081-TV-VN1</t>
  </si>
  <si>
    <t>年中盘点</t>
  </si>
  <si>
    <t>E08WWNF22Q5E.NPADA2G</t>
  </si>
  <si>
    <t>T66E3111-TV-VN1</t>
  </si>
  <si>
    <t>T66E3107-TV-VN1</t>
  </si>
  <si>
    <t>T66E3108-TV-VN1</t>
  </si>
  <si>
    <t>T66E3113-TV-VN1</t>
  </si>
  <si>
    <t>T66E3114-TV-VN1</t>
  </si>
  <si>
    <t>T66E3116-TV-VN1</t>
  </si>
  <si>
    <t>YNRX-AVTCCKDCBU26040006</t>
  </si>
  <si>
    <t>YNRX-AVTCCKDCBU26030005</t>
  </si>
  <si>
    <t>T66E3258-TV-VN1</t>
  </si>
  <si>
    <t>T66E3315-TV-VN1</t>
  </si>
  <si>
    <t>T66E3318-TV-VN1</t>
  </si>
  <si>
    <t>T66E3320-TV-VN1</t>
  </si>
  <si>
    <t>T66E3330-TV-VN1</t>
  </si>
  <si>
    <t>T66E3331-TV-VN1</t>
  </si>
  <si>
    <t>C66E3342-TV-VN1</t>
  </si>
  <si>
    <r>
      <t>驗證產測程式</t>
    </r>
    <r>
      <rPr>
        <sz val="9"/>
        <rFont val="Aptos"/>
        <family val="1"/>
        <charset val="136"/>
      </rPr>
      <t xml:space="preserve">  (</t>
    </r>
    <r>
      <rPr>
        <sz val="9"/>
        <rFont val="PMingLiU"/>
        <family val="1"/>
        <charset val="136"/>
      </rPr>
      <t>內容請查閱附件</t>
    </r>
    <r>
      <rPr>
        <sz val="9"/>
        <rFont val="Aptos"/>
        <family val="1"/>
        <charset val="136"/>
      </rPr>
      <t xml:space="preserve">) </t>
    </r>
    <r>
      <rPr>
        <sz val="9"/>
        <rFont val="PMingLiU"/>
        <family val="1"/>
        <charset val="136"/>
      </rPr>
      <t>此次涉及測站</t>
    </r>
    <r>
      <rPr>
        <sz val="9"/>
        <rFont val="Aptos"/>
        <family val="1"/>
        <charset val="136"/>
      </rPr>
      <t xml:space="preserve"> : dofie/aoi/pretest/aut/ HDMI/ULPK</t>
    </r>
  </si>
  <si>
    <t>T66E3402-TV-VN1</t>
  </si>
  <si>
    <t>6月</t>
  </si>
  <si>
    <t>CR验证新LBR comnector&amp;LBR线comnector</t>
  </si>
  <si>
    <t>C66E3806-TV-VN1</t>
  </si>
  <si>
    <t>R66E3774-TV-VN1</t>
  </si>
  <si>
    <t>R66E3775-TV-VN1</t>
  </si>
  <si>
    <t>V65EULO22CO-.DIXIE-1 rework to V65INLO22CO-.DIXIE-1</t>
  </si>
  <si>
    <t>V65EULO22CO-.DIXIE-3 rework to V65INLO22CO-.DIXIE-3</t>
  </si>
  <si>
    <t xml:space="preserve">0h </t>
  </si>
  <si>
    <t>K66E3882-TV-VN1</t>
  </si>
  <si>
    <t>K66E3884-TV-VN1</t>
  </si>
  <si>
    <t>K66E3886-TV-VN1</t>
  </si>
  <si>
    <t>K66E3887-TV-VN1</t>
  </si>
  <si>
    <t>T66E3890-TV-VN1</t>
  </si>
  <si>
    <t>M27USSS22FSH.HG312-1</t>
  </si>
  <si>
    <t>T67E0006-TV-VN1</t>
  </si>
  <si>
    <t>T67E0009-TV-VN1</t>
  </si>
  <si>
    <r>
      <rPr>
        <sz val="9"/>
        <color rgb="FFFF0000"/>
        <rFont val="Arial Unicode MS"/>
        <family val="1"/>
        <charset val="136"/>
      </rPr>
      <t xml:space="preserve">PMP 2 7.2 main build  </t>
    </r>
    <r>
      <rPr>
        <sz val="9"/>
        <color theme="1"/>
        <rFont val="Arial Unicode MS"/>
        <family val="2"/>
      </rPr>
      <t>/</t>
    </r>
    <r>
      <rPr>
        <sz val="9"/>
        <color rgb="FFFF0000"/>
        <rFont val="Arial Unicode MS"/>
        <family val="1"/>
        <charset val="136"/>
      </rPr>
      <t xml:space="preserve"> paper sheet：192521026160</t>
    </r>
  </si>
  <si>
    <t xml:space="preserve">开始导入 Mylar 194724010790 </t>
  </si>
  <si>
    <t>V65WWNF22AO-.KAVLAN4</t>
  </si>
  <si>
    <t>T67E0041-TV-VN1</t>
  </si>
  <si>
    <t>P67E0051-EX-VN1</t>
  </si>
  <si>
    <t>OXXWWBW2----.CPOSWH2</t>
  </si>
  <si>
    <t>M24USSS22FSH.HG314-1</t>
  </si>
  <si>
    <t>T67E0067-EX-VN1</t>
  </si>
  <si>
    <t>PMP</t>
  </si>
  <si>
    <r>
      <rPr>
        <sz val="9"/>
        <color rgb="FFFF0000"/>
        <rFont val="Arial Unicode MS"/>
        <family val="1"/>
        <charset val="136"/>
      </rPr>
      <t xml:space="preserve">PMP 2 7.2 main build  </t>
    </r>
    <r>
      <rPr>
        <sz val="9"/>
        <color theme="1"/>
        <rFont val="Arial Unicode MS"/>
        <family val="2"/>
      </rPr>
      <t>/</t>
    </r>
    <r>
      <rPr>
        <sz val="9"/>
        <color rgb="FFFF0000"/>
        <rFont val="Arial Unicode MS"/>
        <family val="1"/>
        <charset val="136"/>
      </rPr>
      <t xml:space="preserve"> paper sheet：192521026161</t>
    </r>
  </si>
  <si>
    <t>T67E0070-EX-VN1</t>
  </si>
  <si>
    <t>Telly 麦克风 for T66E0567-TV-VN1/ 麦克风 7/10ETA*800</t>
  </si>
  <si>
    <t>RK板子（098009008030、098009005470、098009007130）</t>
  </si>
  <si>
    <t>T67E0080-TV-VN1</t>
  </si>
  <si>
    <t>T67E0088-TV-VN1</t>
  </si>
  <si>
    <t>T67E0121-TV-VN1</t>
  </si>
  <si>
    <t>T67E0103-TV-VN1</t>
  </si>
  <si>
    <t>T67E0106-TV-VN1</t>
  </si>
  <si>
    <t>T67E0083-TV-VN1</t>
  </si>
  <si>
    <t>T67E0090-TV-VN1</t>
  </si>
  <si>
    <t>T67E0091-TV-VN1</t>
  </si>
  <si>
    <t>T67E0093-TV-VN1</t>
  </si>
  <si>
    <t>T67E0094-TV-VN1</t>
  </si>
  <si>
    <t>T67E0111-TV-VN1</t>
  </si>
  <si>
    <t>T67E0112-TV-VN1</t>
  </si>
  <si>
    <t>T67E0096-TV-VN1</t>
  </si>
  <si>
    <t>T67E0098-TV-VN1</t>
  </si>
  <si>
    <t>T67E0099-TV-VN1</t>
  </si>
  <si>
    <t>T67E0100-TV-VN1</t>
  </si>
  <si>
    <t>T67E0101-TV-VN1</t>
  </si>
  <si>
    <t>T67E0102-TV-VN1</t>
  </si>
  <si>
    <t>T67E0280-TV-VN1</t>
  </si>
  <si>
    <t>T67E0282-TV-VN1</t>
  </si>
  <si>
    <t>Macallan Camera 累计7250pcs</t>
  </si>
  <si>
    <t>M24PRSS22FSH.HG310-1</t>
  </si>
  <si>
    <t>M24ARSS22FSH.HG310-1</t>
  </si>
  <si>
    <t>M24CLSS22FSH.HG310-1</t>
  </si>
  <si>
    <t>M27ARSS22FSH.HG310-1</t>
  </si>
  <si>
    <t>M27CLSS22FSH.HG310-1</t>
  </si>
  <si>
    <t>Dixie  重工</t>
  </si>
  <si>
    <t>T67E0359-TV-VN1</t>
  </si>
  <si>
    <t>R67E0350-TV-VN1</t>
  </si>
  <si>
    <t xml:space="preserve">R67E0351-TV-VN1 </t>
  </si>
  <si>
    <t>V65ILLO22CO-.DIXIE-1 rework to V65INLO22CO-.DIXIE-1</t>
  </si>
  <si>
    <t xml:space="preserve">V65EULO22CO-.DIXIE-1 rework to V65INLO22CO-.DIXIE-1 </t>
  </si>
  <si>
    <t>SMT MB：352734920150</t>
  </si>
  <si>
    <t>P67E0123-EX-VN1</t>
  </si>
  <si>
    <t>8/17/26</t>
  </si>
  <si>
    <t>R67E0352-TV-VN1</t>
  </si>
  <si>
    <t>原工单： C56E1928-TV-VN1</t>
  </si>
  <si>
    <t>原工单： C56E1930-TV-VN1</t>
  </si>
  <si>
    <t>R67E0401-TV-VN1</t>
  </si>
  <si>
    <t>R67E0402-TV-VN1</t>
  </si>
  <si>
    <t>R67E0507-TV-VN1</t>
  </si>
  <si>
    <t>T67E0830-TV-VN1</t>
  </si>
  <si>
    <t>RK MB：098009005060</t>
  </si>
  <si>
    <t>T67E0840-TV-VN1</t>
  </si>
  <si>
    <t>R67E0838-TV-VN1</t>
  </si>
  <si>
    <t>T67E0843-TV-VN1</t>
  </si>
  <si>
    <t>T67E0844-TV-VN1</t>
  </si>
  <si>
    <t>T67E0845-TV-VN1</t>
  </si>
  <si>
    <t>T67E0846-TV-VN1</t>
  </si>
  <si>
    <t>C67E0848-TV-VN1</t>
  </si>
  <si>
    <t>T66E3115-TV-VN1</t>
    <phoneticPr fontId="95" type="noConversion"/>
  </si>
  <si>
    <t>P67E0864-TV-VN1</t>
  </si>
  <si>
    <t>T67E0874-TV-VN1</t>
  </si>
  <si>
    <t>T67E0875-TV-VN1</t>
  </si>
  <si>
    <t>重工</t>
  </si>
  <si>
    <r>
      <rPr>
        <sz val="9"/>
        <color rgb="FFFF0000"/>
        <rFont val="Arial Unicode MS"/>
        <family val="1"/>
        <charset val="136"/>
      </rPr>
      <t xml:space="preserve">线上/ </t>
    </r>
    <r>
      <rPr>
        <sz val="9"/>
        <color theme="1"/>
        <rFont val="Arial Unicode MS"/>
        <family val="1"/>
        <charset val="136"/>
      </rPr>
      <t>VE</t>
    </r>
    <r>
      <rPr>
        <sz val="9"/>
        <color theme="4" tint="-0.499984740745262"/>
        <rFont val="Arial Unicode MS"/>
        <family val="2"/>
      </rPr>
      <t>SA ADAPTER PLATE(SPCC 1.6t)(DIXIE)ASS'Y for AVTC(CS)(993-003355)</t>
    </r>
  </si>
  <si>
    <r>
      <rPr>
        <sz val="9"/>
        <color rgb="FFFF0000"/>
        <rFont val="Arial Unicode MS"/>
        <family val="1"/>
        <charset val="136"/>
      </rPr>
      <t>线上</t>
    </r>
    <r>
      <rPr>
        <sz val="9"/>
        <color theme="4" tint="-0.499984740745262"/>
        <rFont val="Arial Unicode MS"/>
        <family val="2"/>
      </rPr>
      <t>/ BYO CABLE HOOK(PC+ABS PCR50% FR/OFF-WHITE)(DIXIE)ASS'Y for AVTC(CS)(993-003352)</t>
    </r>
  </si>
  <si>
    <r>
      <rPr>
        <sz val="9"/>
        <color rgb="FFFF0000"/>
        <rFont val="Arial Unicode MS"/>
        <family val="1"/>
        <charset val="136"/>
      </rPr>
      <t>线上</t>
    </r>
    <r>
      <rPr>
        <sz val="9"/>
        <color theme="4" tint="-0.499984740745262"/>
        <rFont val="Arial Unicode MS"/>
        <family val="2"/>
      </rPr>
      <t>/ REAR MOUNT HATCH(PC+ABS PCR50% FR/OFF-WHITE)(DIXIE)ASS'Y for AVTC(CS)(993-003354)</t>
    </r>
  </si>
  <si>
    <r>
      <rPr>
        <sz val="9"/>
        <color rgb="FFFF0000"/>
        <rFont val="Arial Unicode MS"/>
        <family val="1"/>
        <charset val="136"/>
      </rPr>
      <t>线上</t>
    </r>
    <r>
      <rPr>
        <sz val="9"/>
        <color theme="4" tint="-0.499984740745262"/>
        <rFont val="Arial Unicode MS"/>
        <family val="2"/>
      </rPr>
      <t>/REAR MOUNT HATCH(PC+ABS PCR85% FR/GRAPHITE)(DIXIE)ASS'Y for AVTC(CS)(993-003353)</t>
    </r>
  </si>
  <si>
    <r>
      <rPr>
        <sz val="9"/>
        <color rgb="FFFF0000"/>
        <rFont val="Arial Unicode MS"/>
        <family val="1"/>
        <charset val="136"/>
      </rPr>
      <t>线上</t>
    </r>
    <r>
      <rPr>
        <sz val="9"/>
        <color theme="4" tint="-0.499984740745262"/>
        <rFont val="Arial Unicode MS"/>
        <family val="2"/>
      </rPr>
      <t>/CABLE COVER(PC+ABS PCR50% FR/OFF-WHITE)(DIXIE)ASS'Y for AVTC(CS)(993-003348)</t>
    </r>
  </si>
  <si>
    <r>
      <rPr>
        <sz val="9"/>
        <color rgb="FFFF0000"/>
        <rFont val="Arial Unicode MS"/>
        <family val="1"/>
        <charset val="136"/>
      </rPr>
      <t>线上</t>
    </r>
    <r>
      <rPr>
        <sz val="9"/>
        <color theme="4" tint="-0.499984740745262"/>
        <rFont val="Arial Unicode MS"/>
        <family val="2"/>
      </rPr>
      <t>/CABLE COVER(PC+ABS PCR85% FR/GRAPHITE)(DIXIE)ASS'Y for AVTC (CS)(993-003347)</t>
    </r>
  </si>
  <si>
    <t>K67E0878-TV-VN1</t>
  </si>
  <si>
    <t>K67E0880-TV-VN1</t>
  </si>
  <si>
    <t>K67E0881-TV-VN1</t>
  </si>
  <si>
    <t>K67E0882-TV-VN1</t>
  </si>
  <si>
    <t>开始导入 194715033420</t>
  </si>
  <si>
    <t>T67E0890-TV-VN1</t>
  </si>
  <si>
    <t>VXXUSLO2----.PRIMUS2</t>
  </si>
  <si>
    <t>T67E0922-TV-VN1</t>
  </si>
  <si>
    <t>T67E0891-TV-VN1</t>
  </si>
  <si>
    <t>T67E0898-TV-VN1</t>
  </si>
  <si>
    <t>T67E0899-TV-VN1</t>
  </si>
  <si>
    <t>T67E0901-TV-VN1</t>
  </si>
  <si>
    <t>T67E0902-TV-VN1</t>
  </si>
  <si>
    <t>T67E0919-UI-VN1</t>
  </si>
  <si>
    <t>`</t>
  </si>
  <si>
    <t>T67E0923-TV-VN1</t>
  </si>
  <si>
    <t>T67E0914-TV-VN1</t>
  </si>
  <si>
    <t>T67E0915-TV-VN1</t>
  </si>
  <si>
    <t>T67E0896-TV-VN1</t>
  </si>
  <si>
    <t>T67E0904-TV-VN1</t>
  </si>
  <si>
    <t>T67E0905-TV-VN1</t>
  </si>
  <si>
    <t>T67E0908-TV-VN1</t>
  </si>
  <si>
    <t>T67E0909-TV-VN1</t>
  </si>
  <si>
    <t>T67E0910-TV-VN1</t>
  </si>
  <si>
    <t>T67E0911-TV-VN1</t>
  </si>
  <si>
    <t>T67E0913-TV-VN1</t>
  </si>
  <si>
    <t>T67E0924-TV-VN1</t>
  </si>
  <si>
    <t>T67E0968-TV-VN1</t>
  </si>
  <si>
    <t>T67E0969-TV-VN1</t>
  </si>
  <si>
    <t>T67E0972-TV-VN1</t>
  </si>
  <si>
    <t>T67E0974-TV-VN1</t>
  </si>
  <si>
    <t>T67E0976-TV-VN1</t>
  </si>
  <si>
    <t>T67E0977-TV-VN1</t>
  </si>
  <si>
    <t>T67E0989-TV-VN1</t>
  </si>
  <si>
    <t>前段不加班</t>
  </si>
  <si>
    <t>R67E0988-TV-VN1</t>
  </si>
  <si>
    <t>V65INL022CO-.DIXIE-1*</t>
  </si>
  <si>
    <t>V65USL022C0.DIXIE-1 rework to V65INLO22CO-.DIXIE-1</t>
  </si>
  <si>
    <t>T67E1276-TV-VN1</t>
  </si>
  <si>
    <t>YNRX-AVTCCKDCBU26040005</t>
  </si>
  <si>
    <t>YNRX-AVTCCKDCBU26040004</t>
  </si>
  <si>
    <t>去D903</t>
  </si>
  <si>
    <t>M27USSS22ESH.HG350-1</t>
  </si>
  <si>
    <t>T67E1490-TV-VN1</t>
  </si>
  <si>
    <r>
      <t xml:space="preserve">RK MB：098009005500/ </t>
    </r>
    <r>
      <rPr>
        <sz val="9"/>
        <color rgb="FFFF0000"/>
        <rFont val="Arial Unicode MS"/>
        <family val="1"/>
        <charset val="136"/>
      </rPr>
      <t>MB全缺</t>
    </r>
  </si>
  <si>
    <r>
      <t>7.16.26 Training build 10pcs/ 7.18.26 main build</t>
    </r>
    <r>
      <rPr>
        <sz val="9"/>
        <color rgb="FFFF0000"/>
        <rFont val="Arial Unicode MS"/>
        <family val="1"/>
        <charset val="136"/>
      </rPr>
      <t/>
    </r>
  </si>
  <si>
    <t>T67E1544-TV-VN1</t>
  </si>
  <si>
    <t>SMT MB：352726220150</t>
  </si>
  <si>
    <t>K67E1547-TV-VN1</t>
  </si>
  <si>
    <t>CVTE MB for Samsung LS24D_AUO_MT9700BETUBG ASSY_AVTC for CS</t>
  </si>
  <si>
    <t>K67E1548-TV-VN1</t>
  </si>
  <si>
    <t>LCM ASSY Samsung LS27CG330_MTK MT9700_AUO M270HAN01.9 FOR AVTC_CS</t>
    <phoneticPr fontId="27" type="noConversion"/>
  </si>
  <si>
    <t>WK31</t>
    <phoneticPr fontId="27" type="noConversion"/>
  </si>
  <si>
    <t>R67E1552-TV-VN1</t>
  </si>
  <si>
    <t>T67E1554-TV-VN1</t>
  </si>
  <si>
    <t>Mic for T67E1543-TV-VN1</t>
  </si>
  <si>
    <t>原成品料号：V32WWNF22AO-.NFM1323</t>
  </si>
  <si>
    <t>V32WWNF22AO-.NFM1323*</t>
  </si>
  <si>
    <t>T67E1558-TV-VN1</t>
  </si>
  <si>
    <t>VXXEULO2----.LANKY-3</t>
  </si>
  <si>
    <t>T67E1566-TV-VN1</t>
  </si>
  <si>
    <t>T67E1585-TV-VN1</t>
  </si>
  <si>
    <t>T67E1561-TV-VN1</t>
  </si>
  <si>
    <t>T67E1572-TV-VN1</t>
  </si>
  <si>
    <t>T67E1573-TV-VN1</t>
  </si>
  <si>
    <t>T67E1569-TV-VN1</t>
  </si>
  <si>
    <t>T67E1570-TV-VN1</t>
  </si>
  <si>
    <t>T67E1571-TV-VN1</t>
  </si>
  <si>
    <t>T67E1563-TV-VN1</t>
  </si>
  <si>
    <t>T67E1567-TV-VN1</t>
  </si>
  <si>
    <t>T67E1574-TV-VN1</t>
  </si>
  <si>
    <t>T67E1576-TV-VN1</t>
  </si>
  <si>
    <t>T67E1577-TV-VN1</t>
  </si>
  <si>
    <t>T67E1578-TV-VN1</t>
  </si>
  <si>
    <t>T67E1580-TV-VN1</t>
  </si>
  <si>
    <t>T67E1582-TV-VN1</t>
  </si>
  <si>
    <t>T67E1583-TV-VN1</t>
  </si>
  <si>
    <t>Mic for T67E1568-TV-VN1</t>
  </si>
  <si>
    <t>T67E1588-TV-VN1</t>
  </si>
  <si>
    <t>R67E1594-TV-VN1</t>
  </si>
  <si>
    <t>T67E1595-TV-VN1</t>
  </si>
  <si>
    <t>T67E1596-TV-VN1</t>
  </si>
  <si>
    <t>黑色</t>
  </si>
  <si>
    <t>白色</t>
  </si>
  <si>
    <t>T67E1699-TV-VN1</t>
  </si>
  <si>
    <t>T67E1706-TV-VN1</t>
  </si>
  <si>
    <t>P67E1707-UI-VN1</t>
  </si>
  <si>
    <t>CO2 PVT3 2026/8/20</t>
  </si>
  <si>
    <t>T67E1737-TV-VN1</t>
  </si>
  <si>
    <t>C67E1783-TV-VN1</t>
  </si>
  <si>
    <t>CR new lens</t>
  </si>
  <si>
    <t>C67E1784-TV-VN1</t>
  </si>
  <si>
    <r>
      <t xml:space="preserve">Macallan Camera </t>
    </r>
    <r>
      <rPr>
        <sz val="9"/>
        <color rgb="FFFF0000"/>
        <rFont val="MingLiU"/>
        <family val="3"/>
        <charset val="136"/>
      </rPr>
      <t>累计</t>
    </r>
    <r>
      <rPr>
        <sz val="9"/>
        <color rgb="FFFF0000"/>
        <rFont val="Arial Unicode MS"/>
        <family val="2"/>
      </rPr>
      <t>8000pcs</t>
    </r>
  </si>
  <si>
    <t>170109M02641 缺890pcsLGP,预计8/7 ETA</t>
  </si>
  <si>
    <t>T67E2156-TV-VN1</t>
  </si>
  <si>
    <t xml:space="preserve">缺 OC 7/27 靠港*768pcs 7/30 ETA </t>
  </si>
  <si>
    <t xml:space="preserve">LB 0981010H4G32 待RD规格开放后备料，确认交期/  全缺MB交期 预计8/15 </t>
  </si>
  <si>
    <t>先去D901</t>
  </si>
  <si>
    <t>P67E2187-TV-VN1</t>
  </si>
  <si>
    <t>Macallan 积累 7392pcs</t>
  </si>
  <si>
    <t>T67E2255-TV-VN1</t>
  </si>
  <si>
    <t>T55USTY22AO-.TY55019</t>
  </si>
  <si>
    <t>T67E2256-TV-VN1</t>
  </si>
  <si>
    <t>T67E2257-TV-VN1</t>
  </si>
  <si>
    <t>T67E2258-TV-VN1</t>
  </si>
  <si>
    <t>T67E2259-TV-VN1</t>
  </si>
  <si>
    <t>T67E2260-TV-VN1</t>
  </si>
  <si>
    <t>全缺DISPLAY BD交期TBC/ 全缺MB 098009005500 交期TBC</t>
  </si>
  <si>
    <t>Mic for T67E2256-TV-VN1</t>
  </si>
  <si>
    <t>Mic for T66E2309-TV-VN1 &amp; T67E2255-TV-VN1</t>
  </si>
  <si>
    <t>积累 1000pcs 转 Arran Dux</t>
  </si>
  <si>
    <t>全缺MB交期TBC</t>
    <phoneticPr fontId="22" type="noConversion"/>
  </si>
  <si>
    <t>T67E2340-TV-VN1</t>
  </si>
  <si>
    <t>T67E2341-TV-VN1</t>
  </si>
  <si>
    <t>T67E2342-TV-VN1</t>
  </si>
  <si>
    <t>T67E2332-TV-VN1</t>
  </si>
  <si>
    <t>T67E2339-TV-VN1</t>
  </si>
  <si>
    <t>T67E2333-TV-VN1</t>
  </si>
  <si>
    <t>T67E2336-TV-VN1</t>
  </si>
  <si>
    <t>T67E2344-TV-VN1</t>
  </si>
  <si>
    <t>T67E2345-TV-VN1</t>
  </si>
  <si>
    <t>T67E2346-TV-VN1</t>
  </si>
  <si>
    <t>T67E2347-TV-VN1</t>
  </si>
  <si>
    <t>T67E2349-TV-VN1</t>
  </si>
  <si>
    <t>T67E2335-TV-VN1</t>
  </si>
  <si>
    <t>T67E2338-TV-VN1</t>
  </si>
  <si>
    <t>T67E2329-TV-VN1</t>
  </si>
  <si>
    <t>VXXUSLO2----.LANKY-5</t>
  </si>
  <si>
    <t>T67E2330-TV-VN1</t>
  </si>
  <si>
    <t>VXXUSLO2----.LANKY-6</t>
  </si>
  <si>
    <t>T67E2334-TV-VN1</t>
  </si>
  <si>
    <t>T67E2351-TV-VN1</t>
  </si>
  <si>
    <t>T67E2352-TV-VN1</t>
  </si>
  <si>
    <t>T67E2353-TV-VN1</t>
  </si>
  <si>
    <t>T67E2354-TV-VN1</t>
  </si>
  <si>
    <t>T67E2355-TV-VN1</t>
  </si>
  <si>
    <t>T67E2356-TV-VN1</t>
  </si>
  <si>
    <t>T67E2357-TV-VN1</t>
  </si>
  <si>
    <t>T67E2358-TV-VN1</t>
  </si>
  <si>
    <t>T67E2359-TV-VN1</t>
  </si>
  <si>
    <t>T67E2360-TV-VN1</t>
  </si>
  <si>
    <t>T67E2361-TV-VN1</t>
  </si>
  <si>
    <t>T67E2362-TV-VN1</t>
  </si>
  <si>
    <t>T67E2364-TV-VN1</t>
  </si>
  <si>
    <t>T67E2389-TV-VN1</t>
  </si>
  <si>
    <t>RK MB:098009005060</t>
  </si>
  <si>
    <t xml:space="preserve"> SMT MB:352726220150/ Adaptor *141 预估7/27ETA</t>
  </si>
  <si>
    <t>T67E2384-TV-VN1</t>
  </si>
  <si>
    <t>RK MB: 098009006140/ 全缺MB交期TBC</t>
  </si>
  <si>
    <t>SMT MB: 353216120150</t>
  </si>
  <si>
    <t>T67E2444-TV-VN1</t>
  </si>
  <si>
    <t>T67E2445-TV-VN1</t>
  </si>
  <si>
    <t>T67E2446-TV-VN1</t>
  </si>
  <si>
    <t>备案</t>
  </si>
  <si>
    <t>P67E2449-EX-VN1</t>
  </si>
  <si>
    <t>PVT build: 2026/7/28</t>
  </si>
  <si>
    <t>T67E2451-TV-VN1</t>
  </si>
  <si>
    <t>T67E2453-TV-VN1</t>
  </si>
  <si>
    <t>Cocoon for T67E2330-TV-VN1</t>
  </si>
  <si>
    <t>171201032731 缺231pcs，7/24 通关中，预计最快7/25入厂</t>
  </si>
  <si>
    <t>全缺MB交期TBC</t>
  </si>
  <si>
    <t>开始导入 182A09000301 螺丝包</t>
  </si>
  <si>
    <r>
      <t>砍单</t>
    </r>
    <r>
      <rPr>
        <sz val="9"/>
        <color rgb="FFFF0000"/>
        <rFont val="Times New Roman"/>
        <family val="1"/>
      </rPr>
      <t>22</t>
    </r>
    <r>
      <rPr>
        <sz val="9"/>
        <color rgb="FFFF0000"/>
        <rFont val="宋体"/>
        <family val="3"/>
        <charset val="134"/>
      </rPr>
      <t>台/ 重工消耗库存</t>
    </r>
  </si>
  <si>
    <r>
      <t>砍单</t>
    </r>
    <r>
      <rPr>
        <sz val="9"/>
        <color rgb="FFFF0000"/>
        <rFont val="Times New Roman"/>
        <family val="1"/>
      </rPr>
      <t>207</t>
    </r>
    <r>
      <rPr>
        <sz val="9"/>
        <color rgb="FFFF0000"/>
        <rFont val="宋体"/>
        <family val="3"/>
        <charset val="134"/>
      </rPr>
      <t>台/ 重工消耗库存</t>
    </r>
  </si>
  <si>
    <t>C67E2454-TV-VN1</t>
  </si>
  <si>
    <t>W33</t>
    <phoneticPr fontId="95" type="noConversion"/>
  </si>
  <si>
    <t>P67E2186-TV-VN1</t>
    <phoneticPr fontId="95" type="noConversion"/>
  </si>
  <si>
    <t>M27USSS22ESH.HG350-1</t>
    <phoneticPr fontId="95" type="noConversion"/>
  </si>
  <si>
    <t>SMT 缺 MB 3E0802820150  8/B WIFI Moudle 预计8/B 098001404581/缺193616008490产线退不良欠311pcs</t>
    <phoneticPr fontId="95" type="noConversion"/>
  </si>
  <si>
    <t>缺MB 098009005500 7/30货好，ETA 8.7</t>
  </si>
  <si>
    <t>MB 098009006060 7/30货好，ETA 8.7</t>
  </si>
  <si>
    <t xml:space="preserve">500pcs for T67E2257-TV-VN1 </t>
  </si>
  <si>
    <t>R67E2845-TV-VN1</t>
  </si>
  <si>
    <t>R67E2846-TV-VN1</t>
  </si>
  <si>
    <t>R67E2848-TV-VN1</t>
  </si>
  <si>
    <t>R67E2849-TV-VN1</t>
  </si>
  <si>
    <t>R67E2850-TV-VN1</t>
  </si>
  <si>
    <t>R67E2851-TV-VN1</t>
  </si>
  <si>
    <t>R67E2852-TV-VN1</t>
  </si>
  <si>
    <t>R67E2853-TV-VN1</t>
  </si>
  <si>
    <t>R67E2854-TV-VN1</t>
  </si>
  <si>
    <t>R67E2855-TV-VN1</t>
  </si>
  <si>
    <t>纸箱跟线</t>
  </si>
  <si>
    <r>
      <t xml:space="preserve">主板 092019800500 遥控器 + 摄像头+麦克风+ 语音板  </t>
    </r>
    <r>
      <rPr>
        <sz val="8"/>
        <color rgb="FFFF0000"/>
        <rFont val="Times New Roman"/>
        <family val="1"/>
      </rPr>
      <t>缺 500pcs 8.3 货好/ 喇叭缺 1k9 ETA 8.18</t>
    </r>
  </si>
  <si>
    <t xml:space="preserve">Display BD 缺 540pcs 098009007130 &amp;MB 098009008030 7/30货好，ETA 8.7 </t>
  </si>
  <si>
    <t>171212003770- 待更新交期</t>
  </si>
  <si>
    <r>
      <t xml:space="preserve">CR FFC/ </t>
    </r>
    <r>
      <rPr>
        <sz val="9"/>
        <color rgb="FFFF0000"/>
        <rFont val="Arial Unicode MS"/>
        <family val="2"/>
      </rPr>
      <t>TDM 全缺 预计 8.13 ETD</t>
    </r>
  </si>
  <si>
    <t>R67E1495-TV-VN1</t>
  </si>
  <si>
    <t>R67E1496-TV-VN1</t>
  </si>
  <si>
    <t>R67E1494-TV-VN1</t>
  </si>
  <si>
    <t>V65THLO22CO-.DIXIE-3 rework to V65INLO22CO-.DIXIE-3</t>
  </si>
  <si>
    <t>V65CNLO22CO-.DIXIE-1 rework to V65INLO22CO-.DIXIE-1</t>
  </si>
  <si>
    <t>V65SSLO22CO-.DIXIE-1 rework to V65INLO22CO-.DIXIE-1</t>
  </si>
  <si>
    <r>
      <rPr>
        <sz val="9"/>
        <color rgb="FFFF0000"/>
        <rFont val="Arial Unicode MS"/>
        <family val="1"/>
        <charset val="136"/>
      </rPr>
      <t>线上/</t>
    </r>
    <r>
      <rPr>
        <sz val="9"/>
        <color theme="4" tint="-0.499984740745262"/>
        <rFont val="Arial Unicode MS"/>
        <family val="2"/>
      </rPr>
      <t xml:space="preserve"> BASE ASSY Logitech Dixie (Black)(CS)(952-000233)</t>
    </r>
  </si>
  <si>
    <r>
      <rPr>
        <sz val="9"/>
        <color rgb="FFFF0000"/>
        <rFont val="Arial Unicode MS"/>
        <family val="1"/>
        <charset val="136"/>
      </rPr>
      <t>线上/</t>
    </r>
    <r>
      <rPr>
        <sz val="9"/>
        <color theme="4" tint="-0.499984740745262"/>
        <rFont val="Arial Unicode MS"/>
        <family val="2"/>
      </rPr>
      <t xml:space="preserve"> BASE ASSY Logitech Dixie (off-white)(CS)(952-000234)</t>
    </r>
  </si>
  <si>
    <t>T67E2863-TV-VN1</t>
  </si>
  <si>
    <t>T67E2864-TV-VN1</t>
  </si>
  <si>
    <t>CR 新线体</t>
  </si>
  <si>
    <t>pull in review 料况</t>
  </si>
  <si>
    <t>T67E2873-TV-VN1</t>
  </si>
  <si>
    <t>T67E2874-TV-VN1</t>
  </si>
  <si>
    <t>SMT 缺 MB 353216120150 / SMT 料 7.31 齊套/ 最快8.4 开始测试</t>
  </si>
  <si>
    <t>M24USSS22EFH.24D3681*</t>
  </si>
  <si>
    <t>M24USSS22AFH.24D3681*</t>
  </si>
  <si>
    <t>M27USSS22AFH.27D3662*</t>
  </si>
  <si>
    <t>机种EOL, 重工消耗库存/ 原成品料号：M24NLSS22EFH.24D3601</t>
  </si>
  <si>
    <t>机种EOL, 重工消耗库存/ 原成品料号：M24NLSS22EFH.24D3641</t>
  </si>
  <si>
    <t>机种EOL, 重工消耗库存/ 原成品料号：M24USSS22EFH.24D3661</t>
  </si>
  <si>
    <t>机种EOL, 重工消耗库存/ 原成品料号：M24PRSS22EFH.24D3601</t>
  </si>
  <si>
    <t>机种EOL, 重工消耗库存/ 原成品料号：M24ILSS22AFH.24D3621</t>
  </si>
  <si>
    <t>机种EOL, 重工消耗库存/ 原成品料号：M24NLSS22AFH.24D3621</t>
  </si>
  <si>
    <t>机种EOL, 重工消耗库存/ 原成品料号：M24VNSS22AF-.24D3661</t>
  </si>
  <si>
    <t>机种EOL, 重工消耗库存/ 原成品料号：M24TRSS22AFH.24D3661</t>
  </si>
  <si>
    <t>机种EOL, 重工消耗库存/ 原成品料号：M27USSS22AFH.27D36D2</t>
  </si>
  <si>
    <t>机种EOL, 重工消耗库存/ 原成品料号：M24ARSS22EFH.24D3661</t>
  </si>
  <si>
    <t>Macallan Camera 累计9000pcs</t>
  </si>
  <si>
    <t>main build: 18/08/2026</t>
  </si>
  <si>
    <t>P67E2907-TV-VN1</t>
  </si>
  <si>
    <t>VXXUSOL2----.PHOENX1</t>
  </si>
  <si>
    <t>VXXUSOL2----.PHOENX2</t>
  </si>
  <si>
    <t>mini build 16/09/2026</t>
  </si>
  <si>
    <t>main build 18/09/2026</t>
  </si>
  <si>
    <t>D67E2910-TV-VN1</t>
  </si>
  <si>
    <t>D67E2912-TV-VN1</t>
  </si>
  <si>
    <t>D67E2913-TV-VN1</t>
  </si>
  <si>
    <t>D67E2914-TV-VN1</t>
  </si>
  <si>
    <r>
      <t>缺500pcs  纸箱 JIADA 162512008422 ETA 8/13/</t>
    </r>
    <r>
      <rPr>
        <sz val="9"/>
        <color theme="1"/>
        <rFont val="Arial Unicode MS"/>
        <charset val="134"/>
      </rPr>
      <t>缺1200pcs HEAT SINK 171212003330 7.31 进</t>
    </r>
    <r>
      <rPr>
        <sz val="9"/>
        <color rgb="FFFF0000"/>
        <rFont val="Arial Unicode MS"/>
        <family val="2"/>
      </rPr>
      <t>厂</t>
    </r>
  </si>
  <si>
    <r>
      <t xml:space="preserve">纸塑 MING SHIN 厂商接力/ </t>
    </r>
    <r>
      <rPr>
        <sz val="9"/>
        <color rgb="FFFF0000"/>
        <rFont val="Arial Unicode MS"/>
        <charset val="134"/>
      </rPr>
      <t>194725003300 PD2 缺500pcs ETA 7.31</t>
    </r>
  </si>
  <si>
    <t>全缺MB交期TBC/ 0320300005PI  &amp; 0320500008PI ETA 8.24</t>
  </si>
  <si>
    <t>R67E1704-TV-VN1</t>
  </si>
  <si>
    <t>R67E1498-TV-VN1</t>
  </si>
  <si>
    <t>V65GBLO22CO-.DIXIE-1*</t>
  </si>
  <si>
    <r>
      <rPr>
        <sz val="9"/>
        <color rgb="FFFF0000"/>
        <rFont val="Arial Unicode MS"/>
        <family val="1"/>
        <charset val="136"/>
      </rPr>
      <t>线上</t>
    </r>
    <r>
      <rPr>
        <sz val="9"/>
        <color theme="4" tint="-0.499984740745262"/>
        <rFont val="Arial Unicode MS"/>
        <family val="2"/>
      </rPr>
      <t>/ BYO CABLE HOOK(PC+ABS PCR85% FR/GRAPHITE)(DIXIE)ASS'Y for AVTC(CS)(993-003351)</t>
    </r>
  </si>
  <si>
    <t>R67E2923-TV-VN1</t>
  </si>
  <si>
    <t>R67E2924-TV-VN1</t>
  </si>
  <si>
    <t>R67E2925-TV-VN1</t>
  </si>
  <si>
    <t>重工CR 工单</t>
  </si>
  <si>
    <t>T67E2953-TV-VN1</t>
  </si>
  <si>
    <t>T67E2933-TV-VN1</t>
  </si>
  <si>
    <t>T67E2934-TV-VN1</t>
  </si>
  <si>
    <t>T67E2940-TV-VN1</t>
  </si>
  <si>
    <t>T67E2941-TV-VN1</t>
  </si>
  <si>
    <t>T67E2942-TV-VN1</t>
  </si>
  <si>
    <t>T67E2943-TV-VN1</t>
  </si>
  <si>
    <t>T67E2945-TV-VN1</t>
  </si>
  <si>
    <t>T67E2935-TV-VN1</t>
  </si>
  <si>
    <t>T67E2936-TV-VN1</t>
  </si>
  <si>
    <t>T67E2937-TV-VN1</t>
  </si>
  <si>
    <t>T67E2950-TV-VN1</t>
  </si>
  <si>
    <t>T67E2951-TV-VN1</t>
  </si>
  <si>
    <t>T67E2952-TV-VN1</t>
  </si>
  <si>
    <t>T67E2938-TV-VN1</t>
  </si>
  <si>
    <t>T67E2939-TV-VN1</t>
  </si>
  <si>
    <t>T67E2932-TV-VN1</t>
  </si>
  <si>
    <t>T67E2944-TV-VN1</t>
  </si>
  <si>
    <t>T67E2946-TV-VN1</t>
  </si>
  <si>
    <t>T67E2947-TV-VN1</t>
  </si>
  <si>
    <t>T67E2949-TV-VN1</t>
  </si>
  <si>
    <t>Cocoon for T67E2932-TV-VN1</t>
  </si>
  <si>
    <t>buffer 9pcs</t>
  </si>
  <si>
    <t>T67E3109-TV-VN1</t>
  </si>
  <si>
    <r>
      <t xml:space="preserve">缺 EPS Hanel 待确认/ </t>
    </r>
    <r>
      <rPr>
        <sz val="9"/>
        <color rgb="FFFF0000"/>
        <rFont val="Arial Unicode MS"/>
        <charset val="134"/>
      </rPr>
      <t>备案</t>
    </r>
  </si>
  <si>
    <t>V801 B</t>
  </si>
  <si>
    <t>V801 A</t>
  </si>
  <si>
    <t>OC *527pcs 8.10 ETA，WK36*896 8月底</t>
  </si>
  <si>
    <t>纸箱进阶，待确认交期</t>
  </si>
  <si>
    <t>PMP/ 全缺OC ETA 8.6 靠港 8.8 进厂/ PD2 PE 袋 &amp; 螺丝包/ 8.1 试模</t>
  </si>
  <si>
    <t xml:space="preserve"> PMP/  全缺OC ETA 8.5/  PD2 PE 袋 &amp; 螺丝包/  8.1 试模</t>
  </si>
  <si>
    <r>
      <t>Mini Build 8.17 ,</t>
    </r>
    <r>
      <rPr>
        <sz val="9"/>
        <color rgb="FFFF0000"/>
        <rFont val="Calibri"/>
        <family val="2"/>
      </rPr>
      <t>Main Build 8.</t>
    </r>
    <r>
      <rPr>
        <sz val="9"/>
        <color rgb="FFFF0000"/>
        <rFont val="MingLiU"/>
        <family val="3"/>
        <charset val="136"/>
      </rPr>
      <t>19/ 主板 ETA 8.15</t>
    </r>
  </si>
  <si>
    <t>缺尾数MB交期TBC/ 0320300005PI  &amp; 0320500008PI ETA 8.24</t>
  </si>
  <si>
    <t>缺200pcs Camera  TBD / 8.12*800pcs</t>
  </si>
  <si>
    <t>全缺 Camera  TBD/  预计9月低*1400pcs</t>
  </si>
  <si>
    <t>全缺 Camera  TBD/ 预计9月低*1400pcs</t>
  </si>
  <si>
    <t xml:space="preserve">缺200pcs 包材 8.5 </t>
  </si>
  <si>
    <t xml:space="preserve">缺包材 8.5 ETA </t>
  </si>
  <si>
    <t xml:space="preserve">缺包材 8.5 ETA  </t>
  </si>
  <si>
    <t xml:space="preserve">缺 纸箱 JIADA 162512008422 跟线 </t>
  </si>
  <si>
    <t>缺纸箱 JIADA 162512008422 ETA 8/13</t>
  </si>
  <si>
    <r>
      <t xml:space="preserve">pull in review 料况/ SMT 缺主板 3V99015203V0 / </t>
    </r>
    <r>
      <rPr>
        <sz val="9"/>
        <color theme="1"/>
        <rFont val="Arial Unicode MS"/>
        <charset val="134"/>
      </rPr>
      <t>缺92pcs 布网 ETA 8.6 *3000pcs</t>
    </r>
  </si>
  <si>
    <t xml:space="preserve"> 046050018150 ETA 8.1</t>
  </si>
  <si>
    <t>改打包方式15pcs/plt</t>
  </si>
  <si>
    <r>
      <rPr>
        <sz val="9"/>
        <color theme="1"/>
        <rFont val="Arial Unicode MS"/>
        <charset val="134"/>
      </rPr>
      <t>缺包材 8.5 ETA/</t>
    </r>
    <r>
      <rPr>
        <sz val="9"/>
        <color rgb="FFFF0000"/>
        <rFont val="Arial Unicode MS"/>
        <family val="2"/>
      </rPr>
      <t xml:space="preserve"> 缺OC 待确认</t>
    </r>
  </si>
  <si>
    <t>行标签</t>
  </si>
  <si>
    <t>total</t>
    <phoneticPr fontId="210" type="noConversion"/>
  </si>
  <si>
    <t>Parakeet 重工白色</t>
    <phoneticPr fontId="210" type="noConversion"/>
  </si>
  <si>
    <t>E08WWNF22-5E.NPADUX1</t>
    <phoneticPr fontId="95" type="noConversion"/>
  </si>
  <si>
    <t>T67E2145-TV-VN1</t>
    <phoneticPr fontId="95" type="noConversion"/>
  </si>
  <si>
    <t>K66E1414-TV-VN1</t>
    <phoneticPr fontId="95" type="noConversion"/>
  </si>
  <si>
    <t>V32WWNF22AO-.NFM1325</t>
    <phoneticPr fontId="95" type="noConversion"/>
  </si>
  <si>
    <t>E08WWNF22Q5E.NPADA2F</t>
    <phoneticPr fontId="9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</si>
</sst>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ddd;@"/>
    <numFmt numFmtId="177" formatCode="_ * #,##0_ ;_ * \-#,##0_ ;_ * \-_ ;_ @_ "/>
    <numFmt numFmtId="178" formatCode="_ * #,##0.00_ ;_ * \-#,##0.00_ ;_ * \-??_ ;_ @_ "/>
    <numFmt numFmtId="179" formatCode="m/d;@"/>
    <numFmt numFmtId="180" formatCode="#,##0_ "/>
    <numFmt numFmtId="181" formatCode="00000"/>
    <numFmt numFmtId="182" formatCode="m/d/yy;@"/>
    <numFmt numFmtId="183" formatCode="dd/mm"/>
    <numFmt numFmtId="184" formatCode="0_);[Red]\(0\)"/>
    <numFmt numFmtId="185" formatCode="0.00_);[Red]\(0.00\)"/>
    <numFmt numFmtId="186" formatCode="[$-409]mmm;@"/>
    <numFmt numFmtId="187" formatCode="dd"/>
    <numFmt numFmtId="188" formatCode="[$-F800]dddd\,\ mmmm\ dd\,\ yyyy"/>
  </numFmts>
  <fonts count="211">
    <font>
      <sz val="12"/>
      <name val="宋体"/>
      <charset val="134"/>
    </font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2"/>
      <name val="宋体"/>
      <family val="3"/>
      <charset val="134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FFFF"/>
      <name val="Calibri"/>
      <family val="2"/>
      <charset val="1"/>
    </font>
    <font>
      <sz val="11"/>
      <color rgb="FFFFFFFF"/>
      <name val="Arial"/>
      <family val="2"/>
      <charset val="1"/>
    </font>
    <font>
      <b/>
      <sz val="12"/>
      <name val="宋体"/>
      <family val="3"/>
      <charset val="134"/>
    </font>
    <font>
      <sz val="12"/>
      <name val="新細明體"/>
      <family val="1"/>
      <charset val="1"/>
    </font>
    <font>
      <sz val="12"/>
      <color rgb="FF000000"/>
      <name val="Calibri"/>
      <family val="2"/>
      <charset val="1"/>
    </font>
    <font>
      <sz val="11"/>
      <name val="돋움"/>
      <family val="2"/>
      <charset val="1"/>
    </font>
    <font>
      <sz val="11"/>
      <color rgb="FF006100"/>
      <name val="Calibri"/>
      <family val="2"/>
      <charset val="1"/>
    </font>
    <font>
      <sz val="11"/>
      <color rgb="FF006100"/>
      <name val="Arial"/>
      <family val="2"/>
      <charset val="1"/>
    </font>
    <font>
      <sz val="11"/>
      <color rgb="FF9C0006"/>
      <name val="Calibri"/>
      <family val="2"/>
      <charset val="1"/>
    </font>
    <font>
      <sz val="11"/>
      <color rgb="FF9C0006"/>
      <name val="Arial"/>
      <family val="2"/>
      <charset val="1"/>
    </font>
    <font>
      <sz val="11"/>
      <color rgb="FF000000"/>
      <name val="新細明體"/>
      <family val="1"/>
      <charset val="1"/>
    </font>
    <font>
      <sz val="11"/>
      <color rgb="FF000000"/>
      <name val="Calibri"/>
      <family val="1"/>
      <charset val="136"/>
    </font>
    <font>
      <b/>
      <sz val="15"/>
      <color rgb="FF1F497D"/>
      <name val="Calibri"/>
      <family val="2"/>
      <charset val="1"/>
    </font>
    <font>
      <b/>
      <sz val="15"/>
      <color rgb="FF1F497D"/>
      <name val="Arial"/>
      <family val="2"/>
      <charset val="1"/>
    </font>
    <font>
      <b/>
      <sz val="18"/>
      <color rgb="FF1F497D"/>
      <name val="Cambria"/>
      <family val="1"/>
      <charset val="1"/>
    </font>
    <font>
      <b/>
      <sz val="13"/>
      <color rgb="FF1F497D"/>
      <name val="Calibri"/>
      <family val="2"/>
      <charset val="1"/>
    </font>
    <font>
      <b/>
      <sz val="13"/>
      <color rgb="FF1F497D"/>
      <name val="Arial"/>
      <family val="2"/>
      <charset val="1"/>
    </font>
    <font>
      <b/>
      <sz val="11"/>
      <color rgb="FF1F497D"/>
      <name val="Calibri"/>
      <family val="2"/>
      <charset val="1"/>
    </font>
    <font>
      <b/>
      <sz val="11"/>
      <color rgb="FF1F497D"/>
      <name val="Arial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i/>
      <sz val="11"/>
      <color rgb="FF7F7F7F"/>
      <name val="Calibri"/>
      <family val="2"/>
      <charset val="1"/>
    </font>
    <font>
      <i/>
      <sz val="11"/>
      <color rgb="FF7F7F7F"/>
      <name val="Arial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Arial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FA7D00"/>
      <name val="Arial"/>
      <family val="2"/>
      <charset val="1"/>
    </font>
    <font>
      <sz val="11"/>
      <color rgb="FF3F3F76"/>
      <name val="Calibri"/>
      <family val="2"/>
      <charset val="1"/>
    </font>
    <font>
      <sz val="11"/>
      <color rgb="FF3F3F76"/>
      <name val="Arial"/>
      <family val="2"/>
      <charset val="1"/>
    </font>
    <font>
      <b/>
      <sz val="11"/>
      <color rgb="FF3F3F3F"/>
      <name val="Calibri"/>
      <family val="2"/>
      <charset val="1"/>
    </font>
    <font>
      <b/>
      <sz val="11"/>
      <color rgb="FF3F3F3F"/>
      <name val="Arial"/>
      <family val="2"/>
      <charset val="1"/>
    </font>
    <font>
      <sz val="11"/>
      <color rgb="FF9C6500"/>
      <name val="Calibri"/>
      <family val="2"/>
      <charset val="1"/>
    </font>
    <font>
      <sz val="11"/>
      <color rgb="FF9C6500"/>
      <name val="Arial"/>
      <family val="2"/>
      <charset val="1"/>
    </font>
    <font>
      <sz val="11"/>
      <color rgb="FFFA7D00"/>
      <name val="Calibri"/>
      <family val="2"/>
      <charset val="1"/>
    </font>
    <font>
      <sz val="11"/>
      <color rgb="FFFA7D00"/>
      <name val="Arial"/>
      <family val="2"/>
      <charset val="1"/>
    </font>
    <font>
      <sz val="12"/>
      <name val="宋体"/>
      <family val="3"/>
      <charset val="134"/>
    </font>
    <font>
      <b/>
      <sz val="11"/>
      <name val="Arial Unicode MS"/>
      <family val="2"/>
      <charset val="136"/>
    </font>
    <font>
      <sz val="11"/>
      <name val="Arial Unicode MS"/>
      <family val="2"/>
      <charset val="136"/>
    </font>
    <font>
      <sz val="11"/>
      <color theme="1"/>
      <name val="Arial Unicode MS"/>
      <family val="2"/>
      <charset val="136"/>
    </font>
    <font>
      <b/>
      <sz val="11"/>
      <color theme="1"/>
      <name val="Arial Unicode MS"/>
      <family val="2"/>
      <charset val="136"/>
    </font>
    <font>
      <sz val="11"/>
      <color rgb="FF000000"/>
      <name val="Arial Unicode MS"/>
      <family val="2"/>
      <charset val="136"/>
    </font>
    <font>
      <sz val="9"/>
      <name val="Arial Unicode MS"/>
      <family val="2"/>
      <charset val="136"/>
    </font>
    <font>
      <sz val="11"/>
      <name val="Arial Unicode MS"/>
      <family val="2"/>
    </font>
    <font>
      <sz val="11"/>
      <color rgb="FFFF0000"/>
      <name val="Arial Unicode MS"/>
      <family val="2"/>
    </font>
    <font>
      <sz val="9"/>
      <name val="宋体"/>
      <family val="3"/>
      <charset val="134"/>
    </font>
    <font>
      <b/>
      <sz val="9"/>
      <name val="Arial Unicode MS"/>
      <family val="2"/>
    </font>
    <font>
      <sz val="9"/>
      <color rgb="FF000000"/>
      <name val="Arial Unicode MS"/>
      <family val="2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Arial"/>
      <family val="2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11"/>
      <color theme="4" tint="-0.499984740745262"/>
      <name val="Arial Unicode MS"/>
      <family val="2"/>
    </font>
    <font>
      <sz val="9"/>
      <color theme="4" tint="-0.499984740745262"/>
      <name val="Arial Unicode MS"/>
      <family val="2"/>
    </font>
    <font>
      <b/>
      <sz val="12"/>
      <name val="宋体"/>
      <family val="3"/>
      <charset val="163"/>
    </font>
    <font>
      <b/>
      <sz val="12"/>
      <name val="新細明體"/>
      <family val="1"/>
      <scheme val="major"/>
    </font>
    <font>
      <b/>
      <sz val="11"/>
      <name val="Arial Unicode MS"/>
      <family val="2"/>
    </font>
    <font>
      <sz val="9"/>
      <color rgb="FFFF0000"/>
      <name val="Arial Unicode MS"/>
      <family val="2"/>
    </font>
    <font>
      <sz val="11"/>
      <color rgb="FFFF0000"/>
      <name val="Arial Unicode MS"/>
      <family val="2"/>
      <charset val="136"/>
    </font>
    <font>
      <sz val="11"/>
      <color rgb="FF006100"/>
      <name val="新細明體"/>
      <family val="2"/>
      <charset val="134"/>
      <scheme val="minor"/>
    </font>
    <font>
      <sz val="12"/>
      <name val="Microsoft YaHei"/>
      <family val="2"/>
      <charset val="1"/>
    </font>
    <font>
      <b/>
      <sz val="12"/>
      <name val="Microsoft YaHei"/>
      <family val="2"/>
    </font>
    <font>
      <b/>
      <sz val="10"/>
      <name val="Microsoft YaHei"/>
      <family val="2"/>
    </font>
    <font>
      <sz val="12"/>
      <name val="Microsoft YaHei"/>
      <family val="2"/>
    </font>
    <font>
      <sz val="10"/>
      <name val="Microsoft YaHei"/>
      <family val="2"/>
    </font>
    <font>
      <sz val="10"/>
      <color theme="1"/>
      <name val="Microsoft YaHei"/>
      <family val="2"/>
    </font>
    <font>
      <sz val="9"/>
      <name val="DengXian"/>
      <family val="3"/>
      <charset val="134"/>
    </font>
    <font>
      <sz val="12"/>
      <color theme="1"/>
      <name val="Microsoft YaHei"/>
      <family val="2"/>
    </font>
    <font>
      <sz val="10"/>
      <color rgb="FFFF0000"/>
      <name val="Microsoft YaHei"/>
      <family val="2"/>
    </font>
    <font>
      <sz val="10"/>
      <color theme="1"/>
      <name val="Arial Unicode MS"/>
      <family val="2"/>
      <charset val="134"/>
    </font>
    <font>
      <sz val="9"/>
      <name val="Microsoft YaHei"/>
      <family val="2"/>
    </font>
    <font>
      <sz val="10"/>
      <color theme="1"/>
      <name val="Arial"/>
      <family val="2"/>
      <charset val="134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4"/>
      <scheme val="major"/>
    </font>
    <font>
      <b/>
      <sz val="15"/>
      <color theme="3"/>
      <name val="Arial"/>
      <family val="2"/>
      <charset val="134"/>
    </font>
    <font>
      <b/>
      <sz val="13"/>
      <color theme="3"/>
      <name val="Arial"/>
      <family val="2"/>
      <charset val="134"/>
    </font>
    <font>
      <b/>
      <sz val="11"/>
      <color theme="3"/>
      <name val="Arial"/>
      <family val="2"/>
      <charset val="134"/>
    </font>
    <font>
      <sz val="10"/>
      <color rgb="FF006100"/>
      <name val="Arial"/>
      <family val="2"/>
      <charset val="134"/>
    </font>
    <font>
      <sz val="10"/>
      <color rgb="FF9C0006"/>
      <name val="Arial"/>
      <family val="2"/>
      <charset val="134"/>
    </font>
    <font>
      <sz val="10"/>
      <color rgb="FF9C6500"/>
      <name val="Arial"/>
      <family val="2"/>
      <charset val="134"/>
    </font>
    <font>
      <sz val="10"/>
      <color rgb="FF3F3F76"/>
      <name val="Arial"/>
      <family val="2"/>
      <charset val="134"/>
    </font>
    <font>
      <b/>
      <sz val="10"/>
      <color rgb="FF3F3F3F"/>
      <name val="Arial"/>
      <family val="2"/>
      <charset val="134"/>
    </font>
    <font>
      <b/>
      <sz val="10"/>
      <color rgb="FFFA7D00"/>
      <name val="Arial"/>
      <family val="2"/>
      <charset val="134"/>
    </font>
    <font>
      <sz val="10"/>
      <color rgb="FFFA7D00"/>
      <name val="Arial"/>
      <family val="2"/>
      <charset val="134"/>
    </font>
    <font>
      <b/>
      <sz val="10"/>
      <color theme="0"/>
      <name val="Arial"/>
      <family val="2"/>
      <charset val="134"/>
    </font>
    <font>
      <sz val="10"/>
      <color rgb="FFFF0000"/>
      <name val="Arial"/>
      <family val="2"/>
      <charset val="134"/>
    </font>
    <font>
      <i/>
      <sz val="10"/>
      <color rgb="FF7F7F7F"/>
      <name val="Arial"/>
      <family val="2"/>
      <charset val="134"/>
    </font>
    <font>
      <b/>
      <sz val="10"/>
      <color theme="1"/>
      <name val="Arial"/>
      <family val="2"/>
      <charset val="134"/>
    </font>
    <font>
      <sz val="10"/>
      <color theme="0"/>
      <name val="Arial"/>
      <family val="2"/>
      <charset val="134"/>
    </font>
    <font>
      <sz val="8"/>
      <name val="Times New Roman"/>
      <family val="1"/>
    </font>
    <font>
      <sz val="8"/>
      <color rgb="FFFF0000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12"/>
      <color rgb="FF000000"/>
      <name val="Times New Roman"/>
      <family val="1"/>
    </font>
    <font>
      <sz val="9"/>
      <color rgb="FFFF0000"/>
      <name val="Arial Unicode MS"/>
      <family val="2"/>
    </font>
    <font>
      <sz val="9"/>
      <color rgb="FFFF0000"/>
      <name val="Arial Unicode MS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9"/>
      <color theme="0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0"/>
      <name val="돋움"/>
      <family val="3"/>
      <charset val="129"/>
    </font>
    <font>
      <sz val="9"/>
      <color rgb="FFFF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b/>
      <sz val="9"/>
      <color rgb="FFFA7D00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sz val="9"/>
      <color rgb="FF9C0006"/>
      <name val="新細明體"/>
      <family val="1"/>
      <charset val="136"/>
      <scheme val="minor"/>
    </font>
    <font>
      <sz val="11"/>
      <color rgb="FF9C0006"/>
      <name val="新細明體"/>
      <family val="1"/>
      <charset val="136"/>
      <scheme val="minor"/>
    </font>
    <font>
      <sz val="9"/>
      <color rgb="FF9C6500"/>
      <name val="新細明體"/>
      <family val="1"/>
      <charset val="136"/>
      <scheme val="minor"/>
    </font>
    <font>
      <sz val="11"/>
      <color rgb="FF9C6500"/>
      <name val="新細明體"/>
      <family val="1"/>
      <charset val="136"/>
      <scheme val="minor"/>
    </font>
    <font>
      <i/>
      <sz val="9"/>
      <color rgb="FF7F7F7F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b/>
      <sz val="9"/>
      <color theme="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sz val="9"/>
      <color rgb="FFFA7D00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b/>
      <sz val="9"/>
      <color theme="1"/>
      <name val="新細明體"/>
      <family val="1"/>
      <charset val="136"/>
      <scheme val="minor"/>
    </font>
    <font>
      <sz val="9"/>
      <color rgb="FF3F3F76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sz val="9"/>
      <color rgb="FF006100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b/>
      <sz val="9"/>
      <color rgb="FF3F3F3F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4"/>
      <scheme val="minor"/>
    </font>
    <font>
      <sz val="11"/>
      <color rgb="FFFF0000"/>
      <name val="MingLiU"/>
      <family val="3"/>
      <charset val="136"/>
    </font>
    <font>
      <sz val="12"/>
      <color rgb="FF000000"/>
      <name val="宋体"/>
      <family val="3"/>
      <charset val="134"/>
    </font>
    <font>
      <b/>
      <sz val="26"/>
      <name val="宋体"/>
      <family val="3"/>
      <charset val="134"/>
    </font>
    <font>
      <sz val="9"/>
      <name val="Aptos"/>
      <family val="1"/>
      <charset val="136"/>
    </font>
    <font>
      <sz val="9"/>
      <name val="PMingLiU"/>
      <family val="1"/>
      <charset val="136"/>
    </font>
    <font>
      <sz val="9"/>
      <color rgb="FFFF0000"/>
      <name val="Arial Unicode MS"/>
      <family val="1"/>
      <charset val="136"/>
    </font>
    <font>
      <sz val="9"/>
      <color theme="1"/>
      <name val="Arial Unicode MS"/>
      <family val="1"/>
      <charset val="136"/>
    </font>
    <font>
      <b/>
      <sz val="28"/>
      <color theme="0"/>
      <name val="Microsoft YaHei UI"/>
      <family val="2"/>
      <charset val="134"/>
    </font>
    <font>
      <sz val="36"/>
      <color theme="4" tint="-0.24994659260841701"/>
      <name val="Microsoft YaHei UI"/>
      <family val="2"/>
      <charset val="134"/>
    </font>
    <font>
      <sz val="11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sz val="16"/>
      <color theme="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sz val="9"/>
      <color theme="4" tint="-0.499984740745262"/>
      <name val="Arial Unicode MS"/>
      <family val="1"/>
      <charset val="136"/>
    </font>
    <font>
      <sz val="9"/>
      <color rgb="FFFF0000"/>
      <name val="MingLiU"/>
      <family val="3"/>
      <charset val="136"/>
    </font>
    <font>
      <sz val="9"/>
      <color rgb="FFFF0000"/>
      <name val="Arial Unicode MS"/>
      <family val="1"/>
      <charset val="136"/>
    </font>
    <font>
      <sz val="9"/>
      <color rgb="FFFF0000"/>
      <name val="宋体"/>
      <family val="3"/>
      <charset val="134"/>
    </font>
    <font>
      <sz val="9"/>
      <color rgb="FFFF0000"/>
      <name val="Calibri"/>
      <family val="2"/>
    </font>
    <font>
      <sz val="9"/>
      <color theme="1"/>
      <name val="Arial Unicode MS"/>
      <charset val="134"/>
    </font>
    <font>
      <sz val="9"/>
      <color rgb="FFFF0000"/>
      <name val="Arial Unicode MS"/>
      <charset val="134"/>
    </font>
    <font>
      <sz val="10"/>
      <color theme="1"/>
      <name val="Tahoma"/>
      <family val="2"/>
    </font>
    <font>
      <sz val="9"/>
      <color theme="1"/>
      <name val="微软雅黑"/>
      <family val="2"/>
      <charset val="134"/>
    </font>
    <font>
      <sz val="9"/>
      <name val="新細明體"/>
      <family val="2"/>
      <charset val="134"/>
      <scheme val="minor"/>
    </font>
  </fonts>
  <fills count="9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2F2F2"/>
      </patternFill>
    </fill>
    <fill>
      <patternFill patternType="solid">
        <fgColor rgb="FFE6E0EC"/>
        <bgColor rgb="FFDAE3F3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FAC090"/>
      </patternFill>
    </fill>
    <fill>
      <patternFill patternType="solid">
        <fgColor rgb="FFD8E4BF"/>
        <bgColor rgb="FFC6EFCE"/>
      </patternFill>
    </fill>
    <fill>
      <patternFill patternType="solid">
        <fgColor rgb="FFCCC1DA"/>
        <bgColor rgb="FFB9CDE5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87B3D8"/>
        <bgColor rgb="FF7EACD3"/>
      </patternFill>
    </fill>
    <fill>
      <patternFill patternType="solid">
        <fgColor rgb="FFD99694"/>
        <bgColor rgb="FFFF99CC"/>
      </patternFill>
    </fill>
    <fill>
      <patternFill patternType="solid">
        <fgColor rgb="FFC3D69A"/>
        <bgColor rgb="FFBECDA0"/>
      </patternFill>
    </fill>
    <fill>
      <patternFill patternType="solid">
        <fgColor rgb="FFB3A2C7"/>
        <bgColor rgb="FFA5A5A5"/>
      </patternFill>
    </fill>
    <fill>
      <patternFill patternType="solid">
        <fgColor rgb="FF93CDDD"/>
        <bgColor rgb="FFA7C0DE"/>
      </patternFill>
    </fill>
    <fill>
      <patternFill patternType="solid">
        <fgColor rgb="FFFAC090"/>
        <bgColor rgb="FFFFCC99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CD5B5"/>
      </patternFill>
    </fill>
    <fill>
      <patternFill patternType="solid">
        <fgColor rgb="FF4F81BD"/>
        <bgColor rgb="FF57ACC9"/>
      </patternFill>
    </fill>
    <fill>
      <patternFill patternType="solid">
        <fgColor rgb="FFAA5704"/>
        <bgColor rgb="FF9C6500"/>
      </patternFill>
    </fill>
    <fill>
      <patternFill patternType="solid">
        <fgColor rgb="FF9ABD53"/>
        <bgColor rgb="FFA5A5A5"/>
      </patternFill>
    </fill>
    <fill>
      <patternFill patternType="solid">
        <fgColor rgb="FF8064A2"/>
        <bgColor rgb="FF808080"/>
      </patternFill>
    </fill>
    <fill>
      <patternFill patternType="solid">
        <fgColor rgb="FF57ACC9"/>
        <bgColor rgb="FF7EACD3"/>
      </patternFill>
    </fill>
    <fill>
      <patternFill patternType="solid">
        <fgColor rgb="FFF79646"/>
        <bgColor rgb="FFFF8001"/>
      </patternFill>
    </fill>
    <fill>
      <patternFill patternType="solid">
        <fgColor rgb="FFA5A5A5"/>
        <bgColor rgb="FFB2B2B2"/>
      </patternFill>
    </fill>
    <fill>
      <patternFill patternType="solid">
        <fgColor rgb="FFFFFFCC"/>
        <bgColor rgb="FFFFFFB4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FFFAC"/>
      </patternFill>
    </fill>
    <fill>
      <patternFill patternType="solid">
        <fgColor rgb="FFFFFFFF"/>
        <bgColor rgb="FFF2F2F2"/>
      </patternFill>
    </fill>
    <fill>
      <patternFill patternType="solid">
        <fgColor rgb="FFFFFFAC"/>
        <bgColor rgb="FFFFFFB4"/>
      </patternFill>
    </fill>
    <fill>
      <patternFill patternType="solid">
        <fgColor theme="9" tint="0.39997558519241921"/>
        <bgColor rgb="FF1F497D"/>
      </patternFill>
    </fill>
    <fill>
      <patternFill patternType="solid">
        <fgColor theme="4" tint="0.39997558519241921"/>
        <bgColor rgb="FFF2F2F2"/>
      </patternFill>
    </fill>
    <fill>
      <patternFill patternType="solid">
        <fgColor theme="4" tint="0.39997558519241921"/>
        <bgColor rgb="FFFFFFB4"/>
      </patternFill>
    </fill>
    <fill>
      <patternFill patternType="solid">
        <fgColor theme="5" tint="0.59999389629810485"/>
        <bgColor rgb="FF1F497D"/>
      </patternFill>
    </fill>
    <fill>
      <patternFill patternType="solid">
        <fgColor theme="2" tint="-0.749992370372631"/>
        <bgColor rgb="FF1F497D"/>
      </patternFill>
    </fill>
    <fill>
      <patternFill patternType="solid">
        <fgColor theme="4" tint="0.79998168889431442"/>
        <bgColor rgb="FFFFFFB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1F497D"/>
      </patternFill>
    </fill>
    <fill>
      <patternFill patternType="solid">
        <fgColor theme="4" tint="-0.249977111117893"/>
        <bgColor rgb="FF1F497D"/>
      </patternFill>
    </fill>
    <fill>
      <patternFill patternType="solid">
        <fgColor theme="0" tint="-0.14999847407452621"/>
        <bgColor rgb="FFFFFFB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rgb="FF1F497D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FFFFB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rgb="FF1F497D"/>
      </patternFill>
    </fill>
    <fill>
      <patternFill patternType="solid">
        <fgColor theme="7" tint="0.79998168889431442"/>
        <bgColor rgb="FF1F497D"/>
      </patternFill>
    </fill>
    <fill>
      <patternFill patternType="solid">
        <fgColor theme="7" tint="0.59999389629810485"/>
        <bgColor rgb="FF1F497D"/>
      </patternFill>
    </fill>
    <fill>
      <patternFill patternType="solid">
        <fgColor theme="7" tint="0.39997558519241921"/>
        <bgColor rgb="FF1F497D"/>
      </patternFill>
    </fill>
    <fill>
      <patternFill patternType="solid">
        <fgColor theme="7" tint="-0.249977111117893"/>
        <bgColor rgb="FF1F497D"/>
      </patternFill>
    </fill>
    <fill>
      <patternFill patternType="solid">
        <fgColor rgb="FF00B0F0"/>
        <bgColor rgb="FF1F497D"/>
      </patternFill>
    </fill>
    <fill>
      <patternFill patternType="solid">
        <fgColor rgb="FFC00000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87B3D8"/>
      </bottom>
      <diagonal/>
    </border>
    <border>
      <left style="double">
        <color rgb="FF3F3F52"/>
      </left>
      <right style="double">
        <color rgb="FF3F3F52"/>
      </right>
      <top style="double">
        <color rgb="FF3F3F52"/>
      </top>
      <bottom style="double">
        <color rgb="FF3F3F52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D7F79"/>
      </left>
      <right style="thin">
        <color rgb="FF7D7F79"/>
      </right>
      <top style="thin">
        <color rgb="FF7D7F79"/>
      </top>
      <bottom style="thin">
        <color rgb="FF7D7F79"/>
      </bottom>
      <diagonal/>
    </border>
    <border>
      <left style="thin">
        <color rgb="FF3F3F52"/>
      </left>
      <right style="thin">
        <color rgb="FF3F3F52"/>
      </right>
      <top style="thin">
        <color rgb="FF3F3F52"/>
      </top>
      <bottom style="thin">
        <color rgb="FF3F3F5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ck">
        <color theme="0"/>
      </right>
      <top/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</borders>
  <cellStyleXfs count="14477">
    <xf numFmtId="176" fontId="0" fillId="0" borderId="0"/>
    <xf numFmtId="176" fontId="45" fillId="0" borderId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7" fillId="2" borderId="0" applyBorder="0" applyProtection="0"/>
    <xf numFmtId="176" fontId="48" fillId="2" borderId="0" applyBorder="0" applyProtection="0"/>
    <xf numFmtId="176" fontId="48" fillId="2" borderId="0" applyBorder="0" applyProtection="0"/>
    <xf numFmtId="176" fontId="48" fillId="2" borderId="0" applyBorder="0" applyProtection="0"/>
    <xf numFmtId="176" fontId="48" fillId="2" borderId="0" applyBorder="0" applyProtection="0"/>
    <xf numFmtId="176" fontId="48" fillId="2" borderId="0" applyBorder="0" applyProtection="0"/>
    <xf numFmtId="176" fontId="48" fillId="2" borderId="0" applyBorder="0" applyProtection="0"/>
    <xf numFmtId="176" fontId="48" fillId="2" borderId="0" applyBorder="0" applyProtection="0"/>
    <xf numFmtId="176" fontId="48" fillId="2" borderId="0" applyBorder="0" applyProtection="0"/>
    <xf numFmtId="176" fontId="48" fillId="2" borderId="0" applyBorder="0" applyProtection="0"/>
    <xf numFmtId="176" fontId="48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2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7" fillId="3" borderId="0" applyBorder="0" applyProtection="0"/>
    <xf numFmtId="176" fontId="48" fillId="3" borderId="0" applyBorder="0" applyProtection="0"/>
    <xf numFmtId="176" fontId="48" fillId="3" borderId="0" applyBorder="0" applyProtection="0"/>
    <xf numFmtId="176" fontId="48" fillId="3" borderId="0" applyBorder="0" applyProtection="0"/>
    <xf numFmtId="176" fontId="48" fillId="3" borderId="0" applyBorder="0" applyProtection="0"/>
    <xf numFmtId="176" fontId="48" fillId="3" borderId="0" applyBorder="0" applyProtection="0"/>
    <xf numFmtId="176" fontId="48" fillId="3" borderId="0" applyBorder="0" applyProtection="0"/>
    <xf numFmtId="176" fontId="48" fillId="3" borderId="0" applyBorder="0" applyProtection="0"/>
    <xf numFmtId="176" fontId="48" fillId="3" borderId="0" applyBorder="0" applyProtection="0"/>
    <xf numFmtId="176" fontId="48" fillId="3" borderId="0" applyBorder="0" applyProtection="0"/>
    <xf numFmtId="176" fontId="48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3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7" fillId="4" borderId="0" applyBorder="0" applyProtection="0"/>
    <xf numFmtId="176" fontId="48" fillId="4" borderId="0" applyBorder="0" applyProtection="0"/>
    <xf numFmtId="176" fontId="48" fillId="4" borderId="0" applyBorder="0" applyProtection="0"/>
    <xf numFmtId="176" fontId="48" fillId="4" borderId="0" applyBorder="0" applyProtection="0"/>
    <xf numFmtId="176" fontId="48" fillId="4" borderId="0" applyBorder="0" applyProtection="0"/>
    <xf numFmtId="176" fontId="48" fillId="4" borderId="0" applyBorder="0" applyProtection="0"/>
    <xf numFmtId="176" fontId="48" fillId="4" borderId="0" applyBorder="0" applyProtection="0"/>
    <xf numFmtId="176" fontId="48" fillId="4" borderId="0" applyBorder="0" applyProtection="0"/>
    <xf numFmtId="176" fontId="48" fillId="4" borderId="0" applyBorder="0" applyProtection="0"/>
    <xf numFmtId="176" fontId="48" fillId="4" borderId="0" applyBorder="0" applyProtection="0"/>
    <xf numFmtId="176" fontId="48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4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7" fillId="5" borderId="0" applyBorder="0" applyProtection="0"/>
    <xf numFmtId="176" fontId="48" fillId="5" borderId="0" applyBorder="0" applyProtection="0"/>
    <xf numFmtId="176" fontId="48" fillId="5" borderId="0" applyBorder="0" applyProtection="0"/>
    <xf numFmtId="176" fontId="48" fillId="5" borderId="0" applyBorder="0" applyProtection="0"/>
    <xf numFmtId="176" fontId="48" fillId="5" borderId="0" applyBorder="0" applyProtection="0"/>
    <xf numFmtId="176" fontId="48" fillId="5" borderId="0" applyBorder="0" applyProtection="0"/>
    <xf numFmtId="176" fontId="48" fillId="5" borderId="0" applyBorder="0" applyProtection="0"/>
    <xf numFmtId="176" fontId="48" fillId="5" borderId="0" applyBorder="0" applyProtection="0"/>
    <xf numFmtId="176" fontId="48" fillId="5" borderId="0" applyBorder="0" applyProtection="0"/>
    <xf numFmtId="176" fontId="48" fillId="5" borderId="0" applyBorder="0" applyProtection="0"/>
    <xf numFmtId="176" fontId="48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5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7" fillId="6" borderId="0" applyBorder="0" applyProtection="0"/>
    <xf numFmtId="176" fontId="48" fillId="6" borderId="0" applyBorder="0" applyProtection="0"/>
    <xf numFmtId="176" fontId="48" fillId="6" borderId="0" applyBorder="0" applyProtection="0"/>
    <xf numFmtId="176" fontId="48" fillId="6" borderId="0" applyBorder="0" applyProtection="0"/>
    <xf numFmtId="176" fontId="48" fillId="6" borderId="0" applyBorder="0" applyProtection="0"/>
    <xf numFmtId="176" fontId="48" fillId="6" borderId="0" applyBorder="0" applyProtection="0"/>
    <xf numFmtId="176" fontId="48" fillId="6" borderId="0" applyBorder="0" applyProtection="0"/>
    <xf numFmtId="176" fontId="48" fillId="6" borderId="0" applyBorder="0" applyProtection="0"/>
    <xf numFmtId="176" fontId="48" fillId="6" borderId="0" applyBorder="0" applyProtection="0"/>
    <xf numFmtId="176" fontId="48" fillId="6" borderId="0" applyBorder="0" applyProtection="0"/>
    <xf numFmtId="176" fontId="48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6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7" fillId="7" borderId="0" applyBorder="0" applyProtection="0"/>
    <xf numFmtId="176" fontId="48" fillId="7" borderId="0" applyBorder="0" applyProtection="0"/>
    <xf numFmtId="176" fontId="48" fillId="7" borderId="0" applyBorder="0" applyProtection="0"/>
    <xf numFmtId="176" fontId="48" fillId="7" borderId="0" applyBorder="0" applyProtection="0"/>
    <xf numFmtId="176" fontId="48" fillId="7" borderId="0" applyBorder="0" applyProtection="0"/>
    <xf numFmtId="176" fontId="48" fillId="7" borderId="0" applyBorder="0" applyProtection="0"/>
    <xf numFmtId="176" fontId="48" fillId="7" borderId="0" applyBorder="0" applyProtection="0"/>
    <xf numFmtId="176" fontId="48" fillId="7" borderId="0" applyBorder="0" applyProtection="0"/>
    <xf numFmtId="176" fontId="48" fillId="7" borderId="0" applyBorder="0" applyProtection="0"/>
    <xf numFmtId="176" fontId="48" fillId="7" borderId="0" applyBorder="0" applyProtection="0"/>
    <xf numFmtId="176" fontId="48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6" fillId="7" borderId="0" applyBorder="0" applyProtection="0"/>
    <xf numFmtId="176" fontId="48" fillId="2" borderId="0" applyBorder="0" applyProtection="0"/>
    <xf numFmtId="176" fontId="48" fillId="3" borderId="0" applyBorder="0" applyProtection="0"/>
    <xf numFmtId="176" fontId="48" fillId="4" borderId="0" applyBorder="0" applyProtection="0"/>
    <xf numFmtId="176" fontId="48" fillId="5" borderId="0" applyBorder="0" applyProtection="0"/>
    <xf numFmtId="176" fontId="48" fillId="6" borderId="0" applyBorder="0" applyProtection="0"/>
    <xf numFmtId="176" fontId="48" fillId="7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7" fillId="8" borderId="0" applyBorder="0" applyProtection="0"/>
    <xf numFmtId="176" fontId="48" fillId="8" borderId="0" applyBorder="0" applyProtection="0"/>
    <xf numFmtId="176" fontId="48" fillId="8" borderId="0" applyBorder="0" applyProtection="0"/>
    <xf numFmtId="176" fontId="48" fillId="8" borderId="0" applyBorder="0" applyProtection="0"/>
    <xf numFmtId="176" fontId="48" fillId="8" borderId="0" applyBorder="0" applyProtection="0"/>
    <xf numFmtId="176" fontId="48" fillId="8" borderId="0" applyBorder="0" applyProtection="0"/>
    <xf numFmtId="176" fontId="48" fillId="8" borderId="0" applyBorder="0" applyProtection="0"/>
    <xf numFmtId="176" fontId="48" fillId="8" borderId="0" applyBorder="0" applyProtection="0"/>
    <xf numFmtId="176" fontId="48" fillId="8" borderId="0" applyBorder="0" applyProtection="0"/>
    <xf numFmtId="176" fontId="48" fillId="8" borderId="0" applyBorder="0" applyProtection="0"/>
    <xf numFmtId="176" fontId="48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8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7" fillId="9" borderId="0" applyBorder="0" applyProtection="0"/>
    <xf numFmtId="176" fontId="48" fillId="9" borderId="0" applyBorder="0" applyProtection="0"/>
    <xf numFmtId="176" fontId="48" fillId="9" borderId="0" applyBorder="0" applyProtection="0"/>
    <xf numFmtId="176" fontId="48" fillId="9" borderId="0" applyBorder="0" applyProtection="0"/>
    <xf numFmtId="176" fontId="48" fillId="9" borderId="0" applyBorder="0" applyProtection="0"/>
    <xf numFmtId="176" fontId="48" fillId="9" borderId="0" applyBorder="0" applyProtection="0"/>
    <xf numFmtId="176" fontId="48" fillId="9" borderId="0" applyBorder="0" applyProtection="0"/>
    <xf numFmtId="176" fontId="48" fillId="9" borderId="0" applyBorder="0" applyProtection="0"/>
    <xf numFmtId="176" fontId="48" fillId="9" borderId="0" applyBorder="0" applyProtection="0"/>
    <xf numFmtId="176" fontId="48" fillId="9" borderId="0" applyBorder="0" applyProtection="0"/>
    <xf numFmtId="176" fontId="48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9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7" fillId="10" borderId="0" applyBorder="0" applyProtection="0"/>
    <xf numFmtId="176" fontId="48" fillId="10" borderId="0" applyBorder="0" applyProtection="0"/>
    <xf numFmtId="176" fontId="48" fillId="10" borderId="0" applyBorder="0" applyProtection="0"/>
    <xf numFmtId="176" fontId="48" fillId="10" borderId="0" applyBorder="0" applyProtection="0"/>
    <xf numFmtId="176" fontId="48" fillId="10" borderId="0" applyBorder="0" applyProtection="0"/>
    <xf numFmtId="176" fontId="48" fillId="10" borderId="0" applyBorder="0" applyProtection="0"/>
    <xf numFmtId="176" fontId="48" fillId="10" borderId="0" applyBorder="0" applyProtection="0"/>
    <xf numFmtId="176" fontId="48" fillId="10" borderId="0" applyBorder="0" applyProtection="0"/>
    <xf numFmtId="176" fontId="48" fillId="10" borderId="0" applyBorder="0" applyProtection="0"/>
    <xf numFmtId="176" fontId="48" fillId="10" borderId="0" applyBorder="0" applyProtection="0"/>
    <xf numFmtId="176" fontId="48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0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7" fillId="11" borderId="0" applyBorder="0" applyProtection="0"/>
    <xf numFmtId="176" fontId="48" fillId="11" borderId="0" applyBorder="0" applyProtection="0"/>
    <xf numFmtId="176" fontId="48" fillId="11" borderId="0" applyBorder="0" applyProtection="0"/>
    <xf numFmtId="176" fontId="48" fillId="11" borderId="0" applyBorder="0" applyProtection="0"/>
    <xf numFmtId="176" fontId="48" fillId="11" borderId="0" applyBorder="0" applyProtection="0"/>
    <xf numFmtId="176" fontId="48" fillId="11" borderId="0" applyBorder="0" applyProtection="0"/>
    <xf numFmtId="176" fontId="48" fillId="11" borderId="0" applyBorder="0" applyProtection="0"/>
    <xf numFmtId="176" fontId="48" fillId="11" borderId="0" applyBorder="0" applyProtection="0"/>
    <xf numFmtId="176" fontId="48" fillId="11" borderId="0" applyBorder="0" applyProtection="0"/>
    <xf numFmtId="176" fontId="48" fillId="11" borderId="0" applyBorder="0" applyProtection="0"/>
    <xf numFmtId="176" fontId="48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1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7" fillId="12" borderId="0" applyBorder="0" applyProtection="0"/>
    <xf numFmtId="176" fontId="48" fillId="12" borderId="0" applyBorder="0" applyProtection="0"/>
    <xf numFmtId="176" fontId="48" fillId="12" borderId="0" applyBorder="0" applyProtection="0"/>
    <xf numFmtId="176" fontId="48" fillId="12" borderId="0" applyBorder="0" applyProtection="0"/>
    <xf numFmtId="176" fontId="48" fillId="12" borderId="0" applyBorder="0" applyProtection="0"/>
    <xf numFmtId="176" fontId="48" fillId="12" borderId="0" applyBorder="0" applyProtection="0"/>
    <xf numFmtId="176" fontId="48" fillId="12" borderId="0" applyBorder="0" applyProtection="0"/>
    <xf numFmtId="176" fontId="48" fillId="12" borderId="0" applyBorder="0" applyProtection="0"/>
    <xf numFmtId="176" fontId="48" fillId="12" borderId="0" applyBorder="0" applyProtection="0"/>
    <xf numFmtId="176" fontId="48" fillId="12" borderId="0" applyBorder="0" applyProtection="0"/>
    <xf numFmtId="176" fontId="48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2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7" fillId="13" borderId="0" applyBorder="0" applyProtection="0"/>
    <xf numFmtId="176" fontId="48" fillId="13" borderId="0" applyBorder="0" applyProtection="0"/>
    <xf numFmtId="176" fontId="48" fillId="13" borderId="0" applyBorder="0" applyProtection="0"/>
    <xf numFmtId="176" fontId="48" fillId="13" borderId="0" applyBorder="0" applyProtection="0"/>
    <xf numFmtId="176" fontId="48" fillId="13" borderId="0" applyBorder="0" applyProtection="0"/>
    <xf numFmtId="176" fontId="48" fillId="13" borderId="0" applyBorder="0" applyProtection="0"/>
    <xf numFmtId="176" fontId="48" fillId="13" borderId="0" applyBorder="0" applyProtection="0"/>
    <xf numFmtId="176" fontId="48" fillId="13" borderId="0" applyBorder="0" applyProtection="0"/>
    <xf numFmtId="176" fontId="48" fillId="13" borderId="0" applyBorder="0" applyProtection="0"/>
    <xf numFmtId="176" fontId="48" fillId="13" borderId="0" applyBorder="0" applyProtection="0"/>
    <xf numFmtId="176" fontId="48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6" fillId="13" borderId="0" applyBorder="0" applyProtection="0"/>
    <xf numFmtId="176" fontId="48" fillId="8" borderId="0" applyBorder="0" applyProtection="0"/>
    <xf numFmtId="176" fontId="48" fillId="9" borderId="0" applyBorder="0" applyProtection="0"/>
    <xf numFmtId="176" fontId="48" fillId="10" borderId="0" applyBorder="0" applyProtection="0"/>
    <xf numFmtId="176" fontId="48" fillId="11" borderId="0" applyBorder="0" applyProtection="0"/>
    <xf numFmtId="176" fontId="48" fillId="12" borderId="0" applyBorder="0" applyProtection="0"/>
    <xf numFmtId="176" fontId="48" fillId="13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50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4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50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5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50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6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50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7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50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8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50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76" fontId="49" fillId="19" borderId="0" applyBorder="0" applyProtection="0"/>
    <xf numFmtId="186" fontId="46" fillId="0" borderId="0"/>
    <xf numFmtId="9" fontId="45" fillId="0" borderId="0" applyBorder="0" applyProtection="0"/>
    <xf numFmtId="176" fontId="86" fillId="0" borderId="0" applyBorder="0" applyProtection="0">
      <alignment horizontal="left"/>
    </xf>
    <xf numFmtId="176" fontId="51" fillId="0" borderId="0" applyBorder="0" applyProtection="0"/>
    <xf numFmtId="176" fontId="86" fillId="0" borderId="0" applyBorder="0" applyProtection="0"/>
    <xf numFmtId="176" fontId="45" fillId="0" borderId="0"/>
    <xf numFmtId="176" fontId="45" fillId="0" borderId="0"/>
    <xf numFmtId="186" fontId="45" fillId="0" borderId="0"/>
    <xf numFmtId="176" fontId="45" fillId="0" borderId="0"/>
    <xf numFmtId="176" fontId="52" fillId="0" borderId="0"/>
    <xf numFmtId="176" fontId="53" fillId="0" borderId="0"/>
    <xf numFmtId="176" fontId="45" fillId="0" borderId="0"/>
    <xf numFmtId="177" fontId="45" fillId="0" borderId="0" applyBorder="0" applyProtection="0"/>
    <xf numFmtId="177" fontId="45" fillId="0" borderId="0" applyBorder="0" applyProtection="0"/>
    <xf numFmtId="177" fontId="45" fillId="0" borderId="0" applyBorder="0" applyProtection="0"/>
    <xf numFmtId="177" fontId="45" fillId="0" borderId="0" applyBorder="0" applyProtection="0"/>
    <xf numFmtId="177" fontId="45" fillId="0" borderId="0" applyBorder="0" applyProtection="0"/>
    <xf numFmtId="177" fontId="45" fillId="0" borderId="0" applyBorder="0" applyProtection="0"/>
    <xf numFmtId="177" fontId="45" fillId="0" borderId="0" applyBorder="0" applyProtection="0"/>
    <xf numFmtId="178" fontId="45" fillId="0" borderId="0" applyBorder="0" applyProtection="0"/>
    <xf numFmtId="178" fontId="45" fillId="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6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5" fillId="20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8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57" fillId="21" borderId="0" applyBorder="0" applyProtection="0"/>
    <xf numFmtId="176" fontId="46" fillId="0" borderId="0">
      <alignment vertical="center"/>
    </xf>
    <xf numFmtId="176" fontId="45" fillId="0" borderId="0"/>
    <xf numFmtId="176" fontId="46" fillId="0" borderId="0">
      <alignment vertical="center"/>
    </xf>
    <xf numFmtId="176" fontId="52" fillId="0" borderId="0"/>
    <xf numFmtId="176" fontId="52" fillId="0" borderId="0"/>
    <xf numFmtId="176" fontId="46" fillId="0" borderId="0">
      <alignment vertical="center"/>
    </xf>
    <xf numFmtId="176" fontId="45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59" fillId="0" borderId="0">
      <alignment vertical="center"/>
    </xf>
    <xf numFmtId="176" fontId="45" fillId="0" borderId="0"/>
    <xf numFmtId="176" fontId="45" fillId="0" borderId="0"/>
    <xf numFmtId="176" fontId="45" fillId="0" borderId="0"/>
    <xf numFmtId="176" fontId="45" fillId="0" borderId="0"/>
    <xf numFmtId="176" fontId="53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86" fontId="60" fillId="0" borderId="0">
      <alignment vertical="center"/>
    </xf>
    <xf numFmtId="176" fontId="46" fillId="0" borderId="0">
      <alignment vertical="center"/>
    </xf>
    <xf numFmtId="176" fontId="47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53" fillId="0" borderId="0">
      <alignment vertical="center"/>
    </xf>
    <xf numFmtId="176" fontId="53" fillId="0" borderId="0">
      <alignment vertical="center"/>
    </xf>
    <xf numFmtId="176" fontId="53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5" fillId="0" borderId="0"/>
    <xf numFmtId="176" fontId="45" fillId="0" borderId="0"/>
    <xf numFmtId="176" fontId="45" fillId="0" borderId="0"/>
    <xf numFmtId="176" fontId="45" fillId="0" borderId="0"/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8" fillId="0" borderId="0">
      <alignment vertical="center"/>
    </xf>
    <xf numFmtId="176" fontId="45" fillId="0" borderId="0"/>
    <xf numFmtId="176" fontId="45" fillId="0" borderId="0"/>
    <xf numFmtId="176" fontId="53" fillId="0" borderId="0">
      <alignment vertical="center"/>
    </xf>
    <xf numFmtId="176" fontId="46" fillId="0" borderId="0">
      <alignment vertical="center"/>
    </xf>
    <xf numFmtId="176" fontId="45" fillId="0" borderId="0"/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6" fillId="0" borderId="0">
      <alignment vertical="center"/>
    </xf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50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2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50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3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50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4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50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5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50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6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50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49" fillId="27" borderId="0" applyBorder="0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2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1" fillId="0" borderId="1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5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4" fillId="0" borderId="2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7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6" fillId="0" borderId="3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7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6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63" fillId="0" borderId="0" applyBorder="0" applyProtection="0"/>
    <xf numFmtId="176" fontId="54" fillId="0" borderId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9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68" fillId="28" borderId="4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1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70" fillId="0" borderId="5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176" fontId="45" fillId="29" borderId="6" applyProtection="0"/>
    <xf numFmtId="9" fontId="45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3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2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5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4" fillId="0" borderId="0" applyBorder="0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7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6" fillId="30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9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78" fillId="31" borderId="7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1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0" fillId="30" borderId="8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3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2" fillId="32" borderId="0" applyBorder="0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5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76" fontId="84" fillId="0" borderId="9" applyProtection="0"/>
    <xf numFmtId="186" fontId="44" fillId="0" borderId="0"/>
    <xf numFmtId="176" fontId="104" fillId="0" borderId="0"/>
    <xf numFmtId="176" fontId="45" fillId="0" borderId="0" applyBorder="0" applyProtection="0">
      <alignment horizontal="left"/>
    </xf>
    <xf numFmtId="176" fontId="45" fillId="0" borderId="0" applyBorder="0" applyProtection="0"/>
    <xf numFmtId="9" fontId="45" fillId="0" borderId="0" applyFont="0" applyFill="0" applyBorder="0" applyAlignment="0" applyProtection="0"/>
    <xf numFmtId="176" fontId="45" fillId="0" borderId="0"/>
    <xf numFmtId="186" fontId="113" fillId="0" borderId="0">
      <alignment vertical="center"/>
    </xf>
    <xf numFmtId="186" fontId="112" fillId="47" borderId="0" applyNumberFormat="0" applyBorder="0" applyAlignment="0" applyProtection="0"/>
    <xf numFmtId="186" fontId="52" fillId="0" borderId="0">
      <alignment vertical="center"/>
    </xf>
    <xf numFmtId="186" fontId="43" fillId="0" borderId="0"/>
    <xf numFmtId="186" fontId="42" fillId="0" borderId="0"/>
    <xf numFmtId="186" fontId="42" fillId="0" borderId="0"/>
    <xf numFmtId="186" fontId="41" fillId="0" borderId="0"/>
    <xf numFmtId="186" fontId="41" fillId="0" borderId="0"/>
    <xf numFmtId="186" fontId="41" fillId="0" borderId="0"/>
    <xf numFmtId="186" fontId="41" fillId="0" borderId="0"/>
    <xf numFmtId="186" fontId="40" fillId="0" borderId="0"/>
    <xf numFmtId="186" fontId="40" fillId="0" borderId="0"/>
    <xf numFmtId="186" fontId="40" fillId="0" borderId="0"/>
    <xf numFmtId="186" fontId="40" fillId="0" borderId="0"/>
    <xf numFmtId="186" fontId="40" fillId="0" borderId="0"/>
    <xf numFmtId="186" fontId="40" fillId="0" borderId="0"/>
    <xf numFmtId="186" fontId="40" fillId="0" borderId="0"/>
    <xf numFmtId="186" fontId="40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9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8" fillId="0" borderId="0"/>
    <xf numFmtId="186" fontId="37" fillId="0" borderId="0"/>
    <xf numFmtId="186" fontId="125" fillId="0" borderId="0"/>
    <xf numFmtId="186" fontId="126" fillId="0" borderId="0">
      <alignment vertical="center"/>
    </xf>
    <xf numFmtId="186" fontId="125" fillId="0" borderId="0"/>
    <xf numFmtId="186" fontId="124" fillId="0" borderId="0">
      <alignment vertical="center"/>
    </xf>
    <xf numFmtId="186" fontId="124" fillId="0" borderId="0">
      <alignment vertical="center"/>
    </xf>
    <xf numFmtId="186" fontId="127" fillId="0" borderId="0" applyNumberFormat="0" applyFill="0" applyBorder="0" applyAlignment="0" applyProtection="0">
      <alignment vertical="center"/>
    </xf>
    <xf numFmtId="186" fontId="128" fillId="0" borderId="21" applyNumberFormat="0" applyFill="0" applyAlignment="0" applyProtection="0">
      <alignment vertical="center"/>
    </xf>
    <xf numFmtId="186" fontId="129" fillId="0" borderId="22" applyNumberFormat="0" applyFill="0" applyAlignment="0" applyProtection="0">
      <alignment vertical="center"/>
    </xf>
    <xf numFmtId="186" fontId="130" fillId="0" borderId="23" applyNumberFormat="0" applyFill="0" applyAlignment="0" applyProtection="0">
      <alignment vertical="center"/>
    </xf>
    <xf numFmtId="186" fontId="130" fillId="0" borderId="0" applyNumberFormat="0" applyFill="0" applyBorder="0" applyAlignment="0" applyProtection="0">
      <alignment vertical="center"/>
    </xf>
    <xf numFmtId="186" fontId="131" fillId="47" borderId="0" applyNumberFormat="0" applyBorder="0" applyAlignment="0" applyProtection="0">
      <alignment vertical="center"/>
    </xf>
    <xf numFmtId="186" fontId="132" fillId="49" borderId="0" applyNumberFormat="0" applyBorder="0" applyAlignment="0" applyProtection="0">
      <alignment vertical="center"/>
    </xf>
    <xf numFmtId="186" fontId="133" fillId="50" borderId="0" applyNumberFormat="0" applyBorder="0" applyAlignment="0" applyProtection="0">
      <alignment vertical="center"/>
    </xf>
    <xf numFmtId="186" fontId="134" fillId="51" borderId="18" applyNumberFormat="0" applyAlignment="0" applyProtection="0">
      <alignment vertical="center"/>
    </xf>
    <xf numFmtId="186" fontId="135" fillId="52" borderId="24" applyNumberFormat="0" applyAlignment="0" applyProtection="0">
      <alignment vertical="center"/>
    </xf>
    <xf numFmtId="186" fontId="136" fillId="52" borderId="18" applyNumberFormat="0" applyAlignment="0" applyProtection="0">
      <alignment vertical="center"/>
    </xf>
    <xf numFmtId="186" fontId="137" fillId="0" borderId="9" applyNumberFormat="0" applyFill="0" applyAlignment="0" applyProtection="0">
      <alignment vertical="center"/>
    </xf>
    <xf numFmtId="186" fontId="138" fillId="53" borderId="25" applyNumberFormat="0" applyAlignment="0" applyProtection="0">
      <alignment vertical="center"/>
    </xf>
    <xf numFmtId="186" fontId="139" fillId="0" borderId="0" applyNumberFormat="0" applyFill="0" applyBorder="0" applyAlignment="0" applyProtection="0">
      <alignment vertical="center"/>
    </xf>
    <xf numFmtId="186" fontId="140" fillId="0" borderId="0" applyNumberFormat="0" applyFill="0" applyBorder="0" applyAlignment="0" applyProtection="0">
      <alignment vertical="center"/>
    </xf>
    <xf numFmtId="186" fontId="141" fillId="0" borderId="26" applyNumberFormat="0" applyFill="0" applyAlignment="0" applyProtection="0">
      <alignment vertical="center"/>
    </xf>
    <xf numFmtId="186" fontId="142" fillId="55" borderId="0" applyNumberFormat="0" applyBorder="0" applyAlignment="0" applyProtection="0">
      <alignment vertical="center"/>
    </xf>
    <xf numFmtId="186" fontId="124" fillId="56" borderId="0" applyNumberFormat="0" applyBorder="0" applyAlignment="0" applyProtection="0">
      <alignment vertical="center"/>
    </xf>
    <xf numFmtId="186" fontId="124" fillId="57" borderId="0" applyNumberFormat="0" applyBorder="0" applyAlignment="0" applyProtection="0">
      <alignment vertical="center"/>
    </xf>
    <xf numFmtId="186" fontId="142" fillId="58" borderId="0" applyNumberFormat="0" applyBorder="0" applyAlignment="0" applyProtection="0">
      <alignment vertical="center"/>
    </xf>
    <xf numFmtId="186" fontId="142" fillId="59" borderId="0" applyNumberFormat="0" applyBorder="0" applyAlignment="0" applyProtection="0">
      <alignment vertical="center"/>
    </xf>
    <xf numFmtId="186" fontId="124" fillId="60" borderId="0" applyNumberFormat="0" applyBorder="0" applyAlignment="0" applyProtection="0">
      <alignment vertical="center"/>
    </xf>
    <xf numFmtId="186" fontId="124" fillId="61" borderId="0" applyNumberFormat="0" applyBorder="0" applyAlignment="0" applyProtection="0">
      <alignment vertical="center"/>
    </xf>
    <xf numFmtId="186" fontId="142" fillId="62" borderId="0" applyNumberFormat="0" applyBorder="0" applyAlignment="0" applyProtection="0">
      <alignment vertical="center"/>
    </xf>
    <xf numFmtId="186" fontId="142" fillId="63" borderId="0" applyNumberFormat="0" applyBorder="0" applyAlignment="0" applyProtection="0">
      <alignment vertical="center"/>
    </xf>
    <xf numFmtId="186" fontId="124" fillId="64" borderId="0" applyNumberFormat="0" applyBorder="0" applyAlignment="0" applyProtection="0">
      <alignment vertical="center"/>
    </xf>
    <xf numFmtId="186" fontId="124" fillId="65" borderId="0" applyNumberFormat="0" applyBorder="0" applyAlignment="0" applyProtection="0">
      <alignment vertical="center"/>
    </xf>
    <xf numFmtId="186" fontId="142" fillId="66" borderId="0" applyNumberFormat="0" applyBorder="0" applyAlignment="0" applyProtection="0">
      <alignment vertical="center"/>
    </xf>
    <xf numFmtId="186" fontId="142" fillId="67" borderId="0" applyNumberFormat="0" applyBorder="0" applyAlignment="0" applyProtection="0">
      <alignment vertical="center"/>
    </xf>
    <xf numFmtId="186" fontId="124" fillId="68" borderId="0" applyNumberFormat="0" applyBorder="0" applyAlignment="0" applyProtection="0">
      <alignment vertical="center"/>
    </xf>
    <xf numFmtId="186" fontId="124" fillId="69" borderId="0" applyNumberFormat="0" applyBorder="0" applyAlignment="0" applyProtection="0">
      <alignment vertical="center"/>
    </xf>
    <xf numFmtId="186" fontId="142" fillId="70" borderId="0" applyNumberFormat="0" applyBorder="0" applyAlignment="0" applyProtection="0">
      <alignment vertical="center"/>
    </xf>
    <xf numFmtId="186" fontId="142" fillId="71" borderId="0" applyNumberFormat="0" applyBorder="0" applyAlignment="0" applyProtection="0">
      <alignment vertical="center"/>
    </xf>
    <xf numFmtId="186" fontId="124" fillId="72" borderId="0" applyNumberFormat="0" applyBorder="0" applyAlignment="0" applyProtection="0">
      <alignment vertical="center"/>
    </xf>
    <xf numFmtId="186" fontId="124" fillId="73" borderId="0" applyNumberFormat="0" applyBorder="0" applyAlignment="0" applyProtection="0">
      <alignment vertical="center"/>
    </xf>
    <xf numFmtId="186" fontId="142" fillId="74" borderId="0" applyNumberFormat="0" applyBorder="0" applyAlignment="0" applyProtection="0">
      <alignment vertical="center"/>
    </xf>
    <xf numFmtId="186" fontId="142" fillId="75" borderId="0" applyNumberFormat="0" applyBorder="0" applyAlignment="0" applyProtection="0">
      <alignment vertical="center"/>
    </xf>
    <xf numFmtId="186" fontId="124" fillId="76" borderId="0" applyNumberFormat="0" applyBorder="0" applyAlignment="0" applyProtection="0">
      <alignment vertical="center"/>
    </xf>
    <xf numFmtId="186" fontId="124" fillId="77" borderId="0" applyNumberFormat="0" applyBorder="0" applyAlignment="0" applyProtection="0">
      <alignment vertical="center"/>
    </xf>
    <xf numFmtId="186" fontId="142" fillId="78" borderId="0" applyNumberFormat="0" applyBorder="0" applyAlignment="0" applyProtection="0">
      <alignment vertical="center"/>
    </xf>
    <xf numFmtId="186" fontId="124" fillId="0" borderId="0">
      <alignment vertical="center"/>
    </xf>
    <xf numFmtId="186" fontId="124" fillId="54" borderId="6" applyNumberFormat="0" applyFont="0" applyAlignment="0" applyProtection="0">
      <alignment vertical="center"/>
    </xf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6" fillId="0" borderId="0"/>
    <xf numFmtId="186" fontId="35" fillId="0" borderId="0"/>
    <xf numFmtId="186" fontId="35" fillId="0" borderId="0"/>
    <xf numFmtId="186" fontId="35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3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2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1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30" fillId="0" borderId="0"/>
    <xf numFmtId="186" fontId="29" fillId="0" borderId="0"/>
    <xf numFmtId="186" fontId="28" fillId="0" borderId="0"/>
    <xf numFmtId="186" fontId="27" fillId="0" borderId="0"/>
    <xf numFmtId="186" fontId="26" fillId="0" borderId="0"/>
    <xf numFmtId="186" fontId="125" fillId="0" borderId="0"/>
    <xf numFmtId="186" fontId="126" fillId="0" borderId="0">
      <alignment vertical="center"/>
    </xf>
    <xf numFmtId="186" fontId="125" fillId="0" borderId="0"/>
    <xf numFmtId="186" fontId="124" fillId="0" borderId="0">
      <alignment vertical="center"/>
    </xf>
    <xf numFmtId="186" fontId="124" fillId="0" borderId="0">
      <alignment vertical="center"/>
    </xf>
    <xf numFmtId="186" fontId="127" fillId="0" borderId="0" applyNumberFormat="0" applyFill="0" applyBorder="0" applyAlignment="0" applyProtection="0">
      <alignment vertical="center"/>
    </xf>
    <xf numFmtId="186" fontId="128" fillId="0" borderId="21" applyNumberFormat="0" applyFill="0" applyAlignment="0" applyProtection="0">
      <alignment vertical="center"/>
    </xf>
    <xf numFmtId="186" fontId="129" fillId="0" borderId="22" applyNumberFormat="0" applyFill="0" applyAlignment="0" applyProtection="0">
      <alignment vertical="center"/>
    </xf>
    <xf numFmtId="186" fontId="130" fillId="0" borderId="23" applyNumberFormat="0" applyFill="0" applyAlignment="0" applyProtection="0">
      <alignment vertical="center"/>
    </xf>
    <xf numFmtId="186" fontId="130" fillId="0" borderId="0" applyNumberFormat="0" applyFill="0" applyBorder="0" applyAlignment="0" applyProtection="0">
      <alignment vertical="center"/>
    </xf>
    <xf numFmtId="186" fontId="131" fillId="47" borderId="0" applyNumberFormat="0" applyBorder="0" applyAlignment="0" applyProtection="0">
      <alignment vertical="center"/>
    </xf>
    <xf numFmtId="186" fontId="132" fillId="49" borderId="0" applyNumberFormat="0" applyBorder="0" applyAlignment="0" applyProtection="0">
      <alignment vertical="center"/>
    </xf>
    <xf numFmtId="186" fontId="133" fillId="50" borderId="0" applyNumberFormat="0" applyBorder="0" applyAlignment="0" applyProtection="0">
      <alignment vertical="center"/>
    </xf>
    <xf numFmtId="186" fontId="134" fillId="51" borderId="18" applyNumberFormat="0" applyAlignment="0" applyProtection="0">
      <alignment vertical="center"/>
    </xf>
    <xf numFmtId="186" fontId="135" fillId="52" borderId="24" applyNumberFormat="0" applyAlignment="0" applyProtection="0">
      <alignment vertical="center"/>
    </xf>
    <xf numFmtId="186" fontId="136" fillId="52" borderId="18" applyNumberFormat="0" applyAlignment="0" applyProtection="0">
      <alignment vertical="center"/>
    </xf>
    <xf numFmtId="186" fontId="137" fillId="0" borderId="9" applyNumberFormat="0" applyFill="0" applyAlignment="0" applyProtection="0">
      <alignment vertical="center"/>
    </xf>
    <xf numFmtId="186" fontId="138" fillId="53" borderId="25" applyNumberFormat="0" applyAlignment="0" applyProtection="0">
      <alignment vertical="center"/>
    </xf>
    <xf numFmtId="186" fontId="139" fillId="0" borderId="0" applyNumberFormat="0" applyFill="0" applyBorder="0" applyAlignment="0" applyProtection="0">
      <alignment vertical="center"/>
    </xf>
    <xf numFmtId="186" fontId="140" fillId="0" borderId="0" applyNumberFormat="0" applyFill="0" applyBorder="0" applyAlignment="0" applyProtection="0">
      <alignment vertical="center"/>
    </xf>
    <xf numFmtId="186" fontId="141" fillId="0" borderId="26" applyNumberFormat="0" applyFill="0" applyAlignment="0" applyProtection="0">
      <alignment vertical="center"/>
    </xf>
    <xf numFmtId="186" fontId="142" fillId="55" borderId="0" applyNumberFormat="0" applyBorder="0" applyAlignment="0" applyProtection="0">
      <alignment vertical="center"/>
    </xf>
    <xf numFmtId="186" fontId="124" fillId="56" borderId="0" applyNumberFormat="0" applyBorder="0" applyAlignment="0" applyProtection="0">
      <alignment vertical="center"/>
    </xf>
    <xf numFmtId="186" fontId="124" fillId="57" borderId="0" applyNumberFormat="0" applyBorder="0" applyAlignment="0" applyProtection="0">
      <alignment vertical="center"/>
    </xf>
    <xf numFmtId="186" fontId="142" fillId="58" borderId="0" applyNumberFormat="0" applyBorder="0" applyAlignment="0" applyProtection="0">
      <alignment vertical="center"/>
    </xf>
    <xf numFmtId="186" fontId="142" fillId="59" borderId="0" applyNumberFormat="0" applyBorder="0" applyAlignment="0" applyProtection="0">
      <alignment vertical="center"/>
    </xf>
    <xf numFmtId="186" fontId="124" fillId="60" borderId="0" applyNumberFormat="0" applyBorder="0" applyAlignment="0" applyProtection="0">
      <alignment vertical="center"/>
    </xf>
    <xf numFmtId="186" fontId="124" fillId="61" borderId="0" applyNumberFormat="0" applyBorder="0" applyAlignment="0" applyProtection="0">
      <alignment vertical="center"/>
    </xf>
    <xf numFmtId="186" fontId="142" fillId="62" borderId="0" applyNumberFormat="0" applyBorder="0" applyAlignment="0" applyProtection="0">
      <alignment vertical="center"/>
    </xf>
    <xf numFmtId="186" fontId="142" fillId="63" borderId="0" applyNumberFormat="0" applyBorder="0" applyAlignment="0" applyProtection="0">
      <alignment vertical="center"/>
    </xf>
    <xf numFmtId="186" fontId="124" fillId="64" borderId="0" applyNumberFormat="0" applyBorder="0" applyAlignment="0" applyProtection="0">
      <alignment vertical="center"/>
    </xf>
    <xf numFmtId="186" fontId="124" fillId="65" borderId="0" applyNumberFormat="0" applyBorder="0" applyAlignment="0" applyProtection="0">
      <alignment vertical="center"/>
    </xf>
    <xf numFmtId="186" fontId="142" fillId="66" borderId="0" applyNumberFormat="0" applyBorder="0" applyAlignment="0" applyProtection="0">
      <alignment vertical="center"/>
    </xf>
    <xf numFmtId="186" fontId="142" fillId="67" borderId="0" applyNumberFormat="0" applyBorder="0" applyAlignment="0" applyProtection="0">
      <alignment vertical="center"/>
    </xf>
    <xf numFmtId="186" fontId="124" fillId="68" borderId="0" applyNumberFormat="0" applyBorder="0" applyAlignment="0" applyProtection="0">
      <alignment vertical="center"/>
    </xf>
    <xf numFmtId="186" fontId="124" fillId="69" borderId="0" applyNumberFormat="0" applyBorder="0" applyAlignment="0" applyProtection="0">
      <alignment vertical="center"/>
    </xf>
    <xf numFmtId="186" fontId="142" fillId="70" borderId="0" applyNumberFormat="0" applyBorder="0" applyAlignment="0" applyProtection="0">
      <alignment vertical="center"/>
    </xf>
    <xf numFmtId="186" fontId="142" fillId="71" borderId="0" applyNumberFormat="0" applyBorder="0" applyAlignment="0" applyProtection="0">
      <alignment vertical="center"/>
    </xf>
    <xf numFmtId="186" fontId="124" fillId="72" borderId="0" applyNumberFormat="0" applyBorder="0" applyAlignment="0" applyProtection="0">
      <alignment vertical="center"/>
    </xf>
    <xf numFmtId="186" fontId="124" fillId="73" borderId="0" applyNumberFormat="0" applyBorder="0" applyAlignment="0" applyProtection="0">
      <alignment vertical="center"/>
    </xf>
    <xf numFmtId="186" fontId="142" fillId="74" borderId="0" applyNumberFormat="0" applyBorder="0" applyAlignment="0" applyProtection="0">
      <alignment vertical="center"/>
    </xf>
    <xf numFmtId="186" fontId="142" fillId="75" borderId="0" applyNumberFormat="0" applyBorder="0" applyAlignment="0" applyProtection="0">
      <alignment vertical="center"/>
    </xf>
    <xf numFmtId="186" fontId="124" fillId="76" borderId="0" applyNumberFormat="0" applyBorder="0" applyAlignment="0" applyProtection="0">
      <alignment vertical="center"/>
    </xf>
    <xf numFmtId="186" fontId="124" fillId="77" borderId="0" applyNumberFormat="0" applyBorder="0" applyAlignment="0" applyProtection="0">
      <alignment vertical="center"/>
    </xf>
    <xf numFmtId="186" fontId="142" fillId="78" borderId="0" applyNumberFormat="0" applyBorder="0" applyAlignment="0" applyProtection="0">
      <alignment vertical="center"/>
    </xf>
    <xf numFmtId="186" fontId="124" fillId="0" borderId="0">
      <alignment vertical="center"/>
    </xf>
    <xf numFmtId="186" fontId="124" fillId="54" borderId="6" applyNumberFormat="0" applyFont="0" applyAlignment="0" applyProtection="0">
      <alignment vertical="center"/>
    </xf>
    <xf numFmtId="186" fontId="25" fillId="0" borderId="0"/>
    <xf numFmtId="186" fontId="113" fillId="0" borderId="0">
      <alignment vertical="center"/>
    </xf>
    <xf numFmtId="186" fontId="112" fillId="47" borderId="0" applyNumberFormat="0" applyBorder="0" applyAlignment="0" applyProtection="0"/>
    <xf numFmtId="186" fontId="24" fillId="0" borderId="0"/>
    <xf numFmtId="186" fontId="23" fillId="0" borderId="0"/>
    <xf numFmtId="186" fontId="22" fillId="0" borderId="0"/>
    <xf numFmtId="186" fontId="21" fillId="0" borderId="0"/>
    <xf numFmtId="186" fontId="20" fillId="0" borderId="0"/>
    <xf numFmtId="186" fontId="19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8" fillId="0" borderId="0"/>
    <xf numFmtId="186" fontId="17" fillId="0" borderId="0"/>
    <xf numFmtId="186" fontId="17" fillId="0" borderId="0"/>
    <xf numFmtId="186" fontId="16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5" fillId="0" borderId="0"/>
    <xf numFmtId="186" fontId="14" fillId="0" borderId="0"/>
    <xf numFmtId="186" fontId="13" fillId="0" borderId="0"/>
    <xf numFmtId="186" fontId="12" fillId="0" borderId="0"/>
    <xf numFmtId="186" fontId="11" fillId="0" borderId="0"/>
    <xf numFmtId="186" fontId="152" fillId="0" borderId="0"/>
    <xf numFmtId="186" fontId="10" fillId="0" borderId="0"/>
    <xf numFmtId="186" fontId="9" fillId="0" borderId="0"/>
    <xf numFmtId="186" fontId="125" fillId="0" borderId="0"/>
    <xf numFmtId="186" fontId="126" fillId="0" borderId="0">
      <alignment vertical="center"/>
    </xf>
    <xf numFmtId="186" fontId="125" fillId="0" borderId="0"/>
    <xf numFmtId="186" fontId="124" fillId="0" borderId="0">
      <alignment vertical="center"/>
    </xf>
    <xf numFmtId="186" fontId="124" fillId="0" borderId="0">
      <alignment vertical="center"/>
    </xf>
    <xf numFmtId="186" fontId="127" fillId="0" borderId="0" applyNumberFormat="0" applyFill="0" applyBorder="0" applyAlignment="0" applyProtection="0">
      <alignment vertical="center"/>
    </xf>
    <xf numFmtId="186" fontId="128" fillId="0" borderId="21" applyNumberFormat="0" applyFill="0" applyAlignment="0" applyProtection="0">
      <alignment vertical="center"/>
    </xf>
    <xf numFmtId="186" fontId="129" fillId="0" borderId="22" applyNumberFormat="0" applyFill="0" applyAlignment="0" applyProtection="0">
      <alignment vertical="center"/>
    </xf>
    <xf numFmtId="186" fontId="130" fillId="0" borderId="23" applyNumberFormat="0" applyFill="0" applyAlignment="0" applyProtection="0">
      <alignment vertical="center"/>
    </xf>
    <xf numFmtId="186" fontId="130" fillId="0" borderId="0" applyNumberFormat="0" applyFill="0" applyBorder="0" applyAlignment="0" applyProtection="0">
      <alignment vertical="center"/>
    </xf>
    <xf numFmtId="186" fontId="131" fillId="47" borderId="0" applyNumberFormat="0" applyBorder="0" applyAlignment="0" applyProtection="0">
      <alignment vertical="center"/>
    </xf>
    <xf numFmtId="186" fontId="132" fillId="49" borderId="0" applyNumberFormat="0" applyBorder="0" applyAlignment="0" applyProtection="0">
      <alignment vertical="center"/>
    </xf>
    <xf numFmtId="186" fontId="133" fillId="50" borderId="0" applyNumberFormat="0" applyBorder="0" applyAlignment="0" applyProtection="0">
      <alignment vertical="center"/>
    </xf>
    <xf numFmtId="186" fontId="134" fillId="51" borderId="18" applyNumberFormat="0" applyAlignment="0" applyProtection="0">
      <alignment vertical="center"/>
    </xf>
    <xf numFmtId="186" fontId="135" fillId="52" borderId="24" applyNumberFormat="0" applyAlignment="0" applyProtection="0">
      <alignment vertical="center"/>
    </xf>
    <xf numFmtId="186" fontId="136" fillId="52" borderId="18" applyNumberFormat="0" applyAlignment="0" applyProtection="0">
      <alignment vertical="center"/>
    </xf>
    <xf numFmtId="186" fontId="137" fillId="0" borderId="9" applyNumberFormat="0" applyFill="0" applyAlignment="0" applyProtection="0">
      <alignment vertical="center"/>
    </xf>
    <xf numFmtId="186" fontId="138" fillId="53" borderId="25" applyNumberFormat="0" applyAlignment="0" applyProtection="0">
      <alignment vertical="center"/>
    </xf>
    <xf numFmtId="186" fontId="139" fillId="0" borderId="0" applyNumberFormat="0" applyFill="0" applyBorder="0" applyAlignment="0" applyProtection="0">
      <alignment vertical="center"/>
    </xf>
    <xf numFmtId="186" fontId="140" fillId="0" borderId="0" applyNumberFormat="0" applyFill="0" applyBorder="0" applyAlignment="0" applyProtection="0">
      <alignment vertical="center"/>
    </xf>
    <xf numFmtId="186" fontId="141" fillId="0" borderId="26" applyNumberFormat="0" applyFill="0" applyAlignment="0" applyProtection="0">
      <alignment vertical="center"/>
    </xf>
    <xf numFmtId="186" fontId="142" fillId="55" borderId="0" applyNumberFormat="0" applyBorder="0" applyAlignment="0" applyProtection="0">
      <alignment vertical="center"/>
    </xf>
    <xf numFmtId="186" fontId="124" fillId="56" borderId="0" applyNumberFormat="0" applyBorder="0" applyAlignment="0" applyProtection="0">
      <alignment vertical="center"/>
    </xf>
    <xf numFmtId="186" fontId="124" fillId="57" borderId="0" applyNumberFormat="0" applyBorder="0" applyAlignment="0" applyProtection="0">
      <alignment vertical="center"/>
    </xf>
    <xf numFmtId="186" fontId="142" fillId="58" borderId="0" applyNumberFormat="0" applyBorder="0" applyAlignment="0" applyProtection="0">
      <alignment vertical="center"/>
    </xf>
    <xf numFmtId="186" fontId="142" fillId="59" borderId="0" applyNumberFormat="0" applyBorder="0" applyAlignment="0" applyProtection="0">
      <alignment vertical="center"/>
    </xf>
    <xf numFmtId="186" fontId="124" fillId="60" borderId="0" applyNumberFormat="0" applyBorder="0" applyAlignment="0" applyProtection="0">
      <alignment vertical="center"/>
    </xf>
    <xf numFmtId="186" fontId="124" fillId="61" borderId="0" applyNumberFormat="0" applyBorder="0" applyAlignment="0" applyProtection="0">
      <alignment vertical="center"/>
    </xf>
    <xf numFmtId="186" fontId="142" fillId="62" borderId="0" applyNumberFormat="0" applyBorder="0" applyAlignment="0" applyProtection="0">
      <alignment vertical="center"/>
    </xf>
    <xf numFmtId="186" fontId="142" fillId="63" borderId="0" applyNumberFormat="0" applyBorder="0" applyAlignment="0" applyProtection="0">
      <alignment vertical="center"/>
    </xf>
    <xf numFmtId="186" fontId="124" fillId="64" borderId="0" applyNumberFormat="0" applyBorder="0" applyAlignment="0" applyProtection="0">
      <alignment vertical="center"/>
    </xf>
    <xf numFmtId="186" fontId="124" fillId="65" borderId="0" applyNumberFormat="0" applyBorder="0" applyAlignment="0" applyProtection="0">
      <alignment vertical="center"/>
    </xf>
    <xf numFmtId="186" fontId="142" fillId="66" borderId="0" applyNumberFormat="0" applyBorder="0" applyAlignment="0" applyProtection="0">
      <alignment vertical="center"/>
    </xf>
    <xf numFmtId="186" fontId="142" fillId="67" borderId="0" applyNumberFormat="0" applyBorder="0" applyAlignment="0" applyProtection="0">
      <alignment vertical="center"/>
    </xf>
    <xf numFmtId="186" fontId="124" fillId="68" borderId="0" applyNumberFormat="0" applyBorder="0" applyAlignment="0" applyProtection="0">
      <alignment vertical="center"/>
    </xf>
    <xf numFmtId="186" fontId="124" fillId="69" borderId="0" applyNumberFormat="0" applyBorder="0" applyAlignment="0" applyProtection="0">
      <alignment vertical="center"/>
    </xf>
    <xf numFmtId="186" fontId="142" fillId="70" borderId="0" applyNumberFormat="0" applyBorder="0" applyAlignment="0" applyProtection="0">
      <alignment vertical="center"/>
    </xf>
    <xf numFmtId="186" fontId="142" fillId="71" borderId="0" applyNumberFormat="0" applyBorder="0" applyAlignment="0" applyProtection="0">
      <alignment vertical="center"/>
    </xf>
    <xf numFmtId="186" fontId="124" fillId="72" borderId="0" applyNumberFormat="0" applyBorder="0" applyAlignment="0" applyProtection="0">
      <alignment vertical="center"/>
    </xf>
    <xf numFmtId="186" fontId="124" fillId="73" borderId="0" applyNumberFormat="0" applyBorder="0" applyAlignment="0" applyProtection="0">
      <alignment vertical="center"/>
    </xf>
    <xf numFmtId="186" fontId="142" fillId="74" borderId="0" applyNumberFormat="0" applyBorder="0" applyAlignment="0" applyProtection="0">
      <alignment vertical="center"/>
    </xf>
    <xf numFmtId="186" fontId="142" fillId="75" borderId="0" applyNumberFormat="0" applyBorder="0" applyAlignment="0" applyProtection="0">
      <alignment vertical="center"/>
    </xf>
    <xf numFmtId="186" fontId="124" fillId="76" borderId="0" applyNumberFormat="0" applyBorder="0" applyAlignment="0" applyProtection="0">
      <alignment vertical="center"/>
    </xf>
    <xf numFmtId="186" fontId="124" fillId="77" borderId="0" applyNumberFormat="0" applyBorder="0" applyAlignment="0" applyProtection="0">
      <alignment vertical="center"/>
    </xf>
    <xf numFmtId="186" fontId="142" fillId="78" borderId="0" applyNumberFormat="0" applyBorder="0" applyAlignment="0" applyProtection="0">
      <alignment vertical="center"/>
    </xf>
    <xf numFmtId="186" fontId="124" fillId="0" borderId="0">
      <alignment vertical="center"/>
    </xf>
    <xf numFmtId="186" fontId="124" fillId="54" borderId="6" applyNumberFormat="0" applyFont="0" applyAlignment="0" applyProtection="0">
      <alignment vertical="center"/>
    </xf>
    <xf numFmtId="186" fontId="8" fillId="0" borderId="0"/>
    <xf numFmtId="186" fontId="7" fillId="0" borderId="0"/>
    <xf numFmtId="186" fontId="153" fillId="0" borderId="0">
      <alignment vertical="center"/>
    </xf>
    <xf numFmtId="186" fontId="154" fillId="0" borderId="0"/>
    <xf numFmtId="186" fontId="155" fillId="0" borderId="0">
      <alignment vertical="center"/>
    </xf>
    <xf numFmtId="186" fontId="157" fillId="56" borderId="0" applyNumberFormat="0" applyBorder="0" applyAlignment="0" applyProtection="0">
      <alignment vertical="center"/>
    </xf>
    <xf numFmtId="186" fontId="155" fillId="56" borderId="0" applyNumberFormat="0" applyBorder="0" applyAlignment="0" applyProtection="0">
      <alignment vertical="center"/>
    </xf>
    <xf numFmtId="186" fontId="157" fillId="60" borderId="0" applyNumberFormat="0" applyBorder="0" applyAlignment="0" applyProtection="0">
      <alignment vertical="center"/>
    </xf>
    <xf numFmtId="186" fontId="155" fillId="60" borderId="0" applyNumberFormat="0" applyBorder="0" applyAlignment="0" applyProtection="0">
      <alignment vertical="center"/>
    </xf>
    <xf numFmtId="186" fontId="157" fillId="64" borderId="0" applyNumberFormat="0" applyBorder="0" applyAlignment="0" applyProtection="0">
      <alignment vertical="center"/>
    </xf>
    <xf numFmtId="186" fontId="155" fillId="64" borderId="0" applyNumberFormat="0" applyBorder="0" applyAlignment="0" applyProtection="0">
      <alignment vertical="center"/>
    </xf>
    <xf numFmtId="186" fontId="157" fillId="68" borderId="0" applyNumberFormat="0" applyBorder="0" applyAlignment="0" applyProtection="0">
      <alignment vertical="center"/>
    </xf>
    <xf numFmtId="186" fontId="155" fillId="68" borderId="0" applyNumberFormat="0" applyBorder="0" applyAlignment="0" applyProtection="0">
      <alignment vertical="center"/>
    </xf>
    <xf numFmtId="186" fontId="157" fillId="72" borderId="0" applyNumberFormat="0" applyBorder="0" applyAlignment="0" applyProtection="0">
      <alignment vertical="center"/>
    </xf>
    <xf numFmtId="186" fontId="155" fillId="72" borderId="0" applyNumberFormat="0" applyBorder="0" applyAlignment="0" applyProtection="0">
      <alignment vertical="center"/>
    </xf>
    <xf numFmtId="186" fontId="157" fillId="76" borderId="0" applyNumberFormat="0" applyBorder="0" applyAlignment="0" applyProtection="0">
      <alignment vertical="center"/>
    </xf>
    <xf numFmtId="186" fontId="155" fillId="76" borderId="0" applyNumberFormat="0" applyBorder="0" applyAlignment="0" applyProtection="0">
      <alignment vertical="center"/>
    </xf>
    <xf numFmtId="186" fontId="157" fillId="57" borderId="0" applyNumberFormat="0" applyBorder="0" applyAlignment="0" applyProtection="0">
      <alignment vertical="center"/>
    </xf>
    <xf numFmtId="186" fontId="155" fillId="57" borderId="0" applyNumberFormat="0" applyBorder="0" applyAlignment="0" applyProtection="0">
      <alignment vertical="center"/>
    </xf>
    <xf numFmtId="186" fontId="157" fillId="61" borderId="0" applyNumberFormat="0" applyBorder="0" applyAlignment="0" applyProtection="0">
      <alignment vertical="center"/>
    </xf>
    <xf numFmtId="186" fontId="155" fillId="61" borderId="0" applyNumberFormat="0" applyBorder="0" applyAlignment="0" applyProtection="0">
      <alignment vertical="center"/>
    </xf>
    <xf numFmtId="186" fontId="157" fillId="65" borderId="0" applyNumberFormat="0" applyBorder="0" applyAlignment="0" applyProtection="0">
      <alignment vertical="center"/>
    </xf>
    <xf numFmtId="186" fontId="155" fillId="65" borderId="0" applyNumberFormat="0" applyBorder="0" applyAlignment="0" applyProtection="0">
      <alignment vertical="center"/>
    </xf>
    <xf numFmtId="186" fontId="157" fillId="69" borderId="0" applyNumberFormat="0" applyBorder="0" applyAlignment="0" applyProtection="0">
      <alignment vertical="center"/>
    </xf>
    <xf numFmtId="186" fontId="155" fillId="69" borderId="0" applyNumberFormat="0" applyBorder="0" applyAlignment="0" applyProtection="0">
      <alignment vertical="center"/>
    </xf>
    <xf numFmtId="186" fontId="157" fillId="73" borderId="0" applyNumberFormat="0" applyBorder="0" applyAlignment="0" applyProtection="0">
      <alignment vertical="center"/>
    </xf>
    <xf numFmtId="186" fontId="155" fillId="73" borderId="0" applyNumberFormat="0" applyBorder="0" applyAlignment="0" applyProtection="0">
      <alignment vertical="center"/>
    </xf>
    <xf numFmtId="186" fontId="157" fillId="77" borderId="0" applyNumberFormat="0" applyBorder="0" applyAlignment="0" applyProtection="0">
      <alignment vertical="center"/>
    </xf>
    <xf numFmtId="186" fontId="155" fillId="77" borderId="0" applyNumberFormat="0" applyBorder="0" applyAlignment="0" applyProtection="0">
      <alignment vertical="center"/>
    </xf>
    <xf numFmtId="186" fontId="158" fillId="58" borderId="0" applyNumberFormat="0" applyBorder="0" applyAlignment="0" applyProtection="0">
      <alignment vertical="center"/>
    </xf>
    <xf numFmtId="186" fontId="159" fillId="58" borderId="0" applyNumberFormat="0" applyBorder="0" applyAlignment="0" applyProtection="0">
      <alignment vertical="center"/>
    </xf>
    <xf numFmtId="186" fontId="158" fillId="62" borderId="0" applyNumberFormat="0" applyBorder="0" applyAlignment="0" applyProtection="0">
      <alignment vertical="center"/>
    </xf>
    <xf numFmtId="186" fontId="159" fillId="62" borderId="0" applyNumberFormat="0" applyBorder="0" applyAlignment="0" applyProtection="0">
      <alignment vertical="center"/>
    </xf>
    <xf numFmtId="186" fontId="158" fillId="66" borderId="0" applyNumberFormat="0" applyBorder="0" applyAlignment="0" applyProtection="0">
      <alignment vertical="center"/>
    </xf>
    <xf numFmtId="186" fontId="159" fillId="66" borderId="0" applyNumberFormat="0" applyBorder="0" applyAlignment="0" applyProtection="0">
      <alignment vertical="center"/>
    </xf>
    <xf numFmtId="186" fontId="158" fillId="70" borderId="0" applyNumberFormat="0" applyBorder="0" applyAlignment="0" applyProtection="0">
      <alignment vertical="center"/>
    </xf>
    <xf numFmtId="186" fontId="159" fillId="70" borderId="0" applyNumberFormat="0" applyBorder="0" applyAlignment="0" applyProtection="0">
      <alignment vertical="center"/>
    </xf>
    <xf numFmtId="186" fontId="158" fillId="74" borderId="0" applyNumberFormat="0" applyBorder="0" applyAlignment="0" applyProtection="0">
      <alignment vertical="center"/>
    </xf>
    <xf numFmtId="186" fontId="159" fillId="74" borderId="0" applyNumberFormat="0" applyBorder="0" applyAlignment="0" applyProtection="0">
      <alignment vertical="center"/>
    </xf>
    <xf numFmtId="186" fontId="158" fillId="78" borderId="0" applyNumberFormat="0" applyBorder="0" applyAlignment="0" applyProtection="0">
      <alignment vertical="center"/>
    </xf>
    <xf numFmtId="186" fontId="159" fillId="78" borderId="0" applyNumberFormat="0" applyBorder="0" applyAlignment="0" applyProtection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58" fillId="55" borderId="0" applyNumberFormat="0" applyBorder="0" applyAlignment="0" applyProtection="0">
      <alignment vertical="center"/>
    </xf>
    <xf numFmtId="186" fontId="159" fillId="55" borderId="0" applyNumberFormat="0" applyBorder="0" applyAlignment="0" applyProtection="0">
      <alignment vertical="center"/>
    </xf>
    <xf numFmtId="186" fontId="158" fillId="59" borderId="0" applyNumberFormat="0" applyBorder="0" applyAlignment="0" applyProtection="0">
      <alignment vertical="center"/>
    </xf>
    <xf numFmtId="186" fontId="159" fillId="59" borderId="0" applyNumberFormat="0" applyBorder="0" applyAlignment="0" applyProtection="0">
      <alignment vertical="center"/>
    </xf>
    <xf numFmtId="186" fontId="158" fillId="63" borderId="0" applyNumberFormat="0" applyBorder="0" applyAlignment="0" applyProtection="0">
      <alignment vertical="center"/>
    </xf>
    <xf numFmtId="186" fontId="159" fillId="63" borderId="0" applyNumberFormat="0" applyBorder="0" applyAlignment="0" applyProtection="0">
      <alignment vertical="center"/>
    </xf>
    <xf numFmtId="186" fontId="158" fillId="67" borderId="0" applyNumberFormat="0" applyBorder="0" applyAlignment="0" applyProtection="0">
      <alignment vertical="center"/>
    </xf>
    <xf numFmtId="186" fontId="159" fillId="67" borderId="0" applyNumberFormat="0" applyBorder="0" applyAlignment="0" applyProtection="0">
      <alignment vertical="center"/>
    </xf>
    <xf numFmtId="186" fontId="158" fillId="71" borderId="0" applyNumberFormat="0" applyBorder="0" applyAlignment="0" applyProtection="0">
      <alignment vertical="center"/>
    </xf>
    <xf numFmtId="186" fontId="159" fillId="71" borderId="0" applyNumberFormat="0" applyBorder="0" applyAlignment="0" applyProtection="0">
      <alignment vertical="center"/>
    </xf>
    <xf numFmtId="186" fontId="158" fillId="75" borderId="0" applyNumberFormat="0" applyBorder="0" applyAlignment="0" applyProtection="0">
      <alignment vertical="center"/>
    </xf>
    <xf numFmtId="186" fontId="159" fillId="75" borderId="0" applyNumberFormat="0" applyBorder="0" applyAlignment="0" applyProtection="0">
      <alignment vertical="center"/>
    </xf>
    <xf numFmtId="186" fontId="161" fillId="0" borderId="0" applyNumberFormat="0" applyFill="0" applyBorder="0" applyAlignment="0" applyProtection="0">
      <alignment vertical="center"/>
    </xf>
    <xf numFmtId="186" fontId="162" fillId="0" borderId="0" applyNumberFormat="0" applyFill="0" applyBorder="0" applyAlignment="0" applyProtection="0">
      <alignment vertical="center"/>
    </xf>
    <xf numFmtId="186" fontId="163" fillId="52" borderId="18" applyNumberFormat="0" applyAlignment="0" applyProtection="0">
      <alignment vertical="center"/>
    </xf>
    <xf numFmtId="186" fontId="164" fillId="52" borderId="18" applyNumberFormat="0" applyAlignment="0" applyProtection="0">
      <alignment vertical="center"/>
    </xf>
    <xf numFmtId="186" fontId="165" fillId="49" borderId="0" applyNumberFormat="0" applyBorder="0" applyAlignment="0" applyProtection="0">
      <alignment vertical="center"/>
    </xf>
    <xf numFmtId="186" fontId="166" fillId="49" borderId="0" applyNumberFormat="0" applyBorder="0" applyAlignment="0" applyProtection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57" fillId="54" borderId="6" applyNumberFormat="0" applyFont="0" applyAlignment="0" applyProtection="0">
      <alignment vertical="center"/>
    </xf>
    <xf numFmtId="186" fontId="155" fillId="54" borderId="6" applyNumberFormat="0" applyFont="0" applyAlignment="0" applyProtection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7" fillId="50" borderId="0" applyNumberFormat="0" applyBorder="0" applyAlignment="0" applyProtection="0">
      <alignment vertical="center"/>
    </xf>
    <xf numFmtId="186" fontId="168" fillId="50" borderId="0" applyNumberFormat="0" applyBorder="0" applyAlignment="0" applyProtection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69" fillId="0" borderId="0" applyNumberFormat="0" applyFill="0" applyBorder="0" applyAlignment="0" applyProtection="0">
      <alignment vertical="center"/>
    </xf>
    <xf numFmtId="186" fontId="170" fillId="0" borderId="0" applyNumberFormat="0" applyFill="0" applyBorder="0" applyAlignment="0" applyProtection="0">
      <alignment vertical="center"/>
    </xf>
    <xf numFmtId="186" fontId="171" fillId="53" borderId="25" applyNumberFormat="0" applyAlignment="0" applyProtection="0">
      <alignment vertical="center"/>
    </xf>
    <xf numFmtId="186" fontId="172" fillId="53" borderId="25" applyNumberFormat="0" applyAlignment="0" applyProtection="0">
      <alignment vertical="center"/>
    </xf>
    <xf numFmtId="186" fontId="173" fillId="0" borderId="9" applyNumberFormat="0" applyFill="0" applyAlignment="0" applyProtection="0">
      <alignment vertical="center"/>
    </xf>
    <xf numFmtId="186" fontId="174" fillId="0" borderId="9" applyNumberFormat="0" applyFill="0" applyAlignment="0" applyProtection="0">
      <alignment vertical="center"/>
    </xf>
    <xf numFmtId="186" fontId="175" fillId="0" borderId="26" applyNumberFormat="0" applyFill="0" applyAlignment="0" applyProtection="0">
      <alignment vertical="center"/>
    </xf>
    <xf numFmtId="186" fontId="156" fillId="0" borderId="26" applyNumberFormat="0" applyFill="0" applyAlignment="0" applyProtection="0">
      <alignment vertical="center"/>
    </xf>
    <xf numFmtId="186" fontId="176" fillId="51" borderId="18" applyNumberFormat="0" applyAlignment="0" applyProtection="0">
      <alignment vertical="center"/>
    </xf>
    <xf numFmtId="186" fontId="177" fillId="51" borderId="18" applyNumberFormat="0" applyAlignment="0" applyProtection="0">
      <alignment vertical="center"/>
    </xf>
    <xf numFmtId="186" fontId="178" fillId="0" borderId="21" applyNumberFormat="0" applyFill="0" applyAlignment="0" applyProtection="0">
      <alignment vertical="center"/>
    </xf>
    <xf numFmtId="186" fontId="179" fillId="0" borderId="22" applyNumberFormat="0" applyFill="0" applyAlignment="0" applyProtection="0">
      <alignment vertical="center"/>
    </xf>
    <xf numFmtId="186" fontId="180" fillId="0" borderId="23" applyNumberFormat="0" applyFill="0" applyAlignment="0" applyProtection="0">
      <alignment vertical="center"/>
    </xf>
    <xf numFmtId="186" fontId="180" fillId="0" borderId="0" applyNumberFormat="0" applyFill="0" applyBorder="0" applyAlignment="0" applyProtection="0">
      <alignment vertical="center"/>
    </xf>
    <xf numFmtId="186" fontId="181" fillId="0" borderId="0" applyNumberFormat="0" applyFill="0" applyBorder="0" applyAlignment="0" applyProtection="0">
      <alignment vertical="center"/>
    </xf>
    <xf numFmtId="186" fontId="182" fillId="47" borderId="0" applyNumberFormat="0" applyBorder="0" applyAlignment="0" applyProtection="0">
      <alignment vertical="center"/>
    </xf>
    <xf numFmtId="186" fontId="183" fillId="47" borderId="0" applyNumberFormat="0" applyBorder="0" applyAlignment="0" applyProtection="0">
      <alignment vertical="center"/>
    </xf>
    <xf numFmtId="186" fontId="184" fillId="52" borderId="24" applyNumberFormat="0" applyAlignment="0" applyProtection="0">
      <alignment vertical="center"/>
    </xf>
    <xf numFmtId="186" fontId="185" fillId="52" borderId="24" applyNumberFormat="0" applyAlignment="0" applyProtection="0">
      <alignment vertical="center"/>
    </xf>
    <xf numFmtId="186" fontId="160" fillId="0" borderId="0">
      <alignment vertical="center"/>
    </xf>
    <xf numFmtId="186" fontId="160" fillId="0" borderId="0">
      <alignment vertical="center"/>
    </xf>
    <xf numFmtId="186" fontId="157" fillId="0" borderId="0">
      <alignment vertical="center"/>
    </xf>
    <xf numFmtId="186" fontId="155" fillId="0" borderId="0">
      <alignment vertical="center"/>
    </xf>
    <xf numFmtId="186" fontId="186" fillId="0" borderId="0">
      <alignment vertical="center"/>
    </xf>
    <xf numFmtId="186" fontId="125" fillId="0" borderId="0">
      <alignment vertical="center"/>
    </xf>
    <xf numFmtId="186" fontId="187" fillId="0" borderId="0">
      <alignment vertical="center"/>
    </xf>
    <xf numFmtId="186" fontId="6" fillId="0" borderId="0"/>
    <xf numFmtId="186" fontId="5" fillId="0" borderId="0"/>
    <xf numFmtId="186" fontId="4" fillId="0" borderId="0"/>
    <xf numFmtId="186" fontId="102" fillId="0" borderId="0">
      <alignment vertical="center"/>
    </xf>
    <xf numFmtId="9" fontId="4" fillId="0" borderId="0" applyFont="0" applyFill="0" applyBorder="0" applyAlignment="0" applyProtection="0"/>
    <xf numFmtId="187" fontId="199" fillId="0" borderId="29" applyFill="0" applyProtection="0">
      <alignment horizontal="left" vertical="center" wrapText="1" indent="1"/>
    </xf>
    <xf numFmtId="186" fontId="200" fillId="0" borderId="30" applyFill="0" applyProtection="0">
      <alignment horizontal="left" vertical="top" wrapText="1" indent="1"/>
    </xf>
    <xf numFmtId="186" fontId="197" fillId="0" borderId="31" applyFill="0" applyProtection="0">
      <alignment horizontal="left" vertical="center" wrapText="1" indent="1"/>
    </xf>
    <xf numFmtId="186" fontId="200" fillId="0" borderId="0" applyFill="0" applyProtection="0">
      <alignment horizontal="left" vertical="top" wrapText="1" indent="1"/>
    </xf>
    <xf numFmtId="186" fontId="197" fillId="0" borderId="0" applyFill="0" applyBorder="0" applyProtection="0"/>
    <xf numFmtId="186" fontId="195" fillId="88" borderId="0" applyNumberFormat="0" applyBorder="0" applyProtection="0">
      <alignment horizontal="center"/>
    </xf>
    <xf numFmtId="186" fontId="196" fillId="0" borderId="0" applyNumberFormat="0" applyFill="0" applyProtection="0">
      <alignment horizontal="left" indent="3"/>
    </xf>
    <xf numFmtId="186" fontId="198" fillId="89" borderId="28" applyNumberFormat="0" applyProtection="0">
      <alignment horizontal="left" vertical="center" indent="1"/>
    </xf>
    <xf numFmtId="186" fontId="198" fillId="88" borderId="28" applyNumberFormat="0" applyProtection="0">
      <alignment horizontal="left" indent="1"/>
    </xf>
    <xf numFmtId="186" fontId="3" fillId="0" borderId="0"/>
    <xf numFmtId="188" fontId="2" fillId="0" borderId="0"/>
    <xf numFmtId="188" fontId="125" fillId="0" borderId="0"/>
    <xf numFmtId="188" fontId="126" fillId="0" borderId="0">
      <alignment vertical="center"/>
    </xf>
    <xf numFmtId="188" fontId="125" fillId="0" borderId="0"/>
    <xf numFmtId="188" fontId="124" fillId="0" borderId="0">
      <alignment vertical="center"/>
    </xf>
    <xf numFmtId="188" fontId="124" fillId="0" borderId="0">
      <alignment vertical="center"/>
    </xf>
    <xf numFmtId="188" fontId="127" fillId="0" borderId="0" applyNumberFormat="0" applyFill="0" applyBorder="0" applyAlignment="0" applyProtection="0">
      <alignment vertical="center"/>
    </xf>
    <xf numFmtId="188" fontId="128" fillId="0" borderId="21" applyNumberFormat="0" applyFill="0" applyAlignment="0" applyProtection="0">
      <alignment vertical="center"/>
    </xf>
    <xf numFmtId="188" fontId="129" fillId="0" borderId="22" applyNumberFormat="0" applyFill="0" applyAlignment="0" applyProtection="0">
      <alignment vertical="center"/>
    </xf>
    <xf numFmtId="188" fontId="130" fillId="0" borderId="23" applyNumberFormat="0" applyFill="0" applyAlignment="0" applyProtection="0">
      <alignment vertical="center"/>
    </xf>
    <xf numFmtId="188" fontId="130" fillId="0" borderId="0" applyNumberFormat="0" applyFill="0" applyBorder="0" applyAlignment="0" applyProtection="0">
      <alignment vertical="center"/>
    </xf>
    <xf numFmtId="188" fontId="131" fillId="47" borderId="0" applyNumberFormat="0" applyBorder="0" applyAlignment="0" applyProtection="0">
      <alignment vertical="center"/>
    </xf>
    <xf numFmtId="188" fontId="132" fillId="49" borderId="0" applyNumberFormat="0" applyBorder="0" applyAlignment="0" applyProtection="0">
      <alignment vertical="center"/>
    </xf>
    <xf numFmtId="188" fontId="133" fillId="50" borderId="0" applyNumberFormat="0" applyBorder="0" applyAlignment="0" applyProtection="0">
      <alignment vertical="center"/>
    </xf>
    <xf numFmtId="188" fontId="134" fillId="51" borderId="18" applyNumberFormat="0" applyAlignment="0" applyProtection="0">
      <alignment vertical="center"/>
    </xf>
    <xf numFmtId="188" fontId="135" fillId="52" borderId="24" applyNumberFormat="0" applyAlignment="0" applyProtection="0">
      <alignment vertical="center"/>
    </xf>
    <xf numFmtId="188" fontId="136" fillId="52" borderId="18" applyNumberFormat="0" applyAlignment="0" applyProtection="0">
      <alignment vertical="center"/>
    </xf>
    <xf numFmtId="188" fontId="137" fillId="0" borderId="9" applyNumberFormat="0" applyFill="0" applyAlignment="0" applyProtection="0">
      <alignment vertical="center"/>
    </xf>
    <xf numFmtId="188" fontId="138" fillId="53" borderId="25" applyNumberFormat="0" applyAlignment="0" applyProtection="0">
      <alignment vertical="center"/>
    </xf>
    <xf numFmtId="188" fontId="139" fillId="0" borderId="0" applyNumberFormat="0" applyFill="0" applyBorder="0" applyAlignment="0" applyProtection="0">
      <alignment vertical="center"/>
    </xf>
    <xf numFmtId="188" fontId="140" fillId="0" borderId="0" applyNumberFormat="0" applyFill="0" applyBorder="0" applyAlignment="0" applyProtection="0">
      <alignment vertical="center"/>
    </xf>
    <xf numFmtId="188" fontId="141" fillId="0" borderId="26" applyNumberFormat="0" applyFill="0" applyAlignment="0" applyProtection="0">
      <alignment vertical="center"/>
    </xf>
    <xf numFmtId="188" fontId="142" fillId="55" borderId="0" applyNumberFormat="0" applyBorder="0" applyAlignment="0" applyProtection="0">
      <alignment vertical="center"/>
    </xf>
    <xf numFmtId="188" fontId="124" fillId="56" borderId="0" applyNumberFormat="0" applyBorder="0" applyAlignment="0" applyProtection="0">
      <alignment vertical="center"/>
    </xf>
    <xf numFmtId="188" fontId="124" fillId="57" borderId="0" applyNumberFormat="0" applyBorder="0" applyAlignment="0" applyProtection="0">
      <alignment vertical="center"/>
    </xf>
    <xf numFmtId="188" fontId="142" fillId="58" borderId="0" applyNumberFormat="0" applyBorder="0" applyAlignment="0" applyProtection="0">
      <alignment vertical="center"/>
    </xf>
    <xf numFmtId="188" fontId="142" fillId="59" borderId="0" applyNumberFormat="0" applyBorder="0" applyAlignment="0" applyProtection="0">
      <alignment vertical="center"/>
    </xf>
    <xf numFmtId="188" fontId="124" fillId="60" borderId="0" applyNumberFormat="0" applyBorder="0" applyAlignment="0" applyProtection="0">
      <alignment vertical="center"/>
    </xf>
    <xf numFmtId="188" fontId="124" fillId="61" borderId="0" applyNumberFormat="0" applyBorder="0" applyAlignment="0" applyProtection="0">
      <alignment vertical="center"/>
    </xf>
    <xf numFmtId="188" fontId="142" fillId="62" borderId="0" applyNumberFormat="0" applyBorder="0" applyAlignment="0" applyProtection="0">
      <alignment vertical="center"/>
    </xf>
    <xf numFmtId="188" fontId="142" fillId="63" borderId="0" applyNumberFormat="0" applyBorder="0" applyAlignment="0" applyProtection="0">
      <alignment vertical="center"/>
    </xf>
    <xf numFmtId="188" fontId="124" fillId="64" borderId="0" applyNumberFormat="0" applyBorder="0" applyAlignment="0" applyProtection="0">
      <alignment vertical="center"/>
    </xf>
    <xf numFmtId="188" fontId="124" fillId="65" borderId="0" applyNumberFormat="0" applyBorder="0" applyAlignment="0" applyProtection="0">
      <alignment vertical="center"/>
    </xf>
    <xf numFmtId="188" fontId="142" fillId="66" borderId="0" applyNumberFormat="0" applyBorder="0" applyAlignment="0" applyProtection="0">
      <alignment vertical="center"/>
    </xf>
    <xf numFmtId="188" fontId="142" fillId="67" borderId="0" applyNumberFormat="0" applyBorder="0" applyAlignment="0" applyProtection="0">
      <alignment vertical="center"/>
    </xf>
    <xf numFmtId="188" fontId="124" fillId="68" borderId="0" applyNumberFormat="0" applyBorder="0" applyAlignment="0" applyProtection="0">
      <alignment vertical="center"/>
    </xf>
    <xf numFmtId="188" fontId="124" fillId="69" borderId="0" applyNumberFormat="0" applyBorder="0" applyAlignment="0" applyProtection="0">
      <alignment vertical="center"/>
    </xf>
    <xf numFmtId="188" fontId="142" fillId="70" borderId="0" applyNumberFormat="0" applyBorder="0" applyAlignment="0" applyProtection="0">
      <alignment vertical="center"/>
    </xf>
    <xf numFmtId="188" fontId="142" fillId="71" borderId="0" applyNumberFormat="0" applyBorder="0" applyAlignment="0" applyProtection="0">
      <alignment vertical="center"/>
    </xf>
    <xf numFmtId="188" fontId="124" fillId="72" borderId="0" applyNumberFormat="0" applyBorder="0" applyAlignment="0" applyProtection="0">
      <alignment vertical="center"/>
    </xf>
    <xf numFmtId="188" fontId="124" fillId="73" borderId="0" applyNumberFormat="0" applyBorder="0" applyAlignment="0" applyProtection="0">
      <alignment vertical="center"/>
    </xf>
    <xf numFmtId="188" fontId="142" fillId="74" borderId="0" applyNumberFormat="0" applyBorder="0" applyAlignment="0" applyProtection="0">
      <alignment vertical="center"/>
    </xf>
    <xf numFmtId="188" fontId="142" fillId="75" borderId="0" applyNumberFormat="0" applyBorder="0" applyAlignment="0" applyProtection="0">
      <alignment vertical="center"/>
    </xf>
    <xf numFmtId="188" fontId="124" fillId="76" borderId="0" applyNumberFormat="0" applyBorder="0" applyAlignment="0" applyProtection="0">
      <alignment vertical="center"/>
    </xf>
    <xf numFmtId="188" fontId="124" fillId="77" borderId="0" applyNumberFormat="0" applyBorder="0" applyAlignment="0" applyProtection="0">
      <alignment vertical="center"/>
    </xf>
    <xf numFmtId="188" fontId="142" fillId="78" borderId="0" applyNumberFormat="0" applyBorder="0" applyAlignment="0" applyProtection="0">
      <alignment vertical="center"/>
    </xf>
    <xf numFmtId="188" fontId="124" fillId="0" borderId="0">
      <alignment vertical="center"/>
    </xf>
    <xf numFmtId="188" fontId="124" fillId="54" borderId="6" applyNumberFormat="0" applyFont="0" applyAlignment="0" applyProtection="0">
      <alignment vertical="center"/>
    </xf>
    <xf numFmtId="0" fontId="1" fillId="0" borderId="0">
      <alignment vertical="center"/>
    </xf>
  </cellStyleXfs>
  <cellXfs count="226">
    <xf numFmtId="176" fontId="0" fillId="0" borderId="0" xfId="0"/>
    <xf numFmtId="179" fontId="87" fillId="34" borderId="14" xfId="0" applyNumberFormat="1" applyFont="1" applyFill="1" applyBorder="1" applyAlignment="1">
      <alignment horizontal="left" vertical="center"/>
    </xf>
    <xf numFmtId="179" fontId="87" fillId="37" borderId="14" xfId="0" applyNumberFormat="1" applyFont="1" applyFill="1" applyBorder="1" applyAlignment="1">
      <alignment horizontal="left" vertical="center"/>
    </xf>
    <xf numFmtId="176" fontId="92" fillId="33" borderId="0" xfId="0" applyFont="1" applyFill="1" applyAlignment="1">
      <alignment horizontal="left" vertical="center"/>
    </xf>
    <xf numFmtId="179" fontId="87" fillId="40" borderId="14" xfId="0" applyNumberFormat="1" applyFont="1" applyFill="1" applyBorder="1" applyAlignment="1">
      <alignment horizontal="left" vertical="center"/>
    </xf>
    <xf numFmtId="176" fontId="98" fillId="0" borderId="0" xfId="0" applyFont="1"/>
    <xf numFmtId="179" fontId="93" fillId="0" borderId="12" xfId="0" applyNumberFormat="1" applyFont="1" applyBorder="1" applyAlignment="1">
      <alignment horizontal="left" vertical="center"/>
    </xf>
    <xf numFmtId="176" fontId="91" fillId="39" borderId="0" xfId="0" applyFont="1" applyFill="1" applyAlignment="1">
      <alignment horizontal="left" vertical="center"/>
    </xf>
    <xf numFmtId="176" fontId="97" fillId="39" borderId="0" xfId="0" applyFont="1" applyFill="1" applyAlignment="1">
      <alignment horizontal="left" vertical="center"/>
    </xf>
    <xf numFmtId="183" fontId="99" fillId="0" borderId="0" xfId="0" applyNumberFormat="1" applyFont="1"/>
    <xf numFmtId="183" fontId="94" fillId="39" borderId="0" xfId="0" applyNumberFormat="1" applyFont="1" applyFill="1" applyAlignment="1">
      <alignment horizontal="left" vertical="center"/>
    </xf>
    <xf numFmtId="176" fontId="103" fillId="0" borderId="0" xfId="0" applyFont="1"/>
    <xf numFmtId="181" fontId="93" fillId="42" borderId="12" xfId="0" applyNumberFormat="1" applyFont="1" applyFill="1" applyBorder="1" applyAlignment="1">
      <alignment horizontal="left" vertical="center"/>
    </xf>
    <xf numFmtId="180" fontId="100" fillId="0" borderId="12" xfId="0" applyNumberFormat="1" applyFont="1" applyBorder="1" applyAlignment="1">
      <alignment horizontal="left" vertical="center"/>
    </xf>
    <xf numFmtId="179" fontId="87" fillId="45" borderId="14" xfId="0" applyNumberFormat="1" applyFont="1" applyFill="1" applyBorder="1" applyAlignment="1">
      <alignment horizontal="left" vertical="center"/>
    </xf>
    <xf numFmtId="176" fontId="0" fillId="0" borderId="0" xfId="0" applyAlignment="1">
      <alignment vertical="center"/>
    </xf>
    <xf numFmtId="176" fontId="91" fillId="39" borderId="12" xfId="0" applyFont="1" applyFill="1" applyBorder="1" applyAlignment="1">
      <alignment horizontal="left" vertical="center"/>
    </xf>
    <xf numFmtId="183" fontId="94" fillId="39" borderId="12" xfId="0" applyNumberFormat="1" applyFont="1" applyFill="1" applyBorder="1" applyAlignment="1">
      <alignment horizontal="left" vertical="center"/>
    </xf>
    <xf numFmtId="182" fontId="91" fillId="39" borderId="12" xfId="0" applyNumberFormat="1" applyFont="1" applyFill="1" applyBorder="1" applyAlignment="1">
      <alignment horizontal="left" vertical="center"/>
    </xf>
    <xf numFmtId="176" fontId="97" fillId="39" borderId="12" xfId="0" applyFont="1" applyFill="1" applyBorder="1" applyAlignment="1">
      <alignment horizontal="left" vertical="center"/>
    </xf>
    <xf numFmtId="182" fontId="0" fillId="0" borderId="0" xfId="0" applyNumberFormat="1" applyAlignment="1">
      <alignment horizontal="right" vertical="center"/>
    </xf>
    <xf numFmtId="182" fontId="108" fillId="0" borderId="0" xfId="0" applyNumberFormat="1" applyFont="1" applyAlignment="1">
      <alignment horizontal="right" vertical="center"/>
    </xf>
    <xf numFmtId="182" fontId="91" fillId="39" borderId="12" xfId="0" applyNumberFormat="1" applyFont="1" applyFill="1" applyBorder="1" applyAlignment="1">
      <alignment horizontal="right" vertical="center"/>
    </xf>
    <xf numFmtId="183" fontId="94" fillId="39" borderId="12" xfId="0" applyNumberFormat="1" applyFont="1" applyFill="1" applyBorder="1" applyAlignment="1">
      <alignment horizontal="right" vertical="center"/>
    </xf>
    <xf numFmtId="182" fontId="91" fillId="39" borderId="0" xfId="0" applyNumberFormat="1" applyFont="1" applyFill="1" applyAlignment="1">
      <alignment horizontal="right" vertical="center"/>
    </xf>
    <xf numFmtId="186" fontId="114" fillId="0" borderId="0" xfId="1421" applyFont="1" applyAlignment="1">
      <alignment vertical="center" wrapText="1"/>
    </xf>
    <xf numFmtId="186" fontId="115" fillId="0" borderId="0" xfId="1421" applyFont="1" applyAlignment="1">
      <alignment vertical="center" wrapText="1"/>
    </xf>
    <xf numFmtId="184" fontId="114" fillId="0" borderId="0" xfId="1421" applyNumberFormat="1" applyFont="1" applyAlignment="1">
      <alignment vertical="center" wrapText="1"/>
    </xf>
    <xf numFmtId="185" fontId="114" fillId="0" borderId="0" xfId="1421" applyNumberFormat="1" applyFont="1" applyAlignment="1">
      <alignment vertical="center" wrapText="1"/>
    </xf>
    <xf numFmtId="2" fontId="116" fillId="0" borderId="0" xfId="1421" applyNumberFormat="1" applyFont="1">
      <alignment vertical="center"/>
    </xf>
    <xf numFmtId="186" fontId="117" fillId="0" borderId="18" xfId="1422" applyNumberFormat="1" applyFont="1" applyFill="1" applyBorder="1" applyAlignment="1">
      <alignment vertical="center" wrapText="1"/>
    </xf>
    <xf numFmtId="186" fontId="117" fillId="0" borderId="19" xfId="1422" applyNumberFormat="1" applyFont="1" applyFill="1" applyBorder="1" applyAlignment="1">
      <alignment vertical="center" wrapText="1"/>
    </xf>
    <xf numFmtId="185" fontId="117" fillId="0" borderId="18" xfId="1422" applyNumberFormat="1" applyFont="1" applyFill="1" applyBorder="1" applyAlignment="1">
      <alignment horizontal="center" vertical="center"/>
    </xf>
    <xf numFmtId="186" fontId="117" fillId="0" borderId="12" xfId="1421" applyFont="1" applyBorder="1" applyAlignment="1">
      <alignment horizontal="center" vertical="center"/>
    </xf>
    <xf numFmtId="186" fontId="117" fillId="0" borderId="12" xfId="1421" applyFont="1" applyBorder="1" applyAlignment="1">
      <alignment horizontal="left" vertical="center"/>
    </xf>
    <xf numFmtId="184" fontId="117" fillId="0" borderId="12" xfId="1421" applyNumberFormat="1" applyFont="1" applyBorder="1" applyAlignment="1">
      <alignment horizontal="center" vertical="center"/>
    </xf>
    <xf numFmtId="185" fontId="117" fillId="0" borderId="12" xfId="1421" applyNumberFormat="1" applyFont="1" applyBorder="1" applyAlignment="1">
      <alignment horizontal="center" vertical="center"/>
    </xf>
    <xf numFmtId="186" fontId="116" fillId="0" borderId="0" xfId="1421" applyFont="1">
      <alignment vertical="center"/>
    </xf>
    <xf numFmtId="186" fontId="117" fillId="41" borderId="12" xfId="1421" applyFont="1" applyFill="1" applyBorder="1" applyAlignment="1">
      <alignment horizontal="center" vertical="center"/>
    </xf>
    <xf numFmtId="186" fontId="117" fillId="41" borderId="12" xfId="1421" applyFont="1" applyFill="1" applyBorder="1" applyAlignment="1">
      <alignment horizontal="left" vertical="center"/>
    </xf>
    <xf numFmtId="184" fontId="117" fillId="41" borderId="12" xfId="1421" applyNumberFormat="1" applyFont="1" applyFill="1" applyBorder="1" applyAlignment="1">
      <alignment horizontal="center" vertical="center"/>
    </xf>
    <xf numFmtId="185" fontId="117" fillId="41" borderId="12" xfId="1421" applyNumberFormat="1" applyFont="1" applyFill="1" applyBorder="1" applyAlignment="1">
      <alignment horizontal="center" vertical="center"/>
    </xf>
    <xf numFmtId="186" fontId="118" fillId="41" borderId="12" xfId="1421" applyFont="1" applyFill="1" applyBorder="1" applyAlignment="1">
      <alignment horizontal="center" vertical="center"/>
    </xf>
    <xf numFmtId="186" fontId="118" fillId="41" borderId="12" xfId="1421" applyFont="1" applyFill="1" applyBorder="1" applyAlignment="1">
      <alignment horizontal="left" vertical="center"/>
    </xf>
    <xf numFmtId="184" fontId="118" fillId="41" borderId="12" xfId="1421" applyNumberFormat="1" applyFont="1" applyFill="1" applyBorder="1" applyAlignment="1">
      <alignment horizontal="center" vertical="center"/>
    </xf>
    <xf numFmtId="185" fontId="118" fillId="41" borderId="12" xfId="1421" applyNumberFormat="1" applyFont="1" applyFill="1" applyBorder="1" applyAlignment="1">
      <alignment horizontal="center" vertical="center"/>
    </xf>
    <xf numFmtId="186" fontId="118" fillId="0" borderId="12" xfId="1421" applyFont="1" applyBorder="1" applyAlignment="1">
      <alignment horizontal="center" vertical="center"/>
    </xf>
    <xf numFmtId="186" fontId="118" fillId="0" borderId="12" xfId="1421" applyFont="1" applyBorder="1" applyAlignment="1">
      <alignment horizontal="left" vertical="center"/>
    </xf>
    <xf numFmtId="184" fontId="118" fillId="0" borderId="12" xfId="1421" applyNumberFormat="1" applyFont="1" applyBorder="1" applyAlignment="1">
      <alignment horizontal="center" vertical="center"/>
    </xf>
    <xf numFmtId="185" fontId="118" fillId="0" borderId="12" xfId="1421" applyNumberFormat="1" applyFont="1" applyBorder="1" applyAlignment="1">
      <alignment horizontal="center" vertical="center"/>
    </xf>
    <xf numFmtId="186" fontId="117" fillId="0" borderId="12" xfId="1421" quotePrefix="1" applyFont="1" applyBorder="1" applyAlignment="1">
      <alignment horizontal="left" vertical="center"/>
    </xf>
    <xf numFmtId="49" fontId="117" fillId="0" borderId="12" xfId="1421" quotePrefix="1" applyNumberFormat="1" applyFont="1" applyBorder="1" applyAlignment="1">
      <alignment horizontal="left" vertical="center"/>
    </xf>
    <xf numFmtId="186" fontId="118" fillId="0" borderId="12" xfId="1421" quotePrefix="1" applyFont="1" applyBorder="1" applyAlignment="1">
      <alignment horizontal="left" vertical="center"/>
    </xf>
    <xf numFmtId="49" fontId="117" fillId="41" borderId="12" xfId="1421" quotePrefix="1" applyNumberFormat="1" applyFont="1" applyFill="1" applyBorder="1" applyAlignment="1">
      <alignment horizontal="left" vertical="center"/>
    </xf>
    <xf numFmtId="49" fontId="118" fillId="41" borderId="12" xfId="1421" quotePrefix="1" applyNumberFormat="1" applyFont="1" applyFill="1" applyBorder="1" applyAlignment="1">
      <alignment horizontal="left" vertical="center"/>
    </xf>
    <xf numFmtId="49" fontId="118" fillId="0" borderId="12" xfId="1421" quotePrefix="1" applyNumberFormat="1" applyFont="1" applyBorder="1" applyAlignment="1">
      <alignment horizontal="left" vertical="center"/>
    </xf>
    <xf numFmtId="49" fontId="117" fillId="0" borderId="12" xfId="1421" applyNumberFormat="1" applyFont="1" applyBorder="1" applyAlignment="1">
      <alignment horizontal="left" vertical="center"/>
    </xf>
    <xf numFmtId="186" fontId="117" fillId="0" borderId="12" xfId="1421" applyFont="1" applyBorder="1" applyAlignment="1">
      <alignment horizontal="center" vertical="center" wrapText="1"/>
    </xf>
    <xf numFmtId="184" fontId="117" fillId="0" borderId="12" xfId="1421" applyNumberFormat="1" applyFont="1" applyBorder="1" applyAlignment="1">
      <alignment horizontal="center" vertical="center" wrapText="1"/>
    </xf>
    <xf numFmtId="185" fontId="117" fillId="0" borderId="12" xfId="1421" applyNumberFormat="1" applyFont="1" applyBorder="1" applyAlignment="1">
      <alignment horizontal="center" vertical="center" wrapText="1"/>
    </xf>
    <xf numFmtId="186" fontId="117" fillId="0" borderId="12" xfId="1421" applyFont="1" applyBorder="1" applyAlignment="1">
      <alignment horizontal="left" vertical="center" wrapText="1"/>
    </xf>
    <xf numFmtId="184" fontId="118" fillId="0" borderId="12" xfId="1421" applyNumberFormat="1" applyFont="1" applyBorder="1" applyAlignment="1">
      <alignment horizontal="center" vertical="center" wrapText="1"/>
    </xf>
    <xf numFmtId="185" fontId="118" fillId="0" borderId="12" xfId="1421" applyNumberFormat="1" applyFont="1" applyBorder="1" applyAlignment="1">
      <alignment horizontal="center" vertical="center" wrapText="1"/>
    </xf>
    <xf numFmtId="2" fontId="120" fillId="0" borderId="0" xfId="1421" applyNumberFormat="1" applyFont="1">
      <alignment vertical="center"/>
    </xf>
    <xf numFmtId="186" fontId="120" fillId="0" borderId="0" xfId="1421" applyFont="1">
      <alignment vertical="center"/>
    </xf>
    <xf numFmtId="184" fontId="118" fillId="41" borderId="12" xfId="1421" applyNumberFormat="1" applyFont="1" applyFill="1" applyBorder="1" applyAlignment="1">
      <alignment horizontal="center" vertical="center" wrapText="1"/>
    </xf>
    <xf numFmtId="185" fontId="118" fillId="41" borderId="12" xfId="1421" applyNumberFormat="1" applyFont="1" applyFill="1" applyBorder="1" applyAlignment="1">
      <alignment horizontal="center" vertical="center" wrapText="1"/>
    </xf>
    <xf numFmtId="2" fontId="120" fillId="41" borderId="0" xfId="1421" applyNumberFormat="1" applyFont="1" applyFill="1">
      <alignment vertical="center"/>
    </xf>
    <xf numFmtId="186" fontId="120" fillId="41" borderId="0" xfId="1421" applyFont="1" applyFill="1">
      <alignment vertical="center"/>
    </xf>
    <xf numFmtId="186" fontId="118" fillId="42" borderId="12" xfId="1421" applyFont="1" applyFill="1" applyBorder="1" applyAlignment="1">
      <alignment horizontal="center" vertical="center"/>
    </xf>
    <xf numFmtId="186" fontId="118" fillId="42" borderId="12" xfId="1421" applyFont="1" applyFill="1" applyBorder="1" applyAlignment="1">
      <alignment horizontal="left" vertical="center"/>
    </xf>
    <xf numFmtId="184" fontId="118" fillId="42" borderId="12" xfId="1421" applyNumberFormat="1" applyFont="1" applyFill="1" applyBorder="1" applyAlignment="1">
      <alignment horizontal="center" vertical="center"/>
    </xf>
    <xf numFmtId="184" fontId="118" fillId="42" borderId="12" xfId="1421" applyNumberFormat="1" applyFont="1" applyFill="1" applyBorder="1" applyAlignment="1">
      <alignment horizontal="center" vertical="center" wrapText="1"/>
    </xf>
    <xf numFmtId="185" fontId="118" fillId="42" borderId="12" xfId="1421" applyNumberFormat="1" applyFont="1" applyFill="1" applyBorder="1" applyAlignment="1">
      <alignment horizontal="center" vertical="center"/>
    </xf>
    <xf numFmtId="185" fontId="118" fillId="42" borderId="12" xfId="1421" applyNumberFormat="1" applyFont="1" applyFill="1" applyBorder="1" applyAlignment="1">
      <alignment horizontal="center" vertical="center" wrapText="1"/>
    </xf>
    <xf numFmtId="186" fontId="118" fillId="0" borderId="12" xfId="1421" applyFont="1" applyBorder="1" applyAlignment="1">
      <alignment horizontal="left" vertical="center" wrapText="1"/>
    </xf>
    <xf numFmtId="186" fontId="117" fillId="41" borderId="12" xfId="1421" applyFont="1" applyFill="1" applyBorder="1" applyAlignment="1">
      <alignment horizontal="left" vertical="center" wrapText="1"/>
    </xf>
    <xf numFmtId="184" fontId="117" fillId="41" borderId="12" xfId="1421" applyNumberFormat="1" applyFont="1" applyFill="1" applyBorder="1" applyAlignment="1">
      <alignment horizontal="center" vertical="center" wrapText="1"/>
    </xf>
    <xf numFmtId="185" fontId="117" fillId="41" borderId="12" xfId="1421" applyNumberFormat="1" applyFont="1" applyFill="1" applyBorder="1" applyAlignment="1">
      <alignment horizontal="center" vertical="center" wrapText="1"/>
    </xf>
    <xf numFmtId="49" fontId="118" fillId="0" borderId="12" xfId="1421" applyNumberFormat="1" applyFont="1" applyBorder="1" applyAlignment="1">
      <alignment horizontal="left" vertical="center"/>
    </xf>
    <xf numFmtId="186" fontId="102" fillId="0" borderId="12" xfId="1421" applyFont="1" applyBorder="1" applyAlignment="1">
      <alignment horizontal="center" vertical="center" wrapText="1"/>
    </xf>
    <xf numFmtId="185" fontId="121" fillId="41" borderId="12" xfId="1421" applyNumberFormat="1" applyFont="1" applyFill="1" applyBorder="1" applyAlignment="1">
      <alignment horizontal="center" vertical="center" wrapText="1"/>
    </xf>
    <xf numFmtId="186" fontId="102" fillId="41" borderId="12" xfId="1421" applyFont="1" applyFill="1" applyBorder="1" applyAlignment="1">
      <alignment horizontal="center" vertical="center" wrapText="1"/>
    </xf>
    <xf numFmtId="186" fontId="118" fillId="41" borderId="12" xfId="1421" applyFont="1" applyFill="1" applyBorder="1" applyAlignment="1">
      <alignment horizontal="left" vertical="center" wrapText="1"/>
    </xf>
    <xf numFmtId="2" fontId="120" fillId="0" borderId="0" xfId="1421" applyNumberFormat="1" applyFont="1" applyAlignment="1">
      <alignment horizontal="center" vertical="center"/>
    </xf>
    <xf numFmtId="2" fontId="122" fillId="0" borderId="0" xfId="1423" applyNumberFormat="1" applyFont="1" applyAlignment="1">
      <alignment horizontal="center" vertical="center" wrapText="1"/>
    </xf>
    <xf numFmtId="2" fontId="122" fillId="0" borderId="12" xfId="1423" applyNumberFormat="1" applyFont="1" applyBorder="1" applyAlignment="1">
      <alignment horizontal="center" vertical="center" wrapText="1"/>
    </xf>
    <xf numFmtId="185" fontId="118" fillId="46" borderId="12" xfId="1421" applyNumberFormat="1" applyFont="1" applyFill="1" applyBorder="1" applyAlignment="1">
      <alignment horizontal="center" vertical="center" wrapText="1"/>
    </xf>
    <xf numFmtId="186" fontId="118" fillId="0" borderId="12" xfId="1421" applyFont="1" applyBorder="1" applyAlignment="1">
      <alignment horizontal="center" vertical="center" wrapText="1"/>
    </xf>
    <xf numFmtId="186" fontId="123" fillId="0" borderId="0" xfId="1421" applyFont="1" applyAlignment="1">
      <alignment horizontal="center" vertical="center" wrapText="1"/>
    </xf>
    <xf numFmtId="186" fontId="117" fillId="0" borderId="0" xfId="1421" applyFont="1" applyAlignment="1">
      <alignment horizontal="center" vertical="center" wrapText="1"/>
    </xf>
    <xf numFmtId="184" fontId="123" fillId="0" borderId="0" xfId="1421" applyNumberFormat="1" applyFont="1" applyAlignment="1">
      <alignment horizontal="center" vertical="center" wrapText="1"/>
    </xf>
    <xf numFmtId="185" fontId="123" fillId="0" borderId="0" xfId="1421" applyNumberFormat="1" applyFont="1" applyAlignment="1">
      <alignment horizontal="center" vertical="center" wrapText="1"/>
    </xf>
    <xf numFmtId="176" fontId="91" fillId="39" borderId="12" xfId="0" applyFont="1" applyFill="1" applyBorder="1" applyAlignment="1">
      <alignment vertical="center"/>
    </xf>
    <xf numFmtId="176" fontId="91" fillId="39" borderId="0" xfId="0" applyFont="1" applyFill="1" applyAlignment="1">
      <alignment vertical="center"/>
    </xf>
    <xf numFmtId="180" fontId="93" fillId="42" borderId="12" xfId="0" applyNumberFormat="1" applyFont="1" applyFill="1" applyBorder="1" applyAlignment="1">
      <alignment vertical="center"/>
    </xf>
    <xf numFmtId="182" fontId="100" fillId="0" borderId="16" xfId="0" applyNumberFormat="1" applyFont="1" applyBorder="1" applyAlignment="1">
      <alignment horizontal="right" vertical="center"/>
    </xf>
    <xf numFmtId="180" fontId="100" fillId="0" borderId="16" xfId="0" applyNumberFormat="1" applyFont="1" applyBorder="1" applyAlignment="1">
      <alignment horizontal="left" vertical="center"/>
    </xf>
    <xf numFmtId="176" fontId="91" fillId="39" borderId="16" xfId="0" applyFont="1" applyFill="1" applyBorder="1" applyAlignment="1">
      <alignment horizontal="left" vertical="center"/>
    </xf>
    <xf numFmtId="176" fontId="91" fillId="39" borderId="16" xfId="0" applyFont="1" applyFill="1" applyBorder="1" applyAlignment="1">
      <alignment vertical="center"/>
    </xf>
    <xf numFmtId="183" fontId="94" fillId="39" borderId="16" xfId="0" applyNumberFormat="1" applyFont="1" applyFill="1" applyBorder="1" applyAlignment="1">
      <alignment horizontal="left" vertical="center"/>
    </xf>
    <xf numFmtId="182" fontId="91" fillId="39" borderId="16" xfId="0" applyNumberFormat="1" applyFont="1" applyFill="1" applyBorder="1" applyAlignment="1">
      <alignment horizontal="right" vertical="center"/>
    </xf>
    <xf numFmtId="182" fontId="91" fillId="39" borderId="16" xfId="0" applyNumberFormat="1" applyFont="1" applyFill="1" applyBorder="1" applyAlignment="1">
      <alignment horizontal="left" vertical="center"/>
    </xf>
    <xf numFmtId="176" fontId="97" fillId="39" borderId="16" xfId="0" applyFont="1" applyFill="1" applyBorder="1" applyAlignment="1">
      <alignment horizontal="left" vertical="center"/>
    </xf>
    <xf numFmtId="1" fontId="93" fillId="46" borderId="16" xfId="0" applyNumberFormat="1" applyFont="1" applyFill="1" applyBorder="1" applyAlignment="1">
      <alignment horizontal="left" vertical="center"/>
    </xf>
    <xf numFmtId="176" fontId="107" fillId="0" borderId="0" xfId="0" applyFont="1" applyAlignment="1">
      <alignment horizontal="right" vertical="center"/>
    </xf>
    <xf numFmtId="186" fontId="101" fillId="0" borderId="11" xfId="0" applyNumberFormat="1" applyFont="1" applyBorder="1" applyAlignment="1">
      <alignment vertical="center" wrapText="1"/>
    </xf>
    <xf numFmtId="179" fontId="100" fillId="0" borderId="12" xfId="0" applyNumberFormat="1" applyFont="1" applyBorder="1" applyAlignment="1">
      <alignment horizontal="left" vertical="center"/>
    </xf>
    <xf numFmtId="182" fontId="100" fillId="42" borderId="12" xfId="0" applyNumberFormat="1" applyFont="1" applyFill="1" applyBorder="1" applyAlignment="1">
      <alignment horizontal="right" vertical="center"/>
    </xf>
    <xf numFmtId="181" fontId="100" fillId="0" borderId="12" xfId="0" applyNumberFormat="1" applyFont="1" applyBorder="1" applyAlignment="1">
      <alignment horizontal="left" vertical="center"/>
    </xf>
    <xf numFmtId="182" fontId="94" fillId="0" borderId="12" xfId="0" applyNumberFormat="1" applyFont="1" applyBorder="1" applyAlignment="1">
      <alignment horizontal="right" vertical="center"/>
    </xf>
    <xf numFmtId="180" fontId="94" fillId="0" borderId="12" xfId="0" applyNumberFormat="1" applyFont="1" applyBorder="1" applyAlignment="1">
      <alignment horizontal="left" vertical="center"/>
    </xf>
    <xf numFmtId="1" fontId="111" fillId="33" borderId="13" xfId="0" applyNumberFormat="1" applyFont="1" applyFill="1" applyBorder="1" applyAlignment="1">
      <alignment horizontal="left" vertical="center"/>
    </xf>
    <xf numFmtId="1" fontId="111" fillId="36" borderId="13" xfId="0" applyNumberFormat="1" applyFont="1" applyFill="1" applyBorder="1" applyAlignment="1">
      <alignment horizontal="left" vertical="center"/>
    </xf>
    <xf numFmtId="176" fontId="89" fillId="35" borderId="0" xfId="0" applyFont="1" applyFill="1" applyAlignment="1">
      <alignment horizontal="left" vertical="center"/>
    </xf>
    <xf numFmtId="180" fontId="93" fillId="0" borderId="12" xfId="0" applyNumberFormat="1" applyFont="1" applyBorder="1" applyAlignment="1">
      <alignment vertical="center"/>
    </xf>
    <xf numFmtId="1" fontId="93" fillId="46" borderId="12" xfId="0" applyNumberFormat="1" applyFont="1" applyFill="1" applyBorder="1" applyAlignment="1">
      <alignment horizontal="left" vertical="center"/>
    </xf>
    <xf numFmtId="180" fontId="93" fillId="46" borderId="12" xfId="0" applyNumberFormat="1" applyFont="1" applyFill="1" applyBorder="1" applyAlignment="1">
      <alignment vertical="center"/>
    </xf>
    <xf numFmtId="176" fontId="91" fillId="38" borderId="0" xfId="0" applyFont="1" applyFill="1" applyAlignment="1">
      <alignment horizontal="left" vertical="center"/>
    </xf>
    <xf numFmtId="1" fontId="100" fillId="0" borderId="16" xfId="0" applyNumberFormat="1" applyFont="1" applyBorder="1" applyAlignment="1">
      <alignment horizontal="left" vertical="center"/>
    </xf>
    <xf numFmtId="180" fontId="100" fillId="0" borderId="16" xfId="0" applyNumberFormat="1" applyFont="1" applyBorder="1" applyAlignment="1">
      <alignment vertical="center"/>
    </xf>
    <xf numFmtId="179" fontId="93" fillId="0" borderId="16" xfId="0" applyNumberFormat="1" applyFont="1" applyBorder="1" applyAlignment="1">
      <alignment horizontal="left" vertical="center"/>
    </xf>
    <xf numFmtId="176" fontId="91" fillId="48" borderId="10" xfId="0" applyFont="1" applyFill="1" applyBorder="1" applyAlignment="1">
      <alignment horizontal="left" vertical="center"/>
    </xf>
    <xf numFmtId="176" fontId="91" fillId="43" borderId="0" xfId="0" applyFont="1" applyFill="1" applyAlignment="1">
      <alignment horizontal="left" vertical="center"/>
    </xf>
    <xf numFmtId="186" fontId="101" fillId="0" borderId="12" xfId="0" applyNumberFormat="1" applyFont="1" applyBorder="1" applyAlignment="1">
      <alignment horizontal="left" vertical="center" wrapText="1"/>
    </xf>
    <xf numFmtId="182" fontId="100" fillId="0" borderId="12" xfId="0" applyNumberFormat="1" applyFont="1" applyBorder="1" applyAlignment="1">
      <alignment horizontal="right" vertical="center"/>
    </xf>
    <xf numFmtId="1" fontId="100" fillId="0" borderId="12" xfId="0" applyNumberFormat="1" applyFont="1" applyBorder="1" applyAlignment="1">
      <alignment horizontal="left" vertical="center"/>
    </xf>
    <xf numFmtId="180" fontId="100" fillId="0" borderId="12" xfId="0" applyNumberFormat="1" applyFont="1" applyBorder="1" applyAlignment="1">
      <alignment vertical="center"/>
    </xf>
    <xf numFmtId="1" fontId="94" fillId="0" borderId="12" xfId="0" applyNumberFormat="1" applyFont="1" applyBorder="1" applyAlignment="1">
      <alignment horizontal="left" vertical="center"/>
    </xf>
    <xf numFmtId="179" fontId="94" fillId="0" borderId="12" xfId="0" applyNumberFormat="1" applyFont="1" applyBorder="1" applyAlignment="1">
      <alignment horizontal="left" vertical="center"/>
    </xf>
    <xf numFmtId="180" fontId="94" fillId="0" borderId="12" xfId="0" applyNumberFormat="1" applyFont="1" applyBorder="1" applyAlignment="1">
      <alignment vertical="center"/>
    </xf>
    <xf numFmtId="181" fontId="101" fillId="42" borderId="12" xfId="0" applyNumberFormat="1" applyFont="1" applyFill="1" applyBorder="1" applyAlignment="1">
      <alignment horizontal="left" vertical="center" wrapText="1"/>
    </xf>
    <xf numFmtId="186" fontId="143" fillId="0" borderId="12" xfId="0" applyNumberFormat="1" applyFont="1" applyBorder="1" applyAlignment="1">
      <alignment horizontal="left" vertical="center" wrapText="1"/>
    </xf>
    <xf numFmtId="179" fontId="93" fillId="42" borderId="12" xfId="0" applyNumberFormat="1" applyFont="1" applyFill="1" applyBorder="1" applyAlignment="1">
      <alignment horizontal="left" vertical="center"/>
    </xf>
    <xf numFmtId="180" fontId="100" fillId="42" borderId="12" xfId="0" applyNumberFormat="1" applyFont="1" applyFill="1" applyBorder="1" applyAlignment="1">
      <alignment horizontal="left" vertical="center"/>
    </xf>
    <xf numFmtId="1" fontId="88" fillId="33" borderId="13" xfId="0" applyNumberFormat="1" applyFont="1" applyFill="1" applyBorder="1" applyAlignment="1">
      <alignment horizontal="left" vertical="center"/>
    </xf>
    <xf numFmtId="1" fontId="89" fillId="36" borderId="13" xfId="0" applyNumberFormat="1" applyFont="1" applyFill="1" applyBorder="1" applyAlignment="1">
      <alignment horizontal="left" vertical="center"/>
    </xf>
    <xf numFmtId="181" fontId="100" fillId="42" borderId="12" xfId="0" applyNumberFormat="1" applyFont="1" applyFill="1" applyBorder="1" applyAlignment="1">
      <alignment horizontal="left" vertical="center"/>
    </xf>
    <xf numFmtId="1" fontId="94" fillId="0" borderId="16" xfId="0" applyNumberFormat="1" applyFont="1" applyBorder="1" applyAlignment="1">
      <alignment horizontal="left" vertical="center"/>
    </xf>
    <xf numFmtId="186" fontId="144" fillId="0" borderId="12" xfId="0" applyNumberFormat="1" applyFont="1" applyBorder="1" applyAlignment="1">
      <alignment horizontal="left" vertical="center" wrapText="1"/>
    </xf>
    <xf numFmtId="176" fontId="91" fillId="44" borderId="0" xfId="0" applyFont="1" applyFill="1" applyAlignment="1">
      <alignment horizontal="left" vertical="center"/>
    </xf>
    <xf numFmtId="186" fontId="110" fillId="0" borderId="11" xfId="0" applyNumberFormat="1" applyFont="1" applyBorder="1" applyAlignment="1">
      <alignment vertical="center" wrapText="1"/>
    </xf>
    <xf numFmtId="181" fontId="105" fillId="80" borderId="12" xfId="0" applyNumberFormat="1" applyFont="1" applyFill="1" applyBorder="1" applyAlignment="1">
      <alignment horizontal="left" vertical="center"/>
    </xf>
    <xf numFmtId="1" fontId="105" fillId="80" borderId="12" xfId="0" applyNumberFormat="1" applyFont="1" applyFill="1" applyBorder="1" applyAlignment="1">
      <alignment horizontal="left" vertical="center"/>
    </xf>
    <xf numFmtId="180" fontId="105" fillId="80" borderId="12" xfId="0" applyNumberFormat="1" applyFont="1" applyFill="1" applyBorder="1" applyAlignment="1">
      <alignment vertical="center"/>
    </xf>
    <xf numFmtId="182" fontId="105" fillId="80" borderId="12" xfId="0" applyNumberFormat="1" applyFont="1" applyFill="1" applyBorder="1" applyAlignment="1">
      <alignment horizontal="right" vertical="center"/>
    </xf>
    <xf numFmtId="180" fontId="105" fillId="80" borderId="12" xfId="0" applyNumberFormat="1" applyFont="1" applyFill="1" applyBorder="1" applyAlignment="1">
      <alignment horizontal="left" vertical="center"/>
    </xf>
    <xf numFmtId="186" fontId="106" fillId="80" borderId="12" xfId="0" applyNumberFormat="1" applyFont="1" applyFill="1" applyBorder="1" applyAlignment="1">
      <alignment horizontal="left" vertical="center" wrapText="1"/>
    </xf>
    <xf numFmtId="179" fontId="93" fillId="80" borderId="12" xfId="0" applyNumberFormat="1" applyFont="1" applyFill="1" applyBorder="1" applyAlignment="1">
      <alignment horizontal="left" vertical="center"/>
    </xf>
    <xf numFmtId="180" fontId="94" fillId="46" borderId="12" xfId="0" applyNumberFormat="1" applyFont="1" applyFill="1" applyBorder="1" applyAlignment="1">
      <alignment vertical="center"/>
    </xf>
    <xf numFmtId="176" fontId="100" fillId="39" borderId="12" xfId="0" applyFont="1" applyFill="1" applyBorder="1" applyAlignment="1">
      <alignment horizontal="left" vertical="center"/>
    </xf>
    <xf numFmtId="176" fontId="100" fillId="39" borderId="16" xfId="0" applyFont="1" applyFill="1" applyBorder="1" applyAlignment="1">
      <alignment horizontal="left" vertical="center"/>
    </xf>
    <xf numFmtId="176" fontId="100" fillId="39" borderId="0" xfId="0" applyFont="1" applyFill="1" applyAlignment="1">
      <alignment horizontal="left" vertical="center"/>
    </xf>
    <xf numFmtId="186" fontId="146" fillId="0" borderId="12" xfId="0" applyNumberFormat="1" applyFont="1" applyBorder="1" applyAlignment="1">
      <alignment horizontal="left" vertical="center" wrapText="1"/>
    </xf>
    <xf numFmtId="176" fontId="91" fillId="83" borderId="0" xfId="0" applyFont="1" applyFill="1" applyAlignment="1">
      <alignment horizontal="left" vertical="center"/>
    </xf>
    <xf numFmtId="176" fontId="91" fillId="84" borderId="10" xfId="0" applyFont="1" applyFill="1" applyBorder="1" applyAlignment="1">
      <alignment horizontal="left" vertical="center"/>
    </xf>
    <xf numFmtId="176" fontId="91" fillId="81" borderId="10" xfId="0" applyFont="1" applyFill="1" applyBorder="1" applyAlignment="1">
      <alignment horizontal="left" vertical="center"/>
    </xf>
    <xf numFmtId="181" fontId="94" fillId="0" borderId="12" xfId="0" applyNumberFormat="1" applyFont="1" applyBorder="1" applyAlignment="1">
      <alignment horizontal="left" vertical="center"/>
    </xf>
    <xf numFmtId="176" fontId="91" fillId="86" borderId="10" xfId="0" applyFont="1" applyFill="1" applyBorder="1" applyAlignment="1">
      <alignment horizontal="left" vertical="center"/>
    </xf>
    <xf numFmtId="176" fontId="91" fillId="86" borderId="0" xfId="0" applyFont="1" applyFill="1" applyAlignment="1">
      <alignment horizontal="left" vertical="center"/>
    </xf>
    <xf numFmtId="179" fontId="100" fillId="0" borderId="16" xfId="0" applyNumberFormat="1" applyFont="1" applyBorder="1" applyAlignment="1">
      <alignment horizontal="left" vertical="center"/>
    </xf>
    <xf numFmtId="1" fontId="89" fillId="33" borderId="13" xfId="0" applyNumberFormat="1" applyFont="1" applyFill="1" applyBorder="1" applyAlignment="1">
      <alignment horizontal="left" vertical="center"/>
    </xf>
    <xf numFmtId="176" fontId="91" fillId="85" borderId="0" xfId="0" applyFont="1" applyFill="1" applyAlignment="1">
      <alignment horizontal="left" vertical="center"/>
    </xf>
    <xf numFmtId="186" fontId="110" fillId="0" borderId="12" xfId="0" applyNumberFormat="1" applyFont="1" applyBorder="1" applyAlignment="1">
      <alignment horizontal="left" vertical="center" wrapText="1"/>
    </xf>
    <xf numFmtId="176" fontId="91" fillId="82" borderId="0" xfId="0" applyFont="1" applyFill="1" applyAlignment="1">
      <alignment horizontal="left" vertical="center"/>
    </xf>
    <xf numFmtId="1" fontId="94" fillId="46" borderId="12" xfId="0" applyNumberFormat="1" applyFont="1" applyFill="1" applyBorder="1" applyAlignment="1">
      <alignment horizontal="left" vertical="center"/>
    </xf>
    <xf numFmtId="179" fontId="94" fillId="0" borderId="16" xfId="0" applyNumberFormat="1" applyFont="1" applyBorder="1" applyAlignment="1">
      <alignment horizontal="left" vertical="center"/>
    </xf>
    <xf numFmtId="186" fontId="150" fillId="0" borderId="11" xfId="0" applyNumberFormat="1" applyFont="1" applyBorder="1" applyAlignment="1">
      <alignment vertical="center" wrapText="1"/>
    </xf>
    <xf numFmtId="179" fontId="105" fillId="80" borderId="12" xfId="0" applyNumberFormat="1" applyFont="1" applyFill="1" applyBorder="1" applyAlignment="1">
      <alignment horizontal="left" vertical="center"/>
    </xf>
    <xf numFmtId="176" fontId="145" fillId="87" borderId="0" xfId="0" applyFont="1" applyFill="1"/>
    <xf numFmtId="182" fontId="149" fillId="0" borderId="12" xfId="0" applyNumberFormat="1" applyFont="1" applyBorder="1" applyAlignment="1">
      <alignment horizontal="center" vertical="center"/>
    </xf>
    <xf numFmtId="186" fontId="148" fillId="0" borderId="12" xfId="0" applyNumberFormat="1" applyFont="1" applyBorder="1" applyAlignment="1">
      <alignment horizontal="left" vertical="center" wrapText="1"/>
    </xf>
    <xf numFmtId="176" fontId="145" fillId="87" borderId="0" xfId="0" applyFont="1" applyFill="1" applyAlignment="1">
      <alignment vertical="center"/>
    </xf>
    <xf numFmtId="1" fontId="93" fillId="41" borderId="12" xfId="0" applyNumberFormat="1" applyFont="1" applyFill="1" applyBorder="1" applyAlignment="1">
      <alignment horizontal="left" vertical="center"/>
    </xf>
    <xf numFmtId="181" fontId="100" fillId="41" borderId="12" xfId="0" applyNumberFormat="1" applyFont="1" applyFill="1" applyBorder="1" applyAlignment="1">
      <alignment horizontal="left" vertical="center"/>
    </xf>
    <xf numFmtId="186" fontId="101" fillId="42" borderId="12" xfId="0" applyNumberFormat="1" applyFont="1" applyFill="1" applyBorder="1" applyAlignment="1">
      <alignment horizontal="left" vertical="center" wrapText="1"/>
    </xf>
    <xf numFmtId="186" fontId="147" fillId="0" borderId="12" xfId="0" applyNumberFormat="1" applyFont="1" applyBorder="1" applyAlignment="1">
      <alignment horizontal="left" vertical="center" wrapText="1"/>
    </xf>
    <xf numFmtId="186" fontId="151" fillId="0" borderId="11" xfId="0" applyNumberFormat="1" applyFont="1" applyBorder="1" applyAlignment="1">
      <alignment vertical="center" wrapText="1"/>
    </xf>
    <xf numFmtId="1" fontId="100" fillId="41" borderId="12" xfId="0" applyNumberFormat="1" applyFont="1" applyFill="1" applyBorder="1" applyAlignment="1">
      <alignment horizontal="left" vertical="center"/>
    </xf>
    <xf numFmtId="176" fontId="190" fillId="0" borderId="27" xfId="0" applyFont="1" applyBorder="1" applyAlignment="1">
      <alignment vertical="center"/>
    </xf>
    <xf numFmtId="1" fontId="89" fillId="33" borderId="13" xfId="0" quotePrefix="1" applyNumberFormat="1" applyFont="1" applyFill="1" applyBorder="1" applyAlignment="1">
      <alignment horizontal="left" vertical="center"/>
    </xf>
    <xf numFmtId="186" fontId="194" fillId="42" borderId="12" xfId="0" applyNumberFormat="1" applyFont="1" applyFill="1" applyBorder="1" applyAlignment="1">
      <alignment horizontal="left" vertical="center" wrapText="1"/>
    </xf>
    <xf numFmtId="179" fontId="100" fillId="42" borderId="12" xfId="0" applyNumberFormat="1" applyFont="1" applyFill="1" applyBorder="1" applyAlignment="1">
      <alignment horizontal="left" vertical="center"/>
    </xf>
    <xf numFmtId="186" fontId="110" fillId="42" borderId="12" xfId="0" applyNumberFormat="1" applyFont="1" applyFill="1" applyBorder="1" applyAlignment="1">
      <alignment horizontal="left" vertical="center" wrapText="1"/>
    </xf>
    <xf numFmtId="176" fontId="0" fillId="41" borderId="0" xfId="0" applyFill="1"/>
    <xf numFmtId="186" fontId="201" fillId="80" borderId="12" xfId="0" applyNumberFormat="1" applyFont="1" applyFill="1" applyBorder="1" applyAlignment="1">
      <alignment horizontal="left" vertical="center" wrapText="1"/>
    </xf>
    <xf numFmtId="186" fontId="203" fillId="0" borderId="11" xfId="0" applyNumberFormat="1" applyFont="1" applyBorder="1" applyAlignment="1">
      <alignment vertical="center" wrapText="1"/>
    </xf>
    <xf numFmtId="186" fontId="206" fillId="0" borderId="11" xfId="0" applyNumberFormat="1" applyFont="1" applyBorder="1" applyAlignment="1">
      <alignment vertical="center" wrapText="1"/>
    </xf>
    <xf numFmtId="180" fontId="93" fillId="80" borderId="12" xfId="0" applyNumberFormat="1" applyFont="1" applyFill="1" applyBorder="1" applyAlignment="1">
      <alignment vertical="center"/>
    </xf>
    <xf numFmtId="186" fontId="207" fillId="0" borderId="12" xfId="0" applyNumberFormat="1" applyFont="1" applyBorder="1" applyAlignment="1">
      <alignment horizontal="left" vertical="center" wrapText="1"/>
    </xf>
    <xf numFmtId="186" fontId="207" fillId="0" borderId="11" xfId="0" applyNumberFormat="1" applyFont="1" applyBorder="1" applyAlignment="1">
      <alignment vertical="center" wrapText="1"/>
    </xf>
    <xf numFmtId="179" fontId="208" fillId="0" borderId="0" xfId="14476" applyNumberFormat="1" applyFont="1" applyAlignment="1">
      <alignment horizontal="center"/>
    </xf>
    <xf numFmtId="0" fontId="209" fillId="0" borderId="0" xfId="14476" applyFont="1" applyAlignment="1">
      <alignment horizontal="left" vertical="top"/>
    </xf>
    <xf numFmtId="0" fontId="1" fillId="0" borderId="0" xfId="14476" applyAlignment="1">
      <alignment horizontal="left" vertical="center"/>
    </xf>
    <xf numFmtId="0" fontId="1" fillId="0" borderId="0" xfId="14476" applyAlignment="1">
      <alignment horizontal="left"/>
    </xf>
    <xf numFmtId="0" fontId="1" fillId="0" borderId="0" xfId="14476" applyAlignment="1"/>
    <xf numFmtId="0" fontId="1" fillId="41" borderId="0" xfId="14476" applyFill="1" applyAlignment="1"/>
    <xf numFmtId="0" fontId="209" fillId="0" borderId="0" xfId="14476" applyFont="1" applyAlignment="1"/>
    <xf numFmtId="0" fontId="1" fillId="0" borderId="0" xfId="14476">
      <alignment vertical="center"/>
    </xf>
    <xf numFmtId="49" fontId="1" fillId="0" borderId="0" xfId="14476" applyNumberFormat="1">
      <alignment vertical="center"/>
    </xf>
    <xf numFmtId="176" fontId="190" fillId="0" borderId="0" xfId="0" applyFont="1" applyAlignment="1">
      <alignment horizontal="center" vertical="center"/>
    </xf>
    <xf numFmtId="186" fontId="96" fillId="34" borderId="11" xfId="0" applyNumberFormat="1" applyFont="1" applyFill="1" applyBorder="1" applyAlignment="1">
      <alignment horizontal="center" vertical="center"/>
    </xf>
    <xf numFmtId="186" fontId="96" fillId="34" borderId="16" xfId="0" applyNumberFormat="1" applyFont="1" applyFill="1" applyBorder="1" applyAlignment="1">
      <alignment horizontal="center" vertical="center"/>
    </xf>
    <xf numFmtId="182" fontId="109" fillId="34" borderId="11" xfId="0" applyNumberFormat="1" applyFont="1" applyFill="1" applyBorder="1" applyAlignment="1">
      <alignment horizontal="right" vertical="center" wrapText="1"/>
    </xf>
    <xf numFmtId="182" fontId="109" fillId="34" borderId="16" xfId="0" applyNumberFormat="1" applyFont="1" applyFill="1" applyBorder="1" applyAlignment="1">
      <alignment horizontal="right" vertical="center" wrapText="1"/>
    </xf>
    <xf numFmtId="176" fontId="87" fillId="34" borderId="11" xfId="0" applyFont="1" applyFill="1" applyBorder="1" applyAlignment="1">
      <alignment horizontal="center" vertical="center" wrapText="1"/>
    </xf>
    <xf numFmtId="176" fontId="87" fillId="34" borderId="16" xfId="0" applyFont="1" applyFill="1" applyBorder="1" applyAlignment="1">
      <alignment horizontal="center" vertical="center" wrapText="1"/>
    </xf>
    <xf numFmtId="176" fontId="87" fillId="34" borderId="15" xfId="0" applyFont="1" applyFill="1" applyBorder="1" applyAlignment="1">
      <alignment horizontal="center" vertical="center" wrapText="1"/>
    </xf>
    <xf numFmtId="179" fontId="90" fillId="34" borderId="11" xfId="0" applyNumberFormat="1" applyFont="1" applyFill="1" applyBorder="1" applyAlignment="1">
      <alignment horizontal="center" vertical="center" wrapText="1"/>
    </xf>
    <xf numFmtId="179" fontId="90" fillId="34" borderId="16" xfId="0" applyNumberFormat="1" applyFont="1" applyFill="1" applyBorder="1" applyAlignment="1">
      <alignment horizontal="center" vertical="center" wrapText="1"/>
    </xf>
    <xf numFmtId="1" fontId="87" fillId="34" borderId="11" xfId="0" applyNumberFormat="1" applyFont="1" applyFill="1" applyBorder="1" applyAlignment="1">
      <alignment vertical="center" wrapText="1"/>
    </xf>
    <xf numFmtId="1" fontId="87" fillId="34" borderId="16" xfId="0" applyNumberFormat="1" applyFont="1" applyFill="1" applyBorder="1" applyAlignment="1">
      <alignment vertical="center" wrapText="1"/>
    </xf>
    <xf numFmtId="183" fontId="96" fillId="34" borderId="11" xfId="0" applyNumberFormat="1" applyFont="1" applyFill="1" applyBorder="1" applyAlignment="1">
      <alignment horizontal="center" vertical="center" wrapText="1"/>
    </xf>
    <xf numFmtId="183" fontId="96" fillId="34" borderId="16" xfId="0" applyNumberFormat="1" applyFont="1" applyFill="1" applyBorder="1" applyAlignment="1">
      <alignment horizontal="center" vertical="center" wrapText="1"/>
    </xf>
    <xf numFmtId="1" fontId="87" fillId="34" borderId="11" xfId="0" applyNumberFormat="1" applyFont="1" applyFill="1" applyBorder="1" applyAlignment="1">
      <alignment horizontal="center" vertical="center" wrapText="1"/>
    </xf>
    <xf numFmtId="1" fontId="87" fillId="34" borderId="16" xfId="0" applyNumberFormat="1" applyFont="1" applyFill="1" applyBorder="1" applyAlignment="1">
      <alignment horizontal="center" vertical="center" wrapText="1"/>
    </xf>
    <xf numFmtId="176" fontId="87" fillId="79" borderId="17" xfId="0" applyFont="1" applyFill="1" applyBorder="1" applyAlignment="1">
      <alignment horizontal="center" vertical="center" wrapText="1"/>
    </xf>
    <xf numFmtId="176" fontId="87" fillId="79" borderId="16" xfId="0" applyFont="1" applyFill="1" applyBorder="1" applyAlignment="1">
      <alignment horizontal="center" vertical="center" wrapText="1"/>
    </xf>
    <xf numFmtId="176" fontId="87" fillId="34" borderId="17" xfId="0" applyFont="1" applyFill="1" applyBorder="1" applyAlignment="1">
      <alignment horizontal="center" vertical="center" wrapText="1"/>
    </xf>
    <xf numFmtId="185" fontId="117" fillId="0" borderId="18" xfId="1422" applyNumberFormat="1" applyFont="1" applyFill="1" applyBorder="1" applyAlignment="1">
      <alignment horizontal="center" vertical="center"/>
    </xf>
    <xf numFmtId="2" fontId="120" fillId="0" borderId="10" xfId="1421" applyNumberFormat="1" applyFont="1" applyBorder="1" applyAlignment="1">
      <alignment horizontal="center" vertical="center"/>
    </xf>
    <xf numFmtId="185" fontId="117" fillId="0" borderId="18" xfId="1422" applyNumberFormat="1" applyFont="1" applyFill="1" applyBorder="1" applyAlignment="1">
      <alignment horizontal="center" vertical="center" wrapText="1"/>
    </xf>
    <xf numFmtId="185" fontId="117" fillId="0" borderId="20" xfId="1422" applyNumberFormat="1" applyFont="1" applyFill="1" applyBorder="1" applyAlignment="1">
      <alignment horizontal="center" vertical="center" wrapText="1"/>
    </xf>
    <xf numFmtId="185" fontId="117" fillId="0" borderId="12" xfId="1422" applyNumberFormat="1" applyFont="1" applyFill="1" applyBorder="1" applyAlignment="1">
      <alignment horizontal="center" vertical="center" wrapText="1"/>
    </xf>
    <xf numFmtId="184" fontId="117" fillId="0" borderId="18" xfId="1422" applyNumberFormat="1" applyFont="1" applyFill="1" applyBorder="1" applyAlignment="1">
      <alignment horizontal="center" vertical="center"/>
    </xf>
    <xf numFmtId="186" fontId="117" fillId="0" borderId="18" xfId="1422" applyNumberFormat="1" applyFont="1" applyFill="1" applyBorder="1" applyAlignment="1">
      <alignment horizontal="center" vertical="center"/>
    </xf>
  </cellXfs>
  <cellStyles count="14477">
    <cellStyle name="0,0_x000d__x000a_NA_x000d__x000a_" xfId="1" xr:uid="{00000000-0005-0000-0000-000000000000}"/>
    <cellStyle name="20% - Accent1 2" xfId="1510" xr:uid="{00000000-0005-0000-0000-000001000000}"/>
    <cellStyle name="20% - Accent1 3" xfId="4664" xr:uid="{00000000-0005-0000-0000-000002000000}"/>
    <cellStyle name="20% - Accent1 4" xfId="14270" xr:uid="{00000000-0005-0000-0000-000003000000}"/>
    <cellStyle name="20% - Accent1 5" xfId="14451" xr:uid="{00000000-0005-0000-0000-000004000000}"/>
    <cellStyle name="20% - Accent2 2" xfId="1514" xr:uid="{00000000-0005-0000-0000-000005000000}"/>
    <cellStyle name="20% - Accent2 3" xfId="4668" xr:uid="{00000000-0005-0000-0000-000006000000}"/>
    <cellStyle name="20% - Accent2 4" xfId="14274" xr:uid="{00000000-0005-0000-0000-000007000000}"/>
    <cellStyle name="20% - Accent2 5" xfId="14455" xr:uid="{00000000-0005-0000-0000-000008000000}"/>
    <cellStyle name="20% - Accent3 2" xfId="1518" xr:uid="{00000000-0005-0000-0000-000009000000}"/>
    <cellStyle name="20% - Accent3 3" xfId="4672" xr:uid="{00000000-0005-0000-0000-00000A000000}"/>
    <cellStyle name="20% - Accent3 4" xfId="14278" xr:uid="{00000000-0005-0000-0000-00000B000000}"/>
    <cellStyle name="20% - Accent3 5" xfId="14459" xr:uid="{00000000-0005-0000-0000-00000C000000}"/>
    <cellStyle name="20% - Accent4 2" xfId="1522" xr:uid="{00000000-0005-0000-0000-00000D000000}"/>
    <cellStyle name="20% - Accent4 3" xfId="4676" xr:uid="{00000000-0005-0000-0000-00000E000000}"/>
    <cellStyle name="20% - Accent4 4" xfId="14282" xr:uid="{00000000-0005-0000-0000-00000F000000}"/>
    <cellStyle name="20% - Accent4 5" xfId="14463" xr:uid="{00000000-0005-0000-0000-000010000000}"/>
    <cellStyle name="20% - Accent5 2" xfId="1526" xr:uid="{00000000-0005-0000-0000-000011000000}"/>
    <cellStyle name="20% - Accent5 3" xfId="4680" xr:uid="{00000000-0005-0000-0000-000012000000}"/>
    <cellStyle name="20% - Accent5 4" xfId="14286" xr:uid="{00000000-0005-0000-0000-000013000000}"/>
    <cellStyle name="20% - Accent5 5" xfId="14467" xr:uid="{00000000-0005-0000-0000-000014000000}"/>
    <cellStyle name="20% - Accent6 2" xfId="1530" xr:uid="{00000000-0005-0000-0000-000015000000}"/>
    <cellStyle name="20% - Accent6 3" xfId="4684" xr:uid="{00000000-0005-0000-0000-000016000000}"/>
    <cellStyle name="20% - Accent6 4" xfId="14290" xr:uid="{00000000-0005-0000-0000-000017000000}"/>
    <cellStyle name="20% - Accent6 5" xfId="14471" xr:uid="{00000000-0005-0000-0000-000018000000}"/>
    <cellStyle name="20% - 강조색1 2" xfId="14300" xr:uid="{00000000-0005-0000-0000-000019000000}"/>
    <cellStyle name="20% - 강조색1 3" xfId="14301" xr:uid="{00000000-0005-0000-0000-00001A000000}"/>
    <cellStyle name="20% - 강조색2 2" xfId="14302" xr:uid="{00000000-0005-0000-0000-00001B000000}"/>
    <cellStyle name="20% - 강조색2 3" xfId="14303" xr:uid="{00000000-0005-0000-0000-00001C000000}"/>
    <cellStyle name="20% - 강조색3 2" xfId="14304" xr:uid="{00000000-0005-0000-0000-00001D000000}"/>
    <cellStyle name="20% - 강조색3 3" xfId="14305" xr:uid="{00000000-0005-0000-0000-00001E000000}"/>
    <cellStyle name="20% - 강조색4 2" xfId="14306" xr:uid="{00000000-0005-0000-0000-00001F000000}"/>
    <cellStyle name="20% - 강조색4 3" xfId="14307" xr:uid="{00000000-0005-0000-0000-000020000000}"/>
    <cellStyle name="20% - 강조색5 2" xfId="14308" xr:uid="{00000000-0005-0000-0000-000021000000}"/>
    <cellStyle name="20% - 강조색5 3" xfId="14309" xr:uid="{00000000-0005-0000-0000-000022000000}"/>
    <cellStyle name="20% - 강조색6 2" xfId="14310" xr:uid="{00000000-0005-0000-0000-000023000000}"/>
    <cellStyle name="20% - 강조색6 3" xfId="14311" xr:uid="{00000000-0005-0000-0000-000024000000}"/>
    <cellStyle name="20% - 着色 1 2" xfId="248" xr:uid="{00000000-0005-0000-0000-00001B010000}"/>
    <cellStyle name="20% - 着色 2 2" xfId="249" xr:uid="{00000000-0005-0000-0000-00001C010000}"/>
    <cellStyle name="20% - 着色 3 2" xfId="250" xr:uid="{00000000-0005-0000-0000-00001D010000}"/>
    <cellStyle name="20% - 着色 4 2" xfId="251" xr:uid="{00000000-0005-0000-0000-00001E010000}"/>
    <cellStyle name="20% - 着色 5 2" xfId="252" xr:uid="{00000000-0005-0000-0000-00001F010000}"/>
    <cellStyle name="20% - 着色 6 2" xfId="253" xr:uid="{00000000-0005-0000-0000-000020010000}"/>
    <cellStyle name="20% - 强调文字颜色 1 10" xfId="2" xr:uid="{00000000-0005-0000-0000-000025000000}"/>
    <cellStyle name="20% - 强调文字颜色 1 11" xfId="3" xr:uid="{00000000-0005-0000-0000-000026000000}"/>
    <cellStyle name="20% - 强调文字颜色 1 12" xfId="4" xr:uid="{00000000-0005-0000-0000-000027000000}"/>
    <cellStyle name="20% - 强调文字颜色 1 13" xfId="5" xr:uid="{00000000-0005-0000-0000-000028000000}"/>
    <cellStyle name="20% - 强调文字颜色 1 14" xfId="6" xr:uid="{00000000-0005-0000-0000-000029000000}"/>
    <cellStyle name="20% - 强调文字颜色 1 15" xfId="7" xr:uid="{00000000-0005-0000-0000-00002A000000}"/>
    <cellStyle name="20% - 强调文字颜色 1 16" xfId="8" xr:uid="{00000000-0005-0000-0000-00002B000000}"/>
    <cellStyle name="20% - 强调文字颜色 1 17" xfId="9" xr:uid="{00000000-0005-0000-0000-00002C000000}"/>
    <cellStyle name="20% - 强调文字颜色 1 18" xfId="10" xr:uid="{00000000-0005-0000-0000-00002D000000}"/>
    <cellStyle name="20% - 强调文字颜色 1 19" xfId="11" xr:uid="{00000000-0005-0000-0000-00002E000000}"/>
    <cellStyle name="20% - 强调文字颜色 1 2" xfId="12" xr:uid="{00000000-0005-0000-0000-00002F000000}"/>
    <cellStyle name="20% - 强调文字颜色 1 20" xfId="13" xr:uid="{00000000-0005-0000-0000-000030000000}"/>
    <cellStyle name="20% - 强调文字颜色 1 21" xfId="14" xr:uid="{00000000-0005-0000-0000-000031000000}"/>
    <cellStyle name="20% - 强调文字颜色 1 22" xfId="15" xr:uid="{00000000-0005-0000-0000-000032000000}"/>
    <cellStyle name="20% - 强调文字颜色 1 23" xfId="16" xr:uid="{00000000-0005-0000-0000-000033000000}"/>
    <cellStyle name="20% - 强调文字颜色 1 24" xfId="17" xr:uid="{00000000-0005-0000-0000-000034000000}"/>
    <cellStyle name="20% - 强调文字颜色 1 25" xfId="18" xr:uid="{00000000-0005-0000-0000-000035000000}"/>
    <cellStyle name="20% - 强调文字颜色 1 26" xfId="19" xr:uid="{00000000-0005-0000-0000-000036000000}"/>
    <cellStyle name="20% - 强调文字颜色 1 27" xfId="20" xr:uid="{00000000-0005-0000-0000-000037000000}"/>
    <cellStyle name="20% - 强调文字颜色 1 28" xfId="21" xr:uid="{00000000-0005-0000-0000-000038000000}"/>
    <cellStyle name="20% - 强调文字颜色 1 29" xfId="22" xr:uid="{00000000-0005-0000-0000-000039000000}"/>
    <cellStyle name="20% - 强调文字颜色 1 3" xfId="23" xr:uid="{00000000-0005-0000-0000-00003A000000}"/>
    <cellStyle name="20% - 强调文字颜色 1 30" xfId="24" xr:uid="{00000000-0005-0000-0000-00003B000000}"/>
    <cellStyle name="20% - 强调文字颜色 1 31" xfId="25" xr:uid="{00000000-0005-0000-0000-00003C000000}"/>
    <cellStyle name="20% - 强调文字颜色 1 32" xfId="26" xr:uid="{00000000-0005-0000-0000-00003D000000}"/>
    <cellStyle name="20% - 强调文字颜色 1 33" xfId="27" xr:uid="{00000000-0005-0000-0000-00003E000000}"/>
    <cellStyle name="20% - 强调文字颜色 1 33 2" xfId="28" xr:uid="{00000000-0005-0000-0000-00003F000000}"/>
    <cellStyle name="20% - 强调文字颜色 1 33 2 2" xfId="29" xr:uid="{00000000-0005-0000-0000-000040000000}"/>
    <cellStyle name="20% - 强调文字颜色 1 33 3" xfId="30" xr:uid="{00000000-0005-0000-0000-000041000000}"/>
    <cellStyle name="20% - 强调文字颜色 1 34" xfId="31" xr:uid="{00000000-0005-0000-0000-000042000000}"/>
    <cellStyle name="20% - 强调文字颜色 1 34 2" xfId="32" xr:uid="{00000000-0005-0000-0000-000043000000}"/>
    <cellStyle name="20% - 强调文字颜色 1 34 2 2" xfId="33" xr:uid="{00000000-0005-0000-0000-000044000000}"/>
    <cellStyle name="20% - 强调文字颜色 1 34 3" xfId="34" xr:uid="{00000000-0005-0000-0000-000045000000}"/>
    <cellStyle name="20% - 强调文字颜色 1 35" xfId="35" xr:uid="{00000000-0005-0000-0000-000046000000}"/>
    <cellStyle name="20% - 强调文字颜色 1 35 2" xfId="36" xr:uid="{00000000-0005-0000-0000-000047000000}"/>
    <cellStyle name="20% - 强调文字颜色 1 4" xfId="37" xr:uid="{00000000-0005-0000-0000-000048000000}"/>
    <cellStyle name="20% - 强调文字颜色 1 5" xfId="38" xr:uid="{00000000-0005-0000-0000-000049000000}"/>
    <cellStyle name="20% - 强调文字颜色 1 6" xfId="39" xr:uid="{00000000-0005-0000-0000-00004A000000}"/>
    <cellStyle name="20% - 强调文字颜色 1 7" xfId="40" xr:uid="{00000000-0005-0000-0000-00004B000000}"/>
    <cellStyle name="20% - 强调文字颜色 1 8" xfId="41" xr:uid="{00000000-0005-0000-0000-00004C000000}"/>
    <cellStyle name="20% - 强调文字颜色 1 9" xfId="42" xr:uid="{00000000-0005-0000-0000-00004D000000}"/>
    <cellStyle name="20% - 强调文字颜色 2 10" xfId="43" xr:uid="{00000000-0005-0000-0000-00004E000000}"/>
    <cellStyle name="20% - 强调文字颜色 2 11" xfId="44" xr:uid="{00000000-0005-0000-0000-00004F000000}"/>
    <cellStyle name="20% - 强调文字颜色 2 12" xfId="45" xr:uid="{00000000-0005-0000-0000-000050000000}"/>
    <cellStyle name="20% - 强调文字颜色 2 13" xfId="46" xr:uid="{00000000-0005-0000-0000-000051000000}"/>
    <cellStyle name="20% - 强调文字颜色 2 14" xfId="47" xr:uid="{00000000-0005-0000-0000-000052000000}"/>
    <cellStyle name="20% - 强调文字颜色 2 15" xfId="48" xr:uid="{00000000-0005-0000-0000-000053000000}"/>
    <cellStyle name="20% - 强调文字颜色 2 16" xfId="49" xr:uid="{00000000-0005-0000-0000-000054000000}"/>
    <cellStyle name="20% - 强调文字颜色 2 17" xfId="50" xr:uid="{00000000-0005-0000-0000-000055000000}"/>
    <cellStyle name="20% - 强调文字颜色 2 18" xfId="51" xr:uid="{00000000-0005-0000-0000-000056000000}"/>
    <cellStyle name="20% - 强调文字颜色 2 19" xfId="52" xr:uid="{00000000-0005-0000-0000-000057000000}"/>
    <cellStyle name="20% - 强调文字颜色 2 2" xfId="53" xr:uid="{00000000-0005-0000-0000-000058000000}"/>
    <cellStyle name="20% - 强调文字颜色 2 20" xfId="54" xr:uid="{00000000-0005-0000-0000-000059000000}"/>
    <cellStyle name="20% - 强调文字颜色 2 21" xfId="55" xr:uid="{00000000-0005-0000-0000-00005A000000}"/>
    <cellStyle name="20% - 强调文字颜色 2 22" xfId="56" xr:uid="{00000000-0005-0000-0000-00005B000000}"/>
    <cellStyle name="20% - 强调文字颜色 2 23" xfId="57" xr:uid="{00000000-0005-0000-0000-00005C000000}"/>
    <cellStyle name="20% - 强调文字颜色 2 24" xfId="58" xr:uid="{00000000-0005-0000-0000-00005D000000}"/>
    <cellStyle name="20% - 强调文字颜色 2 25" xfId="59" xr:uid="{00000000-0005-0000-0000-00005E000000}"/>
    <cellStyle name="20% - 强调文字颜色 2 26" xfId="60" xr:uid="{00000000-0005-0000-0000-00005F000000}"/>
    <cellStyle name="20% - 强调文字颜色 2 27" xfId="61" xr:uid="{00000000-0005-0000-0000-000060000000}"/>
    <cellStyle name="20% - 强调文字颜色 2 28" xfId="62" xr:uid="{00000000-0005-0000-0000-000061000000}"/>
    <cellStyle name="20% - 强调文字颜色 2 29" xfId="63" xr:uid="{00000000-0005-0000-0000-000062000000}"/>
    <cellStyle name="20% - 强调文字颜色 2 3" xfId="64" xr:uid="{00000000-0005-0000-0000-000063000000}"/>
    <cellStyle name="20% - 强调文字颜色 2 30" xfId="65" xr:uid="{00000000-0005-0000-0000-000064000000}"/>
    <cellStyle name="20% - 强调文字颜色 2 31" xfId="66" xr:uid="{00000000-0005-0000-0000-000065000000}"/>
    <cellStyle name="20% - 强调文字颜色 2 32" xfId="67" xr:uid="{00000000-0005-0000-0000-000066000000}"/>
    <cellStyle name="20% - 强调文字颜色 2 33" xfId="68" xr:uid="{00000000-0005-0000-0000-000067000000}"/>
    <cellStyle name="20% - 强调文字颜色 2 33 2" xfId="69" xr:uid="{00000000-0005-0000-0000-000068000000}"/>
    <cellStyle name="20% - 强调文字颜色 2 33 2 2" xfId="70" xr:uid="{00000000-0005-0000-0000-000069000000}"/>
    <cellStyle name="20% - 强调文字颜色 2 33 3" xfId="71" xr:uid="{00000000-0005-0000-0000-00006A000000}"/>
    <cellStyle name="20% - 强调文字颜色 2 34" xfId="72" xr:uid="{00000000-0005-0000-0000-00006B000000}"/>
    <cellStyle name="20% - 强调文字颜色 2 34 2" xfId="73" xr:uid="{00000000-0005-0000-0000-00006C000000}"/>
    <cellStyle name="20% - 强调文字颜色 2 34 2 2" xfId="74" xr:uid="{00000000-0005-0000-0000-00006D000000}"/>
    <cellStyle name="20% - 强调文字颜色 2 34 3" xfId="75" xr:uid="{00000000-0005-0000-0000-00006E000000}"/>
    <cellStyle name="20% - 强调文字颜色 2 35" xfId="76" xr:uid="{00000000-0005-0000-0000-00006F000000}"/>
    <cellStyle name="20% - 强调文字颜色 2 35 2" xfId="77" xr:uid="{00000000-0005-0000-0000-000070000000}"/>
    <cellStyle name="20% - 强调文字颜色 2 4" xfId="78" xr:uid="{00000000-0005-0000-0000-000071000000}"/>
    <cellStyle name="20% - 强调文字颜色 2 5" xfId="79" xr:uid="{00000000-0005-0000-0000-000072000000}"/>
    <cellStyle name="20% - 强调文字颜色 2 6" xfId="80" xr:uid="{00000000-0005-0000-0000-000073000000}"/>
    <cellStyle name="20% - 强调文字颜色 2 7" xfId="81" xr:uid="{00000000-0005-0000-0000-000074000000}"/>
    <cellStyle name="20% - 强调文字颜色 2 8" xfId="82" xr:uid="{00000000-0005-0000-0000-000075000000}"/>
    <cellStyle name="20% - 强调文字颜色 2 9" xfId="83" xr:uid="{00000000-0005-0000-0000-000076000000}"/>
    <cellStyle name="20% - 强调文字颜色 3 10" xfId="84" xr:uid="{00000000-0005-0000-0000-000077000000}"/>
    <cellStyle name="20% - 强调文字颜色 3 11" xfId="85" xr:uid="{00000000-0005-0000-0000-000078000000}"/>
    <cellStyle name="20% - 强调文字颜色 3 12" xfId="86" xr:uid="{00000000-0005-0000-0000-000079000000}"/>
    <cellStyle name="20% - 强调文字颜色 3 13" xfId="87" xr:uid="{00000000-0005-0000-0000-00007A000000}"/>
    <cellStyle name="20% - 强调文字颜色 3 14" xfId="88" xr:uid="{00000000-0005-0000-0000-00007B000000}"/>
    <cellStyle name="20% - 强调文字颜色 3 15" xfId="89" xr:uid="{00000000-0005-0000-0000-00007C000000}"/>
    <cellStyle name="20% - 强调文字颜色 3 16" xfId="90" xr:uid="{00000000-0005-0000-0000-00007D000000}"/>
    <cellStyle name="20% - 强调文字颜色 3 17" xfId="91" xr:uid="{00000000-0005-0000-0000-00007E000000}"/>
    <cellStyle name="20% - 强调文字颜色 3 18" xfId="92" xr:uid="{00000000-0005-0000-0000-00007F000000}"/>
    <cellStyle name="20% - 强调文字颜色 3 19" xfId="93" xr:uid="{00000000-0005-0000-0000-000080000000}"/>
    <cellStyle name="20% - 强调文字颜色 3 2" xfId="94" xr:uid="{00000000-0005-0000-0000-000081000000}"/>
    <cellStyle name="20% - 强调文字颜色 3 20" xfId="95" xr:uid="{00000000-0005-0000-0000-000082000000}"/>
    <cellStyle name="20% - 强调文字颜色 3 21" xfId="96" xr:uid="{00000000-0005-0000-0000-000083000000}"/>
    <cellStyle name="20% - 强调文字颜色 3 22" xfId="97" xr:uid="{00000000-0005-0000-0000-000084000000}"/>
    <cellStyle name="20% - 强调文字颜色 3 23" xfId="98" xr:uid="{00000000-0005-0000-0000-000085000000}"/>
    <cellStyle name="20% - 强调文字颜色 3 24" xfId="99" xr:uid="{00000000-0005-0000-0000-000086000000}"/>
    <cellStyle name="20% - 强调文字颜色 3 25" xfId="100" xr:uid="{00000000-0005-0000-0000-000087000000}"/>
    <cellStyle name="20% - 强调文字颜色 3 26" xfId="101" xr:uid="{00000000-0005-0000-0000-000088000000}"/>
    <cellStyle name="20% - 强调文字颜色 3 27" xfId="102" xr:uid="{00000000-0005-0000-0000-000089000000}"/>
    <cellStyle name="20% - 强调文字颜色 3 28" xfId="103" xr:uid="{00000000-0005-0000-0000-00008A000000}"/>
    <cellStyle name="20% - 强调文字颜色 3 29" xfId="104" xr:uid="{00000000-0005-0000-0000-00008B000000}"/>
    <cellStyle name="20% - 强调文字颜色 3 3" xfId="105" xr:uid="{00000000-0005-0000-0000-00008C000000}"/>
    <cellStyle name="20% - 强调文字颜色 3 30" xfId="106" xr:uid="{00000000-0005-0000-0000-00008D000000}"/>
    <cellStyle name="20% - 强调文字颜色 3 31" xfId="107" xr:uid="{00000000-0005-0000-0000-00008E000000}"/>
    <cellStyle name="20% - 强调文字颜色 3 32" xfId="108" xr:uid="{00000000-0005-0000-0000-00008F000000}"/>
    <cellStyle name="20% - 强调文字颜色 3 33" xfId="109" xr:uid="{00000000-0005-0000-0000-000090000000}"/>
    <cellStyle name="20% - 强调文字颜色 3 33 2" xfId="110" xr:uid="{00000000-0005-0000-0000-000091000000}"/>
    <cellStyle name="20% - 强调文字颜色 3 33 2 2" xfId="111" xr:uid="{00000000-0005-0000-0000-000092000000}"/>
    <cellStyle name="20% - 强调文字颜色 3 33 3" xfId="112" xr:uid="{00000000-0005-0000-0000-000093000000}"/>
    <cellStyle name="20% - 强调文字颜色 3 34" xfId="113" xr:uid="{00000000-0005-0000-0000-000094000000}"/>
    <cellStyle name="20% - 强调文字颜色 3 34 2" xfId="114" xr:uid="{00000000-0005-0000-0000-000095000000}"/>
    <cellStyle name="20% - 强调文字颜色 3 34 2 2" xfId="115" xr:uid="{00000000-0005-0000-0000-000096000000}"/>
    <cellStyle name="20% - 强调文字颜色 3 34 3" xfId="116" xr:uid="{00000000-0005-0000-0000-000097000000}"/>
    <cellStyle name="20% - 强调文字颜色 3 35" xfId="117" xr:uid="{00000000-0005-0000-0000-000098000000}"/>
    <cellStyle name="20% - 强调文字颜色 3 35 2" xfId="118" xr:uid="{00000000-0005-0000-0000-000099000000}"/>
    <cellStyle name="20% - 强调文字颜色 3 4" xfId="119" xr:uid="{00000000-0005-0000-0000-00009A000000}"/>
    <cellStyle name="20% - 强调文字颜色 3 5" xfId="120" xr:uid="{00000000-0005-0000-0000-00009B000000}"/>
    <cellStyle name="20% - 强调文字颜色 3 6" xfId="121" xr:uid="{00000000-0005-0000-0000-00009C000000}"/>
    <cellStyle name="20% - 强调文字颜色 3 7" xfId="122" xr:uid="{00000000-0005-0000-0000-00009D000000}"/>
    <cellStyle name="20% - 强调文字颜色 3 8" xfId="123" xr:uid="{00000000-0005-0000-0000-00009E000000}"/>
    <cellStyle name="20% - 强调文字颜色 3 9" xfId="124" xr:uid="{00000000-0005-0000-0000-00009F000000}"/>
    <cellStyle name="20% - 强调文字颜色 4 10" xfId="125" xr:uid="{00000000-0005-0000-0000-0000A0000000}"/>
    <cellStyle name="20% - 强调文字颜色 4 11" xfId="126" xr:uid="{00000000-0005-0000-0000-0000A1000000}"/>
    <cellStyle name="20% - 强调文字颜色 4 12" xfId="127" xr:uid="{00000000-0005-0000-0000-0000A2000000}"/>
    <cellStyle name="20% - 强调文字颜色 4 13" xfId="128" xr:uid="{00000000-0005-0000-0000-0000A3000000}"/>
    <cellStyle name="20% - 强调文字颜色 4 14" xfId="129" xr:uid="{00000000-0005-0000-0000-0000A4000000}"/>
    <cellStyle name="20% - 强调文字颜色 4 15" xfId="130" xr:uid="{00000000-0005-0000-0000-0000A5000000}"/>
    <cellStyle name="20% - 强调文字颜色 4 16" xfId="131" xr:uid="{00000000-0005-0000-0000-0000A6000000}"/>
    <cellStyle name="20% - 强调文字颜色 4 17" xfId="132" xr:uid="{00000000-0005-0000-0000-0000A7000000}"/>
    <cellStyle name="20% - 强调文字颜色 4 18" xfId="133" xr:uid="{00000000-0005-0000-0000-0000A8000000}"/>
    <cellStyle name="20% - 强调文字颜色 4 19" xfId="134" xr:uid="{00000000-0005-0000-0000-0000A9000000}"/>
    <cellStyle name="20% - 强调文字颜色 4 2" xfId="135" xr:uid="{00000000-0005-0000-0000-0000AA000000}"/>
    <cellStyle name="20% - 强调文字颜色 4 20" xfId="136" xr:uid="{00000000-0005-0000-0000-0000AB000000}"/>
    <cellStyle name="20% - 强调文字颜色 4 21" xfId="137" xr:uid="{00000000-0005-0000-0000-0000AC000000}"/>
    <cellStyle name="20% - 强调文字颜色 4 22" xfId="138" xr:uid="{00000000-0005-0000-0000-0000AD000000}"/>
    <cellStyle name="20% - 强调文字颜色 4 23" xfId="139" xr:uid="{00000000-0005-0000-0000-0000AE000000}"/>
    <cellStyle name="20% - 强调文字颜色 4 24" xfId="140" xr:uid="{00000000-0005-0000-0000-0000AF000000}"/>
    <cellStyle name="20% - 强调文字颜色 4 25" xfId="141" xr:uid="{00000000-0005-0000-0000-0000B0000000}"/>
    <cellStyle name="20% - 强调文字颜色 4 26" xfId="142" xr:uid="{00000000-0005-0000-0000-0000B1000000}"/>
    <cellStyle name="20% - 强调文字颜色 4 27" xfId="143" xr:uid="{00000000-0005-0000-0000-0000B2000000}"/>
    <cellStyle name="20% - 强调文字颜色 4 28" xfId="144" xr:uid="{00000000-0005-0000-0000-0000B3000000}"/>
    <cellStyle name="20% - 强调文字颜色 4 29" xfId="145" xr:uid="{00000000-0005-0000-0000-0000B4000000}"/>
    <cellStyle name="20% - 强调文字颜色 4 3" xfId="146" xr:uid="{00000000-0005-0000-0000-0000B5000000}"/>
    <cellStyle name="20% - 强调文字颜色 4 30" xfId="147" xr:uid="{00000000-0005-0000-0000-0000B6000000}"/>
    <cellStyle name="20% - 强调文字颜色 4 31" xfId="148" xr:uid="{00000000-0005-0000-0000-0000B7000000}"/>
    <cellStyle name="20% - 强调文字颜色 4 32" xfId="149" xr:uid="{00000000-0005-0000-0000-0000B8000000}"/>
    <cellStyle name="20% - 强调文字颜色 4 33" xfId="150" xr:uid="{00000000-0005-0000-0000-0000B9000000}"/>
    <cellStyle name="20% - 强调文字颜色 4 33 2" xfId="151" xr:uid="{00000000-0005-0000-0000-0000BA000000}"/>
    <cellStyle name="20% - 强调文字颜色 4 33 2 2" xfId="152" xr:uid="{00000000-0005-0000-0000-0000BB000000}"/>
    <cellStyle name="20% - 强调文字颜色 4 33 3" xfId="153" xr:uid="{00000000-0005-0000-0000-0000BC000000}"/>
    <cellStyle name="20% - 强调文字颜色 4 34" xfId="154" xr:uid="{00000000-0005-0000-0000-0000BD000000}"/>
    <cellStyle name="20% - 强调文字颜色 4 34 2" xfId="155" xr:uid="{00000000-0005-0000-0000-0000BE000000}"/>
    <cellStyle name="20% - 强调文字颜色 4 34 2 2" xfId="156" xr:uid="{00000000-0005-0000-0000-0000BF000000}"/>
    <cellStyle name="20% - 强调文字颜色 4 34 3" xfId="157" xr:uid="{00000000-0005-0000-0000-0000C0000000}"/>
    <cellStyle name="20% - 强调文字颜色 4 35" xfId="158" xr:uid="{00000000-0005-0000-0000-0000C1000000}"/>
    <cellStyle name="20% - 强调文字颜色 4 35 2" xfId="159" xr:uid="{00000000-0005-0000-0000-0000C2000000}"/>
    <cellStyle name="20% - 强调文字颜色 4 4" xfId="160" xr:uid="{00000000-0005-0000-0000-0000C3000000}"/>
    <cellStyle name="20% - 强调文字颜色 4 5" xfId="161" xr:uid="{00000000-0005-0000-0000-0000C4000000}"/>
    <cellStyle name="20% - 强调文字颜色 4 6" xfId="162" xr:uid="{00000000-0005-0000-0000-0000C5000000}"/>
    <cellStyle name="20% - 强调文字颜色 4 7" xfId="163" xr:uid="{00000000-0005-0000-0000-0000C6000000}"/>
    <cellStyle name="20% - 强调文字颜色 4 8" xfId="164" xr:uid="{00000000-0005-0000-0000-0000C7000000}"/>
    <cellStyle name="20% - 强调文字颜色 4 9" xfId="165" xr:uid="{00000000-0005-0000-0000-0000C8000000}"/>
    <cellStyle name="20% - 强调文字颜色 5 10" xfId="166" xr:uid="{00000000-0005-0000-0000-0000C9000000}"/>
    <cellStyle name="20% - 强调文字颜色 5 11" xfId="167" xr:uid="{00000000-0005-0000-0000-0000CA000000}"/>
    <cellStyle name="20% - 强调文字颜色 5 12" xfId="168" xr:uid="{00000000-0005-0000-0000-0000CB000000}"/>
    <cellStyle name="20% - 强调文字颜色 5 13" xfId="169" xr:uid="{00000000-0005-0000-0000-0000CC000000}"/>
    <cellStyle name="20% - 强调文字颜色 5 14" xfId="170" xr:uid="{00000000-0005-0000-0000-0000CD000000}"/>
    <cellStyle name="20% - 强调文字颜色 5 15" xfId="171" xr:uid="{00000000-0005-0000-0000-0000CE000000}"/>
    <cellStyle name="20% - 强调文字颜色 5 16" xfId="172" xr:uid="{00000000-0005-0000-0000-0000CF000000}"/>
    <cellStyle name="20% - 强调文字颜色 5 17" xfId="173" xr:uid="{00000000-0005-0000-0000-0000D0000000}"/>
    <cellStyle name="20% - 强调文字颜色 5 18" xfId="174" xr:uid="{00000000-0005-0000-0000-0000D1000000}"/>
    <cellStyle name="20% - 强调文字颜色 5 19" xfId="175" xr:uid="{00000000-0005-0000-0000-0000D2000000}"/>
    <cellStyle name="20% - 强调文字颜色 5 2" xfId="176" xr:uid="{00000000-0005-0000-0000-0000D3000000}"/>
    <cellStyle name="20% - 强调文字颜色 5 20" xfId="177" xr:uid="{00000000-0005-0000-0000-0000D4000000}"/>
    <cellStyle name="20% - 强调文字颜色 5 21" xfId="178" xr:uid="{00000000-0005-0000-0000-0000D5000000}"/>
    <cellStyle name="20% - 强调文字颜色 5 22" xfId="179" xr:uid="{00000000-0005-0000-0000-0000D6000000}"/>
    <cellStyle name="20% - 强调文字颜色 5 23" xfId="180" xr:uid="{00000000-0005-0000-0000-0000D7000000}"/>
    <cellStyle name="20% - 强调文字颜色 5 24" xfId="181" xr:uid="{00000000-0005-0000-0000-0000D8000000}"/>
    <cellStyle name="20% - 强调文字颜色 5 25" xfId="182" xr:uid="{00000000-0005-0000-0000-0000D9000000}"/>
    <cellStyle name="20% - 强调文字颜色 5 26" xfId="183" xr:uid="{00000000-0005-0000-0000-0000DA000000}"/>
    <cellStyle name="20% - 强调文字颜色 5 27" xfId="184" xr:uid="{00000000-0005-0000-0000-0000DB000000}"/>
    <cellStyle name="20% - 强调文字颜色 5 28" xfId="185" xr:uid="{00000000-0005-0000-0000-0000DC000000}"/>
    <cellStyle name="20% - 强调文字颜色 5 29" xfId="186" xr:uid="{00000000-0005-0000-0000-0000DD000000}"/>
    <cellStyle name="20% - 强调文字颜色 5 3" xfId="187" xr:uid="{00000000-0005-0000-0000-0000DE000000}"/>
    <cellStyle name="20% - 强调文字颜色 5 30" xfId="188" xr:uid="{00000000-0005-0000-0000-0000DF000000}"/>
    <cellStyle name="20% - 强调文字颜色 5 31" xfId="189" xr:uid="{00000000-0005-0000-0000-0000E0000000}"/>
    <cellStyle name="20% - 强调文字颜色 5 32" xfId="190" xr:uid="{00000000-0005-0000-0000-0000E1000000}"/>
    <cellStyle name="20% - 强调文字颜色 5 33" xfId="191" xr:uid="{00000000-0005-0000-0000-0000E2000000}"/>
    <cellStyle name="20% - 强调文字颜色 5 33 2" xfId="192" xr:uid="{00000000-0005-0000-0000-0000E3000000}"/>
    <cellStyle name="20% - 强调文字颜色 5 33 2 2" xfId="193" xr:uid="{00000000-0005-0000-0000-0000E4000000}"/>
    <cellStyle name="20% - 强调文字颜色 5 33 3" xfId="194" xr:uid="{00000000-0005-0000-0000-0000E5000000}"/>
    <cellStyle name="20% - 强调文字颜色 5 34" xfId="195" xr:uid="{00000000-0005-0000-0000-0000E6000000}"/>
    <cellStyle name="20% - 强调文字颜色 5 34 2" xfId="196" xr:uid="{00000000-0005-0000-0000-0000E7000000}"/>
    <cellStyle name="20% - 强调文字颜色 5 34 2 2" xfId="197" xr:uid="{00000000-0005-0000-0000-0000E8000000}"/>
    <cellStyle name="20% - 强调文字颜色 5 34 3" xfId="198" xr:uid="{00000000-0005-0000-0000-0000E9000000}"/>
    <cellStyle name="20% - 强调文字颜色 5 35" xfId="199" xr:uid="{00000000-0005-0000-0000-0000EA000000}"/>
    <cellStyle name="20% - 强调文字颜色 5 35 2" xfId="200" xr:uid="{00000000-0005-0000-0000-0000EB000000}"/>
    <cellStyle name="20% - 强调文字颜色 5 4" xfId="201" xr:uid="{00000000-0005-0000-0000-0000EC000000}"/>
    <cellStyle name="20% - 强调文字颜色 5 5" xfId="202" xr:uid="{00000000-0005-0000-0000-0000ED000000}"/>
    <cellStyle name="20% - 强调文字颜色 5 6" xfId="203" xr:uid="{00000000-0005-0000-0000-0000EE000000}"/>
    <cellStyle name="20% - 强调文字颜色 5 7" xfId="204" xr:uid="{00000000-0005-0000-0000-0000EF000000}"/>
    <cellStyle name="20% - 强调文字颜色 5 8" xfId="205" xr:uid="{00000000-0005-0000-0000-0000F0000000}"/>
    <cellStyle name="20% - 强调文字颜色 5 9" xfId="206" xr:uid="{00000000-0005-0000-0000-0000F1000000}"/>
    <cellStyle name="20% - 强调文字颜色 6 10" xfId="207" xr:uid="{00000000-0005-0000-0000-0000F2000000}"/>
    <cellStyle name="20% - 强调文字颜色 6 11" xfId="208" xr:uid="{00000000-0005-0000-0000-0000F3000000}"/>
    <cellStyle name="20% - 强调文字颜色 6 12" xfId="209" xr:uid="{00000000-0005-0000-0000-0000F4000000}"/>
    <cellStyle name="20% - 强调文字颜色 6 13" xfId="210" xr:uid="{00000000-0005-0000-0000-0000F5000000}"/>
    <cellStyle name="20% - 强调文字颜色 6 14" xfId="211" xr:uid="{00000000-0005-0000-0000-0000F6000000}"/>
    <cellStyle name="20% - 强调文字颜色 6 15" xfId="212" xr:uid="{00000000-0005-0000-0000-0000F7000000}"/>
    <cellStyle name="20% - 强调文字颜色 6 16" xfId="213" xr:uid="{00000000-0005-0000-0000-0000F8000000}"/>
    <cellStyle name="20% - 强调文字颜色 6 17" xfId="214" xr:uid="{00000000-0005-0000-0000-0000F9000000}"/>
    <cellStyle name="20% - 强调文字颜色 6 18" xfId="215" xr:uid="{00000000-0005-0000-0000-0000FA000000}"/>
    <cellStyle name="20% - 强调文字颜色 6 19" xfId="216" xr:uid="{00000000-0005-0000-0000-0000FB000000}"/>
    <cellStyle name="20% - 强调文字颜色 6 2" xfId="217" xr:uid="{00000000-0005-0000-0000-0000FC000000}"/>
    <cellStyle name="20% - 强调文字颜色 6 20" xfId="218" xr:uid="{00000000-0005-0000-0000-0000FD000000}"/>
    <cellStyle name="20% - 强调文字颜色 6 21" xfId="219" xr:uid="{00000000-0005-0000-0000-0000FE000000}"/>
    <cellStyle name="20% - 强调文字颜色 6 22" xfId="220" xr:uid="{00000000-0005-0000-0000-0000FF000000}"/>
    <cellStyle name="20% - 强调文字颜色 6 23" xfId="221" xr:uid="{00000000-0005-0000-0000-000000010000}"/>
    <cellStyle name="20% - 强调文字颜色 6 24" xfId="222" xr:uid="{00000000-0005-0000-0000-000001010000}"/>
    <cellStyle name="20% - 强调文字颜色 6 25" xfId="223" xr:uid="{00000000-0005-0000-0000-000002010000}"/>
    <cellStyle name="20% - 强调文字颜色 6 26" xfId="224" xr:uid="{00000000-0005-0000-0000-000003010000}"/>
    <cellStyle name="20% - 强调文字颜色 6 27" xfId="225" xr:uid="{00000000-0005-0000-0000-000004010000}"/>
    <cellStyle name="20% - 强调文字颜色 6 28" xfId="226" xr:uid="{00000000-0005-0000-0000-000005010000}"/>
    <cellStyle name="20% - 强调文字颜色 6 29" xfId="227" xr:uid="{00000000-0005-0000-0000-000006010000}"/>
    <cellStyle name="20% - 强调文字颜色 6 3" xfId="228" xr:uid="{00000000-0005-0000-0000-000007010000}"/>
    <cellStyle name="20% - 强调文字颜色 6 30" xfId="229" xr:uid="{00000000-0005-0000-0000-000008010000}"/>
    <cellStyle name="20% - 强调文字颜色 6 31" xfId="230" xr:uid="{00000000-0005-0000-0000-000009010000}"/>
    <cellStyle name="20% - 强调文字颜色 6 32" xfId="231" xr:uid="{00000000-0005-0000-0000-00000A010000}"/>
    <cellStyle name="20% - 强调文字颜色 6 33" xfId="232" xr:uid="{00000000-0005-0000-0000-00000B010000}"/>
    <cellStyle name="20% - 强调文字颜色 6 33 2" xfId="233" xr:uid="{00000000-0005-0000-0000-00000C010000}"/>
    <cellStyle name="20% - 强调文字颜色 6 33 2 2" xfId="234" xr:uid="{00000000-0005-0000-0000-00000D010000}"/>
    <cellStyle name="20% - 强调文字颜色 6 33 3" xfId="235" xr:uid="{00000000-0005-0000-0000-00000E010000}"/>
    <cellStyle name="20% - 强调文字颜色 6 34" xfId="236" xr:uid="{00000000-0005-0000-0000-00000F010000}"/>
    <cellStyle name="20% - 强调文字颜色 6 34 2" xfId="237" xr:uid="{00000000-0005-0000-0000-000010010000}"/>
    <cellStyle name="20% - 强调文字颜色 6 34 2 2" xfId="238" xr:uid="{00000000-0005-0000-0000-000011010000}"/>
    <cellStyle name="20% - 强调文字颜色 6 34 3" xfId="239" xr:uid="{00000000-0005-0000-0000-000012010000}"/>
    <cellStyle name="20% - 强调文字颜色 6 35" xfId="240" xr:uid="{00000000-0005-0000-0000-000013010000}"/>
    <cellStyle name="20% - 强调文字颜色 6 35 2" xfId="241" xr:uid="{00000000-0005-0000-0000-000014010000}"/>
    <cellStyle name="20% - 强调文字颜色 6 4" xfId="242" xr:uid="{00000000-0005-0000-0000-000015010000}"/>
    <cellStyle name="20% - 强调文字颜色 6 5" xfId="243" xr:uid="{00000000-0005-0000-0000-000016010000}"/>
    <cellStyle name="20% - 强调文字颜色 6 6" xfId="244" xr:uid="{00000000-0005-0000-0000-000017010000}"/>
    <cellStyle name="20% - 强调文字颜色 6 7" xfId="245" xr:uid="{00000000-0005-0000-0000-000018010000}"/>
    <cellStyle name="20% - 强调文字颜色 6 8" xfId="246" xr:uid="{00000000-0005-0000-0000-000019010000}"/>
    <cellStyle name="20% - 强调文字颜色 6 9" xfId="247" xr:uid="{00000000-0005-0000-0000-00001A010000}"/>
    <cellStyle name="40% - Accent1 2" xfId="1511" xr:uid="{00000000-0005-0000-0000-000021010000}"/>
    <cellStyle name="40% - Accent1 3" xfId="4665" xr:uid="{00000000-0005-0000-0000-000022010000}"/>
    <cellStyle name="40% - Accent1 4" xfId="14271" xr:uid="{00000000-0005-0000-0000-000023010000}"/>
    <cellStyle name="40% - Accent1 5" xfId="14452" xr:uid="{00000000-0005-0000-0000-000024010000}"/>
    <cellStyle name="40% - Accent2 2" xfId="1515" xr:uid="{00000000-0005-0000-0000-000025010000}"/>
    <cellStyle name="40% - Accent2 3" xfId="4669" xr:uid="{00000000-0005-0000-0000-000026010000}"/>
    <cellStyle name="40% - Accent2 4" xfId="14275" xr:uid="{00000000-0005-0000-0000-000027010000}"/>
    <cellStyle name="40% - Accent2 5" xfId="14456" xr:uid="{00000000-0005-0000-0000-000028010000}"/>
    <cellStyle name="40% - Accent3 2" xfId="1519" xr:uid="{00000000-0005-0000-0000-000029010000}"/>
    <cellStyle name="40% - Accent3 3" xfId="4673" xr:uid="{00000000-0005-0000-0000-00002A010000}"/>
    <cellStyle name="40% - Accent3 4" xfId="14279" xr:uid="{00000000-0005-0000-0000-00002B010000}"/>
    <cellStyle name="40% - Accent3 5" xfId="14460" xr:uid="{00000000-0005-0000-0000-00002C010000}"/>
    <cellStyle name="40% - Accent4 2" xfId="1523" xr:uid="{00000000-0005-0000-0000-00002D010000}"/>
    <cellStyle name="40% - Accent4 3" xfId="4677" xr:uid="{00000000-0005-0000-0000-00002E010000}"/>
    <cellStyle name="40% - Accent4 4" xfId="14283" xr:uid="{00000000-0005-0000-0000-00002F010000}"/>
    <cellStyle name="40% - Accent4 5" xfId="14464" xr:uid="{00000000-0005-0000-0000-000030010000}"/>
    <cellStyle name="40% - Accent5 2" xfId="1527" xr:uid="{00000000-0005-0000-0000-000031010000}"/>
    <cellStyle name="40% - Accent5 3" xfId="4681" xr:uid="{00000000-0005-0000-0000-000032010000}"/>
    <cellStyle name="40% - Accent5 4" xfId="14287" xr:uid="{00000000-0005-0000-0000-000033010000}"/>
    <cellStyle name="40% - Accent5 5" xfId="14468" xr:uid="{00000000-0005-0000-0000-000034010000}"/>
    <cellStyle name="40% - Accent6 2" xfId="1531" xr:uid="{00000000-0005-0000-0000-000035010000}"/>
    <cellStyle name="40% - Accent6 3" xfId="4685" xr:uid="{00000000-0005-0000-0000-000036010000}"/>
    <cellStyle name="40% - Accent6 4" xfId="14291" xr:uid="{00000000-0005-0000-0000-000037010000}"/>
    <cellStyle name="40% - Accent6 5" xfId="14472" xr:uid="{00000000-0005-0000-0000-000038010000}"/>
    <cellStyle name="40% - 강조색1 2" xfId="14312" xr:uid="{00000000-0005-0000-0000-000039010000}"/>
    <cellStyle name="40% - 강조색1 3" xfId="14313" xr:uid="{00000000-0005-0000-0000-00003A010000}"/>
    <cellStyle name="40% - 강조색2 2" xfId="14314" xr:uid="{00000000-0005-0000-0000-00003B010000}"/>
    <cellStyle name="40% - 강조색2 3" xfId="14315" xr:uid="{00000000-0005-0000-0000-00003C010000}"/>
    <cellStyle name="40% - 강조색3 2" xfId="14316" xr:uid="{00000000-0005-0000-0000-00003D010000}"/>
    <cellStyle name="40% - 강조색3 3" xfId="14317" xr:uid="{00000000-0005-0000-0000-00003E010000}"/>
    <cellStyle name="40% - 강조색4 2" xfId="14318" xr:uid="{00000000-0005-0000-0000-00003F010000}"/>
    <cellStyle name="40% - 강조색4 3" xfId="14319" xr:uid="{00000000-0005-0000-0000-000040010000}"/>
    <cellStyle name="40% - 강조색5 2" xfId="14320" xr:uid="{00000000-0005-0000-0000-000041010000}"/>
    <cellStyle name="40% - 강조색5 3" xfId="14321" xr:uid="{00000000-0005-0000-0000-000042010000}"/>
    <cellStyle name="40% - 강조색6 2" xfId="14322" xr:uid="{00000000-0005-0000-0000-000043010000}"/>
    <cellStyle name="40% - 강조색6 3" xfId="14323" xr:uid="{00000000-0005-0000-0000-000044010000}"/>
    <cellStyle name="40% - 着色 1 2" xfId="500" xr:uid="{00000000-0005-0000-0000-00003B020000}"/>
    <cellStyle name="40% - 着色 2 2" xfId="501" xr:uid="{00000000-0005-0000-0000-00003C020000}"/>
    <cellStyle name="40% - 着色 3 2" xfId="502" xr:uid="{00000000-0005-0000-0000-00003D020000}"/>
    <cellStyle name="40% - 着色 4 2" xfId="503" xr:uid="{00000000-0005-0000-0000-00003E020000}"/>
    <cellStyle name="40% - 着色 5 2" xfId="504" xr:uid="{00000000-0005-0000-0000-00003F020000}"/>
    <cellStyle name="40% - 着色 6 2" xfId="505" xr:uid="{00000000-0005-0000-0000-000040020000}"/>
    <cellStyle name="40% - 强调文字颜色 1 10" xfId="254" xr:uid="{00000000-0005-0000-0000-000045010000}"/>
    <cellStyle name="40% - 强调文字颜色 1 11" xfId="255" xr:uid="{00000000-0005-0000-0000-000046010000}"/>
    <cellStyle name="40% - 强调文字颜色 1 12" xfId="256" xr:uid="{00000000-0005-0000-0000-000047010000}"/>
    <cellStyle name="40% - 强调文字颜色 1 13" xfId="257" xr:uid="{00000000-0005-0000-0000-000048010000}"/>
    <cellStyle name="40% - 强调文字颜色 1 14" xfId="258" xr:uid="{00000000-0005-0000-0000-000049010000}"/>
    <cellStyle name="40% - 强调文字颜色 1 15" xfId="259" xr:uid="{00000000-0005-0000-0000-00004A010000}"/>
    <cellStyle name="40% - 强调文字颜色 1 16" xfId="260" xr:uid="{00000000-0005-0000-0000-00004B010000}"/>
    <cellStyle name="40% - 强调文字颜色 1 17" xfId="261" xr:uid="{00000000-0005-0000-0000-00004C010000}"/>
    <cellStyle name="40% - 强调文字颜色 1 18" xfId="262" xr:uid="{00000000-0005-0000-0000-00004D010000}"/>
    <cellStyle name="40% - 强调文字颜色 1 19" xfId="263" xr:uid="{00000000-0005-0000-0000-00004E010000}"/>
    <cellStyle name="40% - 强调文字颜色 1 2" xfId="264" xr:uid="{00000000-0005-0000-0000-00004F010000}"/>
    <cellStyle name="40% - 强调文字颜色 1 20" xfId="265" xr:uid="{00000000-0005-0000-0000-000050010000}"/>
    <cellStyle name="40% - 强调文字颜色 1 21" xfId="266" xr:uid="{00000000-0005-0000-0000-000051010000}"/>
    <cellStyle name="40% - 强调文字颜色 1 22" xfId="267" xr:uid="{00000000-0005-0000-0000-000052010000}"/>
    <cellStyle name="40% - 强调文字颜色 1 23" xfId="268" xr:uid="{00000000-0005-0000-0000-000053010000}"/>
    <cellStyle name="40% - 强调文字颜色 1 24" xfId="269" xr:uid="{00000000-0005-0000-0000-000054010000}"/>
    <cellStyle name="40% - 强调文字颜色 1 25" xfId="270" xr:uid="{00000000-0005-0000-0000-000055010000}"/>
    <cellStyle name="40% - 强调文字颜色 1 26" xfId="271" xr:uid="{00000000-0005-0000-0000-000056010000}"/>
    <cellStyle name="40% - 强调文字颜色 1 27" xfId="272" xr:uid="{00000000-0005-0000-0000-000057010000}"/>
    <cellStyle name="40% - 强调文字颜色 1 28" xfId="273" xr:uid="{00000000-0005-0000-0000-000058010000}"/>
    <cellStyle name="40% - 强调文字颜色 1 29" xfId="274" xr:uid="{00000000-0005-0000-0000-000059010000}"/>
    <cellStyle name="40% - 强调文字颜色 1 3" xfId="275" xr:uid="{00000000-0005-0000-0000-00005A010000}"/>
    <cellStyle name="40% - 强调文字颜色 1 30" xfId="276" xr:uid="{00000000-0005-0000-0000-00005B010000}"/>
    <cellStyle name="40% - 强调文字颜色 1 31" xfId="277" xr:uid="{00000000-0005-0000-0000-00005C010000}"/>
    <cellStyle name="40% - 强调文字颜色 1 32" xfId="278" xr:uid="{00000000-0005-0000-0000-00005D010000}"/>
    <cellStyle name="40% - 强调文字颜色 1 33" xfId="279" xr:uid="{00000000-0005-0000-0000-00005E010000}"/>
    <cellStyle name="40% - 强调文字颜色 1 33 2" xfId="280" xr:uid="{00000000-0005-0000-0000-00005F010000}"/>
    <cellStyle name="40% - 强调文字颜色 1 33 2 2" xfId="281" xr:uid="{00000000-0005-0000-0000-000060010000}"/>
    <cellStyle name="40% - 强调文字颜色 1 33 3" xfId="282" xr:uid="{00000000-0005-0000-0000-000061010000}"/>
    <cellStyle name="40% - 强调文字颜色 1 34" xfId="283" xr:uid="{00000000-0005-0000-0000-000062010000}"/>
    <cellStyle name="40% - 强调文字颜色 1 34 2" xfId="284" xr:uid="{00000000-0005-0000-0000-000063010000}"/>
    <cellStyle name="40% - 强调文字颜色 1 34 2 2" xfId="285" xr:uid="{00000000-0005-0000-0000-000064010000}"/>
    <cellStyle name="40% - 强调文字颜色 1 34 3" xfId="286" xr:uid="{00000000-0005-0000-0000-000065010000}"/>
    <cellStyle name="40% - 强调文字颜色 1 35" xfId="287" xr:uid="{00000000-0005-0000-0000-000066010000}"/>
    <cellStyle name="40% - 强调文字颜色 1 35 2" xfId="288" xr:uid="{00000000-0005-0000-0000-000067010000}"/>
    <cellStyle name="40% - 强调文字颜色 1 4" xfId="289" xr:uid="{00000000-0005-0000-0000-000068010000}"/>
    <cellStyle name="40% - 强调文字颜色 1 5" xfId="290" xr:uid="{00000000-0005-0000-0000-000069010000}"/>
    <cellStyle name="40% - 强调文字颜色 1 6" xfId="291" xr:uid="{00000000-0005-0000-0000-00006A010000}"/>
    <cellStyle name="40% - 强调文字颜色 1 7" xfId="292" xr:uid="{00000000-0005-0000-0000-00006B010000}"/>
    <cellStyle name="40% - 强调文字颜色 1 8" xfId="293" xr:uid="{00000000-0005-0000-0000-00006C010000}"/>
    <cellStyle name="40% - 强调文字颜色 1 9" xfId="294" xr:uid="{00000000-0005-0000-0000-00006D010000}"/>
    <cellStyle name="40% - 强调文字颜色 2 10" xfId="295" xr:uid="{00000000-0005-0000-0000-00006E010000}"/>
    <cellStyle name="40% - 强调文字颜色 2 11" xfId="296" xr:uid="{00000000-0005-0000-0000-00006F010000}"/>
    <cellStyle name="40% - 强调文字颜色 2 12" xfId="297" xr:uid="{00000000-0005-0000-0000-000070010000}"/>
    <cellStyle name="40% - 强调文字颜色 2 13" xfId="298" xr:uid="{00000000-0005-0000-0000-000071010000}"/>
    <cellStyle name="40% - 强调文字颜色 2 14" xfId="299" xr:uid="{00000000-0005-0000-0000-000072010000}"/>
    <cellStyle name="40% - 强调文字颜色 2 15" xfId="300" xr:uid="{00000000-0005-0000-0000-000073010000}"/>
    <cellStyle name="40% - 强调文字颜色 2 16" xfId="301" xr:uid="{00000000-0005-0000-0000-000074010000}"/>
    <cellStyle name="40% - 强调文字颜色 2 17" xfId="302" xr:uid="{00000000-0005-0000-0000-000075010000}"/>
    <cellStyle name="40% - 强调文字颜色 2 18" xfId="303" xr:uid="{00000000-0005-0000-0000-000076010000}"/>
    <cellStyle name="40% - 强调文字颜色 2 19" xfId="304" xr:uid="{00000000-0005-0000-0000-000077010000}"/>
    <cellStyle name="40% - 强调文字颜色 2 2" xfId="305" xr:uid="{00000000-0005-0000-0000-000078010000}"/>
    <cellStyle name="40% - 强调文字颜色 2 20" xfId="306" xr:uid="{00000000-0005-0000-0000-000079010000}"/>
    <cellStyle name="40% - 强调文字颜色 2 21" xfId="307" xr:uid="{00000000-0005-0000-0000-00007A010000}"/>
    <cellStyle name="40% - 强调文字颜色 2 22" xfId="308" xr:uid="{00000000-0005-0000-0000-00007B010000}"/>
    <cellStyle name="40% - 强调文字颜色 2 23" xfId="309" xr:uid="{00000000-0005-0000-0000-00007C010000}"/>
    <cellStyle name="40% - 强调文字颜色 2 24" xfId="310" xr:uid="{00000000-0005-0000-0000-00007D010000}"/>
    <cellStyle name="40% - 强调文字颜色 2 25" xfId="311" xr:uid="{00000000-0005-0000-0000-00007E010000}"/>
    <cellStyle name="40% - 强调文字颜色 2 26" xfId="312" xr:uid="{00000000-0005-0000-0000-00007F010000}"/>
    <cellStyle name="40% - 强调文字颜色 2 27" xfId="313" xr:uid="{00000000-0005-0000-0000-000080010000}"/>
    <cellStyle name="40% - 强调文字颜色 2 28" xfId="314" xr:uid="{00000000-0005-0000-0000-000081010000}"/>
    <cellStyle name="40% - 强调文字颜色 2 29" xfId="315" xr:uid="{00000000-0005-0000-0000-000082010000}"/>
    <cellStyle name="40% - 强调文字颜色 2 3" xfId="316" xr:uid="{00000000-0005-0000-0000-000083010000}"/>
    <cellStyle name="40% - 强调文字颜色 2 30" xfId="317" xr:uid="{00000000-0005-0000-0000-000084010000}"/>
    <cellStyle name="40% - 强调文字颜色 2 31" xfId="318" xr:uid="{00000000-0005-0000-0000-000085010000}"/>
    <cellStyle name="40% - 强调文字颜色 2 32" xfId="319" xr:uid="{00000000-0005-0000-0000-000086010000}"/>
    <cellStyle name="40% - 强调文字颜色 2 33" xfId="320" xr:uid="{00000000-0005-0000-0000-000087010000}"/>
    <cellStyle name="40% - 强调文字颜色 2 33 2" xfId="321" xr:uid="{00000000-0005-0000-0000-000088010000}"/>
    <cellStyle name="40% - 强调文字颜色 2 33 2 2" xfId="322" xr:uid="{00000000-0005-0000-0000-000089010000}"/>
    <cellStyle name="40% - 强调文字颜色 2 33 3" xfId="323" xr:uid="{00000000-0005-0000-0000-00008A010000}"/>
    <cellStyle name="40% - 强调文字颜色 2 34" xfId="324" xr:uid="{00000000-0005-0000-0000-00008B010000}"/>
    <cellStyle name="40% - 强调文字颜色 2 34 2" xfId="325" xr:uid="{00000000-0005-0000-0000-00008C010000}"/>
    <cellStyle name="40% - 强调文字颜色 2 34 2 2" xfId="326" xr:uid="{00000000-0005-0000-0000-00008D010000}"/>
    <cellStyle name="40% - 强调文字颜色 2 34 3" xfId="327" xr:uid="{00000000-0005-0000-0000-00008E010000}"/>
    <cellStyle name="40% - 强调文字颜色 2 35" xfId="328" xr:uid="{00000000-0005-0000-0000-00008F010000}"/>
    <cellStyle name="40% - 强调文字颜色 2 35 2" xfId="329" xr:uid="{00000000-0005-0000-0000-000090010000}"/>
    <cellStyle name="40% - 强调文字颜色 2 4" xfId="330" xr:uid="{00000000-0005-0000-0000-000091010000}"/>
    <cellStyle name="40% - 强调文字颜色 2 5" xfId="331" xr:uid="{00000000-0005-0000-0000-000092010000}"/>
    <cellStyle name="40% - 强调文字颜色 2 6" xfId="332" xr:uid="{00000000-0005-0000-0000-000093010000}"/>
    <cellStyle name="40% - 强调文字颜色 2 7" xfId="333" xr:uid="{00000000-0005-0000-0000-000094010000}"/>
    <cellStyle name="40% - 强调文字颜色 2 8" xfId="334" xr:uid="{00000000-0005-0000-0000-000095010000}"/>
    <cellStyle name="40% - 强调文字颜色 2 9" xfId="335" xr:uid="{00000000-0005-0000-0000-000096010000}"/>
    <cellStyle name="40% - 强调文字颜色 3 10" xfId="336" xr:uid="{00000000-0005-0000-0000-000097010000}"/>
    <cellStyle name="40% - 强调文字颜色 3 11" xfId="337" xr:uid="{00000000-0005-0000-0000-000098010000}"/>
    <cellStyle name="40% - 强调文字颜色 3 12" xfId="338" xr:uid="{00000000-0005-0000-0000-000099010000}"/>
    <cellStyle name="40% - 强调文字颜色 3 13" xfId="339" xr:uid="{00000000-0005-0000-0000-00009A010000}"/>
    <cellStyle name="40% - 强调文字颜色 3 14" xfId="340" xr:uid="{00000000-0005-0000-0000-00009B010000}"/>
    <cellStyle name="40% - 强调文字颜色 3 15" xfId="341" xr:uid="{00000000-0005-0000-0000-00009C010000}"/>
    <cellStyle name="40% - 强调文字颜色 3 16" xfId="342" xr:uid="{00000000-0005-0000-0000-00009D010000}"/>
    <cellStyle name="40% - 强调文字颜色 3 17" xfId="343" xr:uid="{00000000-0005-0000-0000-00009E010000}"/>
    <cellStyle name="40% - 强调文字颜色 3 18" xfId="344" xr:uid="{00000000-0005-0000-0000-00009F010000}"/>
    <cellStyle name="40% - 强调文字颜色 3 19" xfId="345" xr:uid="{00000000-0005-0000-0000-0000A0010000}"/>
    <cellStyle name="40% - 强调文字颜色 3 2" xfId="346" xr:uid="{00000000-0005-0000-0000-0000A1010000}"/>
    <cellStyle name="40% - 强调文字颜色 3 20" xfId="347" xr:uid="{00000000-0005-0000-0000-0000A2010000}"/>
    <cellStyle name="40% - 强调文字颜色 3 21" xfId="348" xr:uid="{00000000-0005-0000-0000-0000A3010000}"/>
    <cellStyle name="40% - 强调文字颜色 3 22" xfId="349" xr:uid="{00000000-0005-0000-0000-0000A4010000}"/>
    <cellStyle name="40% - 强调文字颜色 3 23" xfId="350" xr:uid="{00000000-0005-0000-0000-0000A5010000}"/>
    <cellStyle name="40% - 强调文字颜色 3 24" xfId="351" xr:uid="{00000000-0005-0000-0000-0000A6010000}"/>
    <cellStyle name="40% - 强调文字颜色 3 25" xfId="352" xr:uid="{00000000-0005-0000-0000-0000A7010000}"/>
    <cellStyle name="40% - 强调文字颜色 3 26" xfId="353" xr:uid="{00000000-0005-0000-0000-0000A8010000}"/>
    <cellStyle name="40% - 强调文字颜色 3 27" xfId="354" xr:uid="{00000000-0005-0000-0000-0000A9010000}"/>
    <cellStyle name="40% - 强调文字颜色 3 28" xfId="355" xr:uid="{00000000-0005-0000-0000-0000AA010000}"/>
    <cellStyle name="40% - 强调文字颜色 3 29" xfId="356" xr:uid="{00000000-0005-0000-0000-0000AB010000}"/>
    <cellStyle name="40% - 强调文字颜色 3 3" xfId="357" xr:uid="{00000000-0005-0000-0000-0000AC010000}"/>
    <cellStyle name="40% - 强调文字颜色 3 30" xfId="358" xr:uid="{00000000-0005-0000-0000-0000AD010000}"/>
    <cellStyle name="40% - 强调文字颜色 3 31" xfId="359" xr:uid="{00000000-0005-0000-0000-0000AE010000}"/>
    <cellStyle name="40% - 强调文字颜色 3 32" xfId="360" xr:uid="{00000000-0005-0000-0000-0000AF010000}"/>
    <cellStyle name="40% - 强调文字颜色 3 33" xfId="361" xr:uid="{00000000-0005-0000-0000-0000B0010000}"/>
    <cellStyle name="40% - 强调文字颜色 3 33 2" xfId="362" xr:uid="{00000000-0005-0000-0000-0000B1010000}"/>
    <cellStyle name="40% - 强调文字颜色 3 33 2 2" xfId="363" xr:uid="{00000000-0005-0000-0000-0000B2010000}"/>
    <cellStyle name="40% - 强调文字颜色 3 33 3" xfId="364" xr:uid="{00000000-0005-0000-0000-0000B3010000}"/>
    <cellStyle name="40% - 强调文字颜色 3 34" xfId="365" xr:uid="{00000000-0005-0000-0000-0000B4010000}"/>
    <cellStyle name="40% - 强调文字颜色 3 34 2" xfId="366" xr:uid="{00000000-0005-0000-0000-0000B5010000}"/>
    <cellStyle name="40% - 强调文字颜色 3 34 2 2" xfId="367" xr:uid="{00000000-0005-0000-0000-0000B6010000}"/>
    <cellStyle name="40% - 强调文字颜色 3 34 3" xfId="368" xr:uid="{00000000-0005-0000-0000-0000B7010000}"/>
    <cellStyle name="40% - 强调文字颜色 3 35" xfId="369" xr:uid="{00000000-0005-0000-0000-0000B8010000}"/>
    <cellStyle name="40% - 强调文字颜色 3 35 2" xfId="370" xr:uid="{00000000-0005-0000-0000-0000B9010000}"/>
    <cellStyle name="40% - 强调文字颜色 3 4" xfId="371" xr:uid="{00000000-0005-0000-0000-0000BA010000}"/>
    <cellStyle name="40% - 强调文字颜色 3 5" xfId="372" xr:uid="{00000000-0005-0000-0000-0000BB010000}"/>
    <cellStyle name="40% - 强调文字颜色 3 6" xfId="373" xr:uid="{00000000-0005-0000-0000-0000BC010000}"/>
    <cellStyle name="40% - 强调文字颜色 3 7" xfId="374" xr:uid="{00000000-0005-0000-0000-0000BD010000}"/>
    <cellStyle name="40% - 强调文字颜色 3 8" xfId="375" xr:uid="{00000000-0005-0000-0000-0000BE010000}"/>
    <cellStyle name="40% - 强调文字颜色 3 9" xfId="376" xr:uid="{00000000-0005-0000-0000-0000BF010000}"/>
    <cellStyle name="40% - 强调文字颜色 4 10" xfId="377" xr:uid="{00000000-0005-0000-0000-0000C0010000}"/>
    <cellStyle name="40% - 强调文字颜色 4 11" xfId="378" xr:uid="{00000000-0005-0000-0000-0000C1010000}"/>
    <cellStyle name="40% - 强调文字颜色 4 12" xfId="379" xr:uid="{00000000-0005-0000-0000-0000C2010000}"/>
    <cellStyle name="40% - 强调文字颜色 4 13" xfId="380" xr:uid="{00000000-0005-0000-0000-0000C3010000}"/>
    <cellStyle name="40% - 强调文字颜色 4 14" xfId="381" xr:uid="{00000000-0005-0000-0000-0000C4010000}"/>
    <cellStyle name="40% - 强调文字颜色 4 15" xfId="382" xr:uid="{00000000-0005-0000-0000-0000C5010000}"/>
    <cellStyle name="40% - 强调文字颜色 4 16" xfId="383" xr:uid="{00000000-0005-0000-0000-0000C6010000}"/>
    <cellStyle name="40% - 强调文字颜色 4 17" xfId="384" xr:uid="{00000000-0005-0000-0000-0000C7010000}"/>
    <cellStyle name="40% - 强调文字颜色 4 18" xfId="385" xr:uid="{00000000-0005-0000-0000-0000C8010000}"/>
    <cellStyle name="40% - 强调文字颜色 4 19" xfId="386" xr:uid="{00000000-0005-0000-0000-0000C9010000}"/>
    <cellStyle name="40% - 强调文字颜色 4 2" xfId="387" xr:uid="{00000000-0005-0000-0000-0000CA010000}"/>
    <cellStyle name="40% - 强调文字颜色 4 20" xfId="388" xr:uid="{00000000-0005-0000-0000-0000CB010000}"/>
    <cellStyle name="40% - 强调文字颜色 4 21" xfId="389" xr:uid="{00000000-0005-0000-0000-0000CC010000}"/>
    <cellStyle name="40% - 强调文字颜色 4 22" xfId="390" xr:uid="{00000000-0005-0000-0000-0000CD010000}"/>
    <cellStyle name="40% - 强调文字颜色 4 23" xfId="391" xr:uid="{00000000-0005-0000-0000-0000CE010000}"/>
    <cellStyle name="40% - 强调文字颜色 4 24" xfId="392" xr:uid="{00000000-0005-0000-0000-0000CF010000}"/>
    <cellStyle name="40% - 强调文字颜色 4 25" xfId="393" xr:uid="{00000000-0005-0000-0000-0000D0010000}"/>
    <cellStyle name="40% - 强调文字颜色 4 26" xfId="394" xr:uid="{00000000-0005-0000-0000-0000D1010000}"/>
    <cellStyle name="40% - 强调文字颜色 4 27" xfId="395" xr:uid="{00000000-0005-0000-0000-0000D2010000}"/>
    <cellStyle name="40% - 强调文字颜色 4 28" xfId="396" xr:uid="{00000000-0005-0000-0000-0000D3010000}"/>
    <cellStyle name="40% - 强调文字颜色 4 29" xfId="397" xr:uid="{00000000-0005-0000-0000-0000D4010000}"/>
    <cellStyle name="40% - 强调文字颜色 4 3" xfId="398" xr:uid="{00000000-0005-0000-0000-0000D5010000}"/>
    <cellStyle name="40% - 强调文字颜色 4 30" xfId="399" xr:uid="{00000000-0005-0000-0000-0000D6010000}"/>
    <cellStyle name="40% - 强调文字颜色 4 31" xfId="400" xr:uid="{00000000-0005-0000-0000-0000D7010000}"/>
    <cellStyle name="40% - 强调文字颜色 4 32" xfId="401" xr:uid="{00000000-0005-0000-0000-0000D8010000}"/>
    <cellStyle name="40% - 强调文字颜色 4 33" xfId="402" xr:uid="{00000000-0005-0000-0000-0000D9010000}"/>
    <cellStyle name="40% - 强调文字颜色 4 33 2" xfId="403" xr:uid="{00000000-0005-0000-0000-0000DA010000}"/>
    <cellStyle name="40% - 强调文字颜色 4 33 2 2" xfId="404" xr:uid="{00000000-0005-0000-0000-0000DB010000}"/>
    <cellStyle name="40% - 强调文字颜色 4 33 3" xfId="405" xr:uid="{00000000-0005-0000-0000-0000DC010000}"/>
    <cellStyle name="40% - 强调文字颜色 4 34" xfId="406" xr:uid="{00000000-0005-0000-0000-0000DD010000}"/>
    <cellStyle name="40% - 强调文字颜色 4 34 2" xfId="407" xr:uid="{00000000-0005-0000-0000-0000DE010000}"/>
    <cellStyle name="40% - 强调文字颜色 4 34 2 2" xfId="408" xr:uid="{00000000-0005-0000-0000-0000DF010000}"/>
    <cellStyle name="40% - 强调文字颜色 4 34 3" xfId="409" xr:uid="{00000000-0005-0000-0000-0000E0010000}"/>
    <cellStyle name="40% - 强调文字颜色 4 35" xfId="410" xr:uid="{00000000-0005-0000-0000-0000E1010000}"/>
    <cellStyle name="40% - 强调文字颜色 4 35 2" xfId="411" xr:uid="{00000000-0005-0000-0000-0000E2010000}"/>
    <cellStyle name="40% - 强调文字颜色 4 4" xfId="412" xr:uid="{00000000-0005-0000-0000-0000E3010000}"/>
    <cellStyle name="40% - 强调文字颜色 4 5" xfId="413" xr:uid="{00000000-0005-0000-0000-0000E4010000}"/>
    <cellStyle name="40% - 强调文字颜色 4 6" xfId="414" xr:uid="{00000000-0005-0000-0000-0000E5010000}"/>
    <cellStyle name="40% - 强调文字颜色 4 7" xfId="415" xr:uid="{00000000-0005-0000-0000-0000E6010000}"/>
    <cellStyle name="40% - 强调文字颜色 4 8" xfId="416" xr:uid="{00000000-0005-0000-0000-0000E7010000}"/>
    <cellStyle name="40% - 强调文字颜色 4 9" xfId="417" xr:uid="{00000000-0005-0000-0000-0000E8010000}"/>
    <cellStyle name="40% - 强调文字颜色 5 10" xfId="418" xr:uid="{00000000-0005-0000-0000-0000E9010000}"/>
    <cellStyle name="40% - 强调文字颜色 5 11" xfId="419" xr:uid="{00000000-0005-0000-0000-0000EA010000}"/>
    <cellStyle name="40% - 强调文字颜色 5 12" xfId="420" xr:uid="{00000000-0005-0000-0000-0000EB010000}"/>
    <cellStyle name="40% - 强调文字颜色 5 13" xfId="421" xr:uid="{00000000-0005-0000-0000-0000EC010000}"/>
    <cellStyle name="40% - 强调文字颜色 5 14" xfId="422" xr:uid="{00000000-0005-0000-0000-0000ED010000}"/>
    <cellStyle name="40% - 强调文字颜色 5 15" xfId="423" xr:uid="{00000000-0005-0000-0000-0000EE010000}"/>
    <cellStyle name="40% - 强调文字颜色 5 16" xfId="424" xr:uid="{00000000-0005-0000-0000-0000EF010000}"/>
    <cellStyle name="40% - 强调文字颜色 5 17" xfId="425" xr:uid="{00000000-0005-0000-0000-0000F0010000}"/>
    <cellStyle name="40% - 强调文字颜色 5 18" xfId="426" xr:uid="{00000000-0005-0000-0000-0000F1010000}"/>
    <cellStyle name="40% - 强调文字颜色 5 19" xfId="427" xr:uid="{00000000-0005-0000-0000-0000F2010000}"/>
    <cellStyle name="40% - 强调文字颜色 5 2" xfId="428" xr:uid="{00000000-0005-0000-0000-0000F3010000}"/>
    <cellStyle name="40% - 强调文字颜色 5 20" xfId="429" xr:uid="{00000000-0005-0000-0000-0000F4010000}"/>
    <cellStyle name="40% - 强调文字颜色 5 21" xfId="430" xr:uid="{00000000-0005-0000-0000-0000F5010000}"/>
    <cellStyle name="40% - 强调文字颜色 5 22" xfId="431" xr:uid="{00000000-0005-0000-0000-0000F6010000}"/>
    <cellStyle name="40% - 强调文字颜色 5 23" xfId="432" xr:uid="{00000000-0005-0000-0000-0000F7010000}"/>
    <cellStyle name="40% - 强调文字颜色 5 24" xfId="433" xr:uid="{00000000-0005-0000-0000-0000F8010000}"/>
    <cellStyle name="40% - 强调文字颜色 5 25" xfId="434" xr:uid="{00000000-0005-0000-0000-0000F9010000}"/>
    <cellStyle name="40% - 强调文字颜色 5 26" xfId="435" xr:uid="{00000000-0005-0000-0000-0000FA010000}"/>
    <cellStyle name="40% - 强调文字颜色 5 27" xfId="436" xr:uid="{00000000-0005-0000-0000-0000FB010000}"/>
    <cellStyle name="40% - 强调文字颜色 5 28" xfId="437" xr:uid="{00000000-0005-0000-0000-0000FC010000}"/>
    <cellStyle name="40% - 强调文字颜色 5 29" xfId="438" xr:uid="{00000000-0005-0000-0000-0000FD010000}"/>
    <cellStyle name="40% - 强调文字颜色 5 3" xfId="439" xr:uid="{00000000-0005-0000-0000-0000FE010000}"/>
    <cellStyle name="40% - 强调文字颜色 5 30" xfId="440" xr:uid="{00000000-0005-0000-0000-0000FF010000}"/>
    <cellStyle name="40% - 强调文字颜色 5 31" xfId="441" xr:uid="{00000000-0005-0000-0000-000000020000}"/>
    <cellStyle name="40% - 强调文字颜色 5 32" xfId="442" xr:uid="{00000000-0005-0000-0000-000001020000}"/>
    <cellStyle name="40% - 强调文字颜色 5 33" xfId="443" xr:uid="{00000000-0005-0000-0000-000002020000}"/>
    <cellStyle name="40% - 强调文字颜色 5 33 2" xfId="444" xr:uid="{00000000-0005-0000-0000-000003020000}"/>
    <cellStyle name="40% - 强调文字颜色 5 33 2 2" xfId="445" xr:uid="{00000000-0005-0000-0000-000004020000}"/>
    <cellStyle name="40% - 强调文字颜色 5 33 3" xfId="446" xr:uid="{00000000-0005-0000-0000-000005020000}"/>
    <cellStyle name="40% - 强调文字颜色 5 34" xfId="447" xr:uid="{00000000-0005-0000-0000-000006020000}"/>
    <cellStyle name="40% - 强调文字颜色 5 34 2" xfId="448" xr:uid="{00000000-0005-0000-0000-000007020000}"/>
    <cellStyle name="40% - 强调文字颜色 5 34 2 2" xfId="449" xr:uid="{00000000-0005-0000-0000-000008020000}"/>
    <cellStyle name="40% - 强调文字颜色 5 34 3" xfId="450" xr:uid="{00000000-0005-0000-0000-000009020000}"/>
    <cellStyle name="40% - 强调文字颜色 5 35" xfId="451" xr:uid="{00000000-0005-0000-0000-00000A020000}"/>
    <cellStyle name="40% - 强调文字颜色 5 35 2" xfId="452" xr:uid="{00000000-0005-0000-0000-00000B020000}"/>
    <cellStyle name="40% - 强调文字颜色 5 4" xfId="453" xr:uid="{00000000-0005-0000-0000-00000C020000}"/>
    <cellStyle name="40% - 强调文字颜色 5 5" xfId="454" xr:uid="{00000000-0005-0000-0000-00000D020000}"/>
    <cellStyle name="40% - 强调文字颜色 5 6" xfId="455" xr:uid="{00000000-0005-0000-0000-00000E020000}"/>
    <cellStyle name="40% - 强调文字颜色 5 7" xfId="456" xr:uid="{00000000-0005-0000-0000-00000F020000}"/>
    <cellStyle name="40% - 强调文字颜色 5 8" xfId="457" xr:uid="{00000000-0005-0000-0000-000010020000}"/>
    <cellStyle name="40% - 强调文字颜色 5 9" xfId="458" xr:uid="{00000000-0005-0000-0000-000011020000}"/>
    <cellStyle name="40% - 强调文字颜色 6 10" xfId="459" xr:uid="{00000000-0005-0000-0000-000012020000}"/>
    <cellStyle name="40% - 强调文字颜色 6 11" xfId="460" xr:uid="{00000000-0005-0000-0000-000013020000}"/>
    <cellStyle name="40% - 强调文字颜色 6 12" xfId="461" xr:uid="{00000000-0005-0000-0000-000014020000}"/>
    <cellStyle name="40% - 强调文字颜色 6 13" xfId="462" xr:uid="{00000000-0005-0000-0000-000015020000}"/>
    <cellStyle name="40% - 强调文字颜色 6 14" xfId="463" xr:uid="{00000000-0005-0000-0000-000016020000}"/>
    <cellStyle name="40% - 强调文字颜色 6 15" xfId="464" xr:uid="{00000000-0005-0000-0000-000017020000}"/>
    <cellStyle name="40% - 强调文字颜色 6 16" xfId="465" xr:uid="{00000000-0005-0000-0000-000018020000}"/>
    <cellStyle name="40% - 强调文字颜色 6 17" xfId="466" xr:uid="{00000000-0005-0000-0000-000019020000}"/>
    <cellStyle name="40% - 强调文字颜色 6 18" xfId="467" xr:uid="{00000000-0005-0000-0000-00001A020000}"/>
    <cellStyle name="40% - 强调文字颜色 6 19" xfId="468" xr:uid="{00000000-0005-0000-0000-00001B020000}"/>
    <cellStyle name="40% - 强调文字颜色 6 2" xfId="469" xr:uid="{00000000-0005-0000-0000-00001C020000}"/>
    <cellStyle name="40% - 强调文字颜色 6 20" xfId="470" xr:uid="{00000000-0005-0000-0000-00001D020000}"/>
    <cellStyle name="40% - 强调文字颜色 6 21" xfId="471" xr:uid="{00000000-0005-0000-0000-00001E020000}"/>
    <cellStyle name="40% - 强调文字颜色 6 22" xfId="472" xr:uid="{00000000-0005-0000-0000-00001F020000}"/>
    <cellStyle name="40% - 强调文字颜色 6 23" xfId="473" xr:uid="{00000000-0005-0000-0000-000020020000}"/>
    <cellStyle name="40% - 强调文字颜色 6 24" xfId="474" xr:uid="{00000000-0005-0000-0000-000021020000}"/>
    <cellStyle name="40% - 强调文字颜色 6 25" xfId="475" xr:uid="{00000000-0005-0000-0000-000022020000}"/>
    <cellStyle name="40% - 强调文字颜色 6 26" xfId="476" xr:uid="{00000000-0005-0000-0000-000023020000}"/>
    <cellStyle name="40% - 强调文字颜色 6 27" xfId="477" xr:uid="{00000000-0005-0000-0000-000024020000}"/>
    <cellStyle name="40% - 强调文字颜色 6 28" xfId="478" xr:uid="{00000000-0005-0000-0000-000025020000}"/>
    <cellStyle name="40% - 强调文字颜色 6 29" xfId="479" xr:uid="{00000000-0005-0000-0000-000026020000}"/>
    <cellStyle name="40% - 强调文字颜色 6 3" xfId="480" xr:uid="{00000000-0005-0000-0000-000027020000}"/>
    <cellStyle name="40% - 强调文字颜色 6 30" xfId="481" xr:uid="{00000000-0005-0000-0000-000028020000}"/>
    <cellStyle name="40% - 强调文字颜色 6 31" xfId="482" xr:uid="{00000000-0005-0000-0000-000029020000}"/>
    <cellStyle name="40% - 强调文字颜色 6 32" xfId="483" xr:uid="{00000000-0005-0000-0000-00002A020000}"/>
    <cellStyle name="40% - 强调文字颜色 6 33" xfId="484" xr:uid="{00000000-0005-0000-0000-00002B020000}"/>
    <cellStyle name="40% - 强调文字颜色 6 33 2" xfId="485" xr:uid="{00000000-0005-0000-0000-00002C020000}"/>
    <cellStyle name="40% - 强调文字颜色 6 33 2 2" xfId="486" xr:uid="{00000000-0005-0000-0000-00002D020000}"/>
    <cellStyle name="40% - 强调文字颜色 6 33 3" xfId="487" xr:uid="{00000000-0005-0000-0000-00002E020000}"/>
    <cellStyle name="40% - 强调文字颜色 6 34" xfId="488" xr:uid="{00000000-0005-0000-0000-00002F020000}"/>
    <cellStyle name="40% - 强调文字颜色 6 34 2" xfId="489" xr:uid="{00000000-0005-0000-0000-000030020000}"/>
    <cellStyle name="40% - 强调文字颜色 6 34 2 2" xfId="490" xr:uid="{00000000-0005-0000-0000-000031020000}"/>
    <cellStyle name="40% - 强调文字颜色 6 34 3" xfId="491" xr:uid="{00000000-0005-0000-0000-000032020000}"/>
    <cellStyle name="40% - 强调文字颜色 6 35" xfId="492" xr:uid="{00000000-0005-0000-0000-000033020000}"/>
    <cellStyle name="40% - 强调文字颜色 6 35 2" xfId="493" xr:uid="{00000000-0005-0000-0000-000034020000}"/>
    <cellStyle name="40% - 强调文字颜色 6 4" xfId="494" xr:uid="{00000000-0005-0000-0000-000035020000}"/>
    <cellStyle name="40% - 强调文字颜色 6 5" xfId="495" xr:uid="{00000000-0005-0000-0000-000036020000}"/>
    <cellStyle name="40% - 强调文字颜色 6 6" xfId="496" xr:uid="{00000000-0005-0000-0000-000037020000}"/>
    <cellStyle name="40% - 强调文字颜色 6 7" xfId="497" xr:uid="{00000000-0005-0000-0000-000038020000}"/>
    <cellStyle name="40% - 强调文字颜色 6 8" xfId="498" xr:uid="{00000000-0005-0000-0000-000039020000}"/>
    <cellStyle name="40% - 强调文字颜色 6 9" xfId="499" xr:uid="{00000000-0005-0000-0000-00003A020000}"/>
    <cellStyle name="60% - Accent1 2" xfId="1512" xr:uid="{00000000-0005-0000-0000-000041020000}"/>
    <cellStyle name="60% - Accent1 3" xfId="4666" xr:uid="{00000000-0005-0000-0000-000042020000}"/>
    <cellStyle name="60% - Accent1 4" xfId="14272" xr:uid="{00000000-0005-0000-0000-000043020000}"/>
    <cellStyle name="60% - Accent1 5" xfId="14453" xr:uid="{00000000-0005-0000-0000-000044020000}"/>
    <cellStyle name="60% - Accent2 2" xfId="1516" xr:uid="{00000000-0005-0000-0000-000045020000}"/>
    <cellStyle name="60% - Accent2 3" xfId="4670" xr:uid="{00000000-0005-0000-0000-000046020000}"/>
    <cellStyle name="60% - Accent2 4" xfId="14276" xr:uid="{00000000-0005-0000-0000-000047020000}"/>
    <cellStyle name="60% - Accent2 5" xfId="14457" xr:uid="{00000000-0005-0000-0000-000048020000}"/>
    <cellStyle name="60% - Accent3 2" xfId="1520" xr:uid="{00000000-0005-0000-0000-000049020000}"/>
    <cellStyle name="60% - Accent3 3" xfId="4674" xr:uid="{00000000-0005-0000-0000-00004A020000}"/>
    <cellStyle name="60% - Accent3 4" xfId="14280" xr:uid="{00000000-0005-0000-0000-00004B020000}"/>
    <cellStyle name="60% - Accent3 5" xfId="14461" xr:uid="{00000000-0005-0000-0000-00004C020000}"/>
    <cellStyle name="60% - Accent4 2" xfId="1524" xr:uid="{00000000-0005-0000-0000-00004D020000}"/>
    <cellStyle name="60% - Accent4 3" xfId="4678" xr:uid="{00000000-0005-0000-0000-00004E020000}"/>
    <cellStyle name="60% - Accent4 4" xfId="14284" xr:uid="{00000000-0005-0000-0000-00004F020000}"/>
    <cellStyle name="60% - Accent4 5" xfId="14465" xr:uid="{00000000-0005-0000-0000-000050020000}"/>
    <cellStyle name="60% - Accent5 2" xfId="1528" xr:uid="{00000000-0005-0000-0000-000051020000}"/>
    <cellStyle name="60% - Accent5 3" xfId="4682" xr:uid="{00000000-0005-0000-0000-000052020000}"/>
    <cellStyle name="60% - Accent5 4" xfId="14288" xr:uid="{00000000-0005-0000-0000-000053020000}"/>
    <cellStyle name="60% - Accent5 5" xfId="14469" xr:uid="{00000000-0005-0000-0000-000054020000}"/>
    <cellStyle name="60% - Accent6 2" xfId="1532" xr:uid="{00000000-0005-0000-0000-000055020000}"/>
    <cellStyle name="60% - Accent6 3" xfId="4686" xr:uid="{00000000-0005-0000-0000-000056020000}"/>
    <cellStyle name="60% - Accent6 4" xfId="14292" xr:uid="{00000000-0005-0000-0000-000057020000}"/>
    <cellStyle name="60% - Accent6 5" xfId="14473" xr:uid="{00000000-0005-0000-0000-000058020000}"/>
    <cellStyle name="60% - 강조색1 2" xfId="14324" xr:uid="{00000000-0005-0000-0000-000059020000}"/>
    <cellStyle name="60% - 강조색1 3" xfId="14325" xr:uid="{00000000-0005-0000-0000-00005A020000}"/>
    <cellStyle name="60% - 강조색2 2" xfId="14326" xr:uid="{00000000-0005-0000-0000-00005B020000}"/>
    <cellStyle name="60% - 강조색2 3" xfId="14327" xr:uid="{00000000-0005-0000-0000-00005C020000}"/>
    <cellStyle name="60% - 강조색3 2" xfId="14328" xr:uid="{00000000-0005-0000-0000-00005D020000}"/>
    <cellStyle name="60% - 강조색3 3" xfId="14329" xr:uid="{00000000-0005-0000-0000-00005E020000}"/>
    <cellStyle name="60% - 강조색4 2" xfId="14330" xr:uid="{00000000-0005-0000-0000-00005F020000}"/>
    <cellStyle name="60% - 강조색4 3" xfId="14331" xr:uid="{00000000-0005-0000-0000-000060020000}"/>
    <cellStyle name="60% - 강조색5 2" xfId="14332" xr:uid="{00000000-0005-0000-0000-000061020000}"/>
    <cellStyle name="60% - 강조색5 3" xfId="14333" xr:uid="{00000000-0005-0000-0000-000062020000}"/>
    <cellStyle name="60% - 강조색6 2" xfId="14334" xr:uid="{00000000-0005-0000-0000-000063020000}"/>
    <cellStyle name="60% - 강조색6 3" xfId="14335" xr:uid="{00000000-0005-0000-0000-000064020000}"/>
    <cellStyle name="60% - 强调文字颜色 1 10" xfId="506" xr:uid="{00000000-0005-0000-0000-000065020000}"/>
    <cellStyle name="60% - 强调文字颜色 1 11" xfId="507" xr:uid="{00000000-0005-0000-0000-000066020000}"/>
    <cellStyle name="60% - 强调文字颜色 1 12" xfId="508" xr:uid="{00000000-0005-0000-0000-000067020000}"/>
    <cellStyle name="60% - 强调文字颜色 1 13" xfId="509" xr:uid="{00000000-0005-0000-0000-000068020000}"/>
    <cellStyle name="60% - 强调文字颜色 1 14" xfId="510" xr:uid="{00000000-0005-0000-0000-000069020000}"/>
    <cellStyle name="60% - 强调文字颜色 1 15" xfId="511" xr:uid="{00000000-0005-0000-0000-00006A020000}"/>
    <cellStyle name="60% - 强调文字颜色 1 16" xfId="512" xr:uid="{00000000-0005-0000-0000-00006B020000}"/>
    <cellStyle name="60% - 强调文字颜色 1 17" xfId="513" xr:uid="{00000000-0005-0000-0000-00006C020000}"/>
    <cellStyle name="60% - 强调文字颜色 1 18" xfId="514" xr:uid="{00000000-0005-0000-0000-00006D020000}"/>
    <cellStyle name="60% - 强调文字颜色 1 19" xfId="515" xr:uid="{00000000-0005-0000-0000-00006E020000}"/>
    <cellStyle name="60% - 强调文字颜色 1 2" xfId="516" xr:uid="{00000000-0005-0000-0000-00006F020000}"/>
    <cellStyle name="60% - 强调文字颜色 1 20" xfId="517" xr:uid="{00000000-0005-0000-0000-000070020000}"/>
    <cellStyle name="60% - 强调文字颜色 1 21" xfId="518" xr:uid="{00000000-0005-0000-0000-000071020000}"/>
    <cellStyle name="60% - 强调文字颜色 1 22" xfId="519" xr:uid="{00000000-0005-0000-0000-000072020000}"/>
    <cellStyle name="60% - 强调文字颜色 1 23" xfId="520" xr:uid="{00000000-0005-0000-0000-000073020000}"/>
    <cellStyle name="60% - 强调文字颜色 1 24" xfId="521" xr:uid="{00000000-0005-0000-0000-000074020000}"/>
    <cellStyle name="60% - 强调文字颜色 1 25" xfId="522" xr:uid="{00000000-0005-0000-0000-000075020000}"/>
    <cellStyle name="60% - 强调文字颜色 1 26" xfId="523" xr:uid="{00000000-0005-0000-0000-000076020000}"/>
    <cellStyle name="60% - 强调文字颜色 1 27" xfId="524" xr:uid="{00000000-0005-0000-0000-000077020000}"/>
    <cellStyle name="60% - 强调文字颜色 1 28" xfId="525" xr:uid="{00000000-0005-0000-0000-000078020000}"/>
    <cellStyle name="60% - 强调文字颜色 1 29" xfId="526" xr:uid="{00000000-0005-0000-0000-000079020000}"/>
    <cellStyle name="60% - 强调文字颜色 1 3" xfId="527" xr:uid="{00000000-0005-0000-0000-00007A020000}"/>
    <cellStyle name="60% - 强调文字颜色 1 4" xfId="528" xr:uid="{00000000-0005-0000-0000-00007B020000}"/>
    <cellStyle name="60% - 强调文字颜色 1 5" xfId="529" xr:uid="{00000000-0005-0000-0000-00007C020000}"/>
    <cellStyle name="60% - 强调文字颜色 1 6" xfId="530" xr:uid="{00000000-0005-0000-0000-00007D020000}"/>
    <cellStyle name="60% - 强调文字颜色 1 7" xfId="531" xr:uid="{00000000-0005-0000-0000-00007E020000}"/>
    <cellStyle name="60% - 强调文字颜色 1 8" xfId="532" xr:uid="{00000000-0005-0000-0000-00007F020000}"/>
    <cellStyle name="60% - 强调文字颜色 1 9" xfId="533" xr:uid="{00000000-0005-0000-0000-000080020000}"/>
    <cellStyle name="60% - 强调文字颜色 2 10" xfId="534" xr:uid="{00000000-0005-0000-0000-000081020000}"/>
    <cellStyle name="60% - 强调文字颜色 2 11" xfId="535" xr:uid="{00000000-0005-0000-0000-000082020000}"/>
    <cellStyle name="60% - 强调文字颜色 2 12" xfId="536" xr:uid="{00000000-0005-0000-0000-000083020000}"/>
    <cellStyle name="60% - 强调文字颜色 2 13" xfId="537" xr:uid="{00000000-0005-0000-0000-000084020000}"/>
    <cellStyle name="60% - 强调文字颜色 2 14" xfId="538" xr:uid="{00000000-0005-0000-0000-000085020000}"/>
    <cellStyle name="60% - 强调文字颜色 2 15" xfId="539" xr:uid="{00000000-0005-0000-0000-000086020000}"/>
    <cellStyle name="60% - 强调文字颜色 2 16" xfId="540" xr:uid="{00000000-0005-0000-0000-000087020000}"/>
    <cellStyle name="60% - 强调文字颜色 2 17" xfId="541" xr:uid="{00000000-0005-0000-0000-000088020000}"/>
    <cellStyle name="60% - 强调文字颜色 2 18" xfId="542" xr:uid="{00000000-0005-0000-0000-000089020000}"/>
    <cellStyle name="60% - 强调文字颜色 2 19" xfId="543" xr:uid="{00000000-0005-0000-0000-00008A020000}"/>
    <cellStyle name="60% - 强调文字颜色 2 2" xfId="544" xr:uid="{00000000-0005-0000-0000-00008B020000}"/>
    <cellStyle name="60% - 强调文字颜色 2 20" xfId="545" xr:uid="{00000000-0005-0000-0000-00008C020000}"/>
    <cellStyle name="60% - 强调文字颜色 2 21" xfId="546" xr:uid="{00000000-0005-0000-0000-00008D020000}"/>
    <cellStyle name="60% - 强调文字颜色 2 22" xfId="547" xr:uid="{00000000-0005-0000-0000-00008E020000}"/>
    <cellStyle name="60% - 强调文字颜色 2 23" xfId="548" xr:uid="{00000000-0005-0000-0000-00008F020000}"/>
    <cellStyle name="60% - 强调文字颜色 2 24" xfId="549" xr:uid="{00000000-0005-0000-0000-000090020000}"/>
    <cellStyle name="60% - 强调文字颜色 2 25" xfId="550" xr:uid="{00000000-0005-0000-0000-000091020000}"/>
    <cellStyle name="60% - 强调文字颜色 2 26" xfId="551" xr:uid="{00000000-0005-0000-0000-000092020000}"/>
    <cellStyle name="60% - 强调文字颜色 2 27" xfId="552" xr:uid="{00000000-0005-0000-0000-000093020000}"/>
    <cellStyle name="60% - 强调文字颜色 2 28" xfId="553" xr:uid="{00000000-0005-0000-0000-000094020000}"/>
    <cellStyle name="60% - 强调文字颜色 2 29" xfId="554" xr:uid="{00000000-0005-0000-0000-000095020000}"/>
    <cellStyle name="60% - 强调文字颜色 2 3" xfId="555" xr:uid="{00000000-0005-0000-0000-000096020000}"/>
    <cellStyle name="60% - 强调文字颜色 2 4" xfId="556" xr:uid="{00000000-0005-0000-0000-000097020000}"/>
    <cellStyle name="60% - 强调文字颜色 2 5" xfId="557" xr:uid="{00000000-0005-0000-0000-000098020000}"/>
    <cellStyle name="60% - 强调文字颜色 2 6" xfId="558" xr:uid="{00000000-0005-0000-0000-000099020000}"/>
    <cellStyle name="60% - 强调文字颜色 2 7" xfId="559" xr:uid="{00000000-0005-0000-0000-00009A020000}"/>
    <cellStyle name="60% - 强调文字颜色 2 8" xfId="560" xr:uid="{00000000-0005-0000-0000-00009B020000}"/>
    <cellStyle name="60% - 强调文字颜色 2 9" xfId="561" xr:uid="{00000000-0005-0000-0000-00009C020000}"/>
    <cellStyle name="60% - 强调文字颜色 3 10" xfId="562" xr:uid="{00000000-0005-0000-0000-00009D020000}"/>
    <cellStyle name="60% - 强调文字颜色 3 11" xfId="563" xr:uid="{00000000-0005-0000-0000-00009E020000}"/>
    <cellStyle name="60% - 强调文字颜色 3 12" xfId="564" xr:uid="{00000000-0005-0000-0000-00009F020000}"/>
    <cellStyle name="60% - 强调文字颜色 3 13" xfId="565" xr:uid="{00000000-0005-0000-0000-0000A0020000}"/>
    <cellStyle name="60% - 强调文字颜色 3 14" xfId="566" xr:uid="{00000000-0005-0000-0000-0000A1020000}"/>
    <cellStyle name="60% - 强调文字颜色 3 15" xfId="567" xr:uid="{00000000-0005-0000-0000-0000A2020000}"/>
    <cellStyle name="60% - 强调文字颜色 3 16" xfId="568" xr:uid="{00000000-0005-0000-0000-0000A3020000}"/>
    <cellStyle name="60% - 强调文字颜色 3 17" xfId="569" xr:uid="{00000000-0005-0000-0000-0000A4020000}"/>
    <cellStyle name="60% - 强调文字颜色 3 18" xfId="570" xr:uid="{00000000-0005-0000-0000-0000A5020000}"/>
    <cellStyle name="60% - 强调文字颜色 3 19" xfId="571" xr:uid="{00000000-0005-0000-0000-0000A6020000}"/>
    <cellStyle name="60% - 强调文字颜色 3 2" xfId="572" xr:uid="{00000000-0005-0000-0000-0000A7020000}"/>
    <cellStyle name="60% - 强调文字颜色 3 20" xfId="573" xr:uid="{00000000-0005-0000-0000-0000A8020000}"/>
    <cellStyle name="60% - 强调文字颜色 3 21" xfId="574" xr:uid="{00000000-0005-0000-0000-0000A9020000}"/>
    <cellStyle name="60% - 强调文字颜色 3 22" xfId="575" xr:uid="{00000000-0005-0000-0000-0000AA020000}"/>
    <cellStyle name="60% - 强调文字颜色 3 23" xfId="576" xr:uid="{00000000-0005-0000-0000-0000AB020000}"/>
    <cellStyle name="60% - 强调文字颜色 3 24" xfId="577" xr:uid="{00000000-0005-0000-0000-0000AC020000}"/>
    <cellStyle name="60% - 强调文字颜色 3 25" xfId="578" xr:uid="{00000000-0005-0000-0000-0000AD020000}"/>
    <cellStyle name="60% - 强调文字颜色 3 26" xfId="579" xr:uid="{00000000-0005-0000-0000-0000AE020000}"/>
    <cellStyle name="60% - 强调文字颜色 3 27" xfId="580" xr:uid="{00000000-0005-0000-0000-0000AF020000}"/>
    <cellStyle name="60% - 强调文字颜色 3 28" xfId="581" xr:uid="{00000000-0005-0000-0000-0000B0020000}"/>
    <cellStyle name="60% - 强调文字颜色 3 29" xfId="582" xr:uid="{00000000-0005-0000-0000-0000B1020000}"/>
    <cellStyle name="60% - 强调文字颜色 3 3" xfId="583" xr:uid="{00000000-0005-0000-0000-0000B2020000}"/>
    <cellStyle name="60% - 强调文字颜色 3 4" xfId="584" xr:uid="{00000000-0005-0000-0000-0000B3020000}"/>
    <cellStyle name="60% - 强调文字颜色 3 5" xfId="585" xr:uid="{00000000-0005-0000-0000-0000B4020000}"/>
    <cellStyle name="60% - 强调文字颜色 3 6" xfId="586" xr:uid="{00000000-0005-0000-0000-0000B5020000}"/>
    <cellStyle name="60% - 强调文字颜色 3 7" xfId="587" xr:uid="{00000000-0005-0000-0000-0000B6020000}"/>
    <cellStyle name="60% - 强调文字颜色 3 8" xfId="588" xr:uid="{00000000-0005-0000-0000-0000B7020000}"/>
    <cellStyle name="60% - 强调文字颜色 3 9" xfId="589" xr:uid="{00000000-0005-0000-0000-0000B8020000}"/>
    <cellStyle name="60% - 强调文字颜色 4 10" xfId="590" xr:uid="{00000000-0005-0000-0000-0000B9020000}"/>
    <cellStyle name="60% - 强调文字颜色 4 11" xfId="591" xr:uid="{00000000-0005-0000-0000-0000BA020000}"/>
    <cellStyle name="60% - 强调文字颜色 4 12" xfId="592" xr:uid="{00000000-0005-0000-0000-0000BB020000}"/>
    <cellStyle name="60% - 强调文字颜色 4 13" xfId="593" xr:uid="{00000000-0005-0000-0000-0000BC020000}"/>
    <cellStyle name="60% - 强调文字颜色 4 14" xfId="594" xr:uid="{00000000-0005-0000-0000-0000BD020000}"/>
    <cellStyle name="60% - 强调文字颜色 4 15" xfId="595" xr:uid="{00000000-0005-0000-0000-0000BE020000}"/>
    <cellStyle name="60% - 强调文字颜色 4 16" xfId="596" xr:uid="{00000000-0005-0000-0000-0000BF020000}"/>
    <cellStyle name="60% - 强调文字颜色 4 17" xfId="597" xr:uid="{00000000-0005-0000-0000-0000C0020000}"/>
    <cellStyle name="60% - 强调文字颜色 4 18" xfId="598" xr:uid="{00000000-0005-0000-0000-0000C1020000}"/>
    <cellStyle name="60% - 强调文字颜色 4 19" xfId="599" xr:uid="{00000000-0005-0000-0000-0000C2020000}"/>
    <cellStyle name="60% - 强调文字颜色 4 2" xfId="600" xr:uid="{00000000-0005-0000-0000-0000C3020000}"/>
    <cellStyle name="60% - 强调文字颜色 4 20" xfId="601" xr:uid="{00000000-0005-0000-0000-0000C4020000}"/>
    <cellStyle name="60% - 强调文字颜色 4 21" xfId="602" xr:uid="{00000000-0005-0000-0000-0000C5020000}"/>
    <cellStyle name="60% - 强调文字颜色 4 22" xfId="603" xr:uid="{00000000-0005-0000-0000-0000C6020000}"/>
    <cellStyle name="60% - 强调文字颜色 4 23" xfId="604" xr:uid="{00000000-0005-0000-0000-0000C7020000}"/>
    <cellStyle name="60% - 强调文字颜色 4 24" xfId="605" xr:uid="{00000000-0005-0000-0000-0000C8020000}"/>
    <cellStyle name="60% - 强调文字颜色 4 25" xfId="606" xr:uid="{00000000-0005-0000-0000-0000C9020000}"/>
    <cellStyle name="60% - 强调文字颜色 4 26" xfId="607" xr:uid="{00000000-0005-0000-0000-0000CA020000}"/>
    <cellStyle name="60% - 强调文字颜色 4 27" xfId="608" xr:uid="{00000000-0005-0000-0000-0000CB020000}"/>
    <cellStyle name="60% - 强调文字颜色 4 28" xfId="609" xr:uid="{00000000-0005-0000-0000-0000CC020000}"/>
    <cellStyle name="60% - 强调文字颜色 4 29" xfId="610" xr:uid="{00000000-0005-0000-0000-0000CD020000}"/>
    <cellStyle name="60% - 强调文字颜色 4 3" xfId="611" xr:uid="{00000000-0005-0000-0000-0000CE020000}"/>
    <cellStyle name="60% - 强调文字颜色 4 4" xfId="612" xr:uid="{00000000-0005-0000-0000-0000CF020000}"/>
    <cellStyle name="60% - 强调文字颜色 4 5" xfId="613" xr:uid="{00000000-0005-0000-0000-0000D0020000}"/>
    <cellStyle name="60% - 强调文字颜色 4 6" xfId="614" xr:uid="{00000000-0005-0000-0000-0000D1020000}"/>
    <cellStyle name="60% - 强调文字颜色 4 7" xfId="615" xr:uid="{00000000-0005-0000-0000-0000D2020000}"/>
    <cellStyle name="60% - 强调文字颜色 4 8" xfId="616" xr:uid="{00000000-0005-0000-0000-0000D3020000}"/>
    <cellStyle name="60% - 强调文字颜色 4 9" xfId="617" xr:uid="{00000000-0005-0000-0000-0000D4020000}"/>
    <cellStyle name="60% - 强调文字颜色 5 10" xfId="618" xr:uid="{00000000-0005-0000-0000-0000D5020000}"/>
    <cellStyle name="60% - 强调文字颜色 5 11" xfId="619" xr:uid="{00000000-0005-0000-0000-0000D6020000}"/>
    <cellStyle name="60% - 强调文字颜色 5 12" xfId="620" xr:uid="{00000000-0005-0000-0000-0000D7020000}"/>
    <cellStyle name="60% - 强调文字颜色 5 13" xfId="621" xr:uid="{00000000-0005-0000-0000-0000D8020000}"/>
    <cellStyle name="60% - 强调文字颜色 5 14" xfId="622" xr:uid="{00000000-0005-0000-0000-0000D9020000}"/>
    <cellStyle name="60% - 强调文字颜色 5 15" xfId="623" xr:uid="{00000000-0005-0000-0000-0000DA020000}"/>
    <cellStyle name="60% - 强调文字颜色 5 16" xfId="624" xr:uid="{00000000-0005-0000-0000-0000DB020000}"/>
    <cellStyle name="60% - 强调文字颜色 5 17" xfId="625" xr:uid="{00000000-0005-0000-0000-0000DC020000}"/>
    <cellStyle name="60% - 强调文字颜色 5 18" xfId="626" xr:uid="{00000000-0005-0000-0000-0000DD020000}"/>
    <cellStyle name="60% - 强调文字颜色 5 19" xfId="627" xr:uid="{00000000-0005-0000-0000-0000DE020000}"/>
    <cellStyle name="60% - 强调文字颜色 5 2" xfId="628" xr:uid="{00000000-0005-0000-0000-0000DF020000}"/>
    <cellStyle name="60% - 强调文字颜色 5 20" xfId="629" xr:uid="{00000000-0005-0000-0000-0000E0020000}"/>
    <cellStyle name="60% - 强调文字颜色 5 21" xfId="630" xr:uid="{00000000-0005-0000-0000-0000E1020000}"/>
    <cellStyle name="60% - 强调文字颜色 5 22" xfId="631" xr:uid="{00000000-0005-0000-0000-0000E2020000}"/>
    <cellStyle name="60% - 强调文字颜色 5 23" xfId="632" xr:uid="{00000000-0005-0000-0000-0000E3020000}"/>
    <cellStyle name="60% - 强调文字颜色 5 24" xfId="633" xr:uid="{00000000-0005-0000-0000-0000E4020000}"/>
    <cellStyle name="60% - 强调文字颜色 5 25" xfId="634" xr:uid="{00000000-0005-0000-0000-0000E5020000}"/>
    <cellStyle name="60% - 强调文字颜色 5 26" xfId="635" xr:uid="{00000000-0005-0000-0000-0000E6020000}"/>
    <cellStyle name="60% - 强调文字颜色 5 27" xfId="636" xr:uid="{00000000-0005-0000-0000-0000E7020000}"/>
    <cellStyle name="60% - 强调文字颜色 5 28" xfId="637" xr:uid="{00000000-0005-0000-0000-0000E8020000}"/>
    <cellStyle name="60% - 强调文字颜色 5 29" xfId="638" xr:uid="{00000000-0005-0000-0000-0000E9020000}"/>
    <cellStyle name="60% - 强调文字颜色 5 3" xfId="639" xr:uid="{00000000-0005-0000-0000-0000EA020000}"/>
    <cellStyle name="60% - 强调文字颜色 5 4" xfId="640" xr:uid="{00000000-0005-0000-0000-0000EB020000}"/>
    <cellStyle name="60% - 强调文字颜色 5 5" xfId="641" xr:uid="{00000000-0005-0000-0000-0000EC020000}"/>
    <cellStyle name="60% - 强调文字颜色 5 6" xfId="642" xr:uid="{00000000-0005-0000-0000-0000ED020000}"/>
    <cellStyle name="60% - 强调文字颜色 5 7" xfId="643" xr:uid="{00000000-0005-0000-0000-0000EE020000}"/>
    <cellStyle name="60% - 强调文字颜色 5 8" xfId="644" xr:uid="{00000000-0005-0000-0000-0000EF020000}"/>
    <cellStyle name="60% - 强调文字颜色 5 9" xfId="645" xr:uid="{00000000-0005-0000-0000-0000F0020000}"/>
    <cellStyle name="60% - 强调文字颜色 6 10" xfId="646" xr:uid="{00000000-0005-0000-0000-0000F1020000}"/>
    <cellStyle name="60% - 强调文字颜色 6 11" xfId="647" xr:uid="{00000000-0005-0000-0000-0000F2020000}"/>
    <cellStyle name="60% - 强调文字颜色 6 12" xfId="648" xr:uid="{00000000-0005-0000-0000-0000F3020000}"/>
    <cellStyle name="60% - 强调文字颜色 6 13" xfId="649" xr:uid="{00000000-0005-0000-0000-0000F4020000}"/>
    <cellStyle name="60% - 强调文字颜色 6 14" xfId="650" xr:uid="{00000000-0005-0000-0000-0000F5020000}"/>
    <cellStyle name="60% - 强调文字颜色 6 15" xfId="651" xr:uid="{00000000-0005-0000-0000-0000F6020000}"/>
    <cellStyle name="60% - 强调文字颜色 6 16" xfId="652" xr:uid="{00000000-0005-0000-0000-0000F7020000}"/>
    <cellStyle name="60% - 强调文字颜色 6 17" xfId="653" xr:uid="{00000000-0005-0000-0000-0000F8020000}"/>
    <cellStyle name="60% - 强调文字颜色 6 18" xfId="654" xr:uid="{00000000-0005-0000-0000-0000F9020000}"/>
    <cellStyle name="60% - 强调文字颜色 6 19" xfId="655" xr:uid="{00000000-0005-0000-0000-0000FA020000}"/>
    <cellStyle name="60% - 强调文字颜色 6 2" xfId="656" xr:uid="{00000000-0005-0000-0000-0000FB020000}"/>
    <cellStyle name="60% - 强调文字颜色 6 20" xfId="657" xr:uid="{00000000-0005-0000-0000-0000FC020000}"/>
    <cellStyle name="60% - 强调文字颜色 6 21" xfId="658" xr:uid="{00000000-0005-0000-0000-0000FD020000}"/>
    <cellStyle name="60% - 强调文字颜色 6 22" xfId="659" xr:uid="{00000000-0005-0000-0000-0000FE020000}"/>
    <cellStyle name="60% - 强调文字颜色 6 23" xfId="660" xr:uid="{00000000-0005-0000-0000-0000FF020000}"/>
    <cellStyle name="60% - 强调文字颜色 6 24" xfId="661" xr:uid="{00000000-0005-0000-0000-000000030000}"/>
    <cellStyle name="60% - 强调文字颜色 6 25" xfId="662" xr:uid="{00000000-0005-0000-0000-000001030000}"/>
    <cellStyle name="60% - 强调文字颜色 6 26" xfId="663" xr:uid="{00000000-0005-0000-0000-000002030000}"/>
    <cellStyle name="60% - 强调文字颜色 6 27" xfId="664" xr:uid="{00000000-0005-0000-0000-000003030000}"/>
    <cellStyle name="60% - 强调文字颜色 6 28" xfId="665" xr:uid="{00000000-0005-0000-0000-000004030000}"/>
    <cellStyle name="60% - 强调文字颜色 6 29" xfId="666" xr:uid="{00000000-0005-0000-0000-000005030000}"/>
    <cellStyle name="60% - 强调文字颜色 6 3" xfId="667" xr:uid="{00000000-0005-0000-0000-000006030000}"/>
    <cellStyle name="60% - 强调文字颜色 6 4" xfId="668" xr:uid="{00000000-0005-0000-0000-000007030000}"/>
    <cellStyle name="60% - 强调文字颜色 6 5" xfId="669" xr:uid="{00000000-0005-0000-0000-000008030000}"/>
    <cellStyle name="60% - 强调文字颜色 6 6" xfId="670" xr:uid="{00000000-0005-0000-0000-000009030000}"/>
    <cellStyle name="60% - 强调文字颜色 6 7" xfId="671" xr:uid="{00000000-0005-0000-0000-00000A030000}"/>
    <cellStyle name="60% - 强调文字颜色 6 8" xfId="672" xr:uid="{00000000-0005-0000-0000-00000B030000}"/>
    <cellStyle name="60% - 强调文字颜色 6 9" xfId="673" xr:uid="{00000000-0005-0000-0000-00000C030000}"/>
    <cellStyle name="A???[0]_97 ?? " xfId="14336" xr:uid="{00000000-0005-0000-0000-00000D030000}"/>
    <cellStyle name="A???97 ?? " xfId="14337" xr:uid="{00000000-0005-0000-0000-00000E030000}"/>
    <cellStyle name="A???97?a?u? " xfId="14338" xr:uid="{00000000-0005-0000-0000-00000F030000}"/>
    <cellStyle name="A???97Ae?A? " xfId="14339" xr:uid="{00000000-0005-0000-0000-000010030000}"/>
    <cellStyle name="A???98Ae?A? " xfId="14340" xr:uid="{00000000-0005-0000-0000-000011030000}"/>
    <cellStyle name="A???AoAUAy캿C? " xfId="14341" xr:uid="{00000000-0005-0000-0000-000012030000}"/>
    <cellStyle name="A???C?Ao_AoAUAy캿C? " xfId="14342" xr:uid="{00000000-0005-0000-0000-000013030000}"/>
    <cellStyle name="A???CASH FLOW " xfId="14343" xr:uid="{00000000-0005-0000-0000-000014030000}"/>
    <cellStyle name="A??[0]_CASH FLOW " xfId="14344" xr:uid="{00000000-0005-0000-0000-000015030000}"/>
    <cellStyle name="A??CASH FLOW " xfId="14345" xr:uid="{00000000-0005-0000-0000-000016030000}"/>
    <cellStyle name="Accent1 2" xfId="1509" xr:uid="{00000000-0005-0000-0000-000017030000}"/>
    <cellStyle name="Accent1 3" xfId="4663" xr:uid="{00000000-0005-0000-0000-000018030000}"/>
    <cellStyle name="Accent1 4" xfId="14269" xr:uid="{00000000-0005-0000-0000-000019030000}"/>
    <cellStyle name="Accent1 5" xfId="14450" xr:uid="{00000000-0005-0000-0000-00001A030000}"/>
    <cellStyle name="Accent2 2" xfId="1513" xr:uid="{00000000-0005-0000-0000-00001B030000}"/>
    <cellStyle name="Accent2 3" xfId="4667" xr:uid="{00000000-0005-0000-0000-00001C030000}"/>
    <cellStyle name="Accent2 4" xfId="14273" xr:uid="{00000000-0005-0000-0000-00001D030000}"/>
    <cellStyle name="Accent2 5" xfId="14454" xr:uid="{00000000-0005-0000-0000-00001E030000}"/>
    <cellStyle name="Accent3 2" xfId="1517" xr:uid="{00000000-0005-0000-0000-00001F030000}"/>
    <cellStyle name="Accent3 3" xfId="4671" xr:uid="{00000000-0005-0000-0000-000020030000}"/>
    <cellStyle name="Accent3 4" xfId="14277" xr:uid="{00000000-0005-0000-0000-000021030000}"/>
    <cellStyle name="Accent3 5" xfId="14458" xr:uid="{00000000-0005-0000-0000-000022030000}"/>
    <cellStyle name="Accent4 2" xfId="1521" xr:uid="{00000000-0005-0000-0000-000023030000}"/>
    <cellStyle name="Accent4 3" xfId="4675" xr:uid="{00000000-0005-0000-0000-000024030000}"/>
    <cellStyle name="Accent4 4" xfId="14281" xr:uid="{00000000-0005-0000-0000-000025030000}"/>
    <cellStyle name="Accent4 5" xfId="14462" xr:uid="{00000000-0005-0000-0000-000026030000}"/>
    <cellStyle name="Accent5 2" xfId="1525" xr:uid="{00000000-0005-0000-0000-000027030000}"/>
    <cellStyle name="Accent5 3" xfId="4679" xr:uid="{00000000-0005-0000-0000-000028030000}"/>
    <cellStyle name="Accent5 4" xfId="14285" xr:uid="{00000000-0005-0000-0000-000029030000}"/>
    <cellStyle name="Accent5 5" xfId="14466" xr:uid="{00000000-0005-0000-0000-00002A030000}"/>
    <cellStyle name="Accent6 2" xfId="1529" xr:uid="{00000000-0005-0000-0000-00002B030000}"/>
    <cellStyle name="Accent6 3" xfId="4683" xr:uid="{00000000-0005-0000-0000-00002C030000}"/>
    <cellStyle name="Accent6 4" xfId="14289" xr:uid="{00000000-0005-0000-0000-00002D030000}"/>
    <cellStyle name="Accent6 5" xfId="14470" xr:uid="{00000000-0005-0000-0000-00002E030000}"/>
    <cellStyle name="AeE?[0]_97 ?? " xfId="14346" xr:uid="{00000000-0005-0000-0000-00002F030000}"/>
    <cellStyle name="AeE?97 ?? " xfId="14347" xr:uid="{00000000-0005-0000-0000-000030030000}"/>
    <cellStyle name="AeE?97?a?u? " xfId="14348" xr:uid="{00000000-0005-0000-0000-000031030000}"/>
    <cellStyle name="AeE?97Ae?A? " xfId="14349" xr:uid="{00000000-0005-0000-0000-000032030000}"/>
    <cellStyle name="AeE?98Ae?A? " xfId="14350" xr:uid="{00000000-0005-0000-0000-000033030000}"/>
    <cellStyle name="AeE?AoAUAy캿C? " xfId="14351" xr:uid="{00000000-0005-0000-0000-000034030000}"/>
    <cellStyle name="AeE?C?Ao_AoAUAy캿C? " xfId="14352" xr:uid="{00000000-0005-0000-0000-000035030000}"/>
    <cellStyle name="AeE?CASH FLOW " xfId="14353" xr:uid="{00000000-0005-0000-0000-000036030000}"/>
    <cellStyle name="Bad 2" xfId="1499" xr:uid="{00000000-0005-0000-0000-000037030000}"/>
    <cellStyle name="Bad 3" xfId="4653" xr:uid="{00000000-0005-0000-0000-000038030000}"/>
    <cellStyle name="Bad 4" xfId="14259" xr:uid="{00000000-0005-0000-0000-000039030000}"/>
    <cellStyle name="Bad 5" xfId="14440" xr:uid="{00000000-0005-0000-0000-00003A030000}"/>
    <cellStyle name="C?AO_?? " xfId="14354" xr:uid="{00000000-0005-0000-0000-00003B030000}"/>
    <cellStyle name="C¡IA¨ª_￠￢AAa.¨uOAI " xfId="14355" xr:uid="{00000000-0005-0000-0000-00003C030000}"/>
    <cellStyle name="C￥AØ_¸AAa.¼OAI " xfId="14356" xr:uid="{00000000-0005-0000-0000-00003D030000}"/>
    <cellStyle name="Calculation 2" xfId="1503" xr:uid="{00000000-0005-0000-0000-00003E030000}"/>
    <cellStyle name="Calculation 3" xfId="4657" xr:uid="{00000000-0005-0000-0000-00003F030000}"/>
    <cellStyle name="Calculation 4" xfId="14263" xr:uid="{00000000-0005-0000-0000-000040030000}"/>
    <cellStyle name="Calculation 5" xfId="14444" xr:uid="{00000000-0005-0000-0000-000041030000}"/>
    <cellStyle name="Check Cell 2" xfId="1505" xr:uid="{00000000-0005-0000-0000-000042030000}"/>
    <cellStyle name="Check Cell 3" xfId="4659" xr:uid="{00000000-0005-0000-0000-000043030000}"/>
    <cellStyle name="Check Cell 4" xfId="14265" xr:uid="{00000000-0005-0000-0000-000044030000}"/>
    <cellStyle name="Check Cell 5" xfId="14446" xr:uid="{00000000-0005-0000-0000-000045030000}"/>
    <cellStyle name="Explanatory Text 2" xfId="1507" xr:uid="{00000000-0005-0000-0000-000046030000}"/>
    <cellStyle name="Explanatory Text 3" xfId="4661" xr:uid="{00000000-0005-0000-0000-000047030000}"/>
    <cellStyle name="Explanatory Text 4" xfId="14267" xr:uid="{00000000-0005-0000-0000-000048030000}"/>
    <cellStyle name="Explanatory Text 5" xfId="14448" xr:uid="{00000000-0005-0000-0000-000049030000}"/>
    <cellStyle name="Good 2" xfId="1498" xr:uid="{00000000-0005-0000-0000-00004A030000}"/>
    <cellStyle name="Good 3" xfId="4652" xr:uid="{00000000-0005-0000-0000-00004B030000}"/>
    <cellStyle name="Good 4" xfId="4691" xr:uid="{00000000-0005-0000-0000-00004C030000}"/>
    <cellStyle name="Good 5" xfId="14258" xr:uid="{00000000-0005-0000-0000-00004D030000}"/>
    <cellStyle name="Good 6" xfId="14439" xr:uid="{00000000-0005-0000-0000-00004E030000}"/>
    <cellStyle name="Heading 1 2" xfId="1494" xr:uid="{00000000-0005-0000-0000-00004F030000}"/>
    <cellStyle name="Heading 1 3" xfId="4648" xr:uid="{00000000-0005-0000-0000-000050030000}"/>
    <cellStyle name="Heading 1 4" xfId="14254" xr:uid="{00000000-0005-0000-0000-000051030000}"/>
    <cellStyle name="Heading 1 5" xfId="14435" xr:uid="{00000000-0005-0000-0000-000052030000}"/>
    <cellStyle name="Heading 2 2" xfId="1495" xr:uid="{00000000-0005-0000-0000-000053030000}"/>
    <cellStyle name="Heading 2 3" xfId="4649" xr:uid="{00000000-0005-0000-0000-000054030000}"/>
    <cellStyle name="Heading 2 4" xfId="14255" xr:uid="{00000000-0005-0000-0000-000055030000}"/>
    <cellStyle name="Heading 2 5" xfId="14436" xr:uid="{00000000-0005-0000-0000-000056030000}"/>
    <cellStyle name="Heading 3 2" xfId="1496" xr:uid="{00000000-0005-0000-0000-000057030000}"/>
    <cellStyle name="Heading 3 3" xfId="4650" xr:uid="{00000000-0005-0000-0000-000058030000}"/>
    <cellStyle name="Heading 3 4" xfId="14256" xr:uid="{00000000-0005-0000-0000-000059030000}"/>
    <cellStyle name="Heading 3 5" xfId="14437" xr:uid="{00000000-0005-0000-0000-00005A030000}"/>
    <cellStyle name="Heading 4 2" xfId="1497" xr:uid="{00000000-0005-0000-0000-00005B030000}"/>
    <cellStyle name="Heading 4 3" xfId="4651" xr:uid="{00000000-0005-0000-0000-00005C030000}"/>
    <cellStyle name="Heading 4 4" xfId="14257" xr:uid="{00000000-0005-0000-0000-00005D030000}"/>
    <cellStyle name="Heading 4 5" xfId="14438" xr:uid="{00000000-0005-0000-0000-00005E030000}"/>
    <cellStyle name="Input 2" xfId="1501" xr:uid="{00000000-0005-0000-0000-00005F030000}"/>
    <cellStyle name="Input 3" xfId="4655" xr:uid="{00000000-0005-0000-0000-000060030000}"/>
    <cellStyle name="Input 4" xfId="14261" xr:uid="{00000000-0005-0000-0000-000061030000}"/>
    <cellStyle name="Input 5" xfId="14442" xr:uid="{00000000-0005-0000-0000-000062030000}"/>
    <cellStyle name="Linked Cell 2" xfId="1504" xr:uid="{00000000-0005-0000-0000-000063030000}"/>
    <cellStyle name="Linked Cell 3" xfId="4658" xr:uid="{00000000-0005-0000-0000-000064030000}"/>
    <cellStyle name="Linked Cell 4" xfId="14264" xr:uid="{00000000-0005-0000-0000-000065030000}"/>
    <cellStyle name="Linked Cell 5" xfId="14445" xr:uid="{00000000-0005-0000-0000-000066030000}"/>
    <cellStyle name="Neutral 2" xfId="1500" xr:uid="{00000000-0005-0000-0000-000067030000}"/>
    <cellStyle name="Neutral 3" xfId="4654" xr:uid="{00000000-0005-0000-0000-000068030000}"/>
    <cellStyle name="Neutral 4" xfId="14260" xr:uid="{00000000-0005-0000-0000-000069030000}"/>
    <cellStyle name="Neutral 5" xfId="14441" xr:uid="{00000000-0005-0000-0000-00006A030000}"/>
    <cellStyle name="Normal 10" xfId="4639" xr:uid="{00000000-0005-0000-0000-00006B030000}"/>
    <cellStyle name="Normal 10 2" xfId="7867" xr:uid="{00000000-0005-0000-0000-00006C030000}"/>
    <cellStyle name="Normal 10 2 2" xfId="14228" xr:uid="{00000000-0005-0000-0000-00006D030000}"/>
    <cellStyle name="Normal 10 3" xfId="11049" xr:uid="{00000000-0005-0000-0000-00006E030000}"/>
    <cellStyle name="Normal 11" xfId="4640" xr:uid="{00000000-0005-0000-0000-00006F030000}"/>
    <cellStyle name="Normal 11 2" xfId="7868" xr:uid="{00000000-0005-0000-0000-000070030000}"/>
    <cellStyle name="Normal 11 2 2" xfId="14229" xr:uid="{00000000-0005-0000-0000-000071030000}"/>
    <cellStyle name="Normal 11 3" xfId="11050" xr:uid="{00000000-0005-0000-0000-000072030000}"/>
    <cellStyle name="Normal 12" xfId="4641" xr:uid="{00000000-0005-0000-0000-000073030000}"/>
    <cellStyle name="Normal 12 2" xfId="7869" xr:uid="{00000000-0005-0000-0000-000074030000}"/>
    <cellStyle name="Normal 12 2 2" xfId="14230" xr:uid="{00000000-0005-0000-0000-000075030000}"/>
    <cellStyle name="Normal 12 3" xfId="11051" xr:uid="{00000000-0005-0000-0000-000076030000}"/>
    <cellStyle name="Normal 13" xfId="4689" xr:uid="{00000000-0005-0000-0000-000077030000}"/>
    <cellStyle name="Normal 13 2" xfId="7870" xr:uid="{00000000-0005-0000-0000-000078030000}"/>
    <cellStyle name="Normal 13 2 2" xfId="14231" xr:uid="{00000000-0005-0000-0000-000079030000}"/>
    <cellStyle name="Normal 13 3" xfId="11052" xr:uid="{00000000-0005-0000-0000-00007A030000}"/>
    <cellStyle name="Normal 14" xfId="4690" xr:uid="{00000000-0005-0000-0000-00007B030000}"/>
    <cellStyle name="Normal 15" xfId="4692" xr:uid="{00000000-0005-0000-0000-00007C030000}"/>
    <cellStyle name="Normal 15 2" xfId="7871" xr:uid="{00000000-0005-0000-0000-00007D030000}"/>
    <cellStyle name="Normal 15 2 2" xfId="14232" xr:uid="{00000000-0005-0000-0000-00007E030000}"/>
    <cellStyle name="Normal 15 3" xfId="11053" xr:uid="{00000000-0005-0000-0000-00007F030000}"/>
    <cellStyle name="Normal 16" xfId="4693" xr:uid="{00000000-0005-0000-0000-000080030000}"/>
    <cellStyle name="Normal 16 2" xfId="7872" xr:uid="{00000000-0005-0000-0000-000081030000}"/>
    <cellStyle name="Normal 16 2 2" xfId="14233" xr:uid="{00000000-0005-0000-0000-000082030000}"/>
    <cellStyle name="Normal 16 3" xfId="11054" xr:uid="{00000000-0005-0000-0000-000083030000}"/>
    <cellStyle name="Normal 17" xfId="4694" xr:uid="{00000000-0005-0000-0000-000084030000}"/>
    <cellStyle name="Normal 17 2" xfId="7873" xr:uid="{00000000-0005-0000-0000-000085030000}"/>
    <cellStyle name="Normal 17 2 2" xfId="14234" xr:uid="{00000000-0005-0000-0000-000086030000}"/>
    <cellStyle name="Normal 17 3" xfId="11055" xr:uid="{00000000-0005-0000-0000-000087030000}"/>
    <cellStyle name="Normal 18" xfId="4695" xr:uid="{00000000-0005-0000-0000-000088030000}"/>
    <cellStyle name="Normal 18 2" xfId="7874" xr:uid="{00000000-0005-0000-0000-000089030000}"/>
    <cellStyle name="Normal 18 2 2" xfId="14235" xr:uid="{00000000-0005-0000-0000-00008A030000}"/>
    <cellStyle name="Normal 18 3" xfId="11056" xr:uid="{00000000-0005-0000-0000-00008B030000}"/>
    <cellStyle name="Normal 19" xfId="4696" xr:uid="{00000000-0005-0000-0000-00008C030000}"/>
    <cellStyle name="Normal 19 2" xfId="7875" xr:uid="{00000000-0005-0000-0000-00008D030000}"/>
    <cellStyle name="Normal 19 2 2" xfId="14236" xr:uid="{00000000-0005-0000-0000-00008E030000}"/>
    <cellStyle name="Normal 19 3" xfId="11057" xr:uid="{00000000-0005-0000-0000-00008F030000}"/>
    <cellStyle name="Normal 2" xfId="674" xr:uid="{00000000-0005-0000-0000-000090030000}"/>
    <cellStyle name="Normal 2 2" xfId="14246" xr:uid="{00000000-0005-0000-0000-000091030000}"/>
    <cellStyle name="Normal 2 3" xfId="14297" xr:uid="{00000000-0005-0000-0000-000092030000}"/>
    <cellStyle name="Normal 20" xfId="4697" xr:uid="{00000000-0005-0000-0000-000093030000}"/>
    <cellStyle name="Normal 20 2" xfId="7876" xr:uid="{00000000-0005-0000-0000-000094030000}"/>
    <cellStyle name="Normal 20 2 2" xfId="14237" xr:uid="{00000000-0005-0000-0000-000095030000}"/>
    <cellStyle name="Normal 20 3" xfId="11058" xr:uid="{00000000-0005-0000-0000-000096030000}"/>
    <cellStyle name="Normal 21" xfId="7877" xr:uid="{00000000-0005-0000-0000-000097030000}"/>
    <cellStyle name="Normal 21 2" xfId="14238" xr:uid="{00000000-0005-0000-0000-000098030000}"/>
    <cellStyle name="Normal 22" xfId="7878" xr:uid="{00000000-0005-0000-0000-000099030000}"/>
    <cellStyle name="Normal 22 2" xfId="14239" xr:uid="{00000000-0005-0000-0000-00009A030000}"/>
    <cellStyle name="Normal 23" xfId="7879" xr:uid="{00000000-0005-0000-0000-00009B030000}"/>
    <cellStyle name="Normal 23 2" xfId="14240" xr:uid="{00000000-0005-0000-0000-00009C030000}"/>
    <cellStyle name="Normal 24" xfId="14241" xr:uid="{00000000-0005-0000-0000-00009D030000}"/>
    <cellStyle name="Normal 25" xfId="14242" xr:uid="{00000000-0005-0000-0000-00009E030000}"/>
    <cellStyle name="Normal 26" xfId="14243" xr:uid="{00000000-0005-0000-0000-00009F030000}"/>
    <cellStyle name="Normal 27" xfId="14244" xr:uid="{00000000-0005-0000-0000-0000A0030000}"/>
    <cellStyle name="Normal 28" xfId="14245" xr:uid="{00000000-0005-0000-0000-0000A1030000}"/>
    <cellStyle name="Normal 29" xfId="14247" xr:uid="{00000000-0005-0000-0000-0000A2030000}"/>
    <cellStyle name="Normal 3" xfId="1416" xr:uid="{00000000-0005-0000-0000-0000A3030000}"/>
    <cellStyle name="Normal 3 2" xfId="1420" xr:uid="{00000000-0005-0000-0000-0000A4030000}"/>
    <cellStyle name="Normal 30" xfId="14295" xr:uid="{00000000-0005-0000-0000-0000A5030000}"/>
    <cellStyle name="Normal 31" xfId="14296" xr:uid="{00000000-0005-0000-0000-0000A6030000}"/>
    <cellStyle name="Normal 32" xfId="14413" xr:uid="{00000000-0005-0000-0000-0000A7030000}"/>
    <cellStyle name="Normal 33" xfId="14414" xr:uid="{00000000-0005-0000-0000-0000A8030000}"/>
    <cellStyle name="Normal 34" xfId="14415" xr:uid="{00000000-0005-0000-0000-0000A9030000}"/>
    <cellStyle name="Normal 35" xfId="14427" xr:uid="{00000000-0005-0000-0000-0000AA030000}"/>
    <cellStyle name="Normal 36" xfId="14428" xr:uid="{00000000-0005-0000-0000-0000AB030000}"/>
    <cellStyle name="Normal 4" xfId="1415" xr:uid="{00000000-0005-0000-0000-0000AC030000}"/>
    <cellStyle name="Normal 4 10" xfId="1668" xr:uid="{00000000-0005-0000-0000-0000AD030000}"/>
    <cellStyle name="Normal 4 10 2" xfId="2064" xr:uid="{00000000-0005-0000-0000-0000AE030000}"/>
    <cellStyle name="Normal 4 10 2 2" xfId="2856" xr:uid="{00000000-0005-0000-0000-0000AF030000}"/>
    <cellStyle name="Normal 4 10 2 2 2" xfId="4440" xr:uid="{00000000-0005-0000-0000-0000B0030000}"/>
    <cellStyle name="Normal 4 10 2 2 2 2" xfId="7668" xr:uid="{00000000-0005-0000-0000-0000B1030000}"/>
    <cellStyle name="Normal 4 10 2 2 2 2 2" xfId="14029" xr:uid="{00000000-0005-0000-0000-0000B2030000}"/>
    <cellStyle name="Normal 4 10 2 2 2 3" xfId="10850" xr:uid="{00000000-0005-0000-0000-0000B3030000}"/>
    <cellStyle name="Normal 4 10 2 2 3" xfId="6084" xr:uid="{00000000-0005-0000-0000-0000B4030000}"/>
    <cellStyle name="Normal 4 10 2 2 3 2" xfId="12445" xr:uid="{00000000-0005-0000-0000-0000B5030000}"/>
    <cellStyle name="Normal 4 10 2 2 4" xfId="9266" xr:uid="{00000000-0005-0000-0000-0000B6030000}"/>
    <cellStyle name="Normal 4 10 2 3" xfId="3648" xr:uid="{00000000-0005-0000-0000-0000B7030000}"/>
    <cellStyle name="Normal 4 10 2 3 2" xfId="6876" xr:uid="{00000000-0005-0000-0000-0000B8030000}"/>
    <cellStyle name="Normal 4 10 2 3 2 2" xfId="13237" xr:uid="{00000000-0005-0000-0000-0000B9030000}"/>
    <cellStyle name="Normal 4 10 2 3 3" xfId="10058" xr:uid="{00000000-0005-0000-0000-0000BA030000}"/>
    <cellStyle name="Normal 4 10 2 4" xfId="5292" xr:uid="{00000000-0005-0000-0000-0000BB030000}"/>
    <cellStyle name="Normal 4 10 2 4 2" xfId="11653" xr:uid="{00000000-0005-0000-0000-0000BC030000}"/>
    <cellStyle name="Normal 4 10 2 5" xfId="8474" xr:uid="{00000000-0005-0000-0000-0000BD030000}"/>
    <cellStyle name="Normal 4 10 3" xfId="2460" xr:uid="{00000000-0005-0000-0000-0000BE030000}"/>
    <cellStyle name="Normal 4 10 3 2" xfId="4044" xr:uid="{00000000-0005-0000-0000-0000BF030000}"/>
    <cellStyle name="Normal 4 10 3 2 2" xfId="7272" xr:uid="{00000000-0005-0000-0000-0000C0030000}"/>
    <cellStyle name="Normal 4 10 3 2 2 2" xfId="13633" xr:uid="{00000000-0005-0000-0000-0000C1030000}"/>
    <cellStyle name="Normal 4 10 3 2 3" xfId="10454" xr:uid="{00000000-0005-0000-0000-0000C2030000}"/>
    <cellStyle name="Normal 4 10 3 3" xfId="5688" xr:uid="{00000000-0005-0000-0000-0000C3030000}"/>
    <cellStyle name="Normal 4 10 3 3 2" xfId="12049" xr:uid="{00000000-0005-0000-0000-0000C4030000}"/>
    <cellStyle name="Normal 4 10 3 4" xfId="8870" xr:uid="{00000000-0005-0000-0000-0000C5030000}"/>
    <cellStyle name="Normal 4 10 4" xfId="3252" xr:uid="{00000000-0005-0000-0000-0000C6030000}"/>
    <cellStyle name="Normal 4 10 4 2" xfId="6480" xr:uid="{00000000-0005-0000-0000-0000C7030000}"/>
    <cellStyle name="Normal 4 10 4 2 2" xfId="12841" xr:uid="{00000000-0005-0000-0000-0000C8030000}"/>
    <cellStyle name="Normal 4 10 4 3" xfId="9662" xr:uid="{00000000-0005-0000-0000-0000C9030000}"/>
    <cellStyle name="Normal 4 10 5" xfId="4896" xr:uid="{00000000-0005-0000-0000-0000CA030000}"/>
    <cellStyle name="Normal 4 10 5 2" xfId="11257" xr:uid="{00000000-0005-0000-0000-0000CB030000}"/>
    <cellStyle name="Normal 4 10 6" xfId="8078" xr:uid="{00000000-0005-0000-0000-0000CC030000}"/>
    <cellStyle name="Normal 4 11" xfId="1866" xr:uid="{00000000-0005-0000-0000-0000CD030000}"/>
    <cellStyle name="Normal 4 11 2" xfId="2658" xr:uid="{00000000-0005-0000-0000-0000CE030000}"/>
    <cellStyle name="Normal 4 11 2 2" xfId="4242" xr:uid="{00000000-0005-0000-0000-0000CF030000}"/>
    <cellStyle name="Normal 4 11 2 2 2" xfId="7470" xr:uid="{00000000-0005-0000-0000-0000D0030000}"/>
    <cellStyle name="Normal 4 11 2 2 2 2" xfId="13831" xr:uid="{00000000-0005-0000-0000-0000D1030000}"/>
    <cellStyle name="Normal 4 11 2 2 3" xfId="10652" xr:uid="{00000000-0005-0000-0000-0000D2030000}"/>
    <cellStyle name="Normal 4 11 2 3" xfId="5886" xr:uid="{00000000-0005-0000-0000-0000D3030000}"/>
    <cellStyle name="Normal 4 11 2 3 2" xfId="12247" xr:uid="{00000000-0005-0000-0000-0000D4030000}"/>
    <cellStyle name="Normal 4 11 2 4" xfId="9068" xr:uid="{00000000-0005-0000-0000-0000D5030000}"/>
    <cellStyle name="Normal 4 11 3" xfId="3450" xr:uid="{00000000-0005-0000-0000-0000D6030000}"/>
    <cellStyle name="Normal 4 11 3 2" xfId="6678" xr:uid="{00000000-0005-0000-0000-0000D7030000}"/>
    <cellStyle name="Normal 4 11 3 2 2" xfId="13039" xr:uid="{00000000-0005-0000-0000-0000D8030000}"/>
    <cellStyle name="Normal 4 11 3 3" xfId="9860" xr:uid="{00000000-0005-0000-0000-0000D9030000}"/>
    <cellStyle name="Normal 4 11 4" xfId="5094" xr:uid="{00000000-0005-0000-0000-0000DA030000}"/>
    <cellStyle name="Normal 4 11 4 2" xfId="11455" xr:uid="{00000000-0005-0000-0000-0000DB030000}"/>
    <cellStyle name="Normal 4 11 5" xfId="8276" xr:uid="{00000000-0005-0000-0000-0000DC030000}"/>
    <cellStyle name="Normal 4 12" xfId="2262" xr:uid="{00000000-0005-0000-0000-0000DD030000}"/>
    <cellStyle name="Normal 4 12 2" xfId="3846" xr:uid="{00000000-0005-0000-0000-0000DE030000}"/>
    <cellStyle name="Normal 4 12 2 2" xfId="7074" xr:uid="{00000000-0005-0000-0000-0000DF030000}"/>
    <cellStyle name="Normal 4 12 2 2 2" xfId="13435" xr:uid="{00000000-0005-0000-0000-0000E0030000}"/>
    <cellStyle name="Normal 4 12 2 3" xfId="10256" xr:uid="{00000000-0005-0000-0000-0000E1030000}"/>
    <cellStyle name="Normal 4 12 3" xfId="5490" xr:uid="{00000000-0005-0000-0000-0000E2030000}"/>
    <cellStyle name="Normal 4 12 3 2" xfId="11851" xr:uid="{00000000-0005-0000-0000-0000E3030000}"/>
    <cellStyle name="Normal 4 12 4" xfId="8672" xr:uid="{00000000-0005-0000-0000-0000E4030000}"/>
    <cellStyle name="Normal 4 13" xfId="3054" xr:uid="{00000000-0005-0000-0000-0000E5030000}"/>
    <cellStyle name="Normal 4 13 2" xfId="6282" xr:uid="{00000000-0005-0000-0000-0000E6030000}"/>
    <cellStyle name="Normal 4 13 2 2" xfId="12643" xr:uid="{00000000-0005-0000-0000-0000E7030000}"/>
    <cellStyle name="Normal 4 13 3" xfId="9464" xr:uid="{00000000-0005-0000-0000-0000E8030000}"/>
    <cellStyle name="Normal 4 14" xfId="4698" xr:uid="{00000000-0005-0000-0000-0000E9030000}"/>
    <cellStyle name="Normal 4 14 2" xfId="11059" xr:uid="{00000000-0005-0000-0000-0000EA030000}"/>
    <cellStyle name="Normal 4 15" xfId="7880" xr:uid="{00000000-0005-0000-0000-0000EB030000}"/>
    <cellStyle name="Normal 4 2" xfId="1424" xr:uid="{00000000-0005-0000-0000-0000EC030000}"/>
    <cellStyle name="Normal 4 2 10" xfId="1867" xr:uid="{00000000-0005-0000-0000-0000ED030000}"/>
    <cellStyle name="Normal 4 2 10 2" xfId="2659" xr:uid="{00000000-0005-0000-0000-0000EE030000}"/>
    <cellStyle name="Normal 4 2 10 2 2" xfId="4243" xr:uid="{00000000-0005-0000-0000-0000EF030000}"/>
    <cellStyle name="Normal 4 2 10 2 2 2" xfId="7471" xr:uid="{00000000-0005-0000-0000-0000F0030000}"/>
    <cellStyle name="Normal 4 2 10 2 2 2 2" xfId="13832" xr:uid="{00000000-0005-0000-0000-0000F1030000}"/>
    <cellStyle name="Normal 4 2 10 2 2 3" xfId="10653" xr:uid="{00000000-0005-0000-0000-0000F2030000}"/>
    <cellStyle name="Normal 4 2 10 2 3" xfId="5887" xr:uid="{00000000-0005-0000-0000-0000F3030000}"/>
    <cellStyle name="Normal 4 2 10 2 3 2" xfId="12248" xr:uid="{00000000-0005-0000-0000-0000F4030000}"/>
    <cellStyle name="Normal 4 2 10 2 4" xfId="9069" xr:uid="{00000000-0005-0000-0000-0000F5030000}"/>
    <cellStyle name="Normal 4 2 10 3" xfId="3451" xr:uid="{00000000-0005-0000-0000-0000F6030000}"/>
    <cellStyle name="Normal 4 2 10 3 2" xfId="6679" xr:uid="{00000000-0005-0000-0000-0000F7030000}"/>
    <cellStyle name="Normal 4 2 10 3 2 2" xfId="13040" xr:uid="{00000000-0005-0000-0000-0000F8030000}"/>
    <cellStyle name="Normal 4 2 10 3 3" xfId="9861" xr:uid="{00000000-0005-0000-0000-0000F9030000}"/>
    <cellStyle name="Normal 4 2 10 4" xfId="5095" xr:uid="{00000000-0005-0000-0000-0000FA030000}"/>
    <cellStyle name="Normal 4 2 10 4 2" xfId="11456" xr:uid="{00000000-0005-0000-0000-0000FB030000}"/>
    <cellStyle name="Normal 4 2 10 5" xfId="8277" xr:uid="{00000000-0005-0000-0000-0000FC030000}"/>
    <cellStyle name="Normal 4 2 11" xfId="2263" xr:uid="{00000000-0005-0000-0000-0000FD030000}"/>
    <cellStyle name="Normal 4 2 11 2" xfId="3847" xr:uid="{00000000-0005-0000-0000-0000FE030000}"/>
    <cellStyle name="Normal 4 2 11 2 2" xfId="7075" xr:uid="{00000000-0005-0000-0000-0000FF030000}"/>
    <cellStyle name="Normal 4 2 11 2 2 2" xfId="13436" xr:uid="{00000000-0005-0000-0000-000000040000}"/>
    <cellStyle name="Normal 4 2 11 2 3" xfId="10257" xr:uid="{00000000-0005-0000-0000-000001040000}"/>
    <cellStyle name="Normal 4 2 11 3" xfId="5491" xr:uid="{00000000-0005-0000-0000-000002040000}"/>
    <cellStyle name="Normal 4 2 11 3 2" xfId="11852" xr:uid="{00000000-0005-0000-0000-000003040000}"/>
    <cellStyle name="Normal 4 2 11 4" xfId="8673" xr:uid="{00000000-0005-0000-0000-000004040000}"/>
    <cellStyle name="Normal 4 2 12" xfId="3055" xr:uid="{00000000-0005-0000-0000-000005040000}"/>
    <cellStyle name="Normal 4 2 12 2" xfId="6283" xr:uid="{00000000-0005-0000-0000-000006040000}"/>
    <cellStyle name="Normal 4 2 12 2 2" xfId="12644" xr:uid="{00000000-0005-0000-0000-000007040000}"/>
    <cellStyle name="Normal 4 2 12 3" xfId="9465" xr:uid="{00000000-0005-0000-0000-000008040000}"/>
    <cellStyle name="Normal 4 2 13" xfId="4699" xr:uid="{00000000-0005-0000-0000-000009040000}"/>
    <cellStyle name="Normal 4 2 13 2" xfId="11060" xr:uid="{00000000-0005-0000-0000-00000A040000}"/>
    <cellStyle name="Normal 4 2 14" xfId="7881" xr:uid="{00000000-0005-0000-0000-00000B040000}"/>
    <cellStyle name="Normal 4 2 2" xfId="1426" xr:uid="{00000000-0005-0000-0000-00000C040000}"/>
    <cellStyle name="Normal 4 2 2 10" xfId="2265" xr:uid="{00000000-0005-0000-0000-00000D040000}"/>
    <cellStyle name="Normal 4 2 2 10 2" xfId="3849" xr:uid="{00000000-0005-0000-0000-00000E040000}"/>
    <cellStyle name="Normal 4 2 2 10 2 2" xfId="7077" xr:uid="{00000000-0005-0000-0000-00000F040000}"/>
    <cellStyle name="Normal 4 2 2 10 2 2 2" xfId="13438" xr:uid="{00000000-0005-0000-0000-000010040000}"/>
    <cellStyle name="Normal 4 2 2 10 2 3" xfId="10259" xr:uid="{00000000-0005-0000-0000-000011040000}"/>
    <cellStyle name="Normal 4 2 2 10 3" xfId="5493" xr:uid="{00000000-0005-0000-0000-000012040000}"/>
    <cellStyle name="Normal 4 2 2 10 3 2" xfId="11854" xr:uid="{00000000-0005-0000-0000-000013040000}"/>
    <cellStyle name="Normal 4 2 2 10 4" xfId="8675" xr:uid="{00000000-0005-0000-0000-000014040000}"/>
    <cellStyle name="Normal 4 2 2 11" xfId="3057" xr:uid="{00000000-0005-0000-0000-000015040000}"/>
    <cellStyle name="Normal 4 2 2 11 2" xfId="6285" xr:uid="{00000000-0005-0000-0000-000016040000}"/>
    <cellStyle name="Normal 4 2 2 11 2 2" xfId="12646" xr:uid="{00000000-0005-0000-0000-000017040000}"/>
    <cellStyle name="Normal 4 2 2 11 3" xfId="9467" xr:uid="{00000000-0005-0000-0000-000018040000}"/>
    <cellStyle name="Normal 4 2 2 12" xfId="4701" xr:uid="{00000000-0005-0000-0000-000019040000}"/>
    <cellStyle name="Normal 4 2 2 12 2" xfId="11062" xr:uid="{00000000-0005-0000-0000-00001A040000}"/>
    <cellStyle name="Normal 4 2 2 13" xfId="7883" xr:uid="{00000000-0005-0000-0000-00001B040000}"/>
    <cellStyle name="Normal 4 2 2 2" xfId="1430" xr:uid="{00000000-0005-0000-0000-00001C040000}"/>
    <cellStyle name="Normal 4 2 2 2 10" xfId="3061" xr:uid="{00000000-0005-0000-0000-00001D040000}"/>
    <cellStyle name="Normal 4 2 2 2 10 2" xfId="6289" xr:uid="{00000000-0005-0000-0000-00001E040000}"/>
    <cellStyle name="Normal 4 2 2 2 10 2 2" xfId="12650" xr:uid="{00000000-0005-0000-0000-00001F040000}"/>
    <cellStyle name="Normal 4 2 2 2 10 3" xfId="9471" xr:uid="{00000000-0005-0000-0000-000020040000}"/>
    <cellStyle name="Normal 4 2 2 2 11" xfId="4705" xr:uid="{00000000-0005-0000-0000-000021040000}"/>
    <cellStyle name="Normal 4 2 2 2 11 2" xfId="11066" xr:uid="{00000000-0005-0000-0000-000022040000}"/>
    <cellStyle name="Normal 4 2 2 2 12" xfId="7887" xr:uid="{00000000-0005-0000-0000-000023040000}"/>
    <cellStyle name="Normal 4 2 2 2 2" xfId="1438" xr:uid="{00000000-0005-0000-0000-000024040000}"/>
    <cellStyle name="Normal 4 2 2 2 2 10" xfId="4713" xr:uid="{00000000-0005-0000-0000-000025040000}"/>
    <cellStyle name="Normal 4 2 2 2 2 10 2" xfId="11074" xr:uid="{00000000-0005-0000-0000-000026040000}"/>
    <cellStyle name="Normal 4 2 2 2 2 11" xfId="7895" xr:uid="{00000000-0005-0000-0000-000027040000}"/>
    <cellStyle name="Normal 4 2 2 2 2 2" xfId="1454" xr:uid="{00000000-0005-0000-0000-000028040000}"/>
    <cellStyle name="Normal 4 2 2 2 2 2 10" xfId="7911" xr:uid="{00000000-0005-0000-0000-000029040000}"/>
    <cellStyle name="Normal 4 2 2 2 2 2 2" xfId="1486" xr:uid="{00000000-0005-0000-0000-00002A040000}"/>
    <cellStyle name="Normal 4 2 2 2 2 2 2 2" xfId="1598" xr:uid="{00000000-0005-0000-0000-00002B040000}"/>
    <cellStyle name="Normal 4 2 2 2 2 2 2 2 2" xfId="1796" xr:uid="{00000000-0005-0000-0000-00002C040000}"/>
    <cellStyle name="Normal 4 2 2 2 2 2 2 2 2 2" xfId="2192" xr:uid="{00000000-0005-0000-0000-00002D040000}"/>
    <cellStyle name="Normal 4 2 2 2 2 2 2 2 2 2 2" xfId="2984" xr:uid="{00000000-0005-0000-0000-00002E040000}"/>
    <cellStyle name="Normal 4 2 2 2 2 2 2 2 2 2 2 2" xfId="4568" xr:uid="{00000000-0005-0000-0000-00002F040000}"/>
    <cellStyle name="Normal 4 2 2 2 2 2 2 2 2 2 2 2 2" xfId="7796" xr:uid="{00000000-0005-0000-0000-000030040000}"/>
    <cellStyle name="Normal 4 2 2 2 2 2 2 2 2 2 2 2 2 2" xfId="14157" xr:uid="{00000000-0005-0000-0000-000031040000}"/>
    <cellStyle name="Normal 4 2 2 2 2 2 2 2 2 2 2 2 3" xfId="10978" xr:uid="{00000000-0005-0000-0000-000032040000}"/>
    <cellStyle name="Normal 4 2 2 2 2 2 2 2 2 2 2 3" xfId="6212" xr:uid="{00000000-0005-0000-0000-000033040000}"/>
    <cellStyle name="Normal 4 2 2 2 2 2 2 2 2 2 2 3 2" xfId="12573" xr:uid="{00000000-0005-0000-0000-000034040000}"/>
    <cellStyle name="Normal 4 2 2 2 2 2 2 2 2 2 2 4" xfId="9394" xr:uid="{00000000-0005-0000-0000-000035040000}"/>
    <cellStyle name="Normal 4 2 2 2 2 2 2 2 2 2 3" xfId="3776" xr:uid="{00000000-0005-0000-0000-000036040000}"/>
    <cellStyle name="Normal 4 2 2 2 2 2 2 2 2 2 3 2" xfId="7004" xr:uid="{00000000-0005-0000-0000-000037040000}"/>
    <cellStyle name="Normal 4 2 2 2 2 2 2 2 2 2 3 2 2" xfId="13365" xr:uid="{00000000-0005-0000-0000-000038040000}"/>
    <cellStyle name="Normal 4 2 2 2 2 2 2 2 2 2 3 3" xfId="10186" xr:uid="{00000000-0005-0000-0000-000039040000}"/>
    <cellStyle name="Normal 4 2 2 2 2 2 2 2 2 2 4" xfId="5420" xr:uid="{00000000-0005-0000-0000-00003A040000}"/>
    <cellStyle name="Normal 4 2 2 2 2 2 2 2 2 2 4 2" xfId="11781" xr:uid="{00000000-0005-0000-0000-00003B040000}"/>
    <cellStyle name="Normal 4 2 2 2 2 2 2 2 2 2 5" xfId="8602" xr:uid="{00000000-0005-0000-0000-00003C040000}"/>
    <cellStyle name="Normal 4 2 2 2 2 2 2 2 2 3" xfId="2588" xr:uid="{00000000-0005-0000-0000-00003D040000}"/>
    <cellStyle name="Normal 4 2 2 2 2 2 2 2 2 3 2" xfId="4172" xr:uid="{00000000-0005-0000-0000-00003E040000}"/>
    <cellStyle name="Normal 4 2 2 2 2 2 2 2 2 3 2 2" xfId="7400" xr:uid="{00000000-0005-0000-0000-00003F040000}"/>
    <cellStyle name="Normal 4 2 2 2 2 2 2 2 2 3 2 2 2" xfId="13761" xr:uid="{00000000-0005-0000-0000-000040040000}"/>
    <cellStyle name="Normal 4 2 2 2 2 2 2 2 2 3 2 3" xfId="10582" xr:uid="{00000000-0005-0000-0000-000041040000}"/>
    <cellStyle name="Normal 4 2 2 2 2 2 2 2 2 3 3" xfId="5816" xr:uid="{00000000-0005-0000-0000-000042040000}"/>
    <cellStyle name="Normal 4 2 2 2 2 2 2 2 2 3 3 2" xfId="12177" xr:uid="{00000000-0005-0000-0000-000043040000}"/>
    <cellStyle name="Normal 4 2 2 2 2 2 2 2 2 3 4" xfId="8998" xr:uid="{00000000-0005-0000-0000-000044040000}"/>
    <cellStyle name="Normal 4 2 2 2 2 2 2 2 2 4" xfId="3380" xr:uid="{00000000-0005-0000-0000-000045040000}"/>
    <cellStyle name="Normal 4 2 2 2 2 2 2 2 2 4 2" xfId="6608" xr:uid="{00000000-0005-0000-0000-000046040000}"/>
    <cellStyle name="Normal 4 2 2 2 2 2 2 2 2 4 2 2" xfId="12969" xr:uid="{00000000-0005-0000-0000-000047040000}"/>
    <cellStyle name="Normal 4 2 2 2 2 2 2 2 2 4 3" xfId="9790" xr:uid="{00000000-0005-0000-0000-000048040000}"/>
    <cellStyle name="Normal 4 2 2 2 2 2 2 2 2 5" xfId="5024" xr:uid="{00000000-0005-0000-0000-000049040000}"/>
    <cellStyle name="Normal 4 2 2 2 2 2 2 2 2 5 2" xfId="11385" xr:uid="{00000000-0005-0000-0000-00004A040000}"/>
    <cellStyle name="Normal 4 2 2 2 2 2 2 2 2 6" xfId="8206" xr:uid="{00000000-0005-0000-0000-00004B040000}"/>
    <cellStyle name="Normal 4 2 2 2 2 2 2 2 3" xfId="1994" xr:uid="{00000000-0005-0000-0000-00004C040000}"/>
    <cellStyle name="Normal 4 2 2 2 2 2 2 2 3 2" xfId="2786" xr:uid="{00000000-0005-0000-0000-00004D040000}"/>
    <cellStyle name="Normal 4 2 2 2 2 2 2 2 3 2 2" xfId="4370" xr:uid="{00000000-0005-0000-0000-00004E040000}"/>
    <cellStyle name="Normal 4 2 2 2 2 2 2 2 3 2 2 2" xfId="7598" xr:uid="{00000000-0005-0000-0000-00004F040000}"/>
    <cellStyle name="Normal 4 2 2 2 2 2 2 2 3 2 2 2 2" xfId="13959" xr:uid="{00000000-0005-0000-0000-000050040000}"/>
    <cellStyle name="Normal 4 2 2 2 2 2 2 2 3 2 2 3" xfId="10780" xr:uid="{00000000-0005-0000-0000-000051040000}"/>
    <cellStyle name="Normal 4 2 2 2 2 2 2 2 3 2 3" xfId="6014" xr:uid="{00000000-0005-0000-0000-000052040000}"/>
    <cellStyle name="Normal 4 2 2 2 2 2 2 2 3 2 3 2" xfId="12375" xr:uid="{00000000-0005-0000-0000-000053040000}"/>
    <cellStyle name="Normal 4 2 2 2 2 2 2 2 3 2 4" xfId="9196" xr:uid="{00000000-0005-0000-0000-000054040000}"/>
    <cellStyle name="Normal 4 2 2 2 2 2 2 2 3 3" xfId="3578" xr:uid="{00000000-0005-0000-0000-000055040000}"/>
    <cellStyle name="Normal 4 2 2 2 2 2 2 2 3 3 2" xfId="6806" xr:uid="{00000000-0005-0000-0000-000056040000}"/>
    <cellStyle name="Normal 4 2 2 2 2 2 2 2 3 3 2 2" xfId="13167" xr:uid="{00000000-0005-0000-0000-000057040000}"/>
    <cellStyle name="Normal 4 2 2 2 2 2 2 2 3 3 3" xfId="9988" xr:uid="{00000000-0005-0000-0000-000058040000}"/>
    <cellStyle name="Normal 4 2 2 2 2 2 2 2 3 4" xfId="5222" xr:uid="{00000000-0005-0000-0000-000059040000}"/>
    <cellStyle name="Normal 4 2 2 2 2 2 2 2 3 4 2" xfId="11583" xr:uid="{00000000-0005-0000-0000-00005A040000}"/>
    <cellStyle name="Normal 4 2 2 2 2 2 2 2 3 5" xfId="8404" xr:uid="{00000000-0005-0000-0000-00005B040000}"/>
    <cellStyle name="Normal 4 2 2 2 2 2 2 2 4" xfId="2390" xr:uid="{00000000-0005-0000-0000-00005C040000}"/>
    <cellStyle name="Normal 4 2 2 2 2 2 2 2 4 2" xfId="3974" xr:uid="{00000000-0005-0000-0000-00005D040000}"/>
    <cellStyle name="Normal 4 2 2 2 2 2 2 2 4 2 2" xfId="7202" xr:uid="{00000000-0005-0000-0000-00005E040000}"/>
    <cellStyle name="Normal 4 2 2 2 2 2 2 2 4 2 2 2" xfId="13563" xr:uid="{00000000-0005-0000-0000-00005F040000}"/>
    <cellStyle name="Normal 4 2 2 2 2 2 2 2 4 2 3" xfId="10384" xr:uid="{00000000-0005-0000-0000-000060040000}"/>
    <cellStyle name="Normal 4 2 2 2 2 2 2 2 4 3" xfId="5618" xr:uid="{00000000-0005-0000-0000-000061040000}"/>
    <cellStyle name="Normal 4 2 2 2 2 2 2 2 4 3 2" xfId="11979" xr:uid="{00000000-0005-0000-0000-000062040000}"/>
    <cellStyle name="Normal 4 2 2 2 2 2 2 2 4 4" xfId="8800" xr:uid="{00000000-0005-0000-0000-000063040000}"/>
    <cellStyle name="Normal 4 2 2 2 2 2 2 2 5" xfId="3182" xr:uid="{00000000-0005-0000-0000-000064040000}"/>
    <cellStyle name="Normal 4 2 2 2 2 2 2 2 5 2" xfId="6410" xr:uid="{00000000-0005-0000-0000-000065040000}"/>
    <cellStyle name="Normal 4 2 2 2 2 2 2 2 5 2 2" xfId="12771" xr:uid="{00000000-0005-0000-0000-000066040000}"/>
    <cellStyle name="Normal 4 2 2 2 2 2 2 2 5 3" xfId="9592" xr:uid="{00000000-0005-0000-0000-000067040000}"/>
    <cellStyle name="Normal 4 2 2 2 2 2 2 2 6" xfId="4826" xr:uid="{00000000-0005-0000-0000-000068040000}"/>
    <cellStyle name="Normal 4 2 2 2 2 2 2 2 6 2" xfId="11187" xr:uid="{00000000-0005-0000-0000-000069040000}"/>
    <cellStyle name="Normal 4 2 2 2 2 2 2 2 7" xfId="8008" xr:uid="{00000000-0005-0000-0000-00006A040000}"/>
    <cellStyle name="Normal 4 2 2 2 2 2 2 3" xfId="1666" xr:uid="{00000000-0005-0000-0000-00006B040000}"/>
    <cellStyle name="Normal 4 2 2 2 2 2 2 3 2" xfId="1864" xr:uid="{00000000-0005-0000-0000-00006C040000}"/>
    <cellStyle name="Normal 4 2 2 2 2 2 2 3 2 2" xfId="2260" xr:uid="{00000000-0005-0000-0000-00006D040000}"/>
    <cellStyle name="Normal 4 2 2 2 2 2 2 3 2 2 2" xfId="3052" xr:uid="{00000000-0005-0000-0000-00006E040000}"/>
    <cellStyle name="Normal 4 2 2 2 2 2 2 3 2 2 2 2" xfId="4636" xr:uid="{00000000-0005-0000-0000-00006F040000}"/>
    <cellStyle name="Normal 4 2 2 2 2 2 2 3 2 2 2 2 2" xfId="7864" xr:uid="{00000000-0005-0000-0000-000070040000}"/>
    <cellStyle name="Normal 4 2 2 2 2 2 2 3 2 2 2 2 2 2" xfId="14225" xr:uid="{00000000-0005-0000-0000-000071040000}"/>
    <cellStyle name="Normal 4 2 2 2 2 2 2 3 2 2 2 2 3" xfId="11046" xr:uid="{00000000-0005-0000-0000-000072040000}"/>
    <cellStyle name="Normal 4 2 2 2 2 2 2 3 2 2 2 3" xfId="6280" xr:uid="{00000000-0005-0000-0000-000073040000}"/>
    <cellStyle name="Normal 4 2 2 2 2 2 2 3 2 2 2 3 2" xfId="12641" xr:uid="{00000000-0005-0000-0000-000074040000}"/>
    <cellStyle name="Normal 4 2 2 2 2 2 2 3 2 2 2 4" xfId="9462" xr:uid="{00000000-0005-0000-0000-000075040000}"/>
    <cellStyle name="Normal 4 2 2 2 2 2 2 3 2 2 3" xfId="3844" xr:uid="{00000000-0005-0000-0000-000076040000}"/>
    <cellStyle name="Normal 4 2 2 2 2 2 2 3 2 2 3 2" xfId="7072" xr:uid="{00000000-0005-0000-0000-000077040000}"/>
    <cellStyle name="Normal 4 2 2 2 2 2 2 3 2 2 3 2 2" xfId="13433" xr:uid="{00000000-0005-0000-0000-000078040000}"/>
    <cellStyle name="Normal 4 2 2 2 2 2 2 3 2 2 3 3" xfId="10254" xr:uid="{00000000-0005-0000-0000-000079040000}"/>
    <cellStyle name="Normal 4 2 2 2 2 2 2 3 2 2 4" xfId="5488" xr:uid="{00000000-0005-0000-0000-00007A040000}"/>
    <cellStyle name="Normal 4 2 2 2 2 2 2 3 2 2 4 2" xfId="11849" xr:uid="{00000000-0005-0000-0000-00007B040000}"/>
    <cellStyle name="Normal 4 2 2 2 2 2 2 3 2 2 5" xfId="8670" xr:uid="{00000000-0005-0000-0000-00007C040000}"/>
    <cellStyle name="Normal 4 2 2 2 2 2 2 3 2 3" xfId="2656" xr:uid="{00000000-0005-0000-0000-00007D040000}"/>
    <cellStyle name="Normal 4 2 2 2 2 2 2 3 2 3 2" xfId="4240" xr:uid="{00000000-0005-0000-0000-00007E040000}"/>
    <cellStyle name="Normal 4 2 2 2 2 2 2 3 2 3 2 2" xfId="7468" xr:uid="{00000000-0005-0000-0000-00007F040000}"/>
    <cellStyle name="Normal 4 2 2 2 2 2 2 3 2 3 2 2 2" xfId="13829" xr:uid="{00000000-0005-0000-0000-000080040000}"/>
    <cellStyle name="Normal 4 2 2 2 2 2 2 3 2 3 2 3" xfId="10650" xr:uid="{00000000-0005-0000-0000-000081040000}"/>
    <cellStyle name="Normal 4 2 2 2 2 2 2 3 2 3 3" xfId="5884" xr:uid="{00000000-0005-0000-0000-000082040000}"/>
    <cellStyle name="Normal 4 2 2 2 2 2 2 3 2 3 3 2" xfId="12245" xr:uid="{00000000-0005-0000-0000-000083040000}"/>
    <cellStyle name="Normal 4 2 2 2 2 2 2 3 2 3 4" xfId="9066" xr:uid="{00000000-0005-0000-0000-000084040000}"/>
    <cellStyle name="Normal 4 2 2 2 2 2 2 3 2 4" xfId="3448" xr:uid="{00000000-0005-0000-0000-000085040000}"/>
    <cellStyle name="Normal 4 2 2 2 2 2 2 3 2 4 2" xfId="6676" xr:uid="{00000000-0005-0000-0000-000086040000}"/>
    <cellStyle name="Normal 4 2 2 2 2 2 2 3 2 4 2 2" xfId="13037" xr:uid="{00000000-0005-0000-0000-000087040000}"/>
    <cellStyle name="Normal 4 2 2 2 2 2 2 3 2 4 3" xfId="9858" xr:uid="{00000000-0005-0000-0000-000088040000}"/>
    <cellStyle name="Normal 4 2 2 2 2 2 2 3 2 5" xfId="5092" xr:uid="{00000000-0005-0000-0000-000089040000}"/>
    <cellStyle name="Normal 4 2 2 2 2 2 2 3 2 5 2" xfId="11453" xr:uid="{00000000-0005-0000-0000-00008A040000}"/>
    <cellStyle name="Normal 4 2 2 2 2 2 2 3 2 6" xfId="8274" xr:uid="{00000000-0005-0000-0000-00008B040000}"/>
    <cellStyle name="Normal 4 2 2 2 2 2 2 3 3" xfId="2062" xr:uid="{00000000-0005-0000-0000-00008C040000}"/>
    <cellStyle name="Normal 4 2 2 2 2 2 2 3 3 2" xfId="2854" xr:uid="{00000000-0005-0000-0000-00008D040000}"/>
    <cellStyle name="Normal 4 2 2 2 2 2 2 3 3 2 2" xfId="4438" xr:uid="{00000000-0005-0000-0000-00008E040000}"/>
    <cellStyle name="Normal 4 2 2 2 2 2 2 3 3 2 2 2" xfId="7666" xr:uid="{00000000-0005-0000-0000-00008F040000}"/>
    <cellStyle name="Normal 4 2 2 2 2 2 2 3 3 2 2 2 2" xfId="14027" xr:uid="{00000000-0005-0000-0000-000090040000}"/>
    <cellStyle name="Normal 4 2 2 2 2 2 2 3 3 2 2 3" xfId="10848" xr:uid="{00000000-0005-0000-0000-000091040000}"/>
    <cellStyle name="Normal 4 2 2 2 2 2 2 3 3 2 3" xfId="6082" xr:uid="{00000000-0005-0000-0000-000092040000}"/>
    <cellStyle name="Normal 4 2 2 2 2 2 2 3 3 2 3 2" xfId="12443" xr:uid="{00000000-0005-0000-0000-000093040000}"/>
    <cellStyle name="Normal 4 2 2 2 2 2 2 3 3 2 4" xfId="9264" xr:uid="{00000000-0005-0000-0000-000094040000}"/>
    <cellStyle name="Normal 4 2 2 2 2 2 2 3 3 3" xfId="3646" xr:uid="{00000000-0005-0000-0000-000095040000}"/>
    <cellStyle name="Normal 4 2 2 2 2 2 2 3 3 3 2" xfId="6874" xr:uid="{00000000-0005-0000-0000-000096040000}"/>
    <cellStyle name="Normal 4 2 2 2 2 2 2 3 3 3 2 2" xfId="13235" xr:uid="{00000000-0005-0000-0000-000097040000}"/>
    <cellStyle name="Normal 4 2 2 2 2 2 2 3 3 3 3" xfId="10056" xr:uid="{00000000-0005-0000-0000-000098040000}"/>
    <cellStyle name="Normal 4 2 2 2 2 2 2 3 3 4" xfId="5290" xr:uid="{00000000-0005-0000-0000-000099040000}"/>
    <cellStyle name="Normal 4 2 2 2 2 2 2 3 3 4 2" xfId="11651" xr:uid="{00000000-0005-0000-0000-00009A040000}"/>
    <cellStyle name="Normal 4 2 2 2 2 2 2 3 3 5" xfId="8472" xr:uid="{00000000-0005-0000-0000-00009B040000}"/>
    <cellStyle name="Normal 4 2 2 2 2 2 2 3 4" xfId="2458" xr:uid="{00000000-0005-0000-0000-00009C040000}"/>
    <cellStyle name="Normal 4 2 2 2 2 2 2 3 4 2" xfId="4042" xr:uid="{00000000-0005-0000-0000-00009D040000}"/>
    <cellStyle name="Normal 4 2 2 2 2 2 2 3 4 2 2" xfId="7270" xr:uid="{00000000-0005-0000-0000-00009E040000}"/>
    <cellStyle name="Normal 4 2 2 2 2 2 2 3 4 2 2 2" xfId="13631" xr:uid="{00000000-0005-0000-0000-00009F040000}"/>
    <cellStyle name="Normal 4 2 2 2 2 2 2 3 4 2 3" xfId="10452" xr:uid="{00000000-0005-0000-0000-0000A0040000}"/>
    <cellStyle name="Normal 4 2 2 2 2 2 2 3 4 3" xfId="5686" xr:uid="{00000000-0005-0000-0000-0000A1040000}"/>
    <cellStyle name="Normal 4 2 2 2 2 2 2 3 4 3 2" xfId="12047" xr:uid="{00000000-0005-0000-0000-0000A2040000}"/>
    <cellStyle name="Normal 4 2 2 2 2 2 2 3 4 4" xfId="8868" xr:uid="{00000000-0005-0000-0000-0000A3040000}"/>
    <cellStyle name="Normal 4 2 2 2 2 2 2 3 5" xfId="3250" xr:uid="{00000000-0005-0000-0000-0000A4040000}"/>
    <cellStyle name="Normal 4 2 2 2 2 2 2 3 5 2" xfId="6478" xr:uid="{00000000-0005-0000-0000-0000A5040000}"/>
    <cellStyle name="Normal 4 2 2 2 2 2 2 3 5 2 2" xfId="12839" xr:uid="{00000000-0005-0000-0000-0000A6040000}"/>
    <cellStyle name="Normal 4 2 2 2 2 2 2 3 5 3" xfId="9660" xr:uid="{00000000-0005-0000-0000-0000A7040000}"/>
    <cellStyle name="Normal 4 2 2 2 2 2 2 3 6" xfId="4894" xr:uid="{00000000-0005-0000-0000-0000A8040000}"/>
    <cellStyle name="Normal 4 2 2 2 2 2 2 3 6 2" xfId="11255" xr:uid="{00000000-0005-0000-0000-0000A9040000}"/>
    <cellStyle name="Normal 4 2 2 2 2 2 2 3 7" xfId="8076" xr:uid="{00000000-0005-0000-0000-0000AA040000}"/>
    <cellStyle name="Normal 4 2 2 2 2 2 2 4" xfId="1731" xr:uid="{00000000-0005-0000-0000-0000AB040000}"/>
    <cellStyle name="Normal 4 2 2 2 2 2 2 4 2" xfId="2127" xr:uid="{00000000-0005-0000-0000-0000AC040000}"/>
    <cellStyle name="Normal 4 2 2 2 2 2 2 4 2 2" xfId="2919" xr:uid="{00000000-0005-0000-0000-0000AD040000}"/>
    <cellStyle name="Normal 4 2 2 2 2 2 2 4 2 2 2" xfId="4503" xr:uid="{00000000-0005-0000-0000-0000AE040000}"/>
    <cellStyle name="Normal 4 2 2 2 2 2 2 4 2 2 2 2" xfId="7731" xr:uid="{00000000-0005-0000-0000-0000AF040000}"/>
    <cellStyle name="Normal 4 2 2 2 2 2 2 4 2 2 2 2 2" xfId="14092" xr:uid="{00000000-0005-0000-0000-0000B0040000}"/>
    <cellStyle name="Normal 4 2 2 2 2 2 2 4 2 2 2 3" xfId="10913" xr:uid="{00000000-0005-0000-0000-0000B1040000}"/>
    <cellStyle name="Normal 4 2 2 2 2 2 2 4 2 2 3" xfId="6147" xr:uid="{00000000-0005-0000-0000-0000B2040000}"/>
    <cellStyle name="Normal 4 2 2 2 2 2 2 4 2 2 3 2" xfId="12508" xr:uid="{00000000-0005-0000-0000-0000B3040000}"/>
    <cellStyle name="Normal 4 2 2 2 2 2 2 4 2 2 4" xfId="9329" xr:uid="{00000000-0005-0000-0000-0000B4040000}"/>
    <cellStyle name="Normal 4 2 2 2 2 2 2 4 2 3" xfId="3711" xr:uid="{00000000-0005-0000-0000-0000B5040000}"/>
    <cellStyle name="Normal 4 2 2 2 2 2 2 4 2 3 2" xfId="6939" xr:uid="{00000000-0005-0000-0000-0000B6040000}"/>
    <cellStyle name="Normal 4 2 2 2 2 2 2 4 2 3 2 2" xfId="13300" xr:uid="{00000000-0005-0000-0000-0000B7040000}"/>
    <cellStyle name="Normal 4 2 2 2 2 2 2 4 2 3 3" xfId="10121" xr:uid="{00000000-0005-0000-0000-0000B8040000}"/>
    <cellStyle name="Normal 4 2 2 2 2 2 2 4 2 4" xfId="5355" xr:uid="{00000000-0005-0000-0000-0000B9040000}"/>
    <cellStyle name="Normal 4 2 2 2 2 2 2 4 2 4 2" xfId="11716" xr:uid="{00000000-0005-0000-0000-0000BA040000}"/>
    <cellStyle name="Normal 4 2 2 2 2 2 2 4 2 5" xfId="8537" xr:uid="{00000000-0005-0000-0000-0000BB040000}"/>
    <cellStyle name="Normal 4 2 2 2 2 2 2 4 3" xfId="2523" xr:uid="{00000000-0005-0000-0000-0000BC040000}"/>
    <cellStyle name="Normal 4 2 2 2 2 2 2 4 3 2" xfId="4107" xr:uid="{00000000-0005-0000-0000-0000BD040000}"/>
    <cellStyle name="Normal 4 2 2 2 2 2 2 4 3 2 2" xfId="7335" xr:uid="{00000000-0005-0000-0000-0000BE040000}"/>
    <cellStyle name="Normal 4 2 2 2 2 2 2 4 3 2 2 2" xfId="13696" xr:uid="{00000000-0005-0000-0000-0000BF040000}"/>
    <cellStyle name="Normal 4 2 2 2 2 2 2 4 3 2 3" xfId="10517" xr:uid="{00000000-0005-0000-0000-0000C0040000}"/>
    <cellStyle name="Normal 4 2 2 2 2 2 2 4 3 3" xfId="5751" xr:uid="{00000000-0005-0000-0000-0000C1040000}"/>
    <cellStyle name="Normal 4 2 2 2 2 2 2 4 3 3 2" xfId="12112" xr:uid="{00000000-0005-0000-0000-0000C2040000}"/>
    <cellStyle name="Normal 4 2 2 2 2 2 2 4 3 4" xfId="8933" xr:uid="{00000000-0005-0000-0000-0000C3040000}"/>
    <cellStyle name="Normal 4 2 2 2 2 2 2 4 4" xfId="3315" xr:uid="{00000000-0005-0000-0000-0000C4040000}"/>
    <cellStyle name="Normal 4 2 2 2 2 2 2 4 4 2" xfId="6543" xr:uid="{00000000-0005-0000-0000-0000C5040000}"/>
    <cellStyle name="Normal 4 2 2 2 2 2 2 4 4 2 2" xfId="12904" xr:uid="{00000000-0005-0000-0000-0000C6040000}"/>
    <cellStyle name="Normal 4 2 2 2 2 2 2 4 4 3" xfId="9725" xr:uid="{00000000-0005-0000-0000-0000C7040000}"/>
    <cellStyle name="Normal 4 2 2 2 2 2 2 4 5" xfId="4959" xr:uid="{00000000-0005-0000-0000-0000C8040000}"/>
    <cellStyle name="Normal 4 2 2 2 2 2 2 4 5 2" xfId="11320" xr:uid="{00000000-0005-0000-0000-0000C9040000}"/>
    <cellStyle name="Normal 4 2 2 2 2 2 2 4 6" xfId="8141" xr:uid="{00000000-0005-0000-0000-0000CA040000}"/>
    <cellStyle name="Normal 4 2 2 2 2 2 2 5" xfId="1929" xr:uid="{00000000-0005-0000-0000-0000CB040000}"/>
    <cellStyle name="Normal 4 2 2 2 2 2 2 5 2" xfId="2721" xr:uid="{00000000-0005-0000-0000-0000CC040000}"/>
    <cellStyle name="Normal 4 2 2 2 2 2 2 5 2 2" xfId="4305" xr:uid="{00000000-0005-0000-0000-0000CD040000}"/>
    <cellStyle name="Normal 4 2 2 2 2 2 2 5 2 2 2" xfId="7533" xr:uid="{00000000-0005-0000-0000-0000CE040000}"/>
    <cellStyle name="Normal 4 2 2 2 2 2 2 5 2 2 2 2" xfId="13894" xr:uid="{00000000-0005-0000-0000-0000CF040000}"/>
    <cellStyle name="Normal 4 2 2 2 2 2 2 5 2 2 3" xfId="10715" xr:uid="{00000000-0005-0000-0000-0000D0040000}"/>
    <cellStyle name="Normal 4 2 2 2 2 2 2 5 2 3" xfId="5949" xr:uid="{00000000-0005-0000-0000-0000D1040000}"/>
    <cellStyle name="Normal 4 2 2 2 2 2 2 5 2 3 2" xfId="12310" xr:uid="{00000000-0005-0000-0000-0000D2040000}"/>
    <cellStyle name="Normal 4 2 2 2 2 2 2 5 2 4" xfId="9131" xr:uid="{00000000-0005-0000-0000-0000D3040000}"/>
    <cellStyle name="Normal 4 2 2 2 2 2 2 5 3" xfId="3513" xr:uid="{00000000-0005-0000-0000-0000D4040000}"/>
    <cellStyle name="Normal 4 2 2 2 2 2 2 5 3 2" xfId="6741" xr:uid="{00000000-0005-0000-0000-0000D5040000}"/>
    <cellStyle name="Normal 4 2 2 2 2 2 2 5 3 2 2" xfId="13102" xr:uid="{00000000-0005-0000-0000-0000D6040000}"/>
    <cellStyle name="Normal 4 2 2 2 2 2 2 5 3 3" xfId="9923" xr:uid="{00000000-0005-0000-0000-0000D7040000}"/>
    <cellStyle name="Normal 4 2 2 2 2 2 2 5 4" xfId="5157" xr:uid="{00000000-0005-0000-0000-0000D8040000}"/>
    <cellStyle name="Normal 4 2 2 2 2 2 2 5 4 2" xfId="11518" xr:uid="{00000000-0005-0000-0000-0000D9040000}"/>
    <cellStyle name="Normal 4 2 2 2 2 2 2 5 5" xfId="8339" xr:uid="{00000000-0005-0000-0000-0000DA040000}"/>
    <cellStyle name="Normal 4 2 2 2 2 2 2 6" xfId="2325" xr:uid="{00000000-0005-0000-0000-0000DB040000}"/>
    <cellStyle name="Normal 4 2 2 2 2 2 2 6 2" xfId="3909" xr:uid="{00000000-0005-0000-0000-0000DC040000}"/>
    <cellStyle name="Normal 4 2 2 2 2 2 2 6 2 2" xfId="7137" xr:uid="{00000000-0005-0000-0000-0000DD040000}"/>
    <cellStyle name="Normal 4 2 2 2 2 2 2 6 2 2 2" xfId="13498" xr:uid="{00000000-0005-0000-0000-0000DE040000}"/>
    <cellStyle name="Normal 4 2 2 2 2 2 2 6 2 3" xfId="10319" xr:uid="{00000000-0005-0000-0000-0000DF040000}"/>
    <cellStyle name="Normal 4 2 2 2 2 2 2 6 3" xfId="5553" xr:uid="{00000000-0005-0000-0000-0000E0040000}"/>
    <cellStyle name="Normal 4 2 2 2 2 2 2 6 3 2" xfId="11914" xr:uid="{00000000-0005-0000-0000-0000E1040000}"/>
    <cellStyle name="Normal 4 2 2 2 2 2 2 6 4" xfId="8735" xr:uid="{00000000-0005-0000-0000-0000E2040000}"/>
    <cellStyle name="Normal 4 2 2 2 2 2 2 7" xfId="3117" xr:uid="{00000000-0005-0000-0000-0000E3040000}"/>
    <cellStyle name="Normal 4 2 2 2 2 2 2 7 2" xfId="6345" xr:uid="{00000000-0005-0000-0000-0000E4040000}"/>
    <cellStyle name="Normal 4 2 2 2 2 2 2 7 2 2" xfId="12706" xr:uid="{00000000-0005-0000-0000-0000E5040000}"/>
    <cellStyle name="Normal 4 2 2 2 2 2 2 7 3" xfId="9527" xr:uid="{00000000-0005-0000-0000-0000E6040000}"/>
    <cellStyle name="Normal 4 2 2 2 2 2 2 8" xfId="4761" xr:uid="{00000000-0005-0000-0000-0000E7040000}"/>
    <cellStyle name="Normal 4 2 2 2 2 2 2 8 2" xfId="11122" xr:uid="{00000000-0005-0000-0000-0000E8040000}"/>
    <cellStyle name="Normal 4 2 2 2 2 2 2 9" xfId="7943" xr:uid="{00000000-0005-0000-0000-0000E9040000}"/>
    <cellStyle name="Normal 4 2 2 2 2 2 3" xfId="1566" xr:uid="{00000000-0005-0000-0000-0000EA040000}"/>
    <cellStyle name="Normal 4 2 2 2 2 2 3 2" xfId="1764" xr:uid="{00000000-0005-0000-0000-0000EB040000}"/>
    <cellStyle name="Normal 4 2 2 2 2 2 3 2 2" xfId="2160" xr:uid="{00000000-0005-0000-0000-0000EC040000}"/>
    <cellStyle name="Normal 4 2 2 2 2 2 3 2 2 2" xfId="2952" xr:uid="{00000000-0005-0000-0000-0000ED040000}"/>
    <cellStyle name="Normal 4 2 2 2 2 2 3 2 2 2 2" xfId="4536" xr:uid="{00000000-0005-0000-0000-0000EE040000}"/>
    <cellStyle name="Normal 4 2 2 2 2 2 3 2 2 2 2 2" xfId="7764" xr:uid="{00000000-0005-0000-0000-0000EF040000}"/>
    <cellStyle name="Normal 4 2 2 2 2 2 3 2 2 2 2 2 2" xfId="14125" xr:uid="{00000000-0005-0000-0000-0000F0040000}"/>
    <cellStyle name="Normal 4 2 2 2 2 2 3 2 2 2 2 3" xfId="10946" xr:uid="{00000000-0005-0000-0000-0000F1040000}"/>
    <cellStyle name="Normal 4 2 2 2 2 2 3 2 2 2 3" xfId="6180" xr:uid="{00000000-0005-0000-0000-0000F2040000}"/>
    <cellStyle name="Normal 4 2 2 2 2 2 3 2 2 2 3 2" xfId="12541" xr:uid="{00000000-0005-0000-0000-0000F3040000}"/>
    <cellStyle name="Normal 4 2 2 2 2 2 3 2 2 2 4" xfId="9362" xr:uid="{00000000-0005-0000-0000-0000F4040000}"/>
    <cellStyle name="Normal 4 2 2 2 2 2 3 2 2 3" xfId="3744" xr:uid="{00000000-0005-0000-0000-0000F5040000}"/>
    <cellStyle name="Normal 4 2 2 2 2 2 3 2 2 3 2" xfId="6972" xr:uid="{00000000-0005-0000-0000-0000F6040000}"/>
    <cellStyle name="Normal 4 2 2 2 2 2 3 2 2 3 2 2" xfId="13333" xr:uid="{00000000-0005-0000-0000-0000F7040000}"/>
    <cellStyle name="Normal 4 2 2 2 2 2 3 2 2 3 3" xfId="10154" xr:uid="{00000000-0005-0000-0000-0000F8040000}"/>
    <cellStyle name="Normal 4 2 2 2 2 2 3 2 2 4" xfId="5388" xr:uid="{00000000-0005-0000-0000-0000F9040000}"/>
    <cellStyle name="Normal 4 2 2 2 2 2 3 2 2 4 2" xfId="11749" xr:uid="{00000000-0005-0000-0000-0000FA040000}"/>
    <cellStyle name="Normal 4 2 2 2 2 2 3 2 2 5" xfId="8570" xr:uid="{00000000-0005-0000-0000-0000FB040000}"/>
    <cellStyle name="Normal 4 2 2 2 2 2 3 2 3" xfId="2556" xr:uid="{00000000-0005-0000-0000-0000FC040000}"/>
    <cellStyle name="Normal 4 2 2 2 2 2 3 2 3 2" xfId="4140" xr:uid="{00000000-0005-0000-0000-0000FD040000}"/>
    <cellStyle name="Normal 4 2 2 2 2 2 3 2 3 2 2" xfId="7368" xr:uid="{00000000-0005-0000-0000-0000FE040000}"/>
    <cellStyle name="Normal 4 2 2 2 2 2 3 2 3 2 2 2" xfId="13729" xr:uid="{00000000-0005-0000-0000-0000FF040000}"/>
    <cellStyle name="Normal 4 2 2 2 2 2 3 2 3 2 3" xfId="10550" xr:uid="{00000000-0005-0000-0000-000000050000}"/>
    <cellStyle name="Normal 4 2 2 2 2 2 3 2 3 3" xfId="5784" xr:uid="{00000000-0005-0000-0000-000001050000}"/>
    <cellStyle name="Normal 4 2 2 2 2 2 3 2 3 3 2" xfId="12145" xr:uid="{00000000-0005-0000-0000-000002050000}"/>
    <cellStyle name="Normal 4 2 2 2 2 2 3 2 3 4" xfId="8966" xr:uid="{00000000-0005-0000-0000-000003050000}"/>
    <cellStyle name="Normal 4 2 2 2 2 2 3 2 4" xfId="3348" xr:uid="{00000000-0005-0000-0000-000004050000}"/>
    <cellStyle name="Normal 4 2 2 2 2 2 3 2 4 2" xfId="6576" xr:uid="{00000000-0005-0000-0000-000005050000}"/>
    <cellStyle name="Normal 4 2 2 2 2 2 3 2 4 2 2" xfId="12937" xr:uid="{00000000-0005-0000-0000-000006050000}"/>
    <cellStyle name="Normal 4 2 2 2 2 2 3 2 4 3" xfId="9758" xr:uid="{00000000-0005-0000-0000-000007050000}"/>
    <cellStyle name="Normal 4 2 2 2 2 2 3 2 5" xfId="4992" xr:uid="{00000000-0005-0000-0000-000008050000}"/>
    <cellStyle name="Normal 4 2 2 2 2 2 3 2 5 2" xfId="11353" xr:uid="{00000000-0005-0000-0000-000009050000}"/>
    <cellStyle name="Normal 4 2 2 2 2 2 3 2 6" xfId="8174" xr:uid="{00000000-0005-0000-0000-00000A050000}"/>
    <cellStyle name="Normal 4 2 2 2 2 2 3 3" xfId="1962" xr:uid="{00000000-0005-0000-0000-00000B050000}"/>
    <cellStyle name="Normal 4 2 2 2 2 2 3 3 2" xfId="2754" xr:uid="{00000000-0005-0000-0000-00000C050000}"/>
    <cellStyle name="Normal 4 2 2 2 2 2 3 3 2 2" xfId="4338" xr:uid="{00000000-0005-0000-0000-00000D050000}"/>
    <cellStyle name="Normal 4 2 2 2 2 2 3 3 2 2 2" xfId="7566" xr:uid="{00000000-0005-0000-0000-00000E050000}"/>
    <cellStyle name="Normal 4 2 2 2 2 2 3 3 2 2 2 2" xfId="13927" xr:uid="{00000000-0005-0000-0000-00000F050000}"/>
    <cellStyle name="Normal 4 2 2 2 2 2 3 3 2 2 3" xfId="10748" xr:uid="{00000000-0005-0000-0000-000010050000}"/>
    <cellStyle name="Normal 4 2 2 2 2 2 3 3 2 3" xfId="5982" xr:uid="{00000000-0005-0000-0000-000011050000}"/>
    <cellStyle name="Normal 4 2 2 2 2 2 3 3 2 3 2" xfId="12343" xr:uid="{00000000-0005-0000-0000-000012050000}"/>
    <cellStyle name="Normal 4 2 2 2 2 2 3 3 2 4" xfId="9164" xr:uid="{00000000-0005-0000-0000-000013050000}"/>
    <cellStyle name="Normal 4 2 2 2 2 2 3 3 3" xfId="3546" xr:uid="{00000000-0005-0000-0000-000014050000}"/>
    <cellStyle name="Normal 4 2 2 2 2 2 3 3 3 2" xfId="6774" xr:uid="{00000000-0005-0000-0000-000015050000}"/>
    <cellStyle name="Normal 4 2 2 2 2 2 3 3 3 2 2" xfId="13135" xr:uid="{00000000-0005-0000-0000-000016050000}"/>
    <cellStyle name="Normal 4 2 2 2 2 2 3 3 3 3" xfId="9956" xr:uid="{00000000-0005-0000-0000-000017050000}"/>
    <cellStyle name="Normal 4 2 2 2 2 2 3 3 4" xfId="5190" xr:uid="{00000000-0005-0000-0000-000018050000}"/>
    <cellStyle name="Normal 4 2 2 2 2 2 3 3 4 2" xfId="11551" xr:uid="{00000000-0005-0000-0000-000019050000}"/>
    <cellStyle name="Normal 4 2 2 2 2 2 3 3 5" xfId="8372" xr:uid="{00000000-0005-0000-0000-00001A050000}"/>
    <cellStyle name="Normal 4 2 2 2 2 2 3 4" xfId="2358" xr:uid="{00000000-0005-0000-0000-00001B050000}"/>
    <cellStyle name="Normal 4 2 2 2 2 2 3 4 2" xfId="3942" xr:uid="{00000000-0005-0000-0000-00001C050000}"/>
    <cellStyle name="Normal 4 2 2 2 2 2 3 4 2 2" xfId="7170" xr:uid="{00000000-0005-0000-0000-00001D050000}"/>
    <cellStyle name="Normal 4 2 2 2 2 2 3 4 2 2 2" xfId="13531" xr:uid="{00000000-0005-0000-0000-00001E050000}"/>
    <cellStyle name="Normal 4 2 2 2 2 2 3 4 2 3" xfId="10352" xr:uid="{00000000-0005-0000-0000-00001F050000}"/>
    <cellStyle name="Normal 4 2 2 2 2 2 3 4 3" xfId="5586" xr:uid="{00000000-0005-0000-0000-000020050000}"/>
    <cellStyle name="Normal 4 2 2 2 2 2 3 4 3 2" xfId="11947" xr:uid="{00000000-0005-0000-0000-000021050000}"/>
    <cellStyle name="Normal 4 2 2 2 2 2 3 4 4" xfId="8768" xr:uid="{00000000-0005-0000-0000-000022050000}"/>
    <cellStyle name="Normal 4 2 2 2 2 2 3 5" xfId="3150" xr:uid="{00000000-0005-0000-0000-000023050000}"/>
    <cellStyle name="Normal 4 2 2 2 2 2 3 5 2" xfId="6378" xr:uid="{00000000-0005-0000-0000-000024050000}"/>
    <cellStyle name="Normal 4 2 2 2 2 2 3 5 2 2" xfId="12739" xr:uid="{00000000-0005-0000-0000-000025050000}"/>
    <cellStyle name="Normal 4 2 2 2 2 2 3 5 3" xfId="9560" xr:uid="{00000000-0005-0000-0000-000026050000}"/>
    <cellStyle name="Normal 4 2 2 2 2 2 3 6" xfId="4794" xr:uid="{00000000-0005-0000-0000-000027050000}"/>
    <cellStyle name="Normal 4 2 2 2 2 2 3 6 2" xfId="11155" xr:uid="{00000000-0005-0000-0000-000028050000}"/>
    <cellStyle name="Normal 4 2 2 2 2 2 3 7" xfId="7976" xr:uid="{00000000-0005-0000-0000-000029050000}"/>
    <cellStyle name="Normal 4 2 2 2 2 2 4" xfId="1634" xr:uid="{00000000-0005-0000-0000-00002A050000}"/>
    <cellStyle name="Normal 4 2 2 2 2 2 4 2" xfId="1832" xr:uid="{00000000-0005-0000-0000-00002B050000}"/>
    <cellStyle name="Normal 4 2 2 2 2 2 4 2 2" xfId="2228" xr:uid="{00000000-0005-0000-0000-00002C050000}"/>
    <cellStyle name="Normal 4 2 2 2 2 2 4 2 2 2" xfId="3020" xr:uid="{00000000-0005-0000-0000-00002D050000}"/>
    <cellStyle name="Normal 4 2 2 2 2 2 4 2 2 2 2" xfId="4604" xr:uid="{00000000-0005-0000-0000-00002E050000}"/>
    <cellStyle name="Normal 4 2 2 2 2 2 4 2 2 2 2 2" xfId="7832" xr:uid="{00000000-0005-0000-0000-00002F050000}"/>
    <cellStyle name="Normal 4 2 2 2 2 2 4 2 2 2 2 2 2" xfId="14193" xr:uid="{00000000-0005-0000-0000-000030050000}"/>
    <cellStyle name="Normal 4 2 2 2 2 2 4 2 2 2 2 3" xfId="11014" xr:uid="{00000000-0005-0000-0000-000031050000}"/>
    <cellStyle name="Normal 4 2 2 2 2 2 4 2 2 2 3" xfId="6248" xr:uid="{00000000-0005-0000-0000-000032050000}"/>
    <cellStyle name="Normal 4 2 2 2 2 2 4 2 2 2 3 2" xfId="12609" xr:uid="{00000000-0005-0000-0000-000033050000}"/>
    <cellStyle name="Normal 4 2 2 2 2 2 4 2 2 2 4" xfId="9430" xr:uid="{00000000-0005-0000-0000-000034050000}"/>
    <cellStyle name="Normal 4 2 2 2 2 2 4 2 2 3" xfId="3812" xr:uid="{00000000-0005-0000-0000-000035050000}"/>
    <cellStyle name="Normal 4 2 2 2 2 2 4 2 2 3 2" xfId="7040" xr:uid="{00000000-0005-0000-0000-000036050000}"/>
    <cellStyle name="Normal 4 2 2 2 2 2 4 2 2 3 2 2" xfId="13401" xr:uid="{00000000-0005-0000-0000-000037050000}"/>
    <cellStyle name="Normal 4 2 2 2 2 2 4 2 2 3 3" xfId="10222" xr:uid="{00000000-0005-0000-0000-000038050000}"/>
    <cellStyle name="Normal 4 2 2 2 2 2 4 2 2 4" xfId="5456" xr:uid="{00000000-0005-0000-0000-000039050000}"/>
    <cellStyle name="Normal 4 2 2 2 2 2 4 2 2 4 2" xfId="11817" xr:uid="{00000000-0005-0000-0000-00003A050000}"/>
    <cellStyle name="Normal 4 2 2 2 2 2 4 2 2 5" xfId="8638" xr:uid="{00000000-0005-0000-0000-00003B050000}"/>
    <cellStyle name="Normal 4 2 2 2 2 2 4 2 3" xfId="2624" xr:uid="{00000000-0005-0000-0000-00003C050000}"/>
    <cellStyle name="Normal 4 2 2 2 2 2 4 2 3 2" xfId="4208" xr:uid="{00000000-0005-0000-0000-00003D050000}"/>
    <cellStyle name="Normal 4 2 2 2 2 2 4 2 3 2 2" xfId="7436" xr:uid="{00000000-0005-0000-0000-00003E050000}"/>
    <cellStyle name="Normal 4 2 2 2 2 2 4 2 3 2 2 2" xfId="13797" xr:uid="{00000000-0005-0000-0000-00003F050000}"/>
    <cellStyle name="Normal 4 2 2 2 2 2 4 2 3 2 3" xfId="10618" xr:uid="{00000000-0005-0000-0000-000040050000}"/>
    <cellStyle name="Normal 4 2 2 2 2 2 4 2 3 3" xfId="5852" xr:uid="{00000000-0005-0000-0000-000041050000}"/>
    <cellStyle name="Normal 4 2 2 2 2 2 4 2 3 3 2" xfId="12213" xr:uid="{00000000-0005-0000-0000-000042050000}"/>
    <cellStyle name="Normal 4 2 2 2 2 2 4 2 3 4" xfId="9034" xr:uid="{00000000-0005-0000-0000-000043050000}"/>
    <cellStyle name="Normal 4 2 2 2 2 2 4 2 4" xfId="3416" xr:uid="{00000000-0005-0000-0000-000044050000}"/>
    <cellStyle name="Normal 4 2 2 2 2 2 4 2 4 2" xfId="6644" xr:uid="{00000000-0005-0000-0000-000045050000}"/>
    <cellStyle name="Normal 4 2 2 2 2 2 4 2 4 2 2" xfId="13005" xr:uid="{00000000-0005-0000-0000-000046050000}"/>
    <cellStyle name="Normal 4 2 2 2 2 2 4 2 4 3" xfId="9826" xr:uid="{00000000-0005-0000-0000-000047050000}"/>
    <cellStyle name="Normal 4 2 2 2 2 2 4 2 5" xfId="5060" xr:uid="{00000000-0005-0000-0000-000048050000}"/>
    <cellStyle name="Normal 4 2 2 2 2 2 4 2 5 2" xfId="11421" xr:uid="{00000000-0005-0000-0000-000049050000}"/>
    <cellStyle name="Normal 4 2 2 2 2 2 4 2 6" xfId="8242" xr:uid="{00000000-0005-0000-0000-00004A050000}"/>
    <cellStyle name="Normal 4 2 2 2 2 2 4 3" xfId="2030" xr:uid="{00000000-0005-0000-0000-00004B050000}"/>
    <cellStyle name="Normal 4 2 2 2 2 2 4 3 2" xfId="2822" xr:uid="{00000000-0005-0000-0000-00004C050000}"/>
    <cellStyle name="Normal 4 2 2 2 2 2 4 3 2 2" xfId="4406" xr:uid="{00000000-0005-0000-0000-00004D050000}"/>
    <cellStyle name="Normal 4 2 2 2 2 2 4 3 2 2 2" xfId="7634" xr:uid="{00000000-0005-0000-0000-00004E050000}"/>
    <cellStyle name="Normal 4 2 2 2 2 2 4 3 2 2 2 2" xfId="13995" xr:uid="{00000000-0005-0000-0000-00004F050000}"/>
    <cellStyle name="Normal 4 2 2 2 2 2 4 3 2 2 3" xfId="10816" xr:uid="{00000000-0005-0000-0000-000050050000}"/>
    <cellStyle name="Normal 4 2 2 2 2 2 4 3 2 3" xfId="6050" xr:uid="{00000000-0005-0000-0000-000051050000}"/>
    <cellStyle name="Normal 4 2 2 2 2 2 4 3 2 3 2" xfId="12411" xr:uid="{00000000-0005-0000-0000-000052050000}"/>
    <cellStyle name="Normal 4 2 2 2 2 2 4 3 2 4" xfId="9232" xr:uid="{00000000-0005-0000-0000-000053050000}"/>
    <cellStyle name="Normal 4 2 2 2 2 2 4 3 3" xfId="3614" xr:uid="{00000000-0005-0000-0000-000054050000}"/>
    <cellStyle name="Normal 4 2 2 2 2 2 4 3 3 2" xfId="6842" xr:uid="{00000000-0005-0000-0000-000055050000}"/>
    <cellStyle name="Normal 4 2 2 2 2 2 4 3 3 2 2" xfId="13203" xr:uid="{00000000-0005-0000-0000-000056050000}"/>
    <cellStyle name="Normal 4 2 2 2 2 2 4 3 3 3" xfId="10024" xr:uid="{00000000-0005-0000-0000-000057050000}"/>
    <cellStyle name="Normal 4 2 2 2 2 2 4 3 4" xfId="5258" xr:uid="{00000000-0005-0000-0000-000058050000}"/>
    <cellStyle name="Normal 4 2 2 2 2 2 4 3 4 2" xfId="11619" xr:uid="{00000000-0005-0000-0000-000059050000}"/>
    <cellStyle name="Normal 4 2 2 2 2 2 4 3 5" xfId="8440" xr:uid="{00000000-0005-0000-0000-00005A050000}"/>
    <cellStyle name="Normal 4 2 2 2 2 2 4 4" xfId="2426" xr:uid="{00000000-0005-0000-0000-00005B050000}"/>
    <cellStyle name="Normal 4 2 2 2 2 2 4 4 2" xfId="4010" xr:uid="{00000000-0005-0000-0000-00005C050000}"/>
    <cellStyle name="Normal 4 2 2 2 2 2 4 4 2 2" xfId="7238" xr:uid="{00000000-0005-0000-0000-00005D050000}"/>
    <cellStyle name="Normal 4 2 2 2 2 2 4 4 2 2 2" xfId="13599" xr:uid="{00000000-0005-0000-0000-00005E050000}"/>
    <cellStyle name="Normal 4 2 2 2 2 2 4 4 2 3" xfId="10420" xr:uid="{00000000-0005-0000-0000-00005F050000}"/>
    <cellStyle name="Normal 4 2 2 2 2 2 4 4 3" xfId="5654" xr:uid="{00000000-0005-0000-0000-000060050000}"/>
    <cellStyle name="Normal 4 2 2 2 2 2 4 4 3 2" xfId="12015" xr:uid="{00000000-0005-0000-0000-000061050000}"/>
    <cellStyle name="Normal 4 2 2 2 2 2 4 4 4" xfId="8836" xr:uid="{00000000-0005-0000-0000-000062050000}"/>
    <cellStyle name="Normal 4 2 2 2 2 2 4 5" xfId="3218" xr:uid="{00000000-0005-0000-0000-000063050000}"/>
    <cellStyle name="Normal 4 2 2 2 2 2 4 5 2" xfId="6446" xr:uid="{00000000-0005-0000-0000-000064050000}"/>
    <cellStyle name="Normal 4 2 2 2 2 2 4 5 2 2" xfId="12807" xr:uid="{00000000-0005-0000-0000-000065050000}"/>
    <cellStyle name="Normal 4 2 2 2 2 2 4 5 3" xfId="9628" xr:uid="{00000000-0005-0000-0000-000066050000}"/>
    <cellStyle name="Normal 4 2 2 2 2 2 4 6" xfId="4862" xr:uid="{00000000-0005-0000-0000-000067050000}"/>
    <cellStyle name="Normal 4 2 2 2 2 2 4 6 2" xfId="11223" xr:uid="{00000000-0005-0000-0000-000068050000}"/>
    <cellStyle name="Normal 4 2 2 2 2 2 4 7" xfId="8044" xr:uid="{00000000-0005-0000-0000-000069050000}"/>
    <cellStyle name="Normal 4 2 2 2 2 2 5" xfId="1699" xr:uid="{00000000-0005-0000-0000-00006A050000}"/>
    <cellStyle name="Normal 4 2 2 2 2 2 5 2" xfId="2095" xr:uid="{00000000-0005-0000-0000-00006B050000}"/>
    <cellStyle name="Normal 4 2 2 2 2 2 5 2 2" xfId="2887" xr:uid="{00000000-0005-0000-0000-00006C050000}"/>
    <cellStyle name="Normal 4 2 2 2 2 2 5 2 2 2" xfId="4471" xr:uid="{00000000-0005-0000-0000-00006D050000}"/>
    <cellStyle name="Normal 4 2 2 2 2 2 5 2 2 2 2" xfId="7699" xr:uid="{00000000-0005-0000-0000-00006E050000}"/>
    <cellStyle name="Normal 4 2 2 2 2 2 5 2 2 2 2 2" xfId="14060" xr:uid="{00000000-0005-0000-0000-00006F050000}"/>
    <cellStyle name="Normal 4 2 2 2 2 2 5 2 2 2 3" xfId="10881" xr:uid="{00000000-0005-0000-0000-000070050000}"/>
    <cellStyle name="Normal 4 2 2 2 2 2 5 2 2 3" xfId="6115" xr:uid="{00000000-0005-0000-0000-000071050000}"/>
    <cellStyle name="Normal 4 2 2 2 2 2 5 2 2 3 2" xfId="12476" xr:uid="{00000000-0005-0000-0000-000072050000}"/>
    <cellStyle name="Normal 4 2 2 2 2 2 5 2 2 4" xfId="9297" xr:uid="{00000000-0005-0000-0000-000073050000}"/>
    <cellStyle name="Normal 4 2 2 2 2 2 5 2 3" xfId="3679" xr:uid="{00000000-0005-0000-0000-000074050000}"/>
    <cellStyle name="Normal 4 2 2 2 2 2 5 2 3 2" xfId="6907" xr:uid="{00000000-0005-0000-0000-000075050000}"/>
    <cellStyle name="Normal 4 2 2 2 2 2 5 2 3 2 2" xfId="13268" xr:uid="{00000000-0005-0000-0000-000076050000}"/>
    <cellStyle name="Normal 4 2 2 2 2 2 5 2 3 3" xfId="10089" xr:uid="{00000000-0005-0000-0000-000077050000}"/>
    <cellStyle name="Normal 4 2 2 2 2 2 5 2 4" xfId="5323" xr:uid="{00000000-0005-0000-0000-000078050000}"/>
    <cellStyle name="Normal 4 2 2 2 2 2 5 2 4 2" xfId="11684" xr:uid="{00000000-0005-0000-0000-000079050000}"/>
    <cellStyle name="Normal 4 2 2 2 2 2 5 2 5" xfId="8505" xr:uid="{00000000-0005-0000-0000-00007A050000}"/>
    <cellStyle name="Normal 4 2 2 2 2 2 5 3" xfId="2491" xr:uid="{00000000-0005-0000-0000-00007B050000}"/>
    <cellStyle name="Normal 4 2 2 2 2 2 5 3 2" xfId="4075" xr:uid="{00000000-0005-0000-0000-00007C050000}"/>
    <cellStyle name="Normal 4 2 2 2 2 2 5 3 2 2" xfId="7303" xr:uid="{00000000-0005-0000-0000-00007D050000}"/>
    <cellStyle name="Normal 4 2 2 2 2 2 5 3 2 2 2" xfId="13664" xr:uid="{00000000-0005-0000-0000-00007E050000}"/>
    <cellStyle name="Normal 4 2 2 2 2 2 5 3 2 3" xfId="10485" xr:uid="{00000000-0005-0000-0000-00007F050000}"/>
    <cellStyle name="Normal 4 2 2 2 2 2 5 3 3" xfId="5719" xr:uid="{00000000-0005-0000-0000-000080050000}"/>
    <cellStyle name="Normal 4 2 2 2 2 2 5 3 3 2" xfId="12080" xr:uid="{00000000-0005-0000-0000-000081050000}"/>
    <cellStyle name="Normal 4 2 2 2 2 2 5 3 4" xfId="8901" xr:uid="{00000000-0005-0000-0000-000082050000}"/>
    <cellStyle name="Normal 4 2 2 2 2 2 5 4" xfId="3283" xr:uid="{00000000-0005-0000-0000-000083050000}"/>
    <cellStyle name="Normal 4 2 2 2 2 2 5 4 2" xfId="6511" xr:uid="{00000000-0005-0000-0000-000084050000}"/>
    <cellStyle name="Normal 4 2 2 2 2 2 5 4 2 2" xfId="12872" xr:uid="{00000000-0005-0000-0000-000085050000}"/>
    <cellStyle name="Normal 4 2 2 2 2 2 5 4 3" xfId="9693" xr:uid="{00000000-0005-0000-0000-000086050000}"/>
    <cellStyle name="Normal 4 2 2 2 2 2 5 5" xfId="4927" xr:uid="{00000000-0005-0000-0000-000087050000}"/>
    <cellStyle name="Normal 4 2 2 2 2 2 5 5 2" xfId="11288" xr:uid="{00000000-0005-0000-0000-000088050000}"/>
    <cellStyle name="Normal 4 2 2 2 2 2 5 6" xfId="8109" xr:uid="{00000000-0005-0000-0000-000089050000}"/>
    <cellStyle name="Normal 4 2 2 2 2 2 6" xfId="1897" xr:uid="{00000000-0005-0000-0000-00008A050000}"/>
    <cellStyle name="Normal 4 2 2 2 2 2 6 2" xfId="2689" xr:uid="{00000000-0005-0000-0000-00008B050000}"/>
    <cellStyle name="Normal 4 2 2 2 2 2 6 2 2" xfId="4273" xr:uid="{00000000-0005-0000-0000-00008C050000}"/>
    <cellStyle name="Normal 4 2 2 2 2 2 6 2 2 2" xfId="7501" xr:uid="{00000000-0005-0000-0000-00008D050000}"/>
    <cellStyle name="Normal 4 2 2 2 2 2 6 2 2 2 2" xfId="13862" xr:uid="{00000000-0005-0000-0000-00008E050000}"/>
    <cellStyle name="Normal 4 2 2 2 2 2 6 2 2 3" xfId="10683" xr:uid="{00000000-0005-0000-0000-00008F050000}"/>
    <cellStyle name="Normal 4 2 2 2 2 2 6 2 3" xfId="5917" xr:uid="{00000000-0005-0000-0000-000090050000}"/>
    <cellStyle name="Normal 4 2 2 2 2 2 6 2 3 2" xfId="12278" xr:uid="{00000000-0005-0000-0000-000091050000}"/>
    <cellStyle name="Normal 4 2 2 2 2 2 6 2 4" xfId="9099" xr:uid="{00000000-0005-0000-0000-000092050000}"/>
    <cellStyle name="Normal 4 2 2 2 2 2 6 3" xfId="3481" xr:uid="{00000000-0005-0000-0000-000093050000}"/>
    <cellStyle name="Normal 4 2 2 2 2 2 6 3 2" xfId="6709" xr:uid="{00000000-0005-0000-0000-000094050000}"/>
    <cellStyle name="Normal 4 2 2 2 2 2 6 3 2 2" xfId="13070" xr:uid="{00000000-0005-0000-0000-000095050000}"/>
    <cellStyle name="Normal 4 2 2 2 2 2 6 3 3" xfId="9891" xr:uid="{00000000-0005-0000-0000-000096050000}"/>
    <cellStyle name="Normal 4 2 2 2 2 2 6 4" xfId="5125" xr:uid="{00000000-0005-0000-0000-000097050000}"/>
    <cellStyle name="Normal 4 2 2 2 2 2 6 4 2" xfId="11486" xr:uid="{00000000-0005-0000-0000-000098050000}"/>
    <cellStyle name="Normal 4 2 2 2 2 2 6 5" xfId="8307" xr:uid="{00000000-0005-0000-0000-000099050000}"/>
    <cellStyle name="Normal 4 2 2 2 2 2 7" xfId="2293" xr:uid="{00000000-0005-0000-0000-00009A050000}"/>
    <cellStyle name="Normal 4 2 2 2 2 2 7 2" xfId="3877" xr:uid="{00000000-0005-0000-0000-00009B050000}"/>
    <cellStyle name="Normal 4 2 2 2 2 2 7 2 2" xfId="7105" xr:uid="{00000000-0005-0000-0000-00009C050000}"/>
    <cellStyle name="Normal 4 2 2 2 2 2 7 2 2 2" xfId="13466" xr:uid="{00000000-0005-0000-0000-00009D050000}"/>
    <cellStyle name="Normal 4 2 2 2 2 2 7 2 3" xfId="10287" xr:uid="{00000000-0005-0000-0000-00009E050000}"/>
    <cellStyle name="Normal 4 2 2 2 2 2 7 3" xfId="5521" xr:uid="{00000000-0005-0000-0000-00009F050000}"/>
    <cellStyle name="Normal 4 2 2 2 2 2 7 3 2" xfId="11882" xr:uid="{00000000-0005-0000-0000-0000A0050000}"/>
    <cellStyle name="Normal 4 2 2 2 2 2 7 4" xfId="8703" xr:uid="{00000000-0005-0000-0000-0000A1050000}"/>
    <cellStyle name="Normal 4 2 2 2 2 2 8" xfId="3085" xr:uid="{00000000-0005-0000-0000-0000A2050000}"/>
    <cellStyle name="Normal 4 2 2 2 2 2 8 2" xfId="6313" xr:uid="{00000000-0005-0000-0000-0000A3050000}"/>
    <cellStyle name="Normal 4 2 2 2 2 2 8 2 2" xfId="12674" xr:uid="{00000000-0005-0000-0000-0000A4050000}"/>
    <cellStyle name="Normal 4 2 2 2 2 2 8 3" xfId="9495" xr:uid="{00000000-0005-0000-0000-0000A5050000}"/>
    <cellStyle name="Normal 4 2 2 2 2 2 9" xfId="4729" xr:uid="{00000000-0005-0000-0000-0000A6050000}"/>
    <cellStyle name="Normal 4 2 2 2 2 2 9 2" xfId="11090" xr:uid="{00000000-0005-0000-0000-0000A7050000}"/>
    <cellStyle name="Normal 4 2 2 2 2 3" xfId="1470" xr:uid="{00000000-0005-0000-0000-0000A8050000}"/>
    <cellStyle name="Normal 4 2 2 2 2 3 2" xfId="1582" xr:uid="{00000000-0005-0000-0000-0000A9050000}"/>
    <cellStyle name="Normal 4 2 2 2 2 3 2 2" xfId="1780" xr:uid="{00000000-0005-0000-0000-0000AA050000}"/>
    <cellStyle name="Normal 4 2 2 2 2 3 2 2 2" xfId="2176" xr:uid="{00000000-0005-0000-0000-0000AB050000}"/>
    <cellStyle name="Normal 4 2 2 2 2 3 2 2 2 2" xfId="2968" xr:uid="{00000000-0005-0000-0000-0000AC050000}"/>
    <cellStyle name="Normal 4 2 2 2 2 3 2 2 2 2 2" xfId="4552" xr:uid="{00000000-0005-0000-0000-0000AD050000}"/>
    <cellStyle name="Normal 4 2 2 2 2 3 2 2 2 2 2 2" xfId="7780" xr:uid="{00000000-0005-0000-0000-0000AE050000}"/>
    <cellStyle name="Normal 4 2 2 2 2 3 2 2 2 2 2 2 2" xfId="14141" xr:uid="{00000000-0005-0000-0000-0000AF050000}"/>
    <cellStyle name="Normal 4 2 2 2 2 3 2 2 2 2 2 3" xfId="10962" xr:uid="{00000000-0005-0000-0000-0000B0050000}"/>
    <cellStyle name="Normal 4 2 2 2 2 3 2 2 2 2 3" xfId="6196" xr:uid="{00000000-0005-0000-0000-0000B1050000}"/>
    <cellStyle name="Normal 4 2 2 2 2 3 2 2 2 2 3 2" xfId="12557" xr:uid="{00000000-0005-0000-0000-0000B2050000}"/>
    <cellStyle name="Normal 4 2 2 2 2 3 2 2 2 2 4" xfId="9378" xr:uid="{00000000-0005-0000-0000-0000B3050000}"/>
    <cellStyle name="Normal 4 2 2 2 2 3 2 2 2 3" xfId="3760" xr:uid="{00000000-0005-0000-0000-0000B4050000}"/>
    <cellStyle name="Normal 4 2 2 2 2 3 2 2 2 3 2" xfId="6988" xr:uid="{00000000-0005-0000-0000-0000B5050000}"/>
    <cellStyle name="Normal 4 2 2 2 2 3 2 2 2 3 2 2" xfId="13349" xr:uid="{00000000-0005-0000-0000-0000B6050000}"/>
    <cellStyle name="Normal 4 2 2 2 2 3 2 2 2 3 3" xfId="10170" xr:uid="{00000000-0005-0000-0000-0000B7050000}"/>
    <cellStyle name="Normal 4 2 2 2 2 3 2 2 2 4" xfId="5404" xr:uid="{00000000-0005-0000-0000-0000B8050000}"/>
    <cellStyle name="Normal 4 2 2 2 2 3 2 2 2 4 2" xfId="11765" xr:uid="{00000000-0005-0000-0000-0000B9050000}"/>
    <cellStyle name="Normal 4 2 2 2 2 3 2 2 2 5" xfId="8586" xr:uid="{00000000-0005-0000-0000-0000BA050000}"/>
    <cellStyle name="Normal 4 2 2 2 2 3 2 2 3" xfId="2572" xr:uid="{00000000-0005-0000-0000-0000BB050000}"/>
    <cellStyle name="Normal 4 2 2 2 2 3 2 2 3 2" xfId="4156" xr:uid="{00000000-0005-0000-0000-0000BC050000}"/>
    <cellStyle name="Normal 4 2 2 2 2 3 2 2 3 2 2" xfId="7384" xr:uid="{00000000-0005-0000-0000-0000BD050000}"/>
    <cellStyle name="Normal 4 2 2 2 2 3 2 2 3 2 2 2" xfId="13745" xr:uid="{00000000-0005-0000-0000-0000BE050000}"/>
    <cellStyle name="Normal 4 2 2 2 2 3 2 2 3 2 3" xfId="10566" xr:uid="{00000000-0005-0000-0000-0000BF050000}"/>
    <cellStyle name="Normal 4 2 2 2 2 3 2 2 3 3" xfId="5800" xr:uid="{00000000-0005-0000-0000-0000C0050000}"/>
    <cellStyle name="Normal 4 2 2 2 2 3 2 2 3 3 2" xfId="12161" xr:uid="{00000000-0005-0000-0000-0000C1050000}"/>
    <cellStyle name="Normal 4 2 2 2 2 3 2 2 3 4" xfId="8982" xr:uid="{00000000-0005-0000-0000-0000C2050000}"/>
    <cellStyle name="Normal 4 2 2 2 2 3 2 2 4" xfId="3364" xr:uid="{00000000-0005-0000-0000-0000C3050000}"/>
    <cellStyle name="Normal 4 2 2 2 2 3 2 2 4 2" xfId="6592" xr:uid="{00000000-0005-0000-0000-0000C4050000}"/>
    <cellStyle name="Normal 4 2 2 2 2 3 2 2 4 2 2" xfId="12953" xr:uid="{00000000-0005-0000-0000-0000C5050000}"/>
    <cellStyle name="Normal 4 2 2 2 2 3 2 2 4 3" xfId="9774" xr:uid="{00000000-0005-0000-0000-0000C6050000}"/>
    <cellStyle name="Normal 4 2 2 2 2 3 2 2 5" xfId="5008" xr:uid="{00000000-0005-0000-0000-0000C7050000}"/>
    <cellStyle name="Normal 4 2 2 2 2 3 2 2 5 2" xfId="11369" xr:uid="{00000000-0005-0000-0000-0000C8050000}"/>
    <cellStyle name="Normal 4 2 2 2 2 3 2 2 6" xfId="8190" xr:uid="{00000000-0005-0000-0000-0000C9050000}"/>
    <cellStyle name="Normal 4 2 2 2 2 3 2 3" xfId="1978" xr:uid="{00000000-0005-0000-0000-0000CA050000}"/>
    <cellStyle name="Normal 4 2 2 2 2 3 2 3 2" xfId="2770" xr:uid="{00000000-0005-0000-0000-0000CB050000}"/>
    <cellStyle name="Normal 4 2 2 2 2 3 2 3 2 2" xfId="4354" xr:uid="{00000000-0005-0000-0000-0000CC050000}"/>
    <cellStyle name="Normal 4 2 2 2 2 3 2 3 2 2 2" xfId="7582" xr:uid="{00000000-0005-0000-0000-0000CD050000}"/>
    <cellStyle name="Normal 4 2 2 2 2 3 2 3 2 2 2 2" xfId="13943" xr:uid="{00000000-0005-0000-0000-0000CE050000}"/>
    <cellStyle name="Normal 4 2 2 2 2 3 2 3 2 2 3" xfId="10764" xr:uid="{00000000-0005-0000-0000-0000CF050000}"/>
    <cellStyle name="Normal 4 2 2 2 2 3 2 3 2 3" xfId="5998" xr:uid="{00000000-0005-0000-0000-0000D0050000}"/>
    <cellStyle name="Normal 4 2 2 2 2 3 2 3 2 3 2" xfId="12359" xr:uid="{00000000-0005-0000-0000-0000D1050000}"/>
    <cellStyle name="Normal 4 2 2 2 2 3 2 3 2 4" xfId="9180" xr:uid="{00000000-0005-0000-0000-0000D2050000}"/>
    <cellStyle name="Normal 4 2 2 2 2 3 2 3 3" xfId="3562" xr:uid="{00000000-0005-0000-0000-0000D3050000}"/>
    <cellStyle name="Normal 4 2 2 2 2 3 2 3 3 2" xfId="6790" xr:uid="{00000000-0005-0000-0000-0000D4050000}"/>
    <cellStyle name="Normal 4 2 2 2 2 3 2 3 3 2 2" xfId="13151" xr:uid="{00000000-0005-0000-0000-0000D5050000}"/>
    <cellStyle name="Normal 4 2 2 2 2 3 2 3 3 3" xfId="9972" xr:uid="{00000000-0005-0000-0000-0000D6050000}"/>
    <cellStyle name="Normal 4 2 2 2 2 3 2 3 4" xfId="5206" xr:uid="{00000000-0005-0000-0000-0000D7050000}"/>
    <cellStyle name="Normal 4 2 2 2 2 3 2 3 4 2" xfId="11567" xr:uid="{00000000-0005-0000-0000-0000D8050000}"/>
    <cellStyle name="Normal 4 2 2 2 2 3 2 3 5" xfId="8388" xr:uid="{00000000-0005-0000-0000-0000D9050000}"/>
    <cellStyle name="Normal 4 2 2 2 2 3 2 4" xfId="2374" xr:uid="{00000000-0005-0000-0000-0000DA050000}"/>
    <cellStyle name="Normal 4 2 2 2 2 3 2 4 2" xfId="3958" xr:uid="{00000000-0005-0000-0000-0000DB050000}"/>
    <cellStyle name="Normal 4 2 2 2 2 3 2 4 2 2" xfId="7186" xr:uid="{00000000-0005-0000-0000-0000DC050000}"/>
    <cellStyle name="Normal 4 2 2 2 2 3 2 4 2 2 2" xfId="13547" xr:uid="{00000000-0005-0000-0000-0000DD050000}"/>
    <cellStyle name="Normal 4 2 2 2 2 3 2 4 2 3" xfId="10368" xr:uid="{00000000-0005-0000-0000-0000DE050000}"/>
    <cellStyle name="Normal 4 2 2 2 2 3 2 4 3" xfId="5602" xr:uid="{00000000-0005-0000-0000-0000DF050000}"/>
    <cellStyle name="Normal 4 2 2 2 2 3 2 4 3 2" xfId="11963" xr:uid="{00000000-0005-0000-0000-0000E0050000}"/>
    <cellStyle name="Normal 4 2 2 2 2 3 2 4 4" xfId="8784" xr:uid="{00000000-0005-0000-0000-0000E1050000}"/>
    <cellStyle name="Normal 4 2 2 2 2 3 2 5" xfId="3166" xr:uid="{00000000-0005-0000-0000-0000E2050000}"/>
    <cellStyle name="Normal 4 2 2 2 2 3 2 5 2" xfId="6394" xr:uid="{00000000-0005-0000-0000-0000E3050000}"/>
    <cellStyle name="Normal 4 2 2 2 2 3 2 5 2 2" xfId="12755" xr:uid="{00000000-0005-0000-0000-0000E4050000}"/>
    <cellStyle name="Normal 4 2 2 2 2 3 2 5 3" xfId="9576" xr:uid="{00000000-0005-0000-0000-0000E5050000}"/>
    <cellStyle name="Normal 4 2 2 2 2 3 2 6" xfId="4810" xr:uid="{00000000-0005-0000-0000-0000E6050000}"/>
    <cellStyle name="Normal 4 2 2 2 2 3 2 6 2" xfId="11171" xr:uid="{00000000-0005-0000-0000-0000E7050000}"/>
    <cellStyle name="Normal 4 2 2 2 2 3 2 7" xfId="7992" xr:uid="{00000000-0005-0000-0000-0000E8050000}"/>
    <cellStyle name="Normal 4 2 2 2 2 3 3" xfId="1650" xr:uid="{00000000-0005-0000-0000-0000E9050000}"/>
    <cellStyle name="Normal 4 2 2 2 2 3 3 2" xfId="1848" xr:uid="{00000000-0005-0000-0000-0000EA050000}"/>
    <cellStyle name="Normal 4 2 2 2 2 3 3 2 2" xfId="2244" xr:uid="{00000000-0005-0000-0000-0000EB050000}"/>
    <cellStyle name="Normal 4 2 2 2 2 3 3 2 2 2" xfId="3036" xr:uid="{00000000-0005-0000-0000-0000EC050000}"/>
    <cellStyle name="Normal 4 2 2 2 2 3 3 2 2 2 2" xfId="4620" xr:uid="{00000000-0005-0000-0000-0000ED050000}"/>
    <cellStyle name="Normal 4 2 2 2 2 3 3 2 2 2 2 2" xfId="7848" xr:uid="{00000000-0005-0000-0000-0000EE050000}"/>
    <cellStyle name="Normal 4 2 2 2 2 3 3 2 2 2 2 2 2" xfId="14209" xr:uid="{00000000-0005-0000-0000-0000EF050000}"/>
    <cellStyle name="Normal 4 2 2 2 2 3 3 2 2 2 2 3" xfId="11030" xr:uid="{00000000-0005-0000-0000-0000F0050000}"/>
    <cellStyle name="Normal 4 2 2 2 2 3 3 2 2 2 3" xfId="6264" xr:uid="{00000000-0005-0000-0000-0000F1050000}"/>
    <cellStyle name="Normal 4 2 2 2 2 3 3 2 2 2 3 2" xfId="12625" xr:uid="{00000000-0005-0000-0000-0000F2050000}"/>
    <cellStyle name="Normal 4 2 2 2 2 3 3 2 2 2 4" xfId="9446" xr:uid="{00000000-0005-0000-0000-0000F3050000}"/>
    <cellStyle name="Normal 4 2 2 2 2 3 3 2 2 3" xfId="3828" xr:uid="{00000000-0005-0000-0000-0000F4050000}"/>
    <cellStyle name="Normal 4 2 2 2 2 3 3 2 2 3 2" xfId="7056" xr:uid="{00000000-0005-0000-0000-0000F5050000}"/>
    <cellStyle name="Normal 4 2 2 2 2 3 3 2 2 3 2 2" xfId="13417" xr:uid="{00000000-0005-0000-0000-0000F6050000}"/>
    <cellStyle name="Normal 4 2 2 2 2 3 3 2 2 3 3" xfId="10238" xr:uid="{00000000-0005-0000-0000-0000F7050000}"/>
    <cellStyle name="Normal 4 2 2 2 2 3 3 2 2 4" xfId="5472" xr:uid="{00000000-0005-0000-0000-0000F8050000}"/>
    <cellStyle name="Normal 4 2 2 2 2 3 3 2 2 4 2" xfId="11833" xr:uid="{00000000-0005-0000-0000-0000F9050000}"/>
    <cellStyle name="Normal 4 2 2 2 2 3 3 2 2 5" xfId="8654" xr:uid="{00000000-0005-0000-0000-0000FA050000}"/>
    <cellStyle name="Normal 4 2 2 2 2 3 3 2 3" xfId="2640" xr:uid="{00000000-0005-0000-0000-0000FB050000}"/>
    <cellStyle name="Normal 4 2 2 2 2 3 3 2 3 2" xfId="4224" xr:uid="{00000000-0005-0000-0000-0000FC050000}"/>
    <cellStyle name="Normal 4 2 2 2 2 3 3 2 3 2 2" xfId="7452" xr:uid="{00000000-0005-0000-0000-0000FD050000}"/>
    <cellStyle name="Normal 4 2 2 2 2 3 3 2 3 2 2 2" xfId="13813" xr:uid="{00000000-0005-0000-0000-0000FE050000}"/>
    <cellStyle name="Normal 4 2 2 2 2 3 3 2 3 2 3" xfId="10634" xr:uid="{00000000-0005-0000-0000-0000FF050000}"/>
    <cellStyle name="Normal 4 2 2 2 2 3 3 2 3 3" xfId="5868" xr:uid="{00000000-0005-0000-0000-000000060000}"/>
    <cellStyle name="Normal 4 2 2 2 2 3 3 2 3 3 2" xfId="12229" xr:uid="{00000000-0005-0000-0000-000001060000}"/>
    <cellStyle name="Normal 4 2 2 2 2 3 3 2 3 4" xfId="9050" xr:uid="{00000000-0005-0000-0000-000002060000}"/>
    <cellStyle name="Normal 4 2 2 2 2 3 3 2 4" xfId="3432" xr:uid="{00000000-0005-0000-0000-000003060000}"/>
    <cellStyle name="Normal 4 2 2 2 2 3 3 2 4 2" xfId="6660" xr:uid="{00000000-0005-0000-0000-000004060000}"/>
    <cellStyle name="Normal 4 2 2 2 2 3 3 2 4 2 2" xfId="13021" xr:uid="{00000000-0005-0000-0000-000005060000}"/>
    <cellStyle name="Normal 4 2 2 2 2 3 3 2 4 3" xfId="9842" xr:uid="{00000000-0005-0000-0000-000006060000}"/>
    <cellStyle name="Normal 4 2 2 2 2 3 3 2 5" xfId="5076" xr:uid="{00000000-0005-0000-0000-000007060000}"/>
    <cellStyle name="Normal 4 2 2 2 2 3 3 2 5 2" xfId="11437" xr:uid="{00000000-0005-0000-0000-000008060000}"/>
    <cellStyle name="Normal 4 2 2 2 2 3 3 2 6" xfId="8258" xr:uid="{00000000-0005-0000-0000-000009060000}"/>
    <cellStyle name="Normal 4 2 2 2 2 3 3 3" xfId="2046" xr:uid="{00000000-0005-0000-0000-00000A060000}"/>
    <cellStyle name="Normal 4 2 2 2 2 3 3 3 2" xfId="2838" xr:uid="{00000000-0005-0000-0000-00000B060000}"/>
    <cellStyle name="Normal 4 2 2 2 2 3 3 3 2 2" xfId="4422" xr:uid="{00000000-0005-0000-0000-00000C060000}"/>
    <cellStyle name="Normal 4 2 2 2 2 3 3 3 2 2 2" xfId="7650" xr:uid="{00000000-0005-0000-0000-00000D060000}"/>
    <cellStyle name="Normal 4 2 2 2 2 3 3 3 2 2 2 2" xfId="14011" xr:uid="{00000000-0005-0000-0000-00000E060000}"/>
    <cellStyle name="Normal 4 2 2 2 2 3 3 3 2 2 3" xfId="10832" xr:uid="{00000000-0005-0000-0000-00000F060000}"/>
    <cellStyle name="Normal 4 2 2 2 2 3 3 3 2 3" xfId="6066" xr:uid="{00000000-0005-0000-0000-000010060000}"/>
    <cellStyle name="Normal 4 2 2 2 2 3 3 3 2 3 2" xfId="12427" xr:uid="{00000000-0005-0000-0000-000011060000}"/>
    <cellStyle name="Normal 4 2 2 2 2 3 3 3 2 4" xfId="9248" xr:uid="{00000000-0005-0000-0000-000012060000}"/>
    <cellStyle name="Normal 4 2 2 2 2 3 3 3 3" xfId="3630" xr:uid="{00000000-0005-0000-0000-000013060000}"/>
    <cellStyle name="Normal 4 2 2 2 2 3 3 3 3 2" xfId="6858" xr:uid="{00000000-0005-0000-0000-000014060000}"/>
    <cellStyle name="Normal 4 2 2 2 2 3 3 3 3 2 2" xfId="13219" xr:uid="{00000000-0005-0000-0000-000015060000}"/>
    <cellStyle name="Normal 4 2 2 2 2 3 3 3 3 3" xfId="10040" xr:uid="{00000000-0005-0000-0000-000016060000}"/>
    <cellStyle name="Normal 4 2 2 2 2 3 3 3 4" xfId="5274" xr:uid="{00000000-0005-0000-0000-000017060000}"/>
    <cellStyle name="Normal 4 2 2 2 2 3 3 3 4 2" xfId="11635" xr:uid="{00000000-0005-0000-0000-000018060000}"/>
    <cellStyle name="Normal 4 2 2 2 2 3 3 3 5" xfId="8456" xr:uid="{00000000-0005-0000-0000-000019060000}"/>
    <cellStyle name="Normal 4 2 2 2 2 3 3 4" xfId="2442" xr:uid="{00000000-0005-0000-0000-00001A060000}"/>
    <cellStyle name="Normal 4 2 2 2 2 3 3 4 2" xfId="4026" xr:uid="{00000000-0005-0000-0000-00001B060000}"/>
    <cellStyle name="Normal 4 2 2 2 2 3 3 4 2 2" xfId="7254" xr:uid="{00000000-0005-0000-0000-00001C060000}"/>
    <cellStyle name="Normal 4 2 2 2 2 3 3 4 2 2 2" xfId="13615" xr:uid="{00000000-0005-0000-0000-00001D060000}"/>
    <cellStyle name="Normal 4 2 2 2 2 3 3 4 2 3" xfId="10436" xr:uid="{00000000-0005-0000-0000-00001E060000}"/>
    <cellStyle name="Normal 4 2 2 2 2 3 3 4 3" xfId="5670" xr:uid="{00000000-0005-0000-0000-00001F060000}"/>
    <cellStyle name="Normal 4 2 2 2 2 3 3 4 3 2" xfId="12031" xr:uid="{00000000-0005-0000-0000-000020060000}"/>
    <cellStyle name="Normal 4 2 2 2 2 3 3 4 4" xfId="8852" xr:uid="{00000000-0005-0000-0000-000021060000}"/>
    <cellStyle name="Normal 4 2 2 2 2 3 3 5" xfId="3234" xr:uid="{00000000-0005-0000-0000-000022060000}"/>
    <cellStyle name="Normal 4 2 2 2 2 3 3 5 2" xfId="6462" xr:uid="{00000000-0005-0000-0000-000023060000}"/>
    <cellStyle name="Normal 4 2 2 2 2 3 3 5 2 2" xfId="12823" xr:uid="{00000000-0005-0000-0000-000024060000}"/>
    <cellStyle name="Normal 4 2 2 2 2 3 3 5 3" xfId="9644" xr:uid="{00000000-0005-0000-0000-000025060000}"/>
    <cellStyle name="Normal 4 2 2 2 2 3 3 6" xfId="4878" xr:uid="{00000000-0005-0000-0000-000026060000}"/>
    <cellStyle name="Normal 4 2 2 2 2 3 3 6 2" xfId="11239" xr:uid="{00000000-0005-0000-0000-000027060000}"/>
    <cellStyle name="Normal 4 2 2 2 2 3 3 7" xfId="8060" xr:uid="{00000000-0005-0000-0000-000028060000}"/>
    <cellStyle name="Normal 4 2 2 2 2 3 4" xfId="1715" xr:uid="{00000000-0005-0000-0000-000029060000}"/>
    <cellStyle name="Normal 4 2 2 2 2 3 4 2" xfId="2111" xr:uid="{00000000-0005-0000-0000-00002A060000}"/>
    <cellStyle name="Normal 4 2 2 2 2 3 4 2 2" xfId="2903" xr:uid="{00000000-0005-0000-0000-00002B060000}"/>
    <cellStyle name="Normal 4 2 2 2 2 3 4 2 2 2" xfId="4487" xr:uid="{00000000-0005-0000-0000-00002C060000}"/>
    <cellStyle name="Normal 4 2 2 2 2 3 4 2 2 2 2" xfId="7715" xr:uid="{00000000-0005-0000-0000-00002D060000}"/>
    <cellStyle name="Normal 4 2 2 2 2 3 4 2 2 2 2 2" xfId="14076" xr:uid="{00000000-0005-0000-0000-00002E060000}"/>
    <cellStyle name="Normal 4 2 2 2 2 3 4 2 2 2 3" xfId="10897" xr:uid="{00000000-0005-0000-0000-00002F060000}"/>
    <cellStyle name="Normal 4 2 2 2 2 3 4 2 2 3" xfId="6131" xr:uid="{00000000-0005-0000-0000-000030060000}"/>
    <cellStyle name="Normal 4 2 2 2 2 3 4 2 2 3 2" xfId="12492" xr:uid="{00000000-0005-0000-0000-000031060000}"/>
    <cellStyle name="Normal 4 2 2 2 2 3 4 2 2 4" xfId="9313" xr:uid="{00000000-0005-0000-0000-000032060000}"/>
    <cellStyle name="Normal 4 2 2 2 2 3 4 2 3" xfId="3695" xr:uid="{00000000-0005-0000-0000-000033060000}"/>
    <cellStyle name="Normal 4 2 2 2 2 3 4 2 3 2" xfId="6923" xr:uid="{00000000-0005-0000-0000-000034060000}"/>
    <cellStyle name="Normal 4 2 2 2 2 3 4 2 3 2 2" xfId="13284" xr:uid="{00000000-0005-0000-0000-000035060000}"/>
    <cellStyle name="Normal 4 2 2 2 2 3 4 2 3 3" xfId="10105" xr:uid="{00000000-0005-0000-0000-000036060000}"/>
    <cellStyle name="Normal 4 2 2 2 2 3 4 2 4" xfId="5339" xr:uid="{00000000-0005-0000-0000-000037060000}"/>
    <cellStyle name="Normal 4 2 2 2 2 3 4 2 4 2" xfId="11700" xr:uid="{00000000-0005-0000-0000-000038060000}"/>
    <cellStyle name="Normal 4 2 2 2 2 3 4 2 5" xfId="8521" xr:uid="{00000000-0005-0000-0000-000039060000}"/>
    <cellStyle name="Normal 4 2 2 2 2 3 4 3" xfId="2507" xr:uid="{00000000-0005-0000-0000-00003A060000}"/>
    <cellStyle name="Normal 4 2 2 2 2 3 4 3 2" xfId="4091" xr:uid="{00000000-0005-0000-0000-00003B060000}"/>
    <cellStyle name="Normal 4 2 2 2 2 3 4 3 2 2" xfId="7319" xr:uid="{00000000-0005-0000-0000-00003C060000}"/>
    <cellStyle name="Normal 4 2 2 2 2 3 4 3 2 2 2" xfId="13680" xr:uid="{00000000-0005-0000-0000-00003D060000}"/>
    <cellStyle name="Normal 4 2 2 2 2 3 4 3 2 3" xfId="10501" xr:uid="{00000000-0005-0000-0000-00003E060000}"/>
    <cellStyle name="Normal 4 2 2 2 2 3 4 3 3" xfId="5735" xr:uid="{00000000-0005-0000-0000-00003F060000}"/>
    <cellStyle name="Normal 4 2 2 2 2 3 4 3 3 2" xfId="12096" xr:uid="{00000000-0005-0000-0000-000040060000}"/>
    <cellStyle name="Normal 4 2 2 2 2 3 4 3 4" xfId="8917" xr:uid="{00000000-0005-0000-0000-000041060000}"/>
    <cellStyle name="Normal 4 2 2 2 2 3 4 4" xfId="3299" xr:uid="{00000000-0005-0000-0000-000042060000}"/>
    <cellStyle name="Normal 4 2 2 2 2 3 4 4 2" xfId="6527" xr:uid="{00000000-0005-0000-0000-000043060000}"/>
    <cellStyle name="Normal 4 2 2 2 2 3 4 4 2 2" xfId="12888" xr:uid="{00000000-0005-0000-0000-000044060000}"/>
    <cellStyle name="Normal 4 2 2 2 2 3 4 4 3" xfId="9709" xr:uid="{00000000-0005-0000-0000-000045060000}"/>
    <cellStyle name="Normal 4 2 2 2 2 3 4 5" xfId="4943" xr:uid="{00000000-0005-0000-0000-000046060000}"/>
    <cellStyle name="Normal 4 2 2 2 2 3 4 5 2" xfId="11304" xr:uid="{00000000-0005-0000-0000-000047060000}"/>
    <cellStyle name="Normal 4 2 2 2 2 3 4 6" xfId="8125" xr:uid="{00000000-0005-0000-0000-000048060000}"/>
    <cellStyle name="Normal 4 2 2 2 2 3 5" xfId="1913" xr:uid="{00000000-0005-0000-0000-000049060000}"/>
    <cellStyle name="Normal 4 2 2 2 2 3 5 2" xfId="2705" xr:uid="{00000000-0005-0000-0000-00004A060000}"/>
    <cellStyle name="Normal 4 2 2 2 2 3 5 2 2" xfId="4289" xr:uid="{00000000-0005-0000-0000-00004B060000}"/>
    <cellStyle name="Normal 4 2 2 2 2 3 5 2 2 2" xfId="7517" xr:uid="{00000000-0005-0000-0000-00004C060000}"/>
    <cellStyle name="Normal 4 2 2 2 2 3 5 2 2 2 2" xfId="13878" xr:uid="{00000000-0005-0000-0000-00004D060000}"/>
    <cellStyle name="Normal 4 2 2 2 2 3 5 2 2 3" xfId="10699" xr:uid="{00000000-0005-0000-0000-00004E060000}"/>
    <cellStyle name="Normal 4 2 2 2 2 3 5 2 3" xfId="5933" xr:uid="{00000000-0005-0000-0000-00004F060000}"/>
    <cellStyle name="Normal 4 2 2 2 2 3 5 2 3 2" xfId="12294" xr:uid="{00000000-0005-0000-0000-000050060000}"/>
    <cellStyle name="Normal 4 2 2 2 2 3 5 2 4" xfId="9115" xr:uid="{00000000-0005-0000-0000-000051060000}"/>
    <cellStyle name="Normal 4 2 2 2 2 3 5 3" xfId="3497" xr:uid="{00000000-0005-0000-0000-000052060000}"/>
    <cellStyle name="Normal 4 2 2 2 2 3 5 3 2" xfId="6725" xr:uid="{00000000-0005-0000-0000-000053060000}"/>
    <cellStyle name="Normal 4 2 2 2 2 3 5 3 2 2" xfId="13086" xr:uid="{00000000-0005-0000-0000-000054060000}"/>
    <cellStyle name="Normal 4 2 2 2 2 3 5 3 3" xfId="9907" xr:uid="{00000000-0005-0000-0000-000055060000}"/>
    <cellStyle name="Normal 4 2 2 2 2 3 5 4" xfId="5141" xr:uid="{00000000-0005-0000-0000-000056060000}"/>
    <cellStyle name="Normal 4 2 2 2 2 3 5 4 2" xfId="11502" xr:uid="{00000000-0005-0000-0000-000057060000}"/>
    <cellStyle name="Normal 4 2 2 2 2 3 5 5" xfId="8323" xr:uid="{00000000-0005-0000-0000-000058060000}"/>
    <cellStyle name="Normal 4 2 2 2 2 3 6" xfId="2309" xr:uid="{00000000-0005-0000-0000-000059060000}"/>
    <cellStyle name="Normal 4 2 2 2 2 3 6 2" xfId="3893" xr:uid="{00000000-0005-0000-0000-00005A060000}"/>
    <cellStyle name="Normal 4 2 2 2 2 3 6 2 2" xfId="7121" xr:uid="{00000000-0005-0000-0000-00005B060000}"/>
    <cellStyle name="Normal 4 2 2 2 2 3 6 2 2 2" xfId="13482" xr:uid="{00000000-0005-0000-0000-00005C060000}"/>
    <cellStyle name="Normal 4 2 2 2 2 3 6 2 3" xfId="10303" xr:uid="{00000000-0005-0000-0000-00005D060000}"/>
    <cellStyle name="Normal 4 2 2 2 2 3 6 3" xfId="5537" xr:uid="{00000000-0005-0000-0000-00005E060000}"/>
    <cellStyle name="Normal 4 2 2 2 2 3 6 3 2" xfId="11898" xr:uid="{00000000-0005-0000-0000-00005F060000}"/>
    <cellStyle name="Normal 4 2 2 2 2 3 6 4" xfId="8719" xr:uid="{00000000-0005-0000-0000-000060060000}"/>
    <cellStyle name="Normal 4 2 2 2 2 3 7" xfId="3101" xr:uid="{00000000-0005-0000-0000-000061060000}"/>
    <cellStyle name="Normal 4 2 2 2 2 3 7 2" xfId="6329" xr:uid="{00000000-0005-0000-0000-000062060000}"/>
    <cellStyle name="Normal 4 2 2 2 2 3 7 2 2" xfId="12690" xr:uid="{00000000-0005-0000-0000-000063060000}"/>
    <cellStyle name="Normal 4 2 2 2 2 3 7 3" xfId="9511" xr:uid="{00000000-0005-0000-0000-000064060000}"/>
    <cellStyle name="Normal 4 2 2 2 2 3 8" xfId="4745" xr:uid="{00000000-0005-0000-0000-000065060000}"/>
    <cellStyle name="Normal 4 2 2 2 2 3 8 2" xfId="11106" xr:uid="{00000000-0005-0000-0000-000066060000}"/>
    <cellStyle name="Normal 4 2 2 2 2 3 9" xfId="7927" xr:uid="{00000000-0005-0000-0000-000067060000}"/>
    <cellStyle name="Normal 4 2 2 2 2 4" xfId="1550" xr:uid="{00000000-0005-0000-0000-000068060000}"/>
    <cellStyle name="Normal 4 2 2 2 2 4 2" xfId="1748" xr:uid="{00000000-0005-0000-0000-000069060000}"/>
    <cellStyle name="Normal 4 2 2 2 2 4 2 2" xfId="2144" xr:uid="{00000000-0005-0000-0000-00006A060000}"/>
    <cellStyle name="Normal 4 2 2 2 2 4 2 2 2" xfId="2936" xr:uid="{00000000-0005-0000-0000-00006B060000}"/>
    <cellStyle name="Normal 4 2 2 2 2 4 2 2 2 2" xfId="4520" xr:uid="{00000000-0005-0000-0000-00006C060000}"/>
    <cellStyle name="Normal 4 2 2 2 2 4 2 2 2 2 2" xfId="7748" xr:uid="{00000000-0005-0000-0000-00006D060000}"/>
    <cellStyle name="Normal 4 2 2 2 2 4 2 2 2 2 2 2" xfId="14109" xr:uid="{00000000-0005-0000-0000-00006E060000}"/>
    <cellStyle name="Normal 4 2 2 2 2 4 2 2 2 2 3" xfId="10930" xr:uid="{00000000-0005-0000-0000-00006F060000}"/>
    <cellStyle name="Normal 4 2 2 2 2 4 2 2 2 3" xfId="6164" xr:uid="{00000000-0005-0000-0000-000070060000}"/>
    <cellStyle name="Normal 4 2 2 2 2 4 2 2 2 3 2" xfId="12525" xr:uid="{00000000-0005-0000-0000-000071060000}"/>
    <cellStyle name="Normal 4 2 2 2 2 4 2 2 2 4" xfId="9346" xr:uid="{00000000-0005-0000-0000-000072060000}"/>
    <cellStyle name="Normal 4 2 2 2 2 4 2 2 3" xfId="3728" xr:uid="{00000000-0005-0000-0000-000073060000}"/>
    <cellStyle name="Normal 4 2 2 2 2 4 2 2 3 2" xfId="6956" xr:uid="{00000000-0005-0000-0000-000074060000}"/>
    <cellStyle name="Normal 4 2 2 2 2 4 2 2 3 2 2" xfId="13317" xr:uid="{00000000-0005-0000-0000-000075060000}"/>
    <cellStyle name="Normal 4 2 2 2 2 4 2 2 3 3" xfId="10138" xr:uid="{00000000-0005-0000-0000-000076060000}"/>
    <cellStyle name="Normal 4 2 2 2 2 4 2 2 4" xfId="5372" xr:uid="{00000000-0005-0000-0000-000077060000}"/>
    <cellStyle name="Normal 4 2 2 2 2 4 2 2 4 2" xfId="11733" xr:uid="{00000000-0005-0000-0000-000078060000}"/>
    <cellStyle name="Normal 4 2 2 2 2 4 2 2 5" xfId="8554" xr:uid="{00000000-0005-0000-0000-000079060000}"/>
    <cellStyle name="Normal 4 2 2 2 2 4 2 3" xfId="2540" xr:uid="{00000000-0005-0000-0000-00007A060000}"/>
    <cellStyle name="Normal 4 2 2 2 2 4 2 3 2" xfId="4124" xr:uid="{00000000-0005-0000-0000-00007B060000}"/>
    <cellStyle name="Normal 4 2 2 2 2 4 2 3 2 2" xfId="7352" xr:uid="{00000000-0005-0000-0000-00007C060000}"/>
    <cellStyle name="Normal 4 2 2 2 2 4 2 3 2 2 2" xfId="13713" xr:uid="{00000000-0005-0000-0000-00007D060000}"/>
    <cellStyle name="Normal 4 2 2 2 2 4 2 3 2 3" xfId="10534" xr:uid="{00000000-0005-0000-0000-00007E060000}"/>
    <cellStyle name="Normal 4 2 2 2 2 4 2 3 3" xfId="5768" xr:uid="{00000000-0005-0000-0000-00007F060000}"/>
    <cellStyle name="Normal 4 2 2 2 2 4 2 3 3 2" xfId="12129" xr:uid="{00000000-0005-0000-0000-000080060000}"/>
    <cellStyle name="Normal 4 2 2 2 2 4 2 3 4" xfId="8950" xr:uid="{00000000-0005-0000-0000-000081060000}"/>
    <cellStyle name="Normal 4 2 2 2 2 4 2 4" xfId="3332" xr:uid="{00000000-0005-0000-0000-000082060000}"/>
    <cellStyle name="Normal 4 2 2 2 2 4 2 4 2" xfId="6560" xr:uid="{00000000-0005-0000-0000-000083060000}"/>
    <cellStyle name="Normal 4 2 2 2 2 4 2 4 2 2" xfId="12921" xr:uid="{00000000-0005-0000-0000-000084060000}"/>
    <cellStyle name="Normal 4 2 2 2 2 4 2 4 3" xfId="9742" xr:uid="{00000000-0005-0000-0000-000085060000}"/>
    <cellStyle name="Normal 4 2 2 2 2 4 2 5" xfId="4976" xr:uid="{00000000-0005-0000-0000-000086060000}"/>
    <cellStyle name="Normal 4 2 2 2 2 4 2 5 2" xfId="11337" xr:uid="{00000000-0005-0000-0000-000087060000}"/>
    <cellStyle name="Normal 4 2 2 2 2 4 2 6" xfId="8158" xr:uid="{00000000-0005-0000-0000-000088060000}"/>
    <cellStyle name="Normal 4 2 2 2 2 4 3" xfId="1946" xr:uid="{00000000-0005-0000-0000-000089060000}"/>
    <cellStyle name="Normal 4 2 2 2 2 4 3 2" xfId="2738" xr:uid="{00000000-0005-0000-0000-00008A060000}"/>
    <cellStyle name="Normal 4 2 2 2 2 4 3 2 2" xfId="4322" xr:uid="{00000000-0005-0000-0000-00008B060000}"/>
    <cellStyle name="Normal 4 2 2 2 2 4 3 2 2 2" xfId="7550" xr:uid="{00000000-0005-0000-0000-00008C060000}"/>
    <cellStyle name="Normal 4 2 2 2 2 4 3 2 2 2 2" xfId="13911" xr:uid="{00000000-0005-0000-0000-00008D060000}"/>
    <cellStyle name="Normal 4 2 2 2 2 4 3 2 2 3" xfId="10732" xr:uid="{00000000-0005-0000-0000-00008E060000}"/>
    <cellStyle name="Normal 4 2 2 2 2 4 3 2 3" xfId="5966" xr:uid="{00000000-0005-0000-0000-00008F060000}"/>
    <cellStyle name="Normal 4 2 2 2 2 4 3 2 3 2" xfId="12327" xr:uid="{00000000-0005-0000-0000-000090060000}"/>
    <cellStyle name="Normal 4 2 2 2 2 4 3 2 4" xfId="9148" xr:uid="{00000000-0005-0000-0000-000091060000}"/>
    <cellStyle name="Normal 4 2 2 2 2 4 3 3" xfId="3530" xr:uid="{00000000-0005-0000-0000-000092060000}"/>
    <cellStyle name="Normal 4 2 2 2 2 4 3 3 2" xfId="6758" xr:uid="{00000000-0005-0000-0000-000093060000}"/>
    <cellStyle name="Normal 4 2 2 2 2 4 3 3 2 2" xfId="13119" xr:uid="{00000000-0005-0000-0000-000094060000}"/>
    <cellStyle name="Normal 4 2 2 2 2 4 3 3 3" xfId="9940" xr:uid="{00000000-0005-0000-0000-000095060000}"/>
    <cellStyle name="Normal 4 2 2 2 2 4 3 4" xfId="5174" xr:uid="{00000000-0005-0000-0000-000096060000}"/>
    <cellStyle name="Normal 4 2 2 2 2 4 3 4 2" xfId="11535" xr:uid="{00000000-0005-0000-0000-000097060000}"/>
    <cellStyle name="Normal 4 2 2 2 2 4 3 5" xfId="8356" xr:uid="{00000000-0005-0000-0000-000098060000}"/>
    <cellStyle name="Normal 4 2 2 2 2 4 4" xfId="2342" xr:uid="{00000000-0005-0000-0000-000099060000}"/>
    <cellStyle name="Normal 4 2 2 2 2 4 4 2" xfId="3926" xr:uid="{00000000-0005-0000-0000-00009A060000}"/>
    <cellStyle name="Normal 4 2 2 2 2 4 4 2 2" xfId="7154" xr:uid="{00000000-0005-0000-0000-00009B060000}"/>
    <cellStyle name="Normal 4 2 2 2 2 4 4 2 2 2" xfId="13515" xr:uid="{00000000-0005-0000-0000-00009C060000}"/>
    <cellStyle name="Normal 4 2 2 2 2 4 4 2 3" xfId="10336" xr:uid="{00000000-0005-0000-0000-00009D060000}"/>
    <cellStyle name="Normal 4 2 2 2 2 4 4 3" xfId="5570" xr:uid="{00000000-0005-0000-0000-00009E060000}"/>
    <cellStyle name="Normal 4 2 2 2 2 4 4 3 2" xfId="11931" xr:uid="{00000000-0005-0000-0000-00009F060000}"/>
    <cellStyle name="Normal 4 2 2 2 2 4 4 4" xfId="8752" xr:uid="{00000000-0005-0000-0000-0000A0060000}"/>
    <cellStyle name="Normal 4 2 2 2 2 4 5" xfId="3134" xr:uid="{00000000-0005-0000-0000-0000A1060000}"/>
    <cellStyle name="Normal 4 2 2 2 2 4 5 2" xfId="6362" xr:uid="{00000000-0005-0000-0000-0000A2060000}"/>
    <cellStyle name="Normal 4 2 2 2 2 4 5 2 2" xfId="12723" xr:uid="{00000000-0005-0000-0000-0000A3060000}"/>
    <cellStyle name="Normal 4 2 2 2 2 4 5 3" xfId="9544" xr:uid="{00000000-0005-0000-0000-0000A4060000}"/>
    <cellStyle name="Normal 4 2 2 2 2 4 6" xfId="4778" xr:uid="{00000000-0005-0000-0000-0000A5060000}"/>
    <cellStyle name="Normal 4 2 2 2 2 4 6 2" xfId="11139" xr:uid="{00000000-0005-0000-0000-0000A6060000}"/>
    <cellStyle name="Normal 4 2 2 2 2 4 7" xfId="7960" xr:uid="{00000000-0005-0000-0000-0000A7060000}"/>
    <cellStyle name="Normal 4 2 2 2 2 5" xfId="1618" xr:uid="{00000000-0005-0000-0000-0000A8060000}"/>
    <cellStyle name="Normal 4 2 2 2 2 5 2" xfId="1816" xr:uid="{00000000-0005-0000-0000-0000A9060000}"/>
    <cellStyle name="Normal 4 2 2 2 2 5 2 2" xfId="2212" xr:uid="{00000000-0005-0000-0000-0000AA060000}"/>
    <cellStyle name="Normal 4 2 2 2 2 5 2 2 2" xfId="3004" xr:uid="{00000000-0005-0000-0000-0000AB060000}"/>
    <cellStyle name="Normal 4 2 2 2 2 5 2 2 2 2" xfId="4588" xr:uid="{00000000-0005-0000-0000-0000AC060000}"/>
    <cellStyle name="Normal 4 2 2 2 2 5 2 2 2 2 2" xfId="7816" xr:uid="{00000000-0005-0000-0000-0000AD060000}"/>
    <cellStyle name="Normal 4 2 2 2 2 5 2 2 2 2 2 2" xfId="14177" xr:uid="{00000000-0005-0000-0000-0000AE060000}"/>
    <cellStyle name="Normal 4 2 2 2 2 5 2 2 2 2 3" xfId="10998" xr:uid="{00000000-0005-0000-0000-0000AF060000}"/>
    <cellStyle name="Normal 4 2 2 2 2 5 2 2 2 3" xfId="6232" xr:uid="{00000000-0005-0000-0000-0000B0060000}"/>
    <cellStyle name="Normal 4 2 2 2 2 5 2 2 2 3 2" xfId="12593" xr:uid="{00000000-0005-0000-0000-0000B1060000}"/>
    <cellStyle name="Normal 4 2 2 2 2 5 2 2 2 4" xfId="9414" xr:uid="{00000000-0005-0000-0000-0000B2060000}"/>
    <cellStyle name="Normal 4 2 2 2 2 5 2 2 3" xfId="3796" xr:uid="{00000000-0005-0000-0000-0000B3060000}"/>
    <cellStyle name="Normal 4 2 2 2 2 5 2 2 3 2" xfId="7024" xr:uid="{00000000-0005-0000-0000-0000B4060000}"/>
    <cellStyle name="Normal 4 2 2 2 2 5 2 2 3 2 2" xfId="13385" xr:uid="{00000000-0005-0000-0000-0000B5060000}"/>
    <cellStyle name="Normal 4 2 2 2 2 5 2 2 3 3" xfId="10206" xr:uid="{00000000-0005-0000-0000-0000B6060000}"/>
    <cellStyle name="Normal 4 2 2 2 2 5 2 2 4" xfId="5440" xr:uid="{00000000-0005-0000-0000-0000B7060000}"/>
    <cellStyle name="Normal 4 2 2 2 2 5 2 2 4 2" xfId="11801" xr:uid="{00000000-0005-0000-0000-0000B8060000}"/>
    <cellStyle name="Normal 4 2 2 2 2 5 2 2 5" xfId="8622" xr:uid="{00000000-0005-0000-0000-0000B9060000}"/>
    <cellStyle name="Normal 4 2 2 2 2 5 2 3" xfId="2608" xr:uid="{00000000-0005-0000-0000-0000BA060000}"/>
    <cellStyle name="Normal 4 2 2 2 2 5 2 3 2" xfId="4192" xr:uid="{00000000-0005-0000-0000-0000BB060000}"/>
    <cellStyle name="Normal 4 2 2 2 2 5 2 3 2 2" xfId="7420" xr:uid="{00000000-0005-0000-0000-0000BC060000}"/>
    <cellStyle name="Normal 4 2 2 2 2 5 2 3 2 2 2" xfId="13781" xr:uid="{00000000-0005-0000-0000-0000BD060000}"/>
    <cellStyle name="Normal 4 2 2 2 2 5 2 3 2 3" xfId="10602" xr:uid="{00000000-0005-0000-0000-0000BE060000}"/>
    <cellStyle name="Normal 4 2 2 2 2 5 2 3 3" xfId="5836" xr:uid="{00000000-0005-0000-0000-0000BF060000}"/>
    <cellStyle name="Normal 4 2 2 2 2 5 2 3 3 2" xfId="12197" xr:uid="{00000000-0005-0000-0000-0000C0060000}"/>
    <cellStyle name="Normal 4 2 2 2 2 5 2 3 4" xfId="9018" xr:uid="{00000000-0005-0000-0000-0000C1060000}"/>
    <cellStyle name="Normal 4 2 2 2 2 5 2 4" xfId="3400" xr:uid="{00000000-0005-0000-0000-0000C2060000}"/>
    <cellStyle name="Normal 4 2 2 2 2 5 2 4 2" xfId="6628" xr:uid="{00000000-0005-0000-0000-0000C3060000}"/>
    <cellStyle name="Normal 4 2 2 2 2 5 2 4 2 2" xfId="12989" xr:uid="{00000000-0005-0000-0000-0000C4060000}"/>
    <cellStyle name="Normal 4 2 2 2 2 5 2 4 3" xfId="9810" xr:uid="{00000000-0005-0000-0000-0000C5060000}"/>
    <cellStyle name="Normal 4 2 2 2 2 5 2 5" xfId="5044" xr:uid="{00000000-0005-0000-0000-0000C6060000}"/>
    <cellStyle name="Normal 4 2 2 2 2 5 2 5 2" xfId="11405" xr:uid="{00000000-0005-0000-0000-0000C7060000}"/>
    <cellStyle name="Normal 4 2 2 2 2 5 2 6" xfId="8226" xr:uid="{00000000-0005-0000-0000-0000C8060000}"/>
    <cellStyle name="Normal 4 2 2 2 2 5 3" xfId="2014" xr:uid="{00000000-0005-0000-0000-0000C9060000}"/>
    <cellStyle name="Normal 4 2 2 2 2 5 3 2" xfId="2806" xr:uid="{00000000-0005-0000-0000-0000CA060000}"/>
    <cellStyle name="Normal 4 2 2 2 2 5 3 2 2" xfId="4390" xr:uid="{00000000-0005-0000-0000-0000CB060000}"/>
    <cellStyle name="Normal 4 2 2 2 2 5 3 2 2 2" xfId="7618" xr:uid="{00000000-0005-0000-0000-0000CC060000}"/>
    <cellStyle name="Normal 4 2 2 2 2 5 3 2 2 2 2" xfId="13979" xr:uid="{00000000-0005-0000-0000-0000CD060000}"/>
    <cellStyle name="Normal 4 2 2 2 2 5 3 2 2 3" xfId="10800" xr:uid="{00000000-0005-0000-0000-0000CE060000}"/>
    <cellStyle name="Normal 4 2 2 2 2 5 3 2 3" xfId="6034" xr:uid="{00000000-0005-0000-0000-0000CF060000}"/>
    <cellStyle name="Normal 4 2 2 2 2 5 3 2 3 2" xfId="12395" xr:uid="{00000000-0005-0000-0000-0000D0060000}"/>
    <cellStyle name="Normal 4 2 2 2 2 5 3 2 4" xfId="9216" xr:uid="{00000000-0005-0000-0000-0000D1060000}"/>
    <cellStyle name="Normal 4 2 2 2 2 5 3 3" xfId="3598" xr:uid="{00000000-0005-0000-0000-0000D2060000}"/>
    <cellStyle name="Normal 4 2 2 2 2 5 3 3 2" xfId="6826" xr:uid="{00000000-0005-0000-0000-0000D3060000}"/>
    <cellStyle name="Normal 4 2 2 2 2 5 3 3 2 2" xfId="13187" xr:uid="{00000000-0005-0000-0000-0000D4060000}"/>
    <cellStyle name="Normal 4 2 2 2 2 5 3 3 3" xfId="10008" xr:uid="{00000000-0005-0000-0000-0000D5060000}"/>
    <cellStyle name="Normal 4 2 2 2 2 5 3 4" xfId="5242" xr:uid="{00000000-0005-0000-0000-0000D6060000}"/>
    <cellStyle name="Normal 4 2 2 2 2 5 3 4 2" xfId="11603" xr:uid="{00000000-0005-0000-0000-0000D7060000}"/>
    <cellStyle name="Normal 4 2 2 2 2 5 3 5" xfId="8424" xr:uid="{00000000-0005-0000-0000-0000D8060000}"/>
    <cellStyle name="Normal 4 2 2 2 2 5 4" xfId="2410" xr:uid="{00000000-0005-0000-0000-0000D9060000}"/>
    <cellStyle name="Normal 4 2 2 2 2 5 4 2" xfId="3994" xr:uid="{00000000-0005-0000-0000-0000DA060000}"/>
    <cellStyle name="Normal 4 2 2 2 2 5 4 2 2" xfId="7222" xr:uid="{00000000-0005-0000-0000-0000DB060000}"/>
    <cellStyle name="Normal 4 2 2 2 2 5 4 2 2 2" xfId="13583" xr:uid="{00000000-0005-0000-0000-0000DC060000}"/>
    <cellStyle name="Normal 4 2 2 2 2 5 4 2 3" xfId="10404" xr:uid="{00000000-0005-0000-0000-0000DD060000}"/>
    <cellStyle name="Normal 4 2 2 2 2 5 4 3" xfId="5638" xr:uid="{00000000-0005-0000-0000-0000DE060000}"/>
    <cellStyle name="Normal 4 2 2 2 2 5 4 3 2" xfId="11999" xr:uid="{00000000-0005-0000-0000-0000DF060000}"/>
    <cellStyle name="Normal 4 2 2 2 2 5 4 4" xfId="8820" xr:uid="{00000000-0005-0000-0000-0000E0060000}"/>
    <cellStyle name="Normal 4 2 2 2 2 5 5" xfId="3202" xr:uid="{00000000-0005-0000-0000-0000E1060000}"/>
    <cellStyle name="Normal 4 2 2 2 2 5 5 2" xfId="6430" xr:uid="{00000000-0005-0000-0000-0000E2060000}"/>
    <cellStyle name="Normal 4 2 2 2 2 5 5 2 2" xfId="12791" xr:uid="{00000000-0005-0000-0000-0000E3060000}"/>
    <cellStyle name="Normal 4 2 2 2 2 5 5 3" xfId="9612" xr:uid="{00000000-0005-0000-0000-0000E4060000}"/>
    <cellStyle name="Normal 4 2 2 2 2 5 6" xfId="4846" xr:uid="{00000000-0005-0000-0000-0000E5060000}"/>
    <cellStyle name="Normal 4 2 2 2 2 5 6 2" xfId="11207" xr:uid="{00000000-0005-0000-0000-0000E6060000}"/>
    <cellStyle name="Normal 4 2 2 2 2 5 7" xfId="8028" xr:uid="{00000000-0005-0000-0000-0000E7060000}"/>
    <cellStyle name="Normal 4 2 2 2 2 6" xfId="1683" xr:uid="{00000000-0005-0000-0000-0000E8060000}"/>
    <cellStyle name="Normal 4 2 2 2 2 6 2" xfId="2079" xr:uid="{00000000-0005-0000-0000-0000E9060000}"/>
    <cellStyle name="Normal 4 2 2 2 2 6 2 2" xfId="2871" xr:uid="{00000000-0005-0000-0000-0000EA060000}"/>
    <cellStyle name="Normal 4 2 2 2 2 6 2 2 2" xfId="4455" xr:uid="{00000000-0005-0000-0000-0000EB060000}"/>
    <cellStyle name="Normal 4 2 2 2 2 6 2 2 2 2" xfId="7683" xr:uid="{00000000-0005-0000-0000-0000EC060000}"/>
    <cellStyle name="Normal 4 2 2 2 2 6 2 2 2 2 2" xfId="14044" xr:uid="{00000000-0005-0000-0000-0000ED060000}"/>
    <cellStyle name="Normal 4 2 2 2 2 6 2 2 2 3" xfId="10865" xr:uid="{00000000-0005-0000-0000-0000EE060000}"/>
    <cellStyle name="Normal 4 2 2 2 2 6 2 2 3" xfId="6099" xr:uid="{00000000-0005-0000-0000-0000EF060000}"/>
    <cellStyle name="Normal 4 2 2 2 2 6 2 2 3 2" xfId="12460" xr:uid="{00000000-0005-0000-0000-0000F0060000}"/>
    <cellStyle name="Normal 4 2 2 2 2 6 2 2 4" xfId="9281" xr:uid="{00000000-0005-0000-0000-0000F1060000}"/>
    <cellStyle name="Normal 4 2 2 2 2 6 2 3" xfId="3663" xr:uid="{00000000-0005-0000-0000-0000F2060000}"/>
    <cellStyle name="Normal 4 2 2 2 2 6 2 3 2" xfId="6891" xr:uid="{00000000-0005-0000-0000-0000F3060000}"/>
    <cellStyle name="Normal 4 2 2 2 2 6 2 3 2 2" xfId="13252" xr:uid="{00000000-0005-0000-0000-0000F4060000}"/>
    <cellStyle name="Normal 4 2 2 2 2 6 2 3 3" xfId="10073" xr:uid="{00000000-0005-0000-0000-0000F5060000}"/>
    <cellStyle name="Normal 4 2 2 2 2 6 2 4" xfId="5307" xr:uid="{00000000-0005-0000-0000-0000F6060000}"/>
    <cellStyle name="Normal 4 2 2 2 2 6 2 4 2" xfId="11668" xr:uid="{00000000-0005-0000-0000-0000F7060000}"/>
    <cellStyle name="Normal 4 2 2 2 2 6 2 5" xfId="8489" xr:uid="{00000000-0005-0000-0000-0000F8060000}"/>
    <cellStyle name="Normal 4 2 2 2 2 6 3" xfId="2475" xr:uid="{00000000-0005-0000-0000-0000F9060000}"/>
    <cellStyle name="Normal 4 2 2 2 2 6 3 2" xfId="4059" xr:uid="{00000000-0005-0000-0000-0000FA060000}"/>
    <cellStyle name="Normal 4 2 2 2 2 6 3 2 2" xfId="7287" xr:uid="{00000000-0005-0000-0000-0000FB060000}"/>
    <cellStyle name="Normal 4 2 2 2 2 6 3 2 2 2" xfId="13648" xr:uid="{00000000-0005-0000-0000-0000FC060000}"/>
    <cellStyle name="Normal 4 2 2 2 2 6 3 2 3" xfId="10469" xr:uid="{00000000-0005-0000-0000-0000FD060000}"/>
    <cellStyle name="Normal 4 2 2 2 2 6 3 3" xfId="5703" xr:uid="{00000000-0005-0000-0000-0000FE060000}"/>
    <cellStyle name="Normal 4 2 2 2 2 6 3 3 2" xfId="12064" xr:uid="{00000000-0005-0000-0000-0000FF060000}"/>
    <cellStyle name="Normal 4 2 2 2 2 6 3 4" xfId="8885" xr:uid="{00000000-0005-0000-0000-000000070000}"/>
    <cellStyle name="Normal 4 2 2 2 2 6 4" xfId="3267" xr:uid="{00000000-0005-0000-0000-000001070000}"/>
    <cellStyle name="Normal 4 2 2 2 2 6 4 2" xfId="6495" xr:uid="{00000000-0005-0000-0000-000002070000}"/>
    <cellStyle name="Normal 4 2 2 2 2 6 4 2 2" xfId="12856" xr:uid="{00000000-0005-0000-0000-000003070000}"/>
    <cellStyle name="Normal 4 2 2 2 2 6 4 3" xfId="9677" xr:uid="{00000000-0005-0000-0000-000004070000}"/>
    <cellStyle name="Normal 4 2 2 2 2 6 5" xfId="4911" xr:uid="{00000000-0005-0000-0000-000005070000}"/>
    <cellStyle name="Normal 4 2 2 2 2 6 5 2" xfId="11272" xr:uid="{00000000-0005-0000-0000-000006070000}"/>
    <cellStyle name="Normal 4 2 2 2 2 6 6" xfId="8093" xr:uid="{00000000-0005-0000-0000-000007070000}"/>
    <cellStyle name="Normal 4 2 2 2 2 7" xfId="1881" xr:uid="{00000000-0005-0000-0000-000008070000}"/>
    <cellStyle name="Normal 4 2 2 2 2 7 2" xfId="2673" xr:uid="{00000000-0005-0000-0000-000009070000}"/>
    <cellStyle name="Normal 4 2 2 2 2 7 2 2" xfId="4257" xr:uid="{00000000-0005-0000-0000-00000A070000}"/>
    <cellStyle name="Normal 4 2 2 2 2 7 2 2 2" xfId="7485" xr:uid="{00000000-0005-0000-0000-00000B070000}"/>
    <cellStyle name="Normal 4 2 2 2 2 7 2 2 2 2" xfId="13846" xr:uid="{00000000-0005-0000-0000-00000C070000}"/>
    <cellStyle name="Normal 4 2 2 2 2 7 2 2 3" xfId="10667" xr:uid="{00000000-0005-0000-0000-00000D070000}"/>
    <cellStyle name="Normal 4 2 2 2 2 7 2 3" xfId="5901" xr:uid="{00000000-0005-0000-0000-00000E070000}"/>
    <cellStyle name="Normal 4 2 2 2 2 7 2 3 2" xfId="12262" xr:uid="{00000000-0005-0000-0000-00000F070000}"/>
    <cellStyle name="Normal 4 2 2 2 2 7 2 4" xfId="9083" xr:uid="{00000000-0005-0000-0000-000010070000}"/>
    <cellStyle name="Normal 4 2 2 2 2 7 3" xfId="3465" xr:uid="{00000000-0005-0000-0000-000011070000}"/>
    <cellStyle name="Normal 4 2 2 2 2 7 3 2" xfId="6693" xr:uid="{00000000-0005-0000-0000-000012070000}"/>
    <cellStyle name="Normal 4 2 2 2 2 7 3 2 2" xfId="13054" xr:uid="{00000000-0005-0000-0000-000013070000}"/>
    <cellStyle name="Normal 4 2 2 2 2 7 3 3" xfId="9875" xr:uid="{00000000-0005-0000-0000-000014070000}"/>
    <cellStyle name="Normal 4 2 2 2 2 7 4" xfId="5109" xr:uid="{00000000-0005-0000-0000-000015070000}"/>
    <cellStyle name="Normal 4 2 2 2 2 7 4 2" xfId="11470" xr:uid="{00000000-0005-0000-0000-000016070000}"/>
    <cellStyle name="Normal 4 2 2 2 2 7 5" xfId="8291" xr:uid="{00000000-0005-0000-0000-000017070000}"/>
    <cellStyle name="Normal 4 2 2 2 2 8" xfId="2277" xr:uid="{00000000-0005-0000-0000-000018070000}"/>
    <cellStyle name="Normal 4 2 2 2 2 8 2" xfId="3861" xr:uid="{00000000-0005-0000-0000-000019070000}"/>
    <cellStyle name="Normal 4 2 2 2 2 8 2 2" xfId="7089" xr:uid="{00000000-0005-0000-0000-00001A070000}"/>
    <cellStyle name="Normal 4 2 2 2 2 8 2 2 2" xfId="13450" xr:uid="{00000000-0005-0000-0000-00001B070000}"/>
    <cellStyle name="Normal 4 2 2 2 2 8 2 3" xfId="10271" xr:uid="{00000000-0005-0000-0000-00001C070000}"/>
    <cellStyle name="Normal 4 2 2 2 2 8 3" xfId="5505" xr:uid="{00000000-0005-0000-0000-00001D070000}"/>
    <cellStyle name="Normal 4 2 2 2 2 8 3 2" xfId="11866" xr:uid="{00000000-0005-0000-0000-00001E070000}"/>
    <cellStyle name="Normal 4 2 2 2 2 8 4" xfId="8687" xr:uid="{00000000-0005-0000-0000-00001F070000}"/>
    <cellStyle name="Normal 4 2 2 2 2 9" xfId="3069" xr:uid="{00000000-0005-0000-0000-000020070000}"/>
    <cellStyle name="Normal 4 2 2 2 2 9 2" xfId="6297" xr:uid="{00000000-0005-0000-0000-000021070000}"/>
    <cellStyle name="Normal 4 2 2 2 2 9 2 2" xfId="12658" xr:uid="{00000000-0005-0000-0000-000022070000}"/>
    <cellStyle name="Normal 4 2 2 2 2 9 3" xfId="9479" xr:uid="{00000000-0005-0000-0000-000023070000}"/>
    <cellStyle name="Normal 4 2 2 2 3" xfId="1446" xr:uid="{00000000-0005-0000-0000-000024070000}"/>
    <cellStyle name="Normal 4 2 2 2 3 10" xfId="7903" xr:uid="{00000000-0005-0000-0000-000025070000}"/>
    <cellStyle name="Normal 4 2 2 2 3 2" xfId="1478" xr:uid="{00000000-0005-0000-0000-000026070000}"/>
    <cellStyle name="Normal 4 2 2 2 3 2 2" xfId="1590" xr:uid="{00000000-0005-0000-0000-000027070000}"/>
    <cellStyle name="Normal 4 2 2 2 3 2 2 2" xfId="1788" xr:uid="{00000000-0005-0000-0000-000028070000}"/>
    <cellStyle name="Normal 4 2 2 2 3 2 2 2 2" xfId="2184" xr:uid="{00000000-0005-0000-0000-000029070000}"/>
    <cellStyle name="Normal 4 2 2 2 3 2 2 2 2 2" xfId="2976" xr:uid="{00000000-0005-0000-0000-00002A070000}"/>
    <cellStyle name="Normal 4 2 2 2 3 2 2 2 2 2 2" xfId="4560" xr:uid="{00000000-0005-0000-0000-00002B070000}"/>
    <cellStyle name="Normal 4 2 2 2 3 2 2 2 2 2 2 2" xfId="7788" xr:uid="{00000000-0005-0000-0000-00002C070000}"/>
    <cellStyle name="Normal 4 2 2 2 3 2 2 2 2 2 2 2 2" xfId="14149" xr:uid="{00000000-0005-0000-0000-00002D070000}"/>
    <cellStyle name="Normal 4 2 2 2 3 2 2 2 2 2 2 3" xfId="10970" xr:uid="{00000000-0005-0000-0000-00002E070000}"/>
    <cellStyle name="Normal 4 2 2 2 3 2 2 2 2 2 3" xfId="6204" xr:uid="{00000000-0005-0000-0000-00002F070000}"/>
    <cellStyle name="Normal 4 2 2 2 3 2 2 2 2 2 3 2" xfId="12565" xr:uid="{00000000-0005-0000-0000-000030070000}"/>
    <cellStyle name="Normal 4 2 2 2 3 2 2 2 2 2 4" xfId="9386" xr:uid="{00000000-0005-0000-0000-000031070000}"/>
    <cellStyle name="Normal 4 2 2 2 3 2 2 2 2 3" xfId="3768" xr:uid="{00000000-0005-0000-0000-000032070000}"/>
    <cellStyle name="Normal 4 2 2 2 3 2 2 2 2 3 2" xfId="6996" xr:uid="{00000000-0005-0000-0000-000033070000}"/>
    <cellStyle name="Normal 4 2 2 2 3 2 2 2 2 3 2 2" xfId="13357" xr:uid="{00000000-0005-0000-0000-000034070000}"/>
    <cellStyle name="Normal 4 2 2 2 3 2 2 2 2 3 3" xfId="10178" xr:uid="{00000000-0005-0000-0000-000035070000}"/>
    <cellStyle name="Normal 4 2 2 2 3 2 2 2 2 4" xfId="5412" xr:uid="{00000000-0005-0000-0000-000036070000}"/>
    <cellStyle name="Normal 4 2 2 2 3 2 2 2 2 4 2" xfId="11773" xr:uid="{00000000-0005-0000-0000-000037070000}"/>
    <cellStyle name="Normal 4 2 2 2 3 2 2 2 2 5" xfId="8594" xr:uid="{00000000-0005-0000-0000-000038070000}"/>
    <cellStyle name="Normal 4 2 2 2 3 2 2 2 3" xfId="2580" xr:uid="{00000000-0005-0000-0000-000039070000}"/>
    <cellStyle name="Normal 4 2 2 2 3 2 2 2 3 2" xfId="4164" xr:uid="{00000000-0005-0000-0000-00003A070000}"/>
    <cellStyle name="Normal 4 2 2 2 3 2 2 2 3 2 2" xfId="7392" xr:uid="{00000000-0005-0000-0000-00003B070000}"/>
    <cellStyle name="Normal 4 2 2 2 3 2 2 2 3 2 2 2" xfId="13753" xr:uid="{00000000-0005-0000-0000-00003C070000}"/>
    <cellStyle name="Normal 4 2 2 2 3 2 2 2 3 2 3" xfId="10574" xr:uid="{00000000-0005-0000-0000-00003D070000}"/>
    <cellStyle name="Normal 4 2 2 2 3 2 2 2 3 3" xfId="5808" xr:uid="{00000000-0005-0000-0000-00003E070000}"/>
    <cellStyle name="Normal 4 2 2 2 3 2 2 2 3 3 2" xfId="12169" xr:uid="{00000000-0005-0000-0000-00003F070000}"/>
    <cellStyle name="Normal 4 2 2 2 3 2 2 2 3 4" xfId="8990" xr:uid="{00000000-0005-0000-0000-000040070000}"/>
    <cellStyle name="Normal 4 2 2 2 3 2 2 2 4" xfId="3372" xr:uid="{00000000-0005-0000-0000-000041070000}"/>
    <cellStyle name="Normal 4 2 2 2 3 2 2 2 4 2" xfId="6600" xr:uid="{00000000-0005-0000-0000-000042070000}"/>
    <cellStyle name="Normal 4 2 2 2 3 2 2 2 4 2 2" xfId="12961" xr:uid="{00000000-0005-0000-0000-000043070000}"/>
    <cellStyle name="Normal 4 2 2 2 3 2 2 2 4 3" xfId="9782" xr:uid="{00000000-0005-0000-0000-000044070000}"/>
    <cellStyle name="Normal 4 2 2 2 3 2 2 2 5" xfId="5016" xr:uid="{00000000-0005-0000-0000-000045070000}"/>
    <cellStyle name="Normal 4 2 2 2 3 2 2 2 5 2" xfId="11377" xr:uid="{00000000-0005-0000-0000-000046070000}"/>
    <cellStyle name="Normal 4 2 2 2 3 2 2 2 6" xfId="8198" xr:uid="{00000000-0005-0000-0000-000047070000}"/>
    <cellStyle name="Normal 4 2 2 2 3 2 2 3" xfId="1986" xr:uid="{00000000-0005-0000-0000-000048070000}"/>
    <cellStyle name="Normal 4 2 2 2 3 2 2 3 2" xfId="2778" xr:uid="{00000000-0005-0000-0000-000049070000}"/>
    <cellStyle name="Normal 4 2 2 2 3 2 2 3 2 2" xfId="4362" xr:uid="{00000000-0005-0000-0000-00004A070000}"/>
    <cellStyle name="Normal 4 2 2 2 3 2 2 3 2 2 2" xfId="7590" xr:uid="{00000000-0005-0000-0000-00004B070000}"/>
    <cellStyle name="Normal 4 2 2 2 3 2 2 3 2 2 2 2" xfId="13951" xr:uid="{00000000-0005-0000-0000-00004C070000}"/>
    <cellStyle name="Normal 4 2 2 2 3 2 2 3 2 2 3" xfId="10772" xr:uid="{00000000-0005-0000-0000-00004D070000}"/>
    <cellStyle name="Normal 4 2 2 2 3 2 2 3 2 3" xfId="6006" xr:uid="{00000000-0005-0000-0000-00004E070000}"/>
    <cellStyle name="Normal 4 2 2 2 3 2 2 3 2 3 2" xfId="12367" xr:uid="{00000000-0005-0000-0000-00004F070000}"/>
    <cellStyle name="Normal 4 2 2 2 3 2 2 3 2 4" xfId="9188" xr:uid="{00000000-0005-0000-0000-000050070000}"/>
    <cellStyle name="Normal 4 2 2 2 3 2 2 3 3" xfId="3570" xr:uid="{00000000-0005-0000-0000-000051070000}"/>
    <cellStyle name="Normal 4 2 2 2 3 2 2 3 3 2" xfId="6798" xr:uid="{00000000-0005-0000-0000-000052070000}"/>
    <cellStyle name="Normal 4 2 2 2 3 2 2 3 3 2 2" xfId="13159" xr:uid="{00000000-0005-0000-0000-000053070000}"/>
    <cellStyle name="Normal 4 2 2 2 3 2 2 3 3 3" xfId="9980" xr:uid="{00000000-0005-0000-0000-000054070000}"/>
    <cellStyle name="Normal 4 2 2 2 3 2 2 3 4" xfId="5214" xr:uid="{00000000-0005-0000-0000-000055070000}"/>
    <cellStyle name="Normal 4 2 2 2 3 2 2 3 4 2" xfId="11575" xr:uid="{00000000-0005-0000-0000-000056070000}"/>
    <cellStyle name="Normal 4 2 2 2 3 2 2 3 5" xfId="8396" xr:uid="{00000000-0005-0000-0000-000057070000}"/>
    <cellStyle name="Normal 4 2 2 2 3 2 2 4" xfId="2382" xr:uid="{00000000-0005-0000-0000-000058070000}"/>
    <cellStyle name="Normal 4 2 2 2 3 2 2 4 2" xfId="3966" xr:uid="{00000000-0005-0000-0000-000059070000}"/>
    <cellStyle name="Normal 4 2 2 2 3 2 2 4 2 2" xfId="7194" xr:uid="{00000000-0005-0000-0000-00005A070000}"/>
    <cellStyle name="Normal 4 2 2 2 3 2 2 4 2 2 2" xfId="13555" xr:uid="{00000000-0005-0000-0000-00005B070000}"/>
    <cellStyle name="Normal 4 2 2 2 3 2 2 4 2 3" xfId="10376" xr:uid="{00000000-0005-0000-0000-00005C070000}"/>
    <cellStyle name="Normal 4 2 2 2 3 2 2 4 3" xfId="5610" xr:uid="{00000000-0005-0000-0000-00005D070000}"/>
    <cellStyle name="Normal 4 2 2 2 3 2 2 4 3 2" xfId="11971" xr:uid="{00000000-0005-0000-0000-00005E070000}"/>
    <cellStyle name="Normal 4 2 2 2 3 2 2 4 4" xfId="8792" xr:uid="{00000000-0005-0000-0000-00005F070000}"/>
    <cellStyle name="Normal 4 2 2 2 3 2 2 5" xfId="3174" xr:uid="{00000000-0005-0000-0000-000060070000}"/>
    <cellStyle name="Normal 4 2 2 2 3 2 2 5 2" xfId="6402" xr:uid="{00000000-0005-0000-0000-000061070000}"/>
    <cellStyle name="Normal 4 2 2 2 3 2 2 5 2 2" xfId="12763" xr:uid="{00000000-0005-0000-0000-000062070000}"/>
    <cellStyle name="Normal 4 2 2 2 3 2 2 5 3" xfId="9584" xr:uid="{00000000-0005-0000-0000-000063070000}"/>
    <cellStyle name="Normal 4 2 2 2 3 2 2 6" xfId="4818" xr:uid="{00000000-0005-0000-0000-000064070000}"/>
    <cellStyle name="Normal 4 2 2 2 3 2 2 6 2" xfId="11179" xr:uid="{00000000-0005-0000-0000-000065070000}"/>
    <cellStyle name="Normal 4 2 2 2 3 2 2 7" xfId="8000" xr:uid="{00000000-0005-0000-0000-000066070000}"/>
    <cellStyle name="Normal 4 2 2 2 3 2 3" xfId="1658" xr:uid="{00000000-0005-0000-0000-000067070000}"/>
    <cellStyle name="Normal 4 2 2 2 3 2 3 2" xfId="1856" xr:uid="{00000000-0005-0000-0000-000068070000}"/>
    <cellStyle name="Normal 4 2 2 2 3 2 3 2 2" xfId="2252" xr:uid="{00000000-0005-0000-0000-000069070000}"/>
    <cellStyle name="Normal 4 2 2 2 3 2 3 2 2 2" xfId="3044" xr:uid="{00000000-0005-0000-0000-00006A070000}"/>
    <cellStyle name="Normal 4 2 2 2 3 2 3 2 2 2 2" xfId="4628" xr:uid="{00000000-0005-0000-0000-00006B070000}"/>
    <cellStyle name="Normal 4 2 2 2 3 2 3 2 2 2 2 2" xfId="7856" xr:uid="{00000000-0005-0000-0000-00006C070000}"/>
    <cellStyle name="Normal 4 2 2 2 3 2 3 2 2 2 2 2 2" xfId="14217" xr:uid="{00000000-0005-0000-0000-00006D070000}"/>
    <cellStyle name="Normal 4 2 2 2 3 2 3 2 2 2 2 3" xfId="11038" xr:uid="{00000000-0005-0000-0000-00006E070000}"/>
    <cellStyle name="Normal 4 2 2 2 3 2 3 2 2 2 3" xfId="6272" xr:uid="{00000000-0005-0000-0000-00006F070000}"/>
    <cellStyle name="Normal 4 2 2 2 3 2 3 2 2 2 3 2" xfId="12633" xr:uid="{00000000-0005-0000-0000-000070070000}"/>
    <cellStyle name="Normal 4 2 2 2 3 2 3 2 2 2 4" xfId="9454" xr:uid="{00000000-0005-0000-0000-000071070000}"/>
    <cellStyle name="Normal 4 2 2 2 3 2 3 2 2 3" xfId="3836" xr:uid="{00000000-0005-0000-0000-000072070000}"/>
    <cellStyle name="Normal 4 2 2 2 3 2 3 2 2 3 2" xfId="7064" xr:uid="{00000000-0005-0000-0000-000073070000}"/>
    <cellStyle name="Normal 4 2 2 2 3 2 3 2 2 3 2 2" xfId="13425" xr:uid="{00000000-0005-0000-0000-000074070000}"/>
    <cellStyle name="Normal 4 2 2 2 3 2 3 2 2 3 3" xfId="10246" xr:uid="{00000000-0005-0000-0000-000075070000}"/>
    <cellStyle name="Normal 4 2 2 2 3 2 3 2 2 4" xfId="5480" xr:uid="{00000000-0005-0000-0000-000076070000}"/>
    <cellStyle name="Normal 4 2 2 2 3 2 3 2 2 4 2" xfId="11841" xr:uid="{00000000-0005-0000-0000-000077070000}"/>
    <cellStyle name="Normal 4 2 2 2 3 2 3 2 2 5" xfId="8662" xr:uid="{00000000-0005-0000-0000-000078070000}"/>
    <cellStyle name="Normal 4 2 2 2 3 2 3 2 3" xfId="2648" xr:uid="{00000000-0005-0000-0000-000079070000}"/>
    <cellStyle name="Normal 4 2 2 2 3 2 3 2 3 2" xfId="4232" xr:uid="{00000000-0005-0000-0000-00007A070000}"/>
    <cellStyle name="Normal 4 2 2 2 3 2 3 2 3 2 2" xfId="7460" xr:uid="{00000000-0005-0000-0000-00007B070000}"/>
    <cellStyle name="Normal 4 2 2 2 3 2 3 2 3 2 2 2" xfId="13821" xr:uid="{00000000-0005-0000-0000-00007C070000}"/>
    <cellStyle name="Normal 4 2 2 2 3 2 3 2 3 2 3" xfId="10642" xr:uid="{00000000-0005-0000-0000-00007D070000}"/>
    <cellStyle name="Normal 4 2 2 2 3 2 3 2 3 3" xfId="5876" xr:uid="{00000000-0005-0000-0000-00007E070000}"/>
    <cellStyle name="Normal 4 2 2 2 3 2 3 2 3 3 2" xfId="12237" xr:uid="{00000000-0005-0000-0000-00007F070000}"/>
    <cellStyle name="Normal 4 2 2 2 3 2 3 2 3 4" xfId="9058" xr:uid="{00000000-0005-0000-0000-000080070000}"/>
    <cellStyle name="Normal 4 2 2 2 3 2 3 2 4" xfId="3440" xr:uid="{00000000-0005-0000-0000-000081070000}"/>
    <cellStyle name="Normal 4 2 2 2 3 2 3 2 4 2" xfId="6668" xr:uid="{00000000-0005-0000-0000-000082070000}"/>
    <cellStyle name="Normal 4 2 2 2 3 2 3 2 4 2 2" xfId="13029" xr:uid="{00000000-0005-0000-0000-000083070000}"/>
    <cellStyle name="Normal 4 2 2 2 3 2 3 2 4 3" xfId="9850" xr:uid="{00000000-0005-0000-0000-000084070000}"/>
    <cellStyle name="Normal 4 2 2 2 3 2 3 2 5" xfId="5084" xr:uid="{00000000-0005-0000-0000-000085070000}"/>
    <cellStyle name="Normal 4 2 2 2 3 2 3 2 5 2" xfId="11445" xr:uid="{00000000-0005-0000-0000-000086070000}"/>
    <cellStyle name="Normal 4 2 2 2 3 2 3 2 6" xfId="8266" xr:uid="{00000000-0005-0000-0000-000087070000}"/>
    <cellStyle name="Normal 4 2 2 2 3 2 3 3" xfId="2054" xr:uid="{00000000-0005-0000-0000-000088070000}"/>
    <cellStyle name="Normal 4 2 2 2 3 2 3 3 2" xfId="2846" xr:uid="{00000000-0005-0000-0000-000089070000}"/>
    <cellStyle name="Normal 4 2 2 2 3 2 3 3 2 2" xfId="4430" xr:uid="{00000000-0005-0000-0000-00008A070000}"/>
    <cellStyle name="Normal 4 2 2 2 3 2 3 3 2 2 2" xfId="7658" xr:uid="{00000000-0005-0000-0000-00008B070000}"/>
    <cellStyle name="Normal 4 2 2 2 3 2 3 3 2 2 2 2" xfId="14019" xr:uid="{00000000-0005-0000-0000-00008C070000}"/>
    <cellStyle name="Normal 4 2 2 2 3 2 3 3 2 2 3" xfId="10840" xr:uid="{00000000-0005-0000-0000-00008D070000}"/>
    <cellStyle name="Normal 4 2 2 2 3 2 3 3 2 3" xfId="6074" xr:uid="{00000000-0005-0000-0000-00008E070000}"/>
    <cellStyle name="Normal 4 2 2 2 3 2 3 3 2 3 2" xfId="12435" xr:uid="{00000000-0005-0000-0000-00008F070000}"/>
    <cellStyle name="Normal 4 2 2 2 3 2 3 3 2 4" xfId="9256" xr:uid="{00000000-0005-0000-0000-000090070000}"/>
    <cellStyle name="Normal 4 2 2 2 3 2 3 3 3" xfId="3638" xr:uid="{00000000-0005-0000-0000-000091070000}"/>
    <cellStyle name="Normal 4 2 2 2 3 2 3 3 3 2" xfId="6866" xr:uid="{00000000-0005-0000-0000-000092070000}"/>
    <cellStyle name="Normal 4 2 2 2 3 2 3 3 3 2 2" xfId="13227" xr:uid="{00000000-0005-0000-0000-000093070000}"/>
    <cellStyle name="Normal 4 2 2 2 3 2 3 3 3 3" xfId="10048" xr:uid="{00000000-0005-0000-0000-000094070000}"/>
    <cellStyle name="Normal 4 2 2 2 3 2 3 3 4" xfId="5282" xr:uid="{00000000-0005-0000-0000-000095070000}"/>
    <cellStyle name="Normal 4 2 2 2 3 2 3 3 4 2" xfId="11643" xr:uid="{00000000-0005-0000-0000-000096070000}"/>
    <cellStyle name="Normal 4 2 2 2 3 2 3 3 5" xfId="8464" xr:uid="{00000000-0005-0000-0000-000097070000}"/>
    <cellStyle name="Normal 4 2 2 2 3 2 3 4" xfId="2450" xr:uid="{00000000-0005-0000-0000-000098070000}"/>
    <cellStyle name="Normal 4 2 2 2 3 2 3 4 2" xfId="4034" xr:uid="{00000000-0005-0000-0000-000099070000}"/>
    <cellStyle name="Normal 4 2 2 2 3 2 3 4 2 2" xfId="7262" xr:uid="{00000000-0005-0000-0000-00009A070000}"/>
    <cellStyle name="Normal 4 2 2 2 3 2 3 4 2 2 2" xfId="13623" xr:uid="{00000000-0005-0000-0000-00009B070000}"/>
    <cellStyle name="Normal 4 2 2 2 3 2 3 4 2 3" xfId="10444" xr:uid="{00000000-0005-0000-0000-00009C070000}"/>
    <cellStyle name="Normal 4 2 2 2 3 2 3 4 3" xfId="5678" xr:uid="{00000000-0005-0000-0000-00009D070000}"/>
    <cellStyle name="Normal 4 2 2 2 3 2 3 4 3 2" xfId="12039" xr:uid="{00000000-0005-0000-0000-00009E070000}"/>
    <cellStyle name="Normal 4 2 2 2 3 2 3 4 4" xfId="8860" xr:uid="{00000000-0005-0000-0000-00009F070000}"/>
    <cellStyle name="Normal 4 2 2 2 3 2 3 5" xfId="3242" xr:uid="{00000000-0005-0000-0000-0000A0070000}"/>
    <cellStyle name="Normal 4 2 2 2 3 2 3 5 2" xfId="6470" xr:uid="{00000000-0005-0000-0000-0000A1070000}"/>
    <cellStyle name="Normal 4 2 2 2 3 2 3 5 2 2" xfId="12831" xr:uid="{00000000-0005-0000-0000-0000A2070000}"/>
    <cellStyle name="Normal 4 2 2 2 3 2 3 5 3" xfId="9652" xr:uid="{00000000-0005-0000-0000-0000A3070000}"/>
    <cellStyle name="Normal 4 2 2 2 3 2 3 6" xfId="4886" xr:uid="{00000000-0005-0000-0000-0000A4070000}"/>
    <cellStyle name="Normal 4 2 2 2 3 2 3 6 2" xfId="11247" xr:uid="{00000000-0005-0000-0000-0000A5070000}"/>
    <cellStyle name="Normal 4 2 2 2 3 2 3 7" xfId="8068" xr:uid="{00000000-0005-0000-0000-0000A6070000}"/>
    <cellStyle name="Normal 4 2 2 2 3 2 4" xfId="1723" xr:uid="{00000000-0005-0000-0000-0000A7070000}"/>
    <cellStyle name="Normal 4 2 2 2 3 2 4 2" xfId="2119" xr:uid="{00000000-0005-0000-0000-0000A8070000}"/>
    <cellStyle name="Normal 4 2 2 2 3 2 4 2 2" xfId="2911" xr:uid="{00000000-0005-0000-0000-0000A9070000}"/>
    <cellStyle name="Normal 4 2 2 2 3 2 4 2 2 2" xfId="4495" xr:uid="{00000000-0005-0000-0000-0000AA070000}"/>
    <cellStyle name="Normal 4 2 2 2 3 2 4 2 2 2 2" xfId="7723" xr:uid="{00000000-0005-0000-0000-0000AB070000}"/>
    <cellStyle name="Normal 4 2 2 2 3 2 4 2 2 2 2 2" xfId="14084" xr:uid="{00000000-0005-0000-0000-0000AC070000}"/>
    <cellStyle name="Normal 4 2 2 2 3 2 4 2 2 2 3" xfId="10905" xr:uid="{00000000-0005-0000-0000-0000AD070000}"/>
    <cellStyle name="Normal 4 2 2 2 3 2 4 2 2 3" xfId="6139" xr:uid="{00000000-0005-0000-0000-0000AE070000}"/>
    <cellStyle name="Normal 4 2 2 2 3 2 4 2 2 3 2" xfId="12500" xr:uid="{00000000-0005-0000-0000-0000AF070000}"/>
    <cellStyle name="Normal 4 2 2 2 3 2 4 2 2 4" xfId="9321" xr:uid="{00000000-0005-0000-0000-0000B0070000}"/>
    <cellStyle name="Normal 4 2 2 2 3 2 4 2 3" xfId="3703" xr:uid="{00000000-0005-0000-0000-0000B1070000}"/>
    <cellStyle name="Normal 4 2 2 2 3 2 4 2 3 2" xfId="6931" xr:uid="{00000000-0005-0000-0000-0000B2070000}"/>
    <cellStyle name="Normal 4 2 2 2 3 2 4 2 3 2 2" xfId="13292" xr:uid="{00000000-0005-0000-0000-0000B3070000}"/>
    <cellStyle name="Normal 4 2 2 2 3 2 4 2 3 3" xfId="10113" xr:uid="{00000000-0005-0000-0000-0000B4070000}"/>
    <cellStyle name="Normal 4 2 2 2 3 2 4 2 4" xfId="5347" xr:uid="{00000000-0005-0000-0000-0000B5070000}"/>
    <cellStyle name="Normal 4 2 2 2 3 2 4 2 4 2" xfId="11708" xr:uid="{00000000-0005-0000-0000-0000B6070000}"/>
    <cellStyle name="Normal 4 2 2 2 3 2 4 2 5" xfId="8529" xr:uid="{00000000-0005-0000-0000-0000B7070000}"/>
    <cellStyle name="Normal 4 2 2 2 3 2 4 3" xfId="2515" xr:uid="{00000000-0005-0000-0000-0000B8070000}"/>
    <cellStyle name="Normal 4 2 2 2 3 2 4 3 2" xfId="4099" xr:uid="{00000000-0005-0000-0000-0000B9070000}"/>
    <cellStyle name="Normal 4 2 2 2 3 2 4 3 2 2" xfId="7327" xr:uid="{00000000-0005-0000-0000-0000BA070000}"/>
    <cellStyle name="Normal 4 2 2 2 3 2 4 3 2 2 2" xfId="13688" xr:uid="{00000000-0005-0000-0000-0000BB070000}"/>
    <cellStyle name="Normal 4 2 2 2 3 2 4 3 2 3" xfId="10509" xr:uid="{00000000-0005-0000-0000-0000BC070000}"/>
    <cellStyle name="Normal 4 2 2 2 3 2 4 3 3" xfId="5743" xr:uid="{00000000-0005-0000-0000-0000BD070000}"/>
    <cellStyle name="Normal 4 2 2 2 3 2 4 3 3 2" xfId="12104" xr:uid="{00000000-0005-0000-0000-0000BE070000}"/>
    <cellStyle name="Normal 4 2 2 2 3 2 4 3 4" xfId="8925" xr:uid="{00000000-0005-0000-0000-0000BF070000}"/>
    <cellStyle name="Normal 4 2 2 2 3 2 4 4" xfId="3307" xr:uid="{00000000-0005-0000-0000-0000C0070000}"/>
    <cellStyle name="Normal 4 2 2 2 3 2 4 4 2" xfId="6535" xr:uid="{00000000-0005-0000-0000-0000C1070000}"/>
    <cellStyle name="Normal 4 2 2 2 3 2 4 4 2 2" xfId="12896" xr:uid="{00000000-0005-0000-0000-0000C2070000}"/>
    <cellStyle name="Normal 4 2 2 2 3 2 4 4 3" xfId="9717" xr:uid="{00000000-0005-0000-0000-0000C3070000}"/>
    <cellStyle name="Normal 4 2 2 2 3 2 4 5" xfId="4951" xr:uid="{00000000-0005-0000-0000-0000C4070000}"/>
    <cellStyle name="Normal 4 2 2 2 3 2 4 5 2" xfId="11312" xr:uid="{00000000-0005-0000-0000-0000C5070000}"/>
    <cellStyle name="Normal 4 2 2 2 3 2 4 6" xfId="8133" xr:uid="{00000000-0005-0000-0000-0000C6070000}"/>
    <cellStyle name="Normal 4 2 2 2 3 2 5" xfId="1921" xr:uid="{00000000-0005-0000-0000-0000C7070000}"/>
    <cellStyle name="Normal 4 2 2 2 3 2 5 2" xfId="2713" xr:uid="{00000000-0005-0000-0000-0000C8070000}"/>
    <cellStyle name="Normal 4 2 2 2 3 2 5 2 2" xfId="4297" xr:uid="{00000000-0005-0000-0000-0000C9070000}"/>
    <cellStyle name="Normal 4 2 2 2 3 2 5 2 2 2" xfId="7525" xr:uid="{00000000-0005-0000-0000-0000CA070000}"/>
    <cellStyle name="Normal 4 2 2 2 3 2 5 2 2 2 2" xfId="13886" xr:uid="{00000000-0005-0000-0000-0000CB070000}"/>
    <cellStyle name="Normal 4 2 2 2 3 2 5 2 2 3" xfId="10707" xr:uid="{00000000-0005-0000-0000-0000CC070000}"/>
    <cellStyle name="Normal 4 2 2 2 3 2 5 2 3" xfId="5941" xr:uid="{00000000-0005-0000-0000-0000CD070000}"/>
    <cellStyle name="Normal 4 2 2 2 3 2 5 2 3 2" xfId="12302" xr:uid="{00000000-0005-0000-0000-0000CE070000}"/>
    <cellStyle name="Normal 4 2 2 2 3 2 5 2 4" xfId="9123" xr:uid="{00000000-0005-0000-0000-0000CF070000}"/>
    <cellStyle name="Normal 4 2 2 2 3 2 5 3" xfId="3505" xr:uid="{00000000-0005-0000-0000-0000D0070000}"/>
    <cellStyle name="Normal 4 2 2 2 3 2 5 3 2" xfId="6733" xr:uid="{00000000-0005-0000-0000-0000D1070000}"/>
    <cellStyle name="Normal 4 2 2 2 3 2 5 3 2 2" xfId="13094" xr:uid="{00000000-0005-0000-0000-0000D2070000}"/>
    <cellStyle name="Normal 4 2 2 2 3 2 5 3 3" xfId="9915" xr:uid="{00000000-0005-0000-0000-0000D3070000}"/>
    <cellStyle name="Normal 4 2 2 2 3 2 5 4" xfId="5149" xr:uid="{00000000-0005-0000-0000-0000D4070000}"/>
    <cellStyle name="Normal 4 2 2 2 3 2 5 4 2" xfId="11510" xr:uid="{00000000-0005-0000-0000-0000D5070000}"/>
    <cellStyle name="Normal 4 2 2 2 3 2 5 5" xfId="8331" xr:uid="{00000000-0005-0000-0000-0000D6070000}"/>
    <cellStyle name="Normal 4 2 2 2 3 2 6" xfId="2317" xr:uid="{00000000-0005-0000-0000-0000D7070000}"/>
    <cellStyle name="Normal 4 2 2 2 3 2 6 2" xfId="3901" xr:uid="{00000000-0005-0000-0000-0000D8070000}"/>
    <cellStyle name="Normal 4 2 2 2 3 2 6 2 2" xfId="7129" xr:uid="{00000000-0005-0000-0000-0000D9070000}"/>
    <cellStyle name="Normal 4 2 2 2 3 2 6 2 2 2" xfId="13490" xr:uid="{00000000-0005-0000-0000-0000DA070000}"/>
    <cellStyle name="Normal 4 2 2 2 3 2 6 2 3" xfId="10311" xr:uid="{00000000-0005-0000-0000-0000DB070000}"/>
    <cellStyle name="Normal 4 2 2 2 3 2 6 3" xfId="5545" xr:uid="{00000000-0005-0000-0000-0000DC070000}"/>
    <cellStyle name="Normal 4 2 2 2 3 2 6 3 2" xfId="11906" xr:uid="{00000000-0005-0000-0000-0000DD070000}"/>
    <cellStyle name="Normal 4 2 2 2 3 2 6 4" xfId="8727" xr:uid="{00000000-0005-0000-0000-0000DE070000}"/>
    <cellStyle name="Normal 4 2 2 2 3 2 7" xfId="3109" xr:uid="{00000000-0005-0000-0000-0000DF070000}"/>
    <cellStyle name="Normal 4 2 2 2 3 2 7 2" xfId="6337" xr:uid="{00000000-0005-0000-0000-0000E0070000}"/>
    <cellStyle name="Normal 4 2 2 2 3 2 7 2 2" xfId="12698" xr:uid="{00000000-0005-0000-0000-0000E1070000}"/>
    <cellStyle name="Normal 4 2 2 2 3 2 7 3" xfId="9519" xr:uid="{00000000-0005-0000-0000-0000E2070000}"/>
    <cellStyle name="Normal 4 2 2 2 3 2 8" xfId="4753" xr:uid="{00000000-0005-0000-0000-0000E3070000}"/>
    <cellStyle name="Normal 4 2 2 2 3 2 8 2" xfId="11114" xr:uid="{00000000-0005-0000-0000-0000E4070000}"/>
    <cellStyle name="Normal 4 2 2 2 3 2 9" xfId="7935" xr:uid="{00000000-0005-0000-0000-0000E5070000}"/>
    <cellStyle name="Normal 4 2 2 2 3 3" xfId="1558" xr:uid="{00000000-0005-0000-0000-0000E6070000}"/>
    <cellStyle name="Normal 4 2 2 2 3 3 2" xfId="1756" xr:uid="{00000000-0005-0000-0000-0000E7070000}"/>
    <cellStyle name="Normal 4 2 2 2 3 3 2 2" xfId="2152" xr:uid="{00000000-0005-0000-0000-0000E8070000}"/>
    <cellStyle name="Normal 4 2 2 2 3 3 2 2 2" xfId="2944" xr:uid="{00000000-0005-0000-0000-0000E9070000}"/>
    <cellStyle name="Normal 4 2 2 2 3 3 2 2 2 2" xfId="4528" xr:uid="{00000000-0005-0000-0000-0000EA070000}"/>
    <cellStyle name="Normal 4 2 2 2 3 3 2 2 2 2 2" xfId="7756" xr:uid="{00000000-0005-0000-0000-0000EB070000}"/>
    <cellStyle name="Normal 4 2 2 2 3 3 2 2 2 2 2 2" xfId="14117" xr:uid="{00000000-0005-0000-0000-0000EC070000}"/>
    <cellStyle name="Normal 4 2 2 2 3 3 2 2 2 2 3" xfId="10938" xr:uid="{00000000-0005-0000-0000-0000ED070000}"/>
    <cellStyle name="Normal 4 2 2 2 3 3 2 2 2 3" xfId="6172" xr:uid="{00000000-0005-0000-0000-0000EE070000}"/>
    <cellStyle name="Normal 4 2 2 2 3 3 2 2 2 3 2" xfId="12533" xr:uid="{00000000-0005-0000-0000-0000EF070000}"/>
    <cellStyle name="Normal 4 2 2 2 3 3 2 2 2 4" xfId="9354" xr:uid="{00000000-0005-0000-0000-0000F0070000}"/>
    <cellStyle name="Normal 4 2 2 2 3 3 2 2 3" xfId="3736" xr:uid="{00000000-0005-0000-0000-0000F1070000}"/>
    <cellStyle name="Normal 4 2 2 2 3 3 2 2 3 2" xfId="6964" xr:uid="{00000000-0005-0000-0000-0000F2070000}"/>
    <cellStyle name="Normal 4 2 2 2 3 3 2 2 3 2 2" xfId="13325" xr:uid="{00000000-0005-0000-0000-0000F3070000}"/>
    <cellStyle name="Normal 4 2 2 2 3 3 2 2 3 3" xfId="10146" xr:uid="{00000000-0005-0000-0000-0000F4070000}"/>
    <cellStyle name="Normal 4 2 2 2 3 3 2 2 4" xfId="5380" xr:uid="{00000000-0005-0000-0000-0000F5070000}"/>
    <cellStyle name="Normal 4 2 2 2 3 3 2 2 4 2" xfId="11741" xr:uid="{00000000-0005-0000-0000-0000F6070000}"/>
    <cellStyle name="Normal 4 2 2 2 3 3 2 2 5" xfId="8562" xr:uid="{00000000-0005-0000-0000-0000F7070000}"/>
    <cellStyle name="Normal 4 2 2 2 3 3 2 3" xfId="2548" xr:uid="{00000000-0005-0000-0000-0000F8070000}"/>
    <cellStyle name="Normal 4 2 2 2 3 3 2 3 2" xfId="4132" xr:uid="{00000000-0005-0000-0000-0000F9070000}"/>
    <cellStyle name="Normal 4 2 2 2 3 3 2 3 2 2" xfId="7360" xr:uid="{00000000-0005-0000-0000-0000FA070000}"/>
    <cellStyle name="Normal 4 2 2 2 3 3 2 3 2 2 2" xfId="13721" xr:uid="{00000000-0005-0000-0000-0000FB070000}"/>
    <cellStyle name="Normal 4 2 2 2 3 3 2 3 2 3" xfId="10542" xr:uid="{00000000-0005-0000-0000-0000FC070000}"/>
    <cellStyle name="Normal 4 2 2 2 3 3 2 3 3" xfId="5776" xr:uid="{00000000-0005-0000-0000-0000FD070000}"/>
    <cellStyle name="Normal 4 2 2 2 3 3 2 3 3 2" xfId="12137" xr:uid="{00000000-0005-0000-0000-0000FE070000}"/>
    <cellStyle name="Normal 4 2 2 2 3 3 2 3 4" xfId="8958" xr:uid="{00000000-0005-0000-0000-0000FF070000}"/>
    <cellStyle name="Normal 4 2 2 2 3 3 2 4" xfId="3340" xr:uid="{00000000-0005-0000-0000-000000080000}"/>
    <cellStyle name="Normal 4 2 2 2 3 3 2 4 2" xfId="6568" xr:uid="{00000000-0005-0000-0000-000001080000}"/>
    <cellStyle name="Normal 4 2 2 2 3 3 2 4 2 2" xfId="12929" xr:uid="{00000000-0005-0000-0000-000002080000}"/>
    <cellStyle name="Normal 4 2 2 2 3 3 2 4 3" xfId="9750" xr:uid="{00000000-0005-0000-0000-000003080000}"/>
    <cellStyle name="Normal 4 2 2 2 3 3 2 5" xfId="4984" xr:uid="{00000000-0005-0000-0000-000004080000}"/>
    <cellStyle name="Normal 4 2 2 2 3 3 2 5 2" xfId="11345" xr:uid="{00000000-0005-0000-0000-000005080000}"/>
    <cellStyle name="Normal 4 2 2 2 3 3 2 6" xfId="8166" xr:uid="{00000000-0005-0000-0000-000006080000}"/>
    <cellStyle name="Normal 4 2 2 2 3 3 3" xfId="1954" xr:uid="{00000000-0005-0000-0000-000007080000}"/>
    <cellStyle name="Normal 4 2 2 2 3 3 3 2" xfId="2746" xr:uid="{00000000-0005-0000-0000-000008080000}"/>
    <cellStyle name="Normal 4 2 2 2 3 3 3 2 2" xfId="4330" xr:uid="{00000000-0005-0000-0000-000009080000}"/>
    <cellStyle name="Normal 4 2 2 2 3 3 3 2 2 2" xfId="7558" xr:uid="{00000000-0005-0000-0000-00000A080000}"/>
    <cellStyle name="Normal 4 2 2 2 3 3 3 2 2 2 2" xfId="13919" xr:uid="{00000000-0005-0000-0000-00000B080000}"/>
    <cellStyle name="Normal 4 2 2 2 3 3 3 2 2 3" xfId="10740" xr:uid="{00000000-0005-0000-0000-00000C080000}"/>
    <cellStyle name="Normal 4 2 2 2 3 3 3 2 3" xfId="5974" xr:uid="{00000000-0005-0000-0000-00000D080000}"/>
    <cellStyle name="Normal 4 2 2 2 3 3 3 2 3 2" xfId="12335" xr:uid="{00000000-0005-0000-0000-00000E080000}"/>
    <cellStyle name="Normal 4 2 2 2 3 3 3 2 4" xfId="9156" xr:uid="{00000000-0005-0000-0000-00000F080000}"/>
    <cellStyle name="Normal 4 2 2 2 3 3 3 3" xfId="3538" xr:uid="{00000000-0005-0000-0000-000010080000}"/>
    <cellStyle name="Normal 4 2 2 2 3 3 3 3 2" xfId="6766" xr:uid="{00000000-0005-0000-0000-000011080000}"/>
    <cellStyle name="Normal 4 2 2 2 3 3 3 3 2 2" xfId="13127" xr:uid="{00000000-0005-0000-0000-000012080000}"/>
    <cellStyle name="Normal 4 2 2 2 3 3 3 3 3" xfId="9948" xr:uid="{00000000-0005-0000-0000-000013080000}"/>
    <cellStyle name="Normal 4 2 2 2 3 3 3 4" xfId="5182" xr:uid="{00000000-0005-0000-0000-000014080000}"/>
    <cellStyle name="Normal 4 2 2 2 3 3 3 4 2" xfId="11543" xr:uid="{00000000-0005-0000-0000-000015080000}"/>
    <cellStyle name="Normal 4 2 2 2 3 3 3 5" xfId="8364" xr:uid="{00000000-0005-0000-0000-000016080000}"/>
    <cellStyle name="Normal 4 2 2 2 3 3 4" xfId="2350" xr:uid="{00000000-0005-0000-0000-000017080000}"/>
    <cellStyle name="Normal 4 2 2 2 3 3 4 2" xfId="3934" xr:uid="{00000000-0005-0000-0000-000018080000}"/>
    <cellStyle name="Normal 4 2 2 2 3 3 4 2 2" xfId="7162" xr:uid="{00000000-0005-0000-0000-000019080000}"/>
    <cellStyle name="Normal 4 2 2 2 3 3 4 2 2 2" xfId="13523" xr:uid="{00000000-0005-0000-0000-00001A080000}"/>
    <cellStyle name="Normal 4 2 2 2 3 3 4 2 3" xfId="10344" xr:uid="{00000000-0005-0000-0000-00001B080000}"/>
    <cellStyle name="Normal 4 2 2 2 3 3 4 3" xfId="5578" xr:uid="{00000000-0005-0000-0000-00001C080000}"/>
    <cellStyle name="Normal 4 2 2 2 3 3 4 3 2" xfId="11939" xr:uid="{00000000-0005-0000-0000-00001D080000}"/>
    <cellStyle name="Normal 4 2 2 2 3 3 4 4" xfId="8760" xr:uid="{00000000-0005-0000-0000-00001E080000}"/>
    <cellStyle name="Normal 4 2 2 2 3 3 5" xfId="3142" xr:uid="{00000000-0005-0000-0000-00001F080000}"/>
    <cellStyle name="Normal 4 2 2 2 3 3 5 2" xfId="6370" xr:uid="{00000000-0005-0000-0000-000020080000}"/>
    <cellStyle name="Normal 4 2 2 2 3 3 5 2 2" xfId="12731" xr:uid="{00000000-0005-0000-0000-000021080000}"/>
    <cellStyle name="Normal 4 2 2 2 3 3 5 3" xfId="9552" xr:uid="{00000000-0005-0000-0000-000022080000}"/>
    <cellStyle name="Normal 4 2 2 2 3 3 6" xfId="4786" xr:uid="{00000000-0005-0000-0000-000023080000}"/>
    <cellStyle name="Normal 4 2 2 2 3 3 6 2" xfId="11147" xr:uid="{00000000-0005-0000-0000-000024080000}"/>
    <cellStyle name="Normal 4 2 2 2 3 3 7" xfId="7968" xr:uid="{00000000-0005-0000-0000-000025080000}"/>
    <cellStyle name="Normal 4 2 2 2 3 4" xfId="1626" xr:uid="{00000000-0005-0000-0000-000026080000}"/>
    <cellStyle name="Normal 4 2 2 2 3 4 2" xfId="1824" xr:uid="{00000000-0005-0000-0000-000027080000}"/>
    <cellStyle name="Normal 4 2 2 2 3 4 2 2" xfId="2220" xr:uid="{00000000-0005-0000-0000-000028080000}"/>
    <cellStyle name="Normal 4 2 2 2 3 4 2 2 2" xfId="3012" xr:uid="{00000000-0005-0000-0000-000029080000}"/>
    <cellStyle name="Normal 4 2 2 2 3 4 2 2 2 2" xfId="4596" xr:uid="{00000000-0005-0000-0000-00002A080000}"/>
    <cellStyle name="Normal 4 2 2 2 3 4 2 2 2 2 2" xfId="7824" xr:uid="{00000000-0005-0000-0000-00002B080000}"/>
    <cellStyle name="Normal 4 2 2 2 3 4 2 2 2 2 2 2" xfId="14185" xr:uid="{00000000-0005-0000-0000-00002C080000}"/>
    <cellStyle name="Normal 4 2 2 2 3 4 2 2 2 2 3" xfId="11006" xr:uid="{00000000-0005-0000-0000-00002D080000}"/>
    <cellStyle name="Normal 4 2 2 2 3 4 2 2 2 3" xfId="6240" xr:uid="{00000000-0005-0000-0000-00002E080000}"/>
    <cellStyle name="Normal 4 2 2 2 3 4 2 2 2 3 2" xfId="12601" xr:uid="{00000000-0005-0000-0000-00002F080000}"/>
    <cellStyle name="Normal 4 2 2 2 3 4 2 2 2 4" xfId="9422" xr:uid="{00000000-0005-0000-0000-000030080000}"/>
    <cellStyle name="Normal 4 2 2 2 3 4 2 2 3" xfId="3804" xr:uid="{00000000-0005-0000-0000-000031080000}"/>
    <cellStyle name="Normal 4 2 2 2 3 4 2 2 3 2" xfId="7032" xr:uid="{00000000-0005-0000-0000-000032080000}"/>
    <cellStyle name="Normal 4 2 2 2 3 4 2 2 3 2 2" xfId="13393" xr:uid="{00000000-0005-0000-0000-000033080000}"/>
    <cellStyle name="Normal 4 2 2 2 3 4 2 2 3 3" xfId="10214" xr:uid="{00000000-0005-0000-0000-000034080000}"/>
    <cellStyle name="Normal 4 2 2 2 3 4 2 2 4" xfId="5448" xr:uid="{00000000-0005-0000-0000-000035080000}"/>
    <cellStyle name="Normal 4 2 2 2 3 4 2 2 4 2" xfId="11809" xr:uid="{00000000-0005-0000-0000-000036080000}"/>
    <cellStyle name="Normal 4 2 2 2 3 4 2 2 5" xfId="8630" xr:uid="{00000000-0005-0000-0000-000037080000}"/>
    <cellStyle name="Normal 4 2 2 2 3 4 2 3" xfId="2616" xr:uid="{00000000-0005-0000-0000-000038080000}"/>
    <cellStyle name="Normal 4 2 2 2 3 4 2 3 2" xfId="4200" xr:uid="{00000000-0005-0000-0000-000039080000}"/>
    <cellStyle name="Normal 4 2 2 2 3 4 2 3 2 2" xfId="7428" xr:uid="{00000000-0005-0000-0000-00003A080000}"/>
    <cellStyle name="Normal 4 2 2 2 3 4 2 3 2 2 2" xfId="13789" xr:uid="{00000000-0005-0000-0000-00003B080000}"/>
    <cellStyle name="Normal 4 2 2 2 3 4 2 3 2 3" xfId="10610" xr:uid="{00000000-0005-0000-0000-00003C080000}"/>
    <cellStyle name="Normal 4 2 2 2 3 4 2 3 3" xfId="5844" xr:uid="{00000000-0005-0000-0000-00003D080000}"/>
    <cellStyle name="Normal 4 2 2 2 3 4 2 3 3 2" xfId="12205" xr:uid="{00000000-0005-0000-0000-00003E080000}"/>
    <cellStyle name="Normal 4 2 2 2 3 4 2 3 4" xfId="9026" xr:uid="{00000000-0005-0000-0000-00003F080000}"/>
    <cellStyle name="Normal 4 2 2 2 3 4 2 4" xfId="3408" xr:uid="{00000000-0005-0000-0000-000040080000}"/>
    <cellStyle name="Normal 4 2 2 2 3 4 2 4 2" xfId="6636" xr:uid="{00000000-0005-0000-0000-000041080000}"/>
    <cellStyle name="Normal 4 2 2 2 3 4 2 4 2 2" xfId="12997" xr:uid="{00000000-0005-0000-0000-000042080000}"/>
    <cellStyle name="Normal 4 2 2 2 3 4 2 4 3" xfId="9818" xr:uid="{00000000-0005-0000-0000-000043080000}"/>
    <cellStyle name="Normal 4 2 2 2 3 4 2 5" xfId="5052" xr:uid="{00000000-0005-0000-0000-000044080000}"/>
    <cellStyle name="Normal 4 2 2 2 3 4 2 5 2" xfId="11413" xr:uid="{00000000-0005-0000-0000-000045080000}"/>
    <cellStyle name="Normal 4 2 2 2 3 4 2 6" xfId="8234" xr:uid="{00000000-0005-0000-0000-000046080000}"/>
    <cellStyle name="Normal 4 2 2 2 3 4 3" xfId="2022" xr:uid="{00000000-0005-0000-0000-000047080000}"/>
    <cellStyle name="Normal 4 2 2 2 3 4 3 2" xfId="2814" xr:uid="{00000000-0005-0000-0000-000048080000}"/>
    <cellStyle name="Normal 4 2 2 2 3 4 3 2 2" xfId="4398" xr:uid="{00000000-0005-0000-0000-000049080000}"/>
    <cellStyle name="Normal 4 2 2 2 3 4 3 2 2 2" xfId="7626" xr:uid="{00000000-0005-0000-0000-00004A080000}"/>
    <cellStyle name="Normal 4 2 2 2 3 4 3 2 2 2 2" xfId="13987" xr:uid="{00000000-0005-0000-0000-00004B080000}"/>
    <cellStyle name="Normal 4 2 2 2 3 4 3 2 2 3" xfId="10808" xr:uid="{00000000-0005-0000-0000-00004C080000}"/>
    <cellStyle name="Normal 4 2 2 2 3 4 3 2 3" xfId="6042" xr:uid="{00000000-0005-0000-0000-00004D080000}"/>
    <cellStyle name="Normal 4 2 2 2 3 4 3 2 3 2" xfId="12403" xr:uid="{00000000-0005-0000-0000-00004E080000}"/>
    <cellStyle name="Normal 4 2 2 2 3 4 3 2 4" xfId="9224" xr:uid="{00000000-0005-0000-0000-00004F080000}"/>
    <cellStyle name="Normal 4 2 2 2 3 4 3 3" xfId="3606" xr:uid="{00000000-0005-0000-0000-000050080000}"/>
    <cellStyle name="Normal 4 2 2 2 3 4 3 3 2" xfId="6834" xr:uid="{00000000-0005-0000-0000-000051080000}"/>
    <cellStyle name="Normal 4 2 2 2 3 4 3 3 2 2" xfId="13195" xr:uid="{00000000-0005-0000-0000-000052080000}"/>
    <cellStyle name="Normal 4 2 2 2 3 4 3 3 3" xfId="10016" xr:uid="{00000000-0005-0000-0000-000053080000}"/>
    <cellStyle name="Normal 4 2 2 2 3 4 3 4" xfId="5250" xr:uid="{00000000-0005-0000-0000-000054080000}"/>
    <cellStyle name="Normal 4 2 2 2 3 4 3 4 2" xfId="11611" xr:uid="{00000000-0005-0000-0000-000055080000}"/>
    <cellStyle name="Normal 4 2 2 2 3 4 3 5" xfId="8432" xr:uid="{00000000-0005-0000-0000-000056080000}"/>
    <cellStyle name="Normal 4 2 2 2 3 4 4" xfId="2418" xr:uid="{00000000-0005-0000-0000-000057080000}"/>
    <cellStyle name="Normal 4 2 2 2 3 4 4 2" xfId="4002" xr:uid="{00000000-0005-0000-0000-000058080000}"/>
    <cellStyle name="Normal 4 2 2 2 3 4 4 2 2" xfId="7230" xr:uid="{00000000-0005-0000-0000-000059080000}"/>
    <cellStyle name="Normal 4 2 2 2 3 4 4 2 2 2" xfId="13591" xr:uid="{00000000-0005-0000-0000-00005A080000}"/>
    <cellStyle name="Normal 4 2 2 2 3 4 4 2 3" xfId="10412" xr:uid="{00000000-0005-0000-0000-00005B080000}"/>
    <cellStyle name="Normal 4 2 2 2 3 4 4 3" xfId="5646" xr:uid="{00000000-0005-0000-0000-00005C080000}"/>
    <cellStyle name="Normal 4 2 2 2 3 4 4 3 2" xfId="12007" xr:uid="{00000000-0005-0000-0000-00005D080000}"/>
    <cellStyle name="Normal 4 2 2 2 3 4 4 4" xfId="8828" xr:uid="{00000000-0005-0000-0000-00005E080000}"/>
    <cellStyle name="Normal 4 2 2 2 3 4 5" xfId="3210" xr:uid="{00000000-0005-0000-0000-00005F080000}"/>
    <cellStyle name="Normal 4 2 2 2 3 4 5 2" xfId="6438" xr:uid="{00000000-0005-0000-0000-000060080000}"/>
    <cellStyle name="Normal 4 2 2 2 3 4 5 2 2" xfId="12799" xr:uid="{00000000-0005-0000-0000-000061080000}"/>
    <cellStyle name="Normal 4 2 2 2 3 4 5 3" xfId="9620" xr:uid="{00000000-0005-0000-0000-000062080000}"/>
    <cellStyle name="Normal 4 2 2 2 3 4 6" xfId="4854" xr:uid="{00000000-0005-0000-0000-000063080000}"/>
    <cellStyle name="Normal 4 2 2 2 3 4 6 2" xfId="11215" xr:uid="{00000000-0005-0000-0000-000064080000}"/>
    <cellStyle name="Normal 4 2 2 2 3 4 7" xfId="8036" xr:uid="{00000000-0005-0000-0000-000065080000}"/>
    <cellStyle name="Normal 4 2 2 2 3 5" xfId="1691" xr:uid="{00000000-0005-0000-0000-000066080000}"/>
    <cellStyle name="Normal 4 2 2 2 3 5 2" xfId="2087" xr:uid="{00000000-0005-0000-0000-000067080000}"/>
    <cellStyle name="Normal 4 2 2 2 3 5 2 2" xfId="2879" xr:uid="{00000000-0005-0000-0000-000068080000}"/>
    <cellStyle name="Normal 4 2 2 2 3 5 2 2 2" xfId="4463" xr:uid="{00000000-0005-0000-0000-000069080000}"/>
    <cellStyle name="Normal 4 2 2 2 3 5 2 2 2 2" xfId="7691" xr:uid="{00000000-0005-0000-0000-00006A080000}"/>
    <cellStyle name="Normal 4 2 2 2 3 5 2 2 2 2 2" xfId="14052" xr:uid="{00000000-0005-0000-0000-00006B080000}"/>
    <cellStyle name="Normal 4 2 2 2 3 5 2 2 2 3" xfId="10873" xr:uid="{00000000-0005-0000-0000-00006C080000}"/>
    <cellStyle name="Normal 4 2 2 2 3 5 2 2 3" xfId="6107" xr:uid="{00000000-0005-0000-0000-00006D080000}"/>
    <cellStyle name="Normal 4 2 2 2 3 5 2 2 3 2" xfId="12468" xr:uid="{00000000-0005-0000-0000-00006E080000}"/>
    <cellStyle name="Normal 4 2 2 2 3 5 2 2 4" xfId="9289" xr:uid="{00000000-0005-0000-0000-00006F080000}"/>
    <cellStyle name="Normal 4 2 2 2 3 5 2 3" xfId="3671" xr:uid="{00000000-0005-0000-0000-000070080000}"/>
    <cellStyle name="Normal 4 2 2 2 3 5 2 3 2" xfId="6899" xr:uid="{00000000-0005-0000-0000-000071080000}"/>
    <cellStyle name="Normal 4 2 2 2 3 5 2 3 2 2" xfId="13260" xr:uid="{00000000-0005-0000-0000-000072080000}"/>
    <cellStyle name="Normal 4 2 2 2 3 5 2 3 3" xfId="10081" xr:uid="{00000000-0005-0000-0000-000073080000}"/>
    <cellStyle name="Normal 4 2 2 2 3 5 2 4" xfId="5315" xr:uid="{00000000-0005-0000-0000-000074080000}"/>
    <cellStyle name="Normal 4 2 2 2 3 5 2 4 2" xfId="11676" xr:uid="{00000000-0005-0000-0000-000075080000}"/>
    <cellStyle name="Normal 4 2 2 2 3 5 2 5" xfId="8497" xr:uid="{00000000-0005-0000-0000-000076080000}"/>
    <cellStyle name="Normal 4 2 2 2 3 5 3" xfId="2483" xr:uid="{00000000-0005-0000-0000-000077080000}"/>
    <cellStyle name="Normal 4 2 2 2 3 5 3 2" xfId="4067" xr:uid="{00000000-0005-0000-0000-000078080000}"/>
    <cellStyle name="Normal 4 2 2 2 3 5 3 2 2" xfId="7295" xr:uid="{00000000-0005-0000-0000-000079080000}"/>
    <cellStyle name="Normal 4 2 2 2 3 5 3 2 2 2" xfId="13656" xr:uid="{00000000-0005-0000-0000-00007A080000}"/>
    <cellStyle name="Normal 4 2 2 2 3 5 3 2 3" xfId="10477" xr:uid="{00000000-0005-0000-0000-00007B080000}"/>
    <cellStyle name="Normal 4 2 2 2 3 5 3 3" xfId="5711" xr:uid="{00000000-0005-0000-0000-00007C080000}"/>
    <cellStyle name="Normal 4 2 2 2 3 5 3 3 2" xfId="12072" xr:uid="{00000000-0005-0000-0000-00007D080000}"/>
    <cellStyle name="Normal 4 2 2 2 3 5 3 4" xfId="8893" xr:uid="{00000000-0005-0000-0000-00007E080000}"/>
    <cellStyle name="Normal 4 2 2 2 3 5 4" xfId="3275" xr:uid="{00000000-0005-0000-0000-00007F080000}"/>
    <cellStyle name="Normal 4 2 2 2 3 5 4 2" xfId="6503" xr:uid="{00000000-0005-0000-0000-000080080000}"/>
    <cellStyle name="Normal 4 2 2 2 3 5 4 2 2" xfId="12864" xr:uid="{00000000-0005-0000-0000-000081080000}"/>
    <cellStyle name="Normal 4 2 2 2 3 5 4 3" xfId="9685" xr:uid="{00000000-0005-0000-0000-000082080000}"/>
    <cellStyle name="Normal 4 2 2 2 3 5 5" xfId="4919" xr:uid="{00000000-0005-0000-0000-000083080000}"/>
    <cellStyle name="Normal 4 2 2 2 3 5 5 2" xfId="11280" xr:uid="{00000000-0005-0000-0000-000084080000}"/>
    <cellStyle name="Normal 4 2 2 2 3 5 6" xfId="8101" xr:uid="{00000000-0005-0000-0000-000085080000}"/>
    <cellStyle name="Normal 4 2 2 2 3 6" xfId="1889" xr:uid="{00000000-0005-0000-0000-000086080000}"/>
    <cellStyle name="Normal 4 2 2 2 3 6 2" xfId="2681" xr:uid="{00000000-0005-0000-0000-000087080000}"/>
    <cellStyle name="Normal 4 2 2 2 3 6 2 2" xfId="4265" xr:uid="{00000000-0005-0000-0000-000088080000}"/>
    <cellStyle name="Normal 4 2 2 2 3 6 2 2 2" xfId="7493" xr:uid="{00000000-0005-0000-0000-000089080000}"/>
    <cellStyle name="Normal 4 2 2 2 3 6 2 2 2 2" xfId="13854" xr:uid="{00000000-0005-0000-0000-00008A080000}"/>
    <cellStyle name="Normal 4 2 2 2 3 6 2 2 3" xfId="10675" xr:uid="{00000000-0005-0000-0000-00008B080000}"/>
    <cellStyle name="Normal 4 2 2 2 3 6 2 3" xfId="5909" xr:uid="{00000000-0005-0000-0000-00008C080000}"/>
    <cellStyle name="Normal 4 2 2 2 3 6 2 3 2" xfId="12270" xr:uid="{00000000-0005-0000-0000-00008D080000}"/>
    <cellStyle name="Normal 4 2 2 2 3 6 2 4" xfId="9091" xr:uid="{00000000-0005-0000-0000-00008E080000}"/>
    <cellStyle name="Normal 4 2 2 2 3 6 3" xfId="3473" xr:uid="{00000000-0005-0000-0000-00008F080000}"/>
    <cellStyle name="Normal 4 2 2 2 3 6 3 2" xfId="6701" xr:uid="{00000000-0005-0000-0000-000090080000}"/>
    <cellStyle name="Normal 4 2 2 2 3 6 3 2 2" xfId="13062" xr:uid="{00000000-0005-0000-0000-000091080000}"/>
    <cellStyle name="Normal 4 2 2 2 3 6 3 3" xfId="9883" xr:uid="{00000000-0005-0000-0000-000092080000}"/>
    <cellStyle name="Normal 4 2 2 2 3 6 4" xfId="5117" xr:uid="{00000000-0005-0000-0000-000093080000}"/>
    <cellStyle name="Normal 4 2 2 2 3 6 4 2" xfId="11478" xr:uid="{00000000-0005-0000-0000-000094080000}"/>
    <cellStyle name="Normal 4 2 2 2 3 6 5" xfId="8299" xr:uid="{00000000-0005-0000-0000-000095080000}"/>
    <cellStyle name="Normal 4 2 2 2 3 7" xfId="2285" xr:uid="{00000000-0005-0000-0000-000096080000}"/>
    <cellStyle name="Normal 4 2 2 2 3 7 2" xfId="3869" xr:uid="{00000000-0005-0000-0000-000097080000}"/>
    <cellStyle name="Normal 4 2 2 2 3 7 2 2" xfId="7097" xr:uid="{00000000-0005-0000-0000-000098080000}"/>
    <cellStyle name="Normal 4 2 2 2 3 7 2 2 2" xfId="13458" xr:uid="{00000000-0005-0000-0000-000099080000}"/>
    <cellStyle name="Normal 4 2 2 2 3 7 2 3" xfId="10279" xr:uid="{00000000-0005-0000-0000-00009A080000}"/>
    <cellStyle name="Normal 4 2 2 2 3 7 3" xfId="5513" xr:uid="{00000000-0005-0000-0000-00009B080000}"/>
    <cellStyle name="Normal 4 2 2 2 3 7 3 2" xfId="11874" xr:uid="{00000000-0005-0000-0000-00009C080000}"/>
    <cellStyle name="Normal 4 2 2 2 3 7 4" xfId="8695" xr:uid="{00000000-0005-0000-0000-00009D080000}"/>
    <cellStyle name="Normal 4 2 2 2 3 8" xfId="3077" xr:uid="{00000000-0005-0000-0000-00009E080000}"/>
    <cellStyle name="Normal 4 2 2 2 3 8 2" xfId="6305" xr:uid="{00000000-0005-0000-0000-00009F080000}"/>
    <cellStyle name="Normal 4 2 2 2 3 8 2 2" xfId="12666" xr:uid="{00000000-0005-0000-0000-0000A0080000}"/>
    <cellStyle name="Normal 4 2 2 2 3 8 3" xfId="9487" xr:uid="{00000000-0005-0000-0000-0000A1080000}"/>
    <cellStyle name="Normal 4 2 2 2 3 9" xfId="4721" xr:uid="{00000000-0005-0000-0000-0000A2080000}"/>
    <cellStyle name="Normal 4 2 2 2 3 9 2" xfId="11082" xr:uid="{00000000-0005-0000-0000-0000A3080000}"/>
    <cellStyle name="Normal 4 2 2 2 4" xfId="1462" xr:uid="{00000000-0005-0000-0000-0000A4080000}"/>
    <cellStyle name="Normal 4 2 2 2 4 2" xfId="1574" xr:uid="{00000000-0005-0000-0000-0000A5080000}"/>
    <cellStyle name="Normal 4 2 2 2 4 2 2" xfId="1772" xr:uid="{00000000-0005-0000-0000-0000A6080000}"/>
    <cellStyle name="Normal 4 2 2 2 4 2 2 2" xfId="2168" xr:uid="{00000000-0005-0000-0000-0000A7080000}"/>
    <cellStyle name="Normal 4 2 2 2 4 2 2 2 2" xfId="2960" xr:uid="{00000000-0005-0000-0000-0000A8080000}"/>
    <cellStyle name="Normal 4 2 2 2 4 2 2 2 2 2" xfId="4544" xr:uid="{00000000-0005-0000-0000-0000A9080000}"/>
    <cellStyle name="Normal 4 2 2 2 4 2 2 2 2 2 2" xfId="7772" xr:uid="{00000000-0005-0000-0000-0000AA080000}"/>
    <cellStyle name="Normal 4 2 2 2 4 2 2 2 2 2 2 2" xfId="14133" xr:uid="{00000000-0005-0000-0000-0000AB080000}"/>
    <cellStyle name="Normal 4 2 2 2 4 2 2 2 2 2 3" xfId="10954" xr:uid="{00000000-0005-0000-0000-0000AC080000}"/>
    <cellStyle name="Normal 4 2 2 2 4 2 2 2 2 3" xfId="6188" xr:uid="{00000000-0005-0000-0000-0000AD080000}"/>
    <cellStyle name="Normal 4 2 2 2 4 2 2 2 2 3 2" xfId="12549" xr:uid="{00000000-0005-0000-0000-0000AE080000}"/>
    <cellStyle name="Normal 4 2 2 2 4 2 2 2 2 4" xfId="9370" xr:uid="{00000000-0005-0000-0000-0000AF080000}"/>
    <cellStyle name="Normal 4 2 2 2 4 2 2 2 3" xfId="3752" xr:uid="{00000000-0005-0000-0000-0000B0080000}"/>
    <cellStyle name="Normal 4 2 2 2 4 2 2 2 3 2" xfId="6980" xr:uid="{00000000-0005-0000-0000-0000B1080000}"/>
    <cellStyle name="Normal 4 2 2 2 4 2 2 2 3 2 2" xfId="13341" xr:uid="{00000000-0005-0000-0000-0000B2080000}"/>
    <cellStyle name="Normal 4 2 2 2 4 2 2 2 3 3" xfId="10162" xr:uid="{00000000-0005-0000-0000-0000B3080000}"/>
    <cellStyle name="Normal 4 2 2 2 4 2 2 2 4" xfId="5396" xr:uid="{00000000-0005-0000-0000-0000B4080000}"/>
    <cellStyle name="Normal 4 2 2 2 4 2 2 2 4 2" xfId="11757" xr:uid="{00000000-0005-0000-0000-0000B5080000}"/>
    <cellStyle name="Normal 4 2 2 2 4 2 2 2 5" xfId="8578" xr:uid="{00000000-0005-0000-0000-0000B6080000}"/>
    <cellStyle name="Normal 4 2 2 2 4 2 2 3" xfId="2564" xr:uid="{00000000-0005-0000-0000-0000B7080000}"/>
    <cellStyle name="Normal 4 2 2 2 4 2 2 3 2" xfId="4148" xr:uid="{00000000-0005-0000-0000-0000B8080000}"/>
    <cellStyle name="Normal 4 2 2 2 4 2 2 3 2 2" xfId="7376" xr:uid="{00000000-0005-0000-0000-0000B9080000}"/>
    <cellStyle name="Normal 4 2 2 2 4 2 2 3 2 2 2" xfId="13737" xr:uid="{00000000-0005-0000-0000-0000BA080000}"/>
    <cellStyle name="Normal 4 2 2 2 4 2 2 3 2 3" xfId="10558" xr:uid="{00000000-0005-0000-0000-0000BB080000}"/>
    <cellStyle name="Normal 4 2 2 2 4 2 2 3 3" xfId="5792" xr:uid="{00000000-0005-0000-0000-0000BC080000}"/>
    <cellStyle name="Normal 4 2 2 2 4 2 2 3 3 2" xfId="12153" xr:uid="{00000000-0005-0000-0000-0000BD080000}"/>
    <cellStyle name="Normal 4 2 2 2 4 2 2 3 4" xfId="8974" xr:uid="{00000000-0005-0000-0000-0000BE080000}"/>
    <cellStyle name="Normal 4 2 2 2 4 2 2 4" xfId="3356" xr:uid="{00000000-0005-0000-0000-0000BF080000}"/>
    <cellStyle name="Normal 4 2 2 2 4 2 2 4 2" xfId="6584" xr:uid="{00000000-0005-0000-0000-0000C0080000}"/>
    <cellStyle name="Normal 4 2 2 2 4 2 2 4 2 2" xfId="12945" xr:uid="{00000000-0005-0000-0000-0000C1080000}"/>
    <cellStyle name="Normal 4 2 2 2 4 2 2 4 3" xfId="9766" xr:uid="{00000000-0005-0000-0000-0000C2080000}"/>
    <cellStyle name="Normal 4 2 2 2 4 2 2 5" xfId="5000" xr:uid="{00000000-0005-0000-0000-0000C3080000}"/>
    <cellStyle name="Normal 4 2 2 2 4 2 2 5 2" xfId="11361" xr:uid="{00000000-0005-0000-0000-0000C4080000}"/>
    <cellStyle name="Normal 4 2 2 2 4 2 2 6" xfId="8182" xr:uid="{00000000-0005-0000-0000-0000C5080000}"/>
    <cellStyle name="Normal 4 2 2 2 4 2 3" xfId="1970" xr:uid="{00000000-0005-0000-0000-0000C6080000}"/>
    <cellStyle name="Normal 4 2 2 2 4 2 3 2" xfId="2762" xr:uid="{00000000-0005-0000-0000-0000C7080000}"/>
    <cellStyle name="Normal 4 2 2 2 4 2 3 2 2" xfId="4346" xr:uid="{00000000-0005-0000-0000-0000C8080000}"/>
    <cellStyle name="Normal 4 2 2 2 4 2 3 2 2 2" xfId="7574" xr:uid="{00000000-0005-0000-0000-0000C9080000}"/>
    <cellStyle name="Normal 4 2 2 2 4 2 3 2 2 2 2" xfId="13935" xr:uid="{00000000-0005-0000-0000-0000CA080000}"/>
    <cellStyle name="Normal 4 2 2 2 4 2 3 2 2 3" xfId="10756" xr:uid="{00000000-0005-0000-0000-0000CB080000}"/>
    <cellStyle name="Normal 4 2 2 2 4 2 3 2 3" xfId="5990" xr:uid="{00000000-0005-0000-0000-0000CC080000}"/>
    <cellStyle name="Normal 4 2 2 2 4 2 3 2 3 2" xfId="12351" xr:uid="{00000000-0005-0000-0000-0000CD080000}"/>
    <cellStyle name="Normal 4 2 2 2 4 2 3 2 4" xfId="9172" xr:uid="{00000000-0005-0000-0000-0000CE080000}"/>
    <cellStyle name="Normal 4 2 2 2 4 2 3 3" xfId="3554" xr:uid="{00000000-0005-0000-0000-0000CF080000}"/>
    <cellStyle name="Normal 4 2 2 2 4 2 3 3 2" xfId="6782" xr:uid="{00000000-0005-0000-0000-0000D0080000}"/>
    <cellStyle name="Normal 4 2 2 2 4 2 3 3 2 2" xfId="13143" xr:uid="{00000000-0005-0000-0000-0000D1080000}"/>
    <cellStyle name="Normal 4 2 2 2 4 2 3 3 3" xfId="9964" xr:uid="{00000000-0005-0000-0000-0000D2080000}"/>
    <cellStyle name="Normal 4 2 2 2 4 2 3 4" xfId="5198" xr:uid="{00000000-0005-0000-0000-0000D3080000}"/>
    <cellStyle name="Normal 4 2 2 2 4 2 3 4 2" xfId="11559" xr:uid="{00000000-0005-0000-0000-0000D4080000}"/>
    <cellStyle name="Normal 4 2 2 2 4 2 3 5" xfId="8380" xr:uid="{00000000-0005-0000-0000-0000D5080000}"/>
    <cellStyle name="Normal 4 2 2 2 4 2 4" xfId="2366" xr:uid="{00000000-0005-0000-0000-0000D6080000}"/>
    <cellStyle name="Normal 4 2 2 2 4 2 4 2" xfId="3950" xr:uid="{00000000-0005-0000-0000-0000D7080000}"/>
    <cellStyle name="Normal 4 2 2 2 4 2 4 2 2" xfId="7178" xr:uid="{00000000-0005-0000-0000-0000D8080000}"/>
    <cellStyle name="Normal 4 2 2 2 4 2 4 2 2 2" xfId="13539" xr:uid="{00000000-0005-0000-0000-0000D9080000}"/>
    <cellStyle name="Normal 4 2 2 2 4 2 4 2 3" xfId="10360" xr:uid="{00000000-0005-0000-0000-0000DA080000}"/>
    <cellStyle name="Normal 4 2 2 2 4 2 4 3" xfId="5594" xr:uid="{00000000-0005-0000-0000-0000DB080000}"/>
    <cellStyle name="Normal 4 2 2 2 4 2 4 3 2" xfId="11955" xr:uid="{00000000-0005-0000-0000-0000DC080000}"/>
    <cellStyle name="Normal 4 2 2 2 4 2 4 4" xfId="8776" xr:uid="{00000000-0005-0000-0000-0000DD080000}"/>
    <cellStyle name="Normal 4 2 2 2 4 2 5" xfId="3158" xr:uid="{00000000-0005-0000-0000-0000DE080000}"/>
    <cellStyle name="Normal 4 2 2 2 4 2 5 2" xfId="6386" xr:uid="{00000000-0005-0000-0000-0000DF080000}"/>
    <cellStyle name="Normal 4 2 2 2 4 2 5 2 2" xfId="12747" xr:uid="{00000000-0005-0000-0000-0000E0080000}"/>
    <cellStyle name="Normal 4 2 2 2 4 2 5 3" xfId="9568" xr:uid="{00000000-0005-0000-0000-0000E1080000}"/>
    <cellStyle name="Normal 4 2 2 2 4 2 6" xfId="4802" xr:uid="{00000000-0005-0000-0000-0000E2080000}"/>
    <cellStyle name="Normal 4 2 2 2 4 2 6 2" xfId="11163" xr:uid="{00000000-0005-0000-0000-0000E3080000}"/>
    <cellStyle name="Normal 4 2 2 2 4 2 7" xfId="7984" xr:uid="{00000000-0005-0000-0000-0000E4080000}"/>
    <cellStyle name="Normal 4 2 2 2 4 3" xfId="1642" xr:uid="{00000000-0005-0000-0000-0000E5080000}"/>
    <cellStyle name="Normal 4 2 2 2 4 3 2" xfId="1840" xr:uid="{00000000-0005-0000-0000-0000E6080000}"/>
    <cellStyle name="Normal 4 2 2 2 4 3 2 2" xfId="2236" xr:uid="{00000000-0005-0000-0000-0000E7080000}"/>
    <cellStyle name="Normal 4 2 2 2 4 3 2 2 2" xfId="3028" xr:uid="{00000000-0005-0000-0000-0000E8080000}"/>
    <cellStyle name="Normal 4 2 2 2 4 3 2 2 2 2" xfId="4612" xr:uid="{00000000-0005-0000-0000-0000E9080000}"/>
    <cellStyle name="Normal 4 2 2 2 4 3 2 2 2 2 2" xfId="7840" xr:uid="{00000000-0005-0000-0000-0000EA080000}"/>
    <cellStyle name="Normal 4 2 2 2 4 3 2 2 2 2 2 2" xfId="14201" xr:uid="{00000000-0005-0000-0000-0000EB080000}"/>
    <cellStyle name="Normal 4 2 2 2 4 3 2 2 2 2 3" xfId="11022" xr:uid="{00000000-0005-0000-0000-0000EC080000}"/>
    <cellStyle name="Normal 4 2 2 2 4 3 2 2 2 3" xfId="6256" xr:uid="{00000000-0005-0000-0000-0000ED080000}"/>
    <cellStyle name="Normal 4 2 2 2 4 3 2 2 2 3 2" xfId="12617" xr:uid="{00000000-0005-0000-0000-0000EE080000}"/>
    <cellStyle name="Normal 4 2 2 2 4 3 2 2 2 4" xfId="9438" xr:uid="{00000000-0005-0000-0000-0000EF080000}"/>
    <cellStyle name="Normal 4 2 2 2 4 3 2 2 3" xfId="3820" xr:uid="{00000000-0005-0000-0000-0000F0080000}"/>
    <cellStyle name="Normal 4 2 2 2 4 3 2 2 3 2" xfId="7048" xr:uid="{00000000-0005-0000-0000-0000F1080000}"/>
    <cellStyle name="Normal 4 2 2 2 4 3 2 2 3 2 2" xfId="13409" xr:uid="{00000000-0005-0000-0000-0000F2080000}"/>
    <cellStyle name="Normal 4 2 2 2 4 3 2 2 3 3" xfId="10230" xr:uid="{00000000-0005-0000-0000-0000F3080000}"/>
    <cellStyle name="Normal 4 2 2 2 4 3 2 2 4" xfId="5464" xr:uid="{00000000-0005-0000-0000-0000F4080000}"/>
    <cellStyle name="Normal 4 2 2 2 4 3 2 2 4 2" xfId="11825" xr:uid="{00000000-0005-0000-0000-0000F5080000}"/>
    <cellStyle name="Normal 4 2 2 2 4 3 2 2 5" xfId="8646" xr:uid="{00000000-0005-0000-0000-0000F6080000}"/>
    <cellStyle name="Normal 4 2 2 2 4 3 2 3" xfId="2632" xr:uid="{00000000-0005-0000-0000-0000F7080000}"/>
    <cellStyle name="Normal 4 2 2 2 4 3 2 3 2" xfId="4216" xr:uid="{00000000-0005-0000-0000-0000F8080000}"/>
    <cellStyle name="Normal 4 2 2 2 4 3 2 3 2 2" xfId="7444" xr:uid="{00000000-0005-0000-0000-0000F9080000}"/>
    <cellStyle name="Normal 4 2 2 2 4 3 2 3 2 2 2" xfId="13805" xr:uid="{00000000-0005-0000-0000-0000FA080000}"/>
    <cellStyle name="Normal 4 2 2 2 4 3 2 3 2 3" xfId="10626" xr:uid="{00000000-0005-0000-0000-0000FB080000}"/>
    <cellStyle name="Normal 4 2 2 2 4 3 2 3 3" xfId="5860" xr:uid="{00000000-0005-0000-0000-0000FC080000}"/>
    <cellStyle name="Normal 4 2 2 2 4 3 2 3 3 2" xfId="12221" xr:uid="{00000000-0005-0000-0000-0000FD080000}"/>
    <cellStyle name="Normal 4 2 2 2 4 3 2 3 4" xfId="9042" xr:uid="{00000000-0005-0000-0000-0000FE080000}"/>
    <cellStyle name="Normal 4 2 2 2 4 3 2 4" xfId="3424" xr:uid="{00000000-0005-0000-0000-0000FF080000}"/>
    <cellStyle name="Normal 4 2 2 2 4 3 2 4 2" xfId="6652" xr:uid="{00000000-0005-0000-0000-000000090000}"/>
    <cellStyle name="Normal 4 2 2 2 4 3 2 4 2 2" xfId="13013" xr:uid="{00000000-0005-0000-0000-000001090000}"/>
    <cellStyle name="Normal 4 2 2 2 4 3 2 4 3" xfId="9834" xr:uid="{00000000-0005-0000-0000-000002090000}"/>
    <cellStyle name="Normal 4 2 2 2 4 3 2 5" xfId="5068" xr:uid="{00000000-0005-0000-0000-000003090000}"/>
    <cellStyle name="Normal 4 2 2 2 4 3 2 5 2" xfId="11429" xr:uid="{00000000-0005-0000-0000-000004090000}"/>
    <cellStyle name="Normal 4 2 2 2 4 3 2 6" xfId="8250" xr:uid="{00000000-0005-0000-0000-000005090000}"/>
    <cellStyle name="Normal 4 2 2 2 4 3 3" xfId="2038" xr:uid="{00000000-0005-0000-0000-000006090000}"/>
    <cellStyle name="Normal 4 2 2 2 4 3 3 2" xfId="2830" xr:uid="{00000000-0005-0000-0000-000007090000}"/>
    <cellStyle name="Normal 4 2 2 2 4 3 3 2 2" xfId="4414" xr:uid="{00000000-0005-0000-0000-000008090000}"/>
    <cellStyle name="Normal 4 2 2 2 4 3 3 2 2 2" xfId="7642" xr:uid="{00000000-0005-0000-0000-000009090000}"/>
    <cellStyle name="Normal 4 2 2 2 4 3 3 2 2 2 2" xfId="14003" xr:uid="{00000000-0005-0000-0000-00000A090000}"/>
    <cellStyle name="Normal 4 2 2 2 4 3 3 2 2 3" xfId="10824" xr:uid="{00000000-0005-0000-0000-00000B090000}"/>
    <cellStyle name="Normal 4 2 2 2 4 3 3 2 3" xfId="6058" xr:uid="{00000000-0005-0000-0000-00000C090000}"/>
    <cellStyle name="Normal 4 2 2 2 4 3 3 2 3 2" xfId="12419" xr:uid="{00000000-0005-0000-0000-00000D090000}"/>
    <cellStyle name="Normal 4 2 2 2 4 3 3 2 4" xfId="9240" xr:uid="{00000000-0005-0000-0000-00000E090000}"/>
    <cellStyle name="Normal 4 2 2 2 4 3 3 3" xfId="3622" xr:uid="{00000000-0005-0000-0000-00000F090000}"/>
    <cellStyle name="Normal 4 2 2 2 4 3 3 3 2" xfId="6850" xr:uid="{00000000-0005-0000-0000-000010090000}"/>
    <cellStyle name="Normal 4 2 2 2 4 3 3 3 2 2" xfId="13211" xr:uid="{00000000-0005-0000-0000-000011090000}"/>
    <cellStyle name="Normal 4 2 2 2 4 3 3 3 3" xfId="10032" xr:uid="{00000000-0005-0000-0000-000012090000}"/>
    <cellStyle name="Normal 4 2 2 2 4 3 3 4" xfId="5266" xr:uid="{00000000-0005-0000-0000-000013090000}"/>
    <cellStyle name="Normal 4 2 2 2 4 3 3 4 2" xfId="11627" xr:uid="{00000000-0005-0000-0000-000014090000}"/>
    <cellStyle name="Normal 4 2 2 2 4 3 3 5" xfId="8448" xr:uid="{00000000-0005-0000-0000-000015090000}"/>
    <cellStyle name="Normal 4 2 2 2 4 3 4" xfId="2434" xr:uid="{00000000-0005-0000-0000-000016090000}"/>
    <cellStyle name="Normal 4 2 2 2 4 3 4 2" xfId="4018" xr:uid="{00000000-0005-0000-0000-000017090000}"/>
    <cellStyle name="Normal 4 2 2 2 4 3 4 2 2" xfId="7246" xr:uid="{00000000-0005-0000-0000-000018090000}"/>
    <cellStyle name="Normal 4 2 2 2 4 3 4 2 2 2" xfId="13607" xr:uid="{00000000-0005-0000-0000-000019090000}"/>
    <cellStyle name="Normal 4 2 2 2 4 3 4 2 3" xfId="10428" xr:uid="{00000000-0005-0000-0000-00001A090000}"/>
    <cellStyle name="Normal 4 2 2 2 4 3 4 3" xfId="5662" xr:uid="{00000000-0005-0000-0000-00001B090000}"/>
    <cellStyle name="Normal 4 2 2 2 4 3 4 3 2" xfId="12023" xr:uid="{00000000-0005-0000-0000-00001C090000}"/>
    <cellStyle name="Normal 4 2 2 2 4 3 4 4" xfId="8844" xr:uid="{00000000-0005-0000-0000-00001D090000}"/>
    <cellStyle name="Normal 4 2 2 2 4 3 5" xfId="3226" xr:uid="{00000000-0005-0000-0000-00001E090000}"/>
    <cellStyle name="Normal 4 2 2 2 4 3 5 2" xfId="6454" xr:uid="{00000000-0005-0000-0000-00001F090000}"/>
    <cellStyle name="Normal 4 2 2 2 4 3 5 2 2" xfId="12815" xr:uid="{00000000-0005-0000-0000-000020090000}"/>
    <cellStyle name="Normal 4 2 2 2 4 3 5 3" xfId="9636" xr:uid="{00000000-0005-0000-0000-000021090000}"/>
    <cellStyle name="Normal 4 2 2 2 4 3 6" xfId="4870" xr:uid="{00000000-0005-0000-0000-000022090000}"/>
    <cellStyle name="Normal 4 2 2 2 4 3 6 2" xfId="11231" xr:uid="{00000000-0005-0000-0000-000023090000}"/>
    <cellStyle name="Normal 4 2 2 2 4 3 7" xfId="8052" xr:uid="{00000000-0005-0000-0000-000024090000}"/>
    <cellStyle name="Normal 4 2 2 2 4 4" xfId="1707" xr:uid="{00000000-0005-0000-0000-000025090000}"/>
    <cellStyle name="Normal 4 2 2 2 4 4 2" xfId="2103" xr:uid="{00000000-0005-0000-0000-000026090000}"/>
    <cellStyle name="Normal 4 2 2 2 4 4 2 2" xfId="2895" xr:uid="{00000000-0005-0000-0000-000027090000}"/>
    <cellStyle name="Normal 4 2 2 2 4 4 2 2 2" xfId="4479" xr:uid="{00000000-0005-0000-0000-000028090000}"/>
    <cellStyle name="Normal 4 2 2 2 4 4 2 2 2 2" xfId="7707" xr:uid="{00000000-0005-0000-0000-000029090000}"/>
    <cellStyle name="Normal 4 2 2 2 4 4 2 2 2 2 2" xfId="14068" xr:uid="{00000000-0005-0000-0000-00002A090000}"/>
    <cellStyle name="Normal 4 2 2 2 4 4 2 2 2 3" xfId="10889" xr:uid="{00000000-0005-0000-0000-00002B090000}"/>
    <cellStyle name="Normal 4 2 2 2 4 4 2 2 3" xfId="6123" xr:uid="{00000000-0005-0000-0000-00002C090000}"/>
    <cellStyle name="Normal 4 2 2 2 4 4 2 2 3 2" xfId="12484" xr:uid="{00000000-0005-0000-0000-00002D090000}"/>
    <cellStyle name="Normal 4 2 2 2 4 4 2 2 4" xfId="9305" xr:uid="{00000000-0005-0000-0000-00002E090000}"/>
    <cellStyle name="Normal 4 2 2 2 4 4 2 3" xfId="3687" xr:uid="{00000000-0005-0000-0000-00002F090000}"/>
    <cellStyle name="Normal 4 2 2 2 4 4 2 3 2" xfId="6915" xr:uid="{00000000-0005-0000-0000-000030090000}"/>
    <cellStyle name="Normal 4 2 2 2 4 4 2 3 2 2" xfId="13276" xr:uid="{00000000-0005-0000-0000-000031090000}"/>
    <cellStyle name="Normal 4 2 2 2 4 4 2 3 3" xfId="10097" xr:uid="{00000000-0005-0000-0000-000032090000}"/>
    <cellStyle name="Normal 4 2 2 2 4 4 2 4" xfId="5331" xr:uid="{00000000-0005-0000-0000-000033090000}"/>
    <cellStyle name="Normal 4 2 2 2 4 4 2 4 2" xfId="11692" xr:uid="{00000000-0005-0000-0000-000034090000}"/>
    <cellStyle name="Normal 4 2 2 2 4 4 2 5" xfId="8513" xr:uid="{00000000-0005-0000-0000-000035090000}"/>
    <cellStyle name="Normal 4 2 2 2 4 4 3" xfId="2499" xr:uid="{00000000-0005-0000-0000-000036090000}"/>
    <cellStyle name="Normal 4 2 2 2 4 4 3 2" xfId="4083" xr:uid="{00000000-0005-0000-0000-000037090000}"/>
    <cellStyle name="Normal 4 2 2 2 4 4 3 2 2" xfId="7311" xr:uid="{00000000-0005-0000-0000-000038090000}"/>
    <cellStyle name="Normal 4 2 2 2 4 4 3 2 2 2" xfId="13672" xr:uid="{00000000-0005-0000-0000-000039090000}"/>
    <cellStyle name="Normal 4 2 2 2 4 4 3 2 3" xfId="10493" xr:uid="{00000000-0005-0000-0000-00003A090000}"/>
    <cellStyle name="Normal 4 2 2 2 4 4 3 3" xfId="5727" xr:uid="{00000000-0005-0000-0000-00003B090000}"/>
    <cellStyle name="Normal 4 2 2 2 4 4 3 3 2" xfId="12088" xr:uid="{00000000-0005-0000-0000-00003C090000}"/>
    <cellStyle name="Normal 4 2 2 2 4 4 3 4" xfId="8909" xr:uid="{00000000-0005-0000-0000-00003D090000}"/>
    <cellStyle name="Normal 4 2 2 2 4 4 4" xfId="3291" xr:uid="{00000000-0005-0000-0000-00003E090000}"/>
    <cellStyle name="Normal 4 2 2 2 4 4 4 2" xfId="6519" xr:uid="{00000000-0005-0000-0000-00003F090000}"/>
    <cellStyle name="Normal 4 2 2 2 4 4 4 2 2" xfId="12880" xr:uid="{00000000-0005-0000-0000-000040090000}"/>
    <cellStyle name="Normal 4 2 2 2 4 4 4 3" xfId="9701" xr:uid="{00000000-0005-0000-0000-000041090000}"/>
    <cellStyle name="Normal 4 2 2 2 4 4 5" xfId="4935" xr:uid="{00000000-0005-0000-0000-000042090000}"/>
    <cellStyle name="Normal 4 2 2 2 4 4 5 2" xfId="11296" xr:uid="{00000000-0005-0000-0000-000043090000}"/>
    <cellStyle name="Normal 4 2 2 2 4 4 6" xfId="8117" xr:uid="{00000000-0005-0000-0000-000044090000}"/>
    <cellStyle name="Normal 4 2 2 2 4 5" xfId="1905" xr:uid="{00000000-0005-0000-0000-000045090000}"/>
    <cellStyle name="Normal 4 2 2 2 4 5 2" xfId="2697" xr:uid="{00000000-0005-0000-0000-000046090000}"/>
    <cellStyle name="Normal 4 2 2 2 4 5 2 2" xfId="4281" xr:uid="{00000000-0005-0000-0000-000047090000}"/>
    <cellStyle name="Normal 4 2 2 2 4 5 2 2 2" xfId="7509" xr:uid="{00000000-0005-0000-0000-000048090000}"/>
    <cellStyle name="Normal 4 2 2 2 4 5 2 2 2 2" xfId="13870" xr:uid="{00000000-0005-0000-0000-000049090000}"/>
    <cellStyle name="Normal 4 2 2 2 4 5 2 2 3" xfId="10691" xr:uid="{00000000-0005-0000-0000-00004A090000}"/>
    <cellStyle name="Normal 4 2 2 2 4 5 2 3" xfId="5925" xr:uid="{00000000-0005-0000-0000-00004B090000}"/>
    <cellStyle name="Normal 4 2 2 2 4 5 2 3 2" xfId="12286" xr:uid="{00000000-0005-0000-0000-00004C090000}"/>
    <cellStyle name="Normal 4 2 2 2 4 5 2 4" xfId="9107" xr:uid="{00000000-0005-0000-0000-00004D090000}"/>
    <cellStyle name="Normal 4 2 2 2 4 5 3" xfId="3489" xr:uid="{00000000-0005-0000-0000-00004E090000}"/>
    <cellStyle name="Normal 4 2 2 2 4 5 3 2" xfId="6717" xr:uid="{00000000-0005-0000-0000-00004F090000}"/>
    <cellStyle name="Normal 4 2 2 2 4 5 3 2 2" xfId="13078" xr:uid="{00000000-0005-0000-0000-000050090000}"/>
    <cellStyle name="Normal 4 2 2 2 4 5 3 3" xfId="9899" xr:uid="{00000000-0005-0000-0000-000051090000}"/>
    <cellStyle name="Normal 4 2 2 2 4 5 4" xfId="5133" xr:uid="{00000000-0005-0000-0000-000052090000}"/>
    <cellStyle name="Normal 4 2 2 2 4 5 4 2" xfId="11494" xr:uid="{00000000-0005-0000-0000-000053090000}"/>
    <cellStyle name="Normal 4 2 2 2 4 5 5" xfId="8315" xr:uid="{00000000-0005-0000-0000-000054090000}"/>
    <cellStyle name="Normal 4 2 2 2 4 6" xfId="2301" xr:uid="{00000000-0005-0000-0000-000055090000}"/>
    <cellStyle name="Normal 4 2 2 2 4 6 2" xfId="3885" xr:uid="{00000000-0005-0000-0000-000056090000}"/>
    <cellStyle name="Normal 4 2 2 2 4 6 2 2" xfId="7113" xr:uid="{00000000-0005-0000-0000-000057090000}"/>
    <cellStyle name="Normal 4 2 2 2 4 6 2 2 2" xfId="13474" xr:uid="{00000000-0005-0000-0000-000058090000}"/>
    <cellStyle name="Normal 4 2 2 2 4 6 2 3" xfId="10295" xr:uid="{00000000-0005-0000-0000-000059090000}"/>
    <cellStyle name="Normal 4 2 2 2 4 6 3" xfId="5529" xr:uid="{00000000-0005-0000-0000-00005A090000}"/>
    <cellStyle name="Normal 4 2 2 2 4 6 3 2" xfId="11890" xr:uid="{00000000-0005-0000-0000-00005B090000}"/>
    <cellStyle name="Normal 4 2 2 2 4 6 4" xfId="8711" xr:uid="{00000000-0005-0000-0000-00005C090000}"/>
    <cellStyle name="Normal 4 2 2 2 4 7" xfId="3093" xr:uid="{00000000-0005-0000-0000-00005D090000}"/>
    <cellStyle name="Normal 4 2 2 2 4 7 2" xfId="6321" xr:uid="{00000000-0005-0000-0000-00005E090000}"/>
    <cellStyle name="Normal 4 2 2 2 4 7 2 2" xfId="12682" xr:uid="{00000000-0005-0000-0000-00005F090000}"/>
    <cellStyle name="Normal 4 2 2 2 4 7 3" xfId="9503" xr:uid="{00000000-0005-0000-0000-000060090000}"/>
    <cellStyle name="Normal 4 2 2 2 4 8" xfId="4737" xr:uid="{00000000-0005-0000-0000-000061090000}"/>
    <cellStyle name="Normal 4 2 2 2 4 8 2" xfId="11098" xr:uid="{00000000-0005-0000-0000-000062090000}"/>
    <cellStyle name="Normal 4 2 2 2 4 9" xfId="7919" xr:uid="{00000000-0005-0000-0000-000063090000}"/>
    <cellStyle name="Normal 4 2 2 2 5" xfId="1542" xr:uid="{00000000-0005-0000-0000-000064090000}"/>
    <cellStyle name="Normal 4 2 2 2 5 2" xfId="1740" xr:uid="{00000000-0005-0000-0000-000065090000}"/>
    <cellStyle name="Normal 4 2 2 2 5 2 2" xfId="2136" xr:uid="{00000000-0005-0000-0000-000066090000}"/>
    <cellStyle name="Normal 4 2 2 2 5 2 2 2" xfId="2928" xr:uid="{00000000-0005-0000-0000-000067090000}"/>
    <cellStyle name="Normal 4 2 2 2 5 2 2 2 2" xfId="4512" xr:uid="{00000000-0005-0000-0000-000068090000}"/>
    <cellStyle name="Normal 4 2 2 2 5 2 2 2 2 2" xfId="7740" xr:uid="{00000000-0005-0000-0000-000069090000}"/>
    <cellStyle name="Normal 4 2 2 2 5 2 2 2 2 2 2" xfId="14101" xr:uid="{00000000-0005-0000-0000-00006A090000}"/>
    <cellStyle name="Normal 4 2 2 2 5 2 2 2 2 3" xfId="10922" xr:uid="{00000000-0005-0000-0000-00006B090000}"/>
    <cellStyle name="Normal 4 2 2 2 5 2 2 2 3" xfId="6156" xr:uid="{00000000-0005-0000-0000-00006C090000}"/>
    <cellStyle name="Normal 4 2 2 2 5 2 2 2 3 2" xfId="12517" xr:uid="{00000000-0005-0000-0000-00006D090000}"/>
    <cellStyle name="Normal 4 2 2 2 5 2 2 2 4" xfId="9338" xr:uid="{00000000-0005-0000-0000-00006E090000}"/>
    <cellStyle name="Normal 4 2 2 2 5 2 2 3" xfId="3720" xr:uid="{00000000-0005-0000-0000-00006F090000}"/>
    <cellStyle name="Normal 4 2 2 2 5 2 2 3 2" xfId="6948" xr:uid="{00000000-0005-0000-0000-000070090000}"/>
    <cellStyle name="Normal 4 2 2 2 5 2 2 3 2 2" xfId="13309" xr:uid="{00000000-0005-0000-0000-000071090000}"/>
    <cellStyle name="Normal 4 2 2 2 5 2 2 3 3" xfId="10130" xr:uid="{00000000-0005-0000-0000-000072090000}"/>
    <cellStyle name="Normal 4 2 2 2 5 2 2 4" xfId="5364" xr:uid="{00000000-0005-0000-0000-000073090000}"/>
    <cellStyle name="Normal 4 2 2 2 5 2 2 4 2" xfId="11725" xr:uid="{00000000-0005-0000-0000-000074090000}"/>
    <cellStyle name="Normal 4 2 2 2 5 2 2 5" xfId="8546" xr:uid="{00000000-0005-0000-0000-000075090000}"/>
    <cellStyle name="Normal 4 2 2 2 5 2 3" xfId="2532" xr:uid="{00000000-0005-0000-0000-000076090000}"/>
    <cellStyle name="Normal 4 2 2 2 5 2 3 2" xfId="4116" xr:uid="{00000000-0005-0000-0000-000077090000}"/>
    <cellStyle name="Normal 4 2 2 2 5 2 3 2 2" xfId="7344" xr:uid="{00000000-0005-0000-0000-000078090000}"/>
    <cellStyle name="Normal 4 2 2 2 5 2 3 2 2 2" xfId="13705" xr:uid="{00000000-0005-0000-0000-000079090000}"/>
    <cellStyle name="Normal 4 2 2 2 5 2 3 2 3" xfId="10526" xr:uid="{00000000-0005-0000-0000-00007A090000}"/>
    <cellStyle name="Normal 4 2 2 2 5 2 3 3" xfId="5760" xr:uid="{00000000-0005-0000-0000-00007B090000}"/>
    <cellStyle name="Normal 4 2 2 2 5 2 3 3 2" xfId="12121" xr:uid="{00000000-0005-0000-0000-00007C090000}"/>
    <cellStyle name="Normal 4 2 2 2 5 2 3 4" xfId="8942" xr:uid="{00000000-0005-0000-0000-00007D090000}"/>
    <cellStyle name="Normal 4 2 2 2 5 2 4" xfId="3324" xr:uid="{00000000-0005-0000-0000-00007E090000}"/>
    <cellStyle name="Normal 4 2 2 2 5 2 4 2" xfId="6552" xr:uid="{00000000-0005-0000-0000-00007F090000}"/>
    <cellStyle name="Normal 4 2 2 2 5 2 4 2 2" xfId="12913" xr:uid="{00000000-0005-0000-0000-000080090000}"/>
    <cellStyle name="Normal 4 2 2 2 5 2 4 3" xfId="9734" xr:uid="{00000000-0005-0000-0000-000081090000}"/>
    <cellStyle name="Normal 4 2 2 2 5 2 5" xfId="4968" xr:uid="{00000000-0005-0000-0000-000082090000}"/>
    <cellStyle name="Normal 4 2 2 2 5 2 5 2" xfId="11329" xr:uid="{00000000-0005-0000-0000-000083090000}"/>
    <cellStyle name="Normal 4 2 2 2 5 2 6" xfId="8150" xr:uid="{00000000-0005-0000-0000-000084090000}"/>
    <cellStyle name="Normal 4 2 2 2 5 3" xfId="1938" xr:uid="{00000000-0005-0000-0000-000085090000}"/>
    <cellStyle name="Normal 4 2 2 2 5 3 2" xfId="2730" xr:uid="{00000000-0005-0000-0000-000086090000}"/>
    <cellStyle name="Normal 4 2 2 2 5 3 2 2" xfId="4314" xr:uid="{00000000-0005-0000-0000-000087090000}"/>
    <cellStyle name="Normal 4 2 2 2 5 3 2 2 2" xfId="7542" xr:uid="{00000000-0005-0000-0000-000088090000}"/>
    <cellStyle name="Normal 4 2 2 2 5 3 2 2 2 2" xfId="13903" xr:uid="{00000000-0005-0000-0000-000089090000}"/>
    <cellStyle name="Normal 4 2 2 2 5 3 2 2 3" xfId="10724" xr:uid="{00000000-0005-0000-0000-00008A090000}"/>
    <cellStyle name="Normal 4 2 2 2 5 3 2 3" xfId="5958" xr:uid="{00000000-0005-0000-0000-00008B090000}"/>
    <cellStyle name="Normal 4 2 2 2 5 3 2 3 2" xfId="12319" xr:uid="{00000000-0005-0000-0000-00008C090000}"/>
    <cellStyle name="Normal 4 2 2 2 5 3 2 4" xfId="9140" xr:uid="{00000000-0005-0000-0000-00008D090000}"/>
    <cellStyle name="Normal 4 2 2 2 5 3 3" xfId="3522" xr:uid="{00000000-0005-0000-0000-00008E090000}"/>
    <cellStyle name="Normal 4 2 2 2 5 3 3 2" xfId="6750" xr:uid="{00000000-0005-0000-0000-00008F090000}"/>
    <cellStyle name="Normal 4 2 2 2 5 3 3 2 2" xfId="13111" xr:uid="{00000000-0005-0000-0000-000090090000}"/>
    <cellStyle name="Normal 4 2 2 2 5 3 3 3" xfId="9932" xr:uid="{00000000-0005-0000-0000-000091090000}"/>
    <cellStyle name="Normal 4 2 2 2 5 3 4" xfId="5166" xr:uid="{00000000-0005-0000-0000-000092090000}"/>
    <cellStyle name="Normal 4 2 2 2 5 3 4 2" xfId="11527" xr:uid="{00000000-0005-0000-0000-000093090000}"/>
    <cellStyle name="Normal 4 2 2 2 5 3 5" xfId="8348" xr:uid="{00000000-0005-0000-0000-000094090000}"/>
    <cellStyle name="Normal 4 2 2 2 5 4" xfId="2334" xr:uid="{00000000-0005-0000-0000-000095090000}"/>
    <cellStyle name="Normal 4 2 2 2 5 4 2" xfId="3918" xr:uid="{00000000-0005-0000-0000-000096090000}"/>
    <cellStyle name="Normal 4 2 2 2 5 4 2 2" xfId="7146" xr:uid="{00000000-0005-0000-0000-000097090000}"/>
    <cellStyle name="Normal 4 2 2 2 5 4 2 2 2" xfId="13507" xr:uid="{00000000-0005-0000-0000-000098090000}"/>
    <cellStyle name="Normal 4 2 2 2 5 4 2 3" xfId="10328" xr:uid="{00000000-0005-0000-0000-000099090000}"/>
    <cellStyle name="Normal 4 2 2 2 5 4 3" xfId="5562" xr:uid="{00000000-0005-0000-0000-00009A090000}"/>
    <cellStyle name="Normal 4 2 2 2 5 4 3 2" xfId="11923" xr:uid="{00000000-0005-0000-0000-00009B090000}"/>
    <cellStyle name="Normal 4 2 2 2 5 4 4" xfId="8744" xr:uid="{00000000-0005-0000-0000-00009C090000}"/>
    <cellStyle name="Normal 4 2 2 2 5 5" xfId="3126" xr:uid="{00000000-0005-0000-0000-00009D090000}"/>
    <cellStyle name="Normal 4 2 2 2 5 5 2" xfId="6354" xr:uid="{00000000-0005-0000-0000-00009E090000}"/>
    <cellStyle name="Normal 4 2 2 2 5 5 2 2" xfId="12715" xr:uid="{00000000-0005-0000-0000-00009F090000}"/>
    <cellStyle name="Normal 4 2 2 2 5 5 3" xfId="9536" xr:uid="{00000000-0005-0000-0000-0000A0090000}"/>
    <cellStyle name="Normal 4 2 2 2 5 6" xfId="4770" xr:uid="{00000000-0005-0000-0000-0000A1090000}"/>
    <cellStyle name="Normal 4 2 2 2 5 6 2" xfId="11131" xr:uid="{00000000-0005-0000-0000-0000A2090000}"/>
    <cellStyle name="Normal 4 2 2 2 5 7" xfId="7952" xr:uid="{00000000-0005-0000-0000-0000A3090000}"/>
    <cellStyle name="Normal 4 2 2 2 6" xfId="1610" xr:uid="{00000000-0005-0000-0000-0000A4090000}"/>
    <cellStyle name="Normal 4 2 2 2 6 2" xfId="1808" xr:uid="{00000000-0005-0000-0000-0000A5090000}"/>
    <cellStyle name="Normal 4 2 2 2 6 2 2" xfId="2204" xr:uid="{00000000-0005-0000-0000-0000A6090000}"/>
    <cellStyle name="Normal 4 2 2 2 6 2 2 2" xfId="2996" xr:uid="{00000000-0005-0000-0000-0000A7090000}"/>
    <cellStyle name="Normal 4 2 2 2 6 2 2 2 2" xfId="4580" xr:uid="{00000000-0005-0000-0000-0000A8090000}"/>
    <cellStyle name="Normal 4 2 2 2 6 2 2 2 2 2" xfId="7808" xr:uid="{00000000-0005-0000-0000-0000A9090000}"/>
    <cellStyle name="Normal 4 2 2 2 6 2 2 2 2 2 2" xfId="14169" xr:uid="{00000000-0005-0000-0000-0000AA090000}"/>
    <cellStyle name="Normal 4 2 2 2 6 2 2 2 2 3" xfId="10990" xr:uid="{00000000-0005-0000-0000-0000AB090000}"/>
    <cellStyle name="Normal 4 2 2 2 6 2 2 2 3" xfId="6224" xr:uid="{00000000-0005-0000-0000-0000AC090000}"/>
    <cellStyle name="Normal 4 2 2 2 6 2 2 2 3 2" xfId="12585" xr:uid="{00000000-0005-0000-0000-0000AD090000}"/>
    <cellStyle name="Normal 4 2 2 2 6 2 2 2 4" xfId="9406" xr:uid="{00000000-0005-0000-0000-0000AE090000}"/>
    <cellStyle name="Normal 4 2 2 2 6 2 2 3" xfId="3788" xr:uid="{00000000-0005-0000-0000-0000AF090000}"/>
    <cellStyle name="Normal 4 2 2 2 6 2 2 3 2" xfId="7016" xr:uid="{00000000-0005-0000-0000-0000B0090000}"/>
    <cellStyle name="Normal 4 2 2 2 6 2 2 3 2 2" xfId="13377" xr:uid="{00000000-0005-0000-0000-0000B1090000}"/>
    <cellStyle name="Normal 4 2 2 2 6 2 2 3 3" xfId="10198" xr:uid="{00000000-0005-0000-0000-0000B2090000}"/>
    <cellStyle name="Normal 4 2 2 2 6 2 2 4" xfId="5432" xr:uid="{00000000-0005-0000-0000-0000B3090000}"/>
    <cellStyle name="Normal 4 2 2 2 6 2 2 4 2" xfId="11793" xr:uid="{00000000-0005-0000-0000-0000B4090000}"/>
    <cellStyle name="Normal 4 2 2 2 6 2 2 5" xfId="8614" xr:uid="{00000000-0005-0000-0000-0000B5090000}"/>
    <cellStyle name="Normal 4 2 2 2 6 2 3" xfId="2600" xr:uid="{00000000-0005-0000-0000-0000B6090000}"/>
    <cellStyle name="Normal 4 2 2 2 6 2 3 2" xfId="4184" xr:uid="{00000000-0005-0000-0000-0000B7090000}"/>
    <cellStyle name="Normal 4 2 2 2 6 2 3 2 2" xfId="7412" xr:uid="{00000000-0005-0000-0000-0000B8090000}"/>
    <cellStyle name="Normal 4 2 2 2 6 2 3 2 2 2" xfId="13773" xr:uid="{00000000-0005-0000-0000-0000B9090000}"/>
    <cellStyle name="Normal 4 2 2 2 6 2 3 2 3" xfId="10594" xr:uid="{00000000-0005-0000-0000-0000BA090000}"/>
    <cellStyle name="Normal 4 2 2 2 6 2 3 3" xfId="5828" xr:uid="{00000000-0005-0000-0000-0000BB090000}"/>
    <cellStyle name="Normal 4 2 2 2 6 2 3 3 2" xfId="12189" xr:uid="{00000000-0005-0000-0000-0000BC090000}"/>
    <cellStyle name="Normal 4 2 2 2 6 2 3 4" xfId="9010" xr:uid="{00000000-0005-0000-0000-0000BD090000}"/>
    <cellStyle name="Normal 4 2 2 2 6 2 4" xfId="3392" xr:uid="{00000000-0005-0000-0000-0000BE090000}"/>
    <cellStyle name="Normal 4 2 2 2 6 2 4 2" xfId="6620" xr:uid="{00000000-0005-0000-0000-0000BF090000}"/>
    <cellStyle name="Normal 4 2 2 2 6 2 4 2 2" xfId="12981" xr:uid="{00000000-0005-0000-0000-0000C0090000}"/>
    <cellStyle name="Normal 4 2 2 2 6 2 4 3" xfId="9802" xr:uid="{00000000-0005-0000-0000-0000C1090000}"/>
    <cellStyle name="Normal 4 2 2 2 6 2 5" xfId="5036" xr:uid="{00000000-0005-0000-0000-0000C2090000}"/>
    <cellStyle name="Normal 4 2 2 2 6 2 5 2" xfId="11397" xr:uid="{00000000-0005-0000-0000-0000C3090000}"/>
    <cellStyle name="Normal 4 2 2 2 6 2 6" xfId="8218" xr:uid="{00000000-0005-0000-0000-0000C4090000}"/>
    <cellStyle name="Normal 4 2 2 2 6 3" xfId="2006" xr:uid="{00000000-0005-0000-0000-0000C5090000}"/>
    <cellStyle name="Normal 4 2 2 2 6 3 2" xfId="2798" xr:uid="{00000000-0005-0000-0000-0000C6090000}"/>
    <cellStyle name="Normal 4 2 2 2 6 3 2 2" xfId="4382" xr:uid="{00000000-0005-0000-0000-0000C7090000}"/>
    <cellStyle name="Normal 4 2 2 2 6 3 2 2 2" xfId="7610" xr:uid="{00000000-0005-0000-0000-0000C8090000}"/>
    <cellStyle name="Normal 4 2 2 2 6 3 2 2 2 2" xfId="13971" xr:uid="{00000000-0005-0000-0000-0000C9090000}"/>
    <cellStyle name="Normal 4 2 2 2 6 3 2 2 3" xfId="10792" xr:uid="{00000000-0005-0000-0000-0000CA090000}"/>
    <cellStyle name="Normal 4 2 2 2 6 3 2 3" xfId="6026" xr:uid="{00000000-0005-0000-0000-0000CB090000}"/>
    <cellStyle name="Normal 4 2 2 2 6 3 2 3 2" xfId="12387" xr:uid="{00000000-0005-0000-0000-0000CC090000}"/>
    <cellStyle name="Normal 4 2 2 2 6 3 2 4" xfId="9208" xr:uid="{00000000-0005-0000-0000-0000CD090000}"/>
    <cellStyle name="Normal 4 2 2 2 6 3 3" xfId="3590" xr:uid="{00000000-0005-0000-0000-0000CE090000}"/>
    <cellStyle name="Normal 4 2 2 2 6 3 3 2" xfId="6818" xr:uid="{00000000-0005-0000-0000-0000CF090000}"/>
    <cellStyle name="Normal 4 2 2 2 6 3 3 2 2" xfId="13179" xr:uid="{00000000-0005-0000-0000-0000D0090000}"/>
    <cellStyle name="Normal 4 2 2 2 6 3 3 3" xfId="10000" xr:uid="{00000000-0005-0000-0000-0000D1090000}"/>
    <cellStyle name="Normal 4 2 2 2 6 3 4" xfId="5234" xr:uid="{00000000-0005-0000-0000-0000D2090000}"/>
    <cellStyle name="Normal 4 2 2 2 6 3 4 2" xfId="11595" xr:uid="{00000000-0005-0000-0000-0000D3090000}"/>
    <cellStyle name="Normal 4 2 2 2 6 3 5" xfId="8416" xr:uid="{00000000-0005-0000-0000-0000D4090000}"/>
    <cellStyle name="Normal 4 2 2 2 6 4" xfId="2402" xr:uid="{00000000-0005-0000-0000-0000D5090000}"/>
    <cellStyle name="Normal 4 2 2 2 6 4 2" xfId="3986" xr:uid="{00000000-0005-0000-0000-0000D6090000}"/>
    <cellStyle name="Normal 4 2 2 2 6 4 2 2" xfId="7214" xr:uid="{00000000-0005-0000-0000-0000D7090000}"/>
    <cellStyle name="Normal 4 2 2 2 6 4 2 2 2" xfId="13575" xr:uid="{00000000-0005-0000-0000-0000D8090000}"/>
    <cellStyle name="Normal 4 2 2 2 6 4 2 3" xfId="10396" xr:uid="{00000000-0005-0000-0000-0000D9090000}"/>
    <cellStyle name="Normal 4 2 2 2 6 4 3" xfId="5630" xr:uid="{00000000-0005-0000-0000-0000DA090000}"/>
    <cellStyle name="Normal 4 2 2 2 6 4 3 2" xfId="11991" xr:uid="{00000000-0005-0000-0000-0000DB090000}"/>
    <cellStyle name="Normal 4 2 2 2 6 4 4" xfId="8812" xr:uid="{00000000-0005-0000-0000-0000DC090000}"/>
    <cellStyle name="Normal 4 2 2 2 6 5" xfId="3194" xr:uid="{00000000-0005-0000-0000-0000DD090000}"/>
    <cellStyle name="Normal 4 2 2 2 6 5 2" xfId="6422" xr:uid="{00000000-0005-0000-0000-0000DE090000}"/>
    <cellStyle name="Normal 4 2 2 2 6 5 2 2" xfId="12783" xr:uid="{00000000-0005-0000-0000-0000DF090000}"/>
    <cellStyle name="Normal 4 2 2 2 6 5 3" xfId="9604" xr:uid="{00000000-0005-0000-0000-0000E0090000}"/>
    <cellStyle name="Normal 4 2 2 2 6 6" xfId="4838" xr:uid="{00000000-0005-0000-0000-0000E1090000}"/>
    <cellStyle name="Normal 4 2 2 2 6 6 2" xfId="11199" xr:uid="{00000000-0005-0000-0000-0000E2090000}"/>
    <cellStyle name="Normal 4 2 2 2 6 7" xfId="8020" xr:uid="{00000000-0005-0000-0000-0000E3090000}"/>
    <cellStyle name="Normal 4 2 2 2 7" xfId="1675" xr:uid="{00000000-0005-0000-0000-0000E4090000}"/>
    <cellStyle name="Normal 4 2 2 2 7 2" xfId="2071" xr:uid="{00000000-0005-0000-0000-0000E5090000}"/>
    <cellStyle name="Normal 4 2 2 2 7 2 2" xfId="2863" xr:uid="{00000000-0005-0000-0000-0000E6090000}"/>
    <cellStyle name="Normal 4 2 2 2 7 2 2 2" xfId="4447" xr:uid="{00000000-0005-0000-0000-0000E7090000}"/>
    <cellStyle name="Normal 4 2 2 2 7 2 2 2 2" xfId="7675" xr:uid="{00000000-0005-0000-0000-0000E8090000}"/>
    <cellStyle name="Normal 4 2 2 2 7 2 2 2 2 2" xfId="14036" xr:uid="{00000000-0005-0000-0000-0000E9090000}"/>
    <cellStyle name="Normal 4 2 2 2 7 2 2 2 3" xfId="10857" xr:uid="{00000000-0005-0000-0000-0000EA090000}"/>
    <cellStyle name="Normal 4 2 2 2 7 2 2 3" xfId="6091" xr:uid="{00000000-0005-0000-0000-0000EB090000}"/>
    <cellStyle name="Normal 4 2 2 2 7 2 2 3 2" xfId="12452" xr:uid="{00000000-0005-0000-0000-0000EC090000}"/>
    <cellStyle name="Normal 4 2 2 2 7 2 2 4" xfId="9273" xr:uid="{00000000-0005-0000-0000-0000ED090000}"/>
    <cellStyle name="Normal 4 2 2 2 7 2 3" xfId="3655" xr:uid="{00000000-0005-0000-0000-0000EE090000}"/>
    <cellStyle name="Normal 4 2 2 2 7 2 3 2" xfId="6883" xr:uid="{00000000-0005-0000-0000-0000EF090000}"/>
    <cellStyle name="Normal 4 2 2 2 7 2 3 2 2" xfId="13244" xr:uid="{00000000-0005-0000-0000-0000F0090000}"/>
    <cellStyle name="Normal 4 2 2 2 7 2 3 3" xfId="10065" xr:uid="{00000000-0005-0000-0000-0000F1090000}"/>
    <cellStyle name="Normal 4 2 2 2 7 2 4" xfId="5299" xr:uid="{00000000-0005-0000-0000-0000F2090000}"/>
    <cellStyle name="Normal 4 2 2 2 7 2 4 2" xfId="11660" xr:uid="{00000000-0005-0000-0000-0000F3090000}"/>
    <cellStyle name="Normal 4 2 2 2 7 2 5" xfId="8481" xr:uid="{00000000-0005-0000-0000-0000F4090000}"/>
    <cellStyle name="Normal 4 2 2 2 7 3" xfId="2467" xr:uid="{00000000-0005-0000-0000-0000F5090000}"/>
    <cellStyle name="Normal 4 2 2 2 7 3 2" xfId="4051" xr:uid="{00000000-0005-0000-0000-0000F6090000}"/>
    <cellStyle name="Normal 4 2 2 2 7 3 2 2" xfId="7279" xr:uid="{00000000-0005-0000-0000-0000F7090000}"/>
    <cellStyle name="Normal 4 2 2 2 7 3 2 2 2" xfId="13640" xr:uid="{00000000-0005-0000-0000-0000F8090000}"/>
    <cellStyle name="Normal 4 2 2 2 7 3 2 3" xfId="10461" xr:uid="{00000000-0005-0000-0000-0000F9090000}"/>
    <cellStyle name="Normal 4 2 2 2 7 3 3" xfId="5695" xr:uid="{00000000-0005-0000-0000-0000FA090000}"/>
    <cellStyle name="Normal 4 2 2 2 7 3 3 2" xfId="12056" xr:uid="{00000000-0005-0000-0000-0000FB090000}"/>
    <cellStyle name="Normal 4 2 2 2 7 3 4" xfId="8877" xr:uid="{00000000-0005-0000-0000-0000FC090000}"/>
    <cellStyle name="Normal 4 2 2 2 7 4" xfId="3259" xr:uid="{00000000-0005-0000-0000-0000FD090000}"/>
    <cellStyle name="Normal 4 2 2 2 7 4 2" xfId="6487" xr:uid="{00000000-0005-0000-0000-0000FE090000}"/>
    <cellStyle name="Normal 4 2 2 2 7 4 2 2" xfId="12848" xr:uid="{00000000-0005-0000-0000-0000FF090000}"/>
    <cellStyle name="Normal 4 2 2 2 7 4 3" xfId="9669" xr:uid="{00000000-0005-0000-0000-0000000A0000}"/>
    <cellStyle name="Normal 4 2 2 2 7 5" xfId="4903" xr:uid="{00000000-0005-0000-0000-0000010A0000}"/>
    <cellStyle name="Normal 4 2 2 2 7 5 2" xfId="11264" xr:uid="{00000000-0005-0000-0000-0000020A0000}"/>
    <cellStyle name="Normal 4 2 2 2 7 6" xfId="8085" xr:uid="{00000000-0005-0000-0000-0000030A0000}"/>
    <cellStyle name="Normal 4 2 2 2 8" xfId="1873" xr:uid="{00000000-0005-0000-0000-0000040A0000}"/>
    <cellStyle name="Normal 4 2 2 2 8 2" xfId="2665" xr:uid="{00000000-0005-0000-0000-0000050A0000}"/>
    <cellStyle name="Normal 4 2 2 2 8 2 2" xfId="4249" xr:uid="{00000000-0005-0000-0000-0000060A0000}"/>
    <cellStyle name="Normal 4 2 2 2 8 2 2 2" xfId="7477" xr:uid="{00000000-0005-0000-0000-0000070A0000}"/>
    <cellStyle name="Normal 4 2 2 2 8 2 2 2 2" xfId="13838" xr:uid="{00000000-0005-0000-0000-0000080A0000}"/>
    <cellStyle name="Normal 4 2 2 2 8 2 2 3" xfId="10659" xr:uid="{00000000-0005-0000-0000-0000090A0000}"/>
    <cellStyle name="Normal 4 2 2 2 8 2 3" xfId="5893" xr:uid="{00000000-0005-0000-0000-00000A0A0000}"/>
    <cellStyle name="Normal 4 2 2 2 8 2 3 2" xfId="12254" xr:uid="{00000000-0005-0000-0000-00000B0A0000}"/>
    <cellStyle name="Normal 4 2 2 2 8 2 4" xfId="9075" xr:uid="{00000000-0005-0000-0000-00000C0A0000}"/>
    <cellStyle name="Normal 4 2 2 2 8 3" xfId="3457" xr:uid="{00000000-0005-0000-0000-00000D0A0000}"/>
    <cellStyle name="Normal 4 2 2 2 8 3 2" xfId="6685" xr:uid="{00000000-0005-0000-0000-00000E0A0000}"/>
    <cellStyle name="Normal 4 2 2 2 8 3 2 2" xfId="13046" xr:uid="{00000000-0005-0000-0000-00000F0A0000}"/>
    <cellStyle name="Normal 4 2 2 2 8 3 3" xfId="9867" xr:uid="{00000000-0005-0000-0000-0000100A0000}"/>
    <cellStyle name="Normal 4 2 2 2 8 4" xfId="5101" xr:uid="{00000000-0005-0000-0000-0000110A0000}"/>
    <cellStyle name="Normal 4 2 2 2 8 4 2" xfId="11462" xr:uid="{00000000-0005-0000-0000-0000120A0000}"/>
    <cellStyle name="Normal 4 2 2 2 8 5" xfId="8283" xr:uid="{00000000-0005-0000-0000-0000130A0000}"/>
    <cellStyle name="Normal 4 2 2 2 9" xfId="2269" xr:uid="{00000000-0005-0000-0000-0000140A0000}"/>
    <cellStyle name="Normal 4 2 2 2 9 2" xfId="3853" xr:uid="{00000000-0005-0000-0000-0000150A0000}"/>
    <cellStyle name="Normal 4 2 2 2 9 2 2" xfId="7081" xr:uid="{00000000-0005-0000-0000-0000160A0000}"/>
    <cellStyle name="Normal 4 2 2 2 9 2 2 2" xfId="13442" xr:uid="{00000000-0005-0000-0000-0000170A0000}"/>
    <cellStyle name="Normal 4 2 2 2 9 2 3" xfId="10263" xr:uid="{00000000-0005-0000-0000-0000180A0000}"/>
    <cellStyle name="Normal 4 2 2 2 9 3" xfId="5497" xr:uid="{00000000-0005-0000-0000-0000190A0000}"/>
    <cellStyle name="Normal 4 2 2 2 9 3 2" xfId="11858" xr:uid="{00000000-0005-0000-0000-00001A0A0000}"/>
    <cellStyle name="Normal 4 2 2 2 9 4" xfId="8679" xr:uid="{00000000-0005-0000-0000-00001B0A0000}"/>
    <cellStyle name="Normal 4 2 2 3" xfId="1434" xr:uid="{00000000-0005-0000-0000-00001C0A0000}"/>
    <cellStyle name="Normal 4 2 2 3 10" xfId="4709" xr:uid="{00000000-0005-0000-0000-00001D0A0000}"/>
    <cellStyle name="Normal 4 2 2 3 10 2" xfId="11070" xr:uid="{00000000-0005-0000-0000-00001E0A0000}"/>
    <cellStyle name="Normal 4 2 2 3 11" xfId="7891" xr:uid="{00000000-0005-0000-0000-00001F0A0000}"/>
    <cellStyle name="Normal 4 2 2 3 2" xfId="1450" xr:uid="{00000000-0005-0000-0000-0000200A0000}"/>
    <cellStyle name="Normal 4 2 2 3 2 10" xfId="7907" xr:uid="{00000000-0005-0000-0000-0000210A0000}"/>
    <cellStyle name="Normal 4 2 2 3 2 2" xfId="1482" xr:uid="{00000000-0005-0000-0000-0000220A0000}"/>
    <cellStyle name="Normal 4 2 2 3 2 2 2" xfId="1594" xr:uid="{00000000-0005-0000-0000-0000230A0000}"/>
    <cellStyle name="Normal 4 2 2 3 2 2 2 2" xfId="1792" xr:uid="{00000000-0005-0000-0000-0000240A0000}"/>
    <cellStyle name="Normal 4 2 2 3 2 2 2 2 2" xfId="2188" xr:uid="{00000000-0005-0000-0000-0000250A0000}"/>
    <cellStyle name="Normal 4 2 2 3 2 2 2 2 2 2" xfId="2980" xr:uid="{00000000-0005-0000-0000-0000260A0000}"/>
    <cellStyle name="Normal 4 2 2 3 2 2 2 2 2 2 2" xfId="4564" xr:uid="{00000000-0005-0000-0000-0000270A0000}"/>
    <cellStyle name="Normal 4 2 2 3 2 2 2 2 2 2 2 2" xfId="7792" xr:uid="{00000000-0005-0000-0000-0000280A0000}"/>
    <cellStyle name="Normal 4 2 2 3 2 2 2 2 2 2 2 2 2" xfId="14153" xr:uid="{00000000-0005-0000-0000-0000290A0000}"/>
    <cellStyle name="Normal 4 2 2 3 2 2 2 2 2 2 2 3" xfId="10974" xr:uid="{00000000-0005-0000-0000-00002A0A0000}"/>
    <cellStyle name="Normal 4 2 2 3 2 2 2 2 2 2 3" xfId="6208" xr:uid="{00000000-0005-0000-0000-00002B0A0000}"/>
    <cellStyle name="Normal 4 2 2 3 2 2 2 2 2 2 3 2" xfId="12569" xr:uid="{00000000-0005-0000-0000-00002C0A0000}"/>
    <cellStyle name="Normal 4 2 2 3 2 2 2 2 2 2 4" xfId="9390" xr:uid="{00000000-0005-0000-0000-00002D0A0000}"/>
    <cellStyle name="Normal 4 2 2 3 2 2 2 2 2 3" xfId="3772" xr:uid="{00000000-0005-0000-0000-00002E0A0000}"/>
    <cellStyle name="Normal 4 2 2 3 2 2 2 2 2 3 2" xfId="7000" xr:uid="{00000000-0005-0000-0000-00002F0A0000}"/>
    <cellStyle name="Normal 4 2 2 3 2 2 2 2 2 3 2 2" xfId="13361" xr:uid="{00000000-0005-0000-0000-0000300A0000}"/>
    <cellStyle name="Normal 4 2 2 3 2 2 2 2 2 3 3" xfId="10182" xr:uid="{00000000-0005-0000-0000-0000310A0000}"/>
    <cellStyle name="Normal 4 2 2 3 2 2 2 2 2 4" xfId="5416" xr:uid="{00000000-0005-0000-0000-0000320A0000}"/>
    <cellStyle name="Normal 4 2 2 3 2 2 2 2 2 4 2" xfId="11777" xr:uid="{00000000-0005-0000-0000-0000330A0000}"/>
    <cellStyle name="Normal 4 2 2 3 2 2 2 2 2 5" xfId="8598" xr:uid="{00000000-0005-0000-0000-0000340A0000}"/>
    <cellStyle name="Normal 4 2 2 3 2 2 2 2 3" xfId="2584" xr:uid="{00000000-0005-0000-0000-0000350A0000}"/>
    <cellStyle name="Normal 4 2 2 3 2 2 2 2 3 2" xfId="4168" xr:uid="{00000000-0005-0000-0000-0000360A0000}"/>
    <cellStyle name="Normal 4 2 2 3 2 2 2 2 3 2 2" xfId="7396" xr:uid="{00000000-0005-0000-0000-0000370A0000}"/>
    <cellStyle name="Normal 4 2 2 3 2 2 2 2 3 2 2 2" xfId="13757" xr:uid="{00000000-0005-0000-0000-0000380A0000}"/>
    <cellStyle name="Normal 4 2 2 3 2 2 2 2 3 2 3" xfId="10578" xr:uid="{00000000-0005-0000-0000-0000390A0000}"/>
    <cellStyle name="Normal 4 2 2 3 2 2 2 2 3 3" xfId="5812" xr:uid="{00000000-0005-0000-0000-00003A0A0000}"/>
    <cellStyle name="Normal 4 2 2 3 2 2 2 2 3 3 2" xfId="12173" xr:uid="{00000000-0005-0000-0000-00003B0A0000}"/>
    <cellStyle name="Normal 4 2 2 3 2 2 2 2 3 4" xfId="8994" xr:uid="{00000000-0005-0000-0000-00003C0A0000}"/>
    <cellStyle name="Normal 4 2 2 3 2 2 2 2 4" xfId="3376" xr:uid="{00000000-0005-0000-0000-00003D0A0000}"/>
    <cellStyle name="Normal 4 2 2 3 2 2 2 2 4 2" xfId="6604" xr:uid="{00000000-0005-0000-0000-00003E0A0000}"/>
    <cellStyle name="Normal 4 2 2 3 2 2 2 2 4 2 2" xfId="12965" xr:uid="{00000000-0005-0000-0000-00003F0A0000}"/>
    <cellStyle name="Normal 4 2 2 3 2 2 2 2 4 3" xfId="9786" xr:uid="{00000000-0005-0000-0000-0000400A0000}"/>
    <cellStyle name="Normal 4 2 2 3 2 2 2 2 5" xfId="5020" xr:uid="{00000000-0005-0000-0000-0000410A0000}"/>
    <cellStyle name="Normal 4 2 2 3 2 2 2 2 5 2" xfId="11381" xr:uid="{00000000-0005-0000-0000-0000420A0000}"/>
    <cellStyle name="Normal 4 2 2 3 2 2 2 2 6" xfId="8202" xr:uid="{00000000-0005-0000-0000-0000430A0000}"/>
    <cellStyle name="Normal 4 2 2 3 2 2 2 3" xfId="1990" xr:uid="{00000000-0005-0000-0000-0000440A0000}"/>
    <cellStyle name="Normal 4 2 2 3 2 2 2 3 2" xfId="2782" xr:uid="{00000000-0005-0000-0000-0000450A0000}"/>
    <cellStyle name="Normal 4 2 2 3 2 2 2 3 2 2" xfId="4366" xr:uid="{00000000-0005-0000-0000-0000460A0000}"/>
    <cellStyle name="Normal 4 2 2 3 2 2 2 3 2 2 2" xfId="7594" xr:uid="{00000000-0005-0000-0000-0000470A0000}"/>
    <cellStyle name="Normal 4 2 2 3 2 2 2 3 2 2 2 2" xfId="13955" xr:uid="{00000000-0005-0000-0000-0000480A0000}"/>
    <cellStyle name="Normal 4 2 2 3 2 2 2 3 2 2 3" xfId="10776" xr:uid="{00000000-0005-0000-0000-0000490A0000}"/>
    <cellStyle name="Normal 4 2 2 3 2 2 2 3 2 3" xfId="6010" xr:uid="{00000000-0005-0000-0000-00004A0A0000}"/>
    <cellStyle name="Normal 4 2 2 3 2 2 2 3 2 3 2" xfId="12371" xr:uid="{00000000-0005-0000-0000-00004B0A0000}"/>
    <cellStyle name="Normal 4 2 2 3 2 2 2 3 2 4" xfId="9192" xr:uid="{00000000-0005-0000-0000-00004C0A0000}"/>
    <cellStyle name="Normal 4 2 2 3 2 2 2 3 3" xfId="3574" xr:uid="{00000000-0005-0000-0000-00004D0A0000}"/>
    <cellStyle name="Normal 4 2 2 3 2 2 2 3 3 2" xfId="6802" xr:uid="{00000000-0005-0000-0000-00004E0A0000}"/>
    <cellStyle name="Normal 4 2 2 3 2 2 2 3 3 2 2" xfId="13163" xr:uid="{00000000-0005-0000-0000-00004F0A0000}"/>
    <cellStyle name="Normal 4 2 2 3 2 2 2 3 3 3" xfId="9984" xr:uid="{00000000-0005-0000-0000-0000500A0000}"/>
    <cellStyle name="Normal 4 2 2 3 2 2 2 3 4" xfId="5218" xr:uid="{00000000-0005-0000-0000-0000510A0000}"/>
    <cellStyle name="Normal 4 2 2 3 2 2 2 3 4 2" xfId="11579" xr:uid="{00000000-0005-0000-0000-0000520A0000}"/>
    <cellStyle name="Normal 4 2 2 3 2 2 2 3 5" xfId="8400" xr:uid="{00000000-0005-0000-0000-0000530A0000}"/>
    <cellStyle name="Normal 4 2 2 3 2 2 2 4" xfId="2386" xr:uid="{00000000-0005-0000-0000-0000540A0000}"/>
    <cellStyle name="Normal 4 2 2 3 2 2 2 4 2" xfId="3970" xr:uid="{00000000-0005-0000-0000-0000550A0000}"/>
    <cellStyle name="Normal 4 2 2 3 2 2 2 4 2 2" xfId="7198" xr:uid="{00000000-0005-0000-0000-0000560A0000}"/>
    <cellStyle name="Normal 4 2 2 3 2 2 2 4 2 2 2" xfId="13559" xr:uid="{00000000-0005-0000-0000-0000570A0000}"/>
    <cellStyle name="Normal 4 2 2 3 2 2 2 4 2 3" xfId="10380" xr:uid="{00000000-0005-0000-0000-0000580A0000}"/>
    <cellStyle name="Normal 4 2 2 3 2 2 2 4 3" xfId="5614" xr:uid="{00000000-0005-0000-0000-0000590A0000}"/>
    <cellStyle name="Normal 4 2 2 3 2 2 2 4 3 2" xfId="11975" xr:uid="{00000000-0005-0000-0000-00005A0A0000}"/>
    <cellStyle name="Normal 4 2 2 3 2 2 2 4 4" xfId="8796" xr:uid="{00000000-0005-0000-0000-00005B0A0000}"/>
    <cellStyle name="Normal 4 2 2 3 2 2 2 5" xfId="3178" xr:uid="{00000000-0005-0000-0000-00005C0A0000}"/>
    <cellStyle name="Normal 4 2 2 3 2 2 2 5 2" xfId="6406" xr:uid="{00000000-0005-0000-0000-00005D0A0000}"/>
    <cellStyle name="Normal 4 2 2 3 2 2 2 5 2 2" xfId="12767" xr:uid="{00000000-0005-0000-0000-00005E0A0000}"/>
    <cellStyle name="Normal 4 2 2 3 2 2 2 5 3" xfId="9588" xr:uid="{00000000-0005-0000-0000-00005F0A0000}"/>
    <cellStyle name="Normal 4 2 2 3 2 2 2 6" xfId="4822" xr:uid="{00000000-0005-0000-0000-0000600A0000}"/>
    <cellStyle name="Normal 4 2 2 3 2 2 2 6 2" xfId="11183" xr:uid="{00000000-0005-0000-0000-0000610A0000}"/>
    <cellStyle name="Normal 4 2 2 3 2 2 2 7" xfId="8004" xr:uid="{00000000-0005-0000-0000-0000620A0000}"/>
    <cellStyle name="Normal 4 2 2 3 2 2 3" xfId="1662" xr:uid="{00000000-0005-0000-0000-0000630A0000}"/>
    <cellStyle name="Normal 4 2 2 3 2 2 3 2" xfId="1860" xr:uid="{00000000-0005-0000-0000-0000640A0000}"/>
    <cellStyle name="Normal 4 2 2 3 2 2 3 2 2" xfId="2256" xr:uid="{00000000-0005-0000-0000-0000650A0000}"/>
    <cellStyle name="Normal 4 2 2 3 2 2 3 2 2 2" xfId="3048" xr:uid="{00000000-0005-0000-0000-0000660A0000}"/>
    <cellStyle name="Normal 4 2 2 3 2 2 3 2 2 2 2" xfId="4632" xr:uid="{00000000-0005-0000-0000-0000670A0000}"/>
    <cellStyle name="Normal 4 2 2 3 2 2 3 2 2 2 2 2" xfId="7860" xr:uid="{00000000-0005-0000-0000-0000680A0000}"/>
    <cellStyle name="Normal 4 2 2 3 2 2 3 2 2 2 2 2 2" xfId="14221" xr:uid="{00000000-0005-0000-0000-0000690A0000}"/>
    <cellStyle name="Normal 4 2 2 3 2 2 3 2 2 2 2 3" xfId="11042" xr:uid="{00000000-0005-0000-0000-00006A0A0000}"/>
    <cellStyle name="Normal 4 2 2 3 2 2 3 2 2 2 3" xfId="6276" xr:uid="{00000000-0005-0000-0000-00006B0A0000}"/>
    <cellStyle name="Normal 4 2 2 3 2 2 3 2 2 2 3 2" xfId="12637" xr:uid="{00000000-0005-0000-0000-00006C0A0000}"/>
    <cellStyle name="Normal 4 2 2 3 2 2 3 2 2 2 4" xfId="9458" xr:uid="{00000000-0005-0000-0000-00006D0A0000}"/>
    <cellStyle name="Normal 4 2 2 3 2 2 3 2 2 3" xfId="3840" xr:uid="{00000000-0005-0000-0000-00006E0A0000}"/>
    <cellStyle name="Normal 4 2 2 3 2 2 3 2 2 3 2" xfId="7068" xr:uid="{00000000-0005-0000-0000-00006F0A0000}"/>
    <cellStyle name="Normal 4 2 2 3 2 2 3 2 2 3 2 2" xfId="13429" xr:uid="{00000000-0005-0000-0000-0000700A0000}"/>
    <cellStyle name="Normal 4 2 2 3 2 2 3 2 2 3 3" xfId="10250" xr:uid="{00000000-0005-0000-0000-0000710A0000}"/>
    <cellStyle name="Normal 4 2 2 3 2 2 3 2 2 4" xfId="5484" xr:uid="{00000000-0005-0000-0000-0000720A0000}"/>
    <cellStyle name="Normal 4 2 2 3 2 2 3 2 2 4 2" xfId="11845" xr:uid="{00000000-0005-0000-0000-0000730A0000}"/>
    <cellStyle name="Normal 4 2 2 3 2 2 3 2 2 5" xfId="8666" xr:uid="{00000000-0005-0000-0000-0000740A0000}"/>
    <cellStyle name="Normal 4 2 2 3 2 2 3 2 3" xfId="2652" xr:uid="{00000000-0005-0000-0000-0000750A0000}"/>
    <cellStyle name="Normal 4 2 2 3 2 2 3 2 3 2" xfId="4236" xr:uid="{00000000-0005-0000-0000-0000760A0000}"/>
    <cellStyle name="Normal 4 2 2 3 2 2 3 2 3 2 2" xfId="7464" xr:uid="{00000000-0005-0000-0000-0000770A0000}"/>
    <cellStyle name="Normal 4 2 2 3 2 2 3 2 3 2 2 2" xfId="13825" xr:uid="{00000000-0005-0000-0000-0000780A0000}"/>
    <cellStyle name="Normal 4 2 2 3 2 2 3 2 3 2 3" xfId="10646" xr:uid="{00000000-0005-0000-0000-0000790A0000}"/>
    <cellStyle name="Normal 4 2 2 3 2 2 3 2 3 3" xfId="5880" xr:uid="{00000000-0005-0000-0000-00007A0A0000}"/>
    <cellStyle name="Normal 4 2 2 3 2 2 3 2 3 3 2" xfId="12241" xr:uid="{00000000-0005-0000-0000-00007B0A0000}"/>
    <cellStyle name="Normal 4 2 2 3 2 2 3 2 3 4" xfId="9062" xr:uid="{00000000-0005-0000-0000-00007C0A0000}"/>
    <cellStyle name="Normal 4 2 2 3 2 2 3 2 4" xfId="3444" xr:uid="{00000000-0005-0000-0000-00007D0A0000}"/>
    <cellStyle name="Normal 4 2 2 3 2 2 3 2 4 2" xfId="6672" xr:uid="{00000000-0005-0000-0000-00007E0A0000}"/>
    <cellStyle name="Normal 4 2 2 3 2 2 3 2 4 2 2" xfId="13033" xr:uid="{00000000-0005-0000-0000-00007F0A0000}"/>
    <cellStyle name="Normal 4 2 2 3 2 2 3 2 4 3" xfId="9854" xr:uid="{00000000-0005-0000-0000-0000800A0000}"/>
    <cellStyle name="Normal 4 2 2 3 2 2 3 2 5" xfId="5088" xr:uid="{00000000-0005-0000-0000-0000810A0000}"/>
    <cellStyle name="Normal 4 2 2 3 2 2 3 2 5 2" xfId="11449" xr:uid="{00000000-0005-0000-0000-0000820A0000}"/>
    <cellStyle name="Normal 4 2 2 3 2 2 3 2 6" xfId="8270" xr:uid="{00000000-0005-0000-0000-0000830A0000}"/>
    <cellStyle name="Normal 4 2 2 3 2 2 3 3" xfId="2058" xr:uid="{00000000-0005-0000-0000-0000840A0000}"/>
    <cellStyle name="Normal 4 2 2 3 2 2 3 3 2" xfId="2850" xr:uid="{00000000-0005-0000-0000-0000850A0000}"/>
    <cellStyle name="Normal 4 2 2 3 2 2 3 3 2 2" xfId="4434" xr:uid="{00000000-0005-0000-0000-0000860A0000}"/>
    <cellStyle name="Normal 4 2 2 3 2 2 3 3 2 2 2" xfId="7662" xr:uid="{00000000-0005-0000-0000-0000870A0000}"/>
    <cellStyle name="Normal 4 2 2 3 2 2 3 3 2 2 2 2" xfId="14023" xr:uid="{00000000-0005-0000-0000-0000880A0000}"/>
    <cellStyle name="Normal 4 2 2 3 2 2 3 3 2 2 3" xfId="10844" xr:uid="{00000000-0005-0000-0000-0000890A0000}"/>
    <cellStyle name="Normal 4 2 2 3 2 2 3 3 2 3" xfId="6078" xr:uid="{00000000-0005-0000-0000-00008A0A0000}"/>
    <cellStyle name="Normal 4 2 2 3 2 2 3 3 2 3 2" xfId="12439" xr:uid="{00000000-0005-0000-0000-00008B0A0000}"/>
    <cellStyle name="Normal 4 2 2 3 2 2 3 3 2 4" xfId="9260" xr:uid="{00000000-0005-0000-0000-00008C0A0000}"/>
    <cellStyle name="Normal 4 2 2 3 2 2 3 3 3" xfId="3642" xr:uid="{00000000-0005-0000-0000-00008D0A0000}"/>
    <cellStyle name="Normal 4 2 2 3 2 2 3 3 3 2" xfId="6870" xr:uid="{00000000-0005-0000-0000-00008E0A0000}"/>
    <cellStyle name="Normal 4 2 2 3 2 2 3 3 3 2 2" xfId="13231" xr:uid="{00000000-0005-0000-0000-00008F0A0000}"/>
    <cellStyle name="Normal 4 2 2 3 2 2 3 3 3 3" xfId="10052" xr:uid="{00000000-0005-0000-0000-0000900A0000}"/>
    <cellStyle name="Normal 4 2 2 3 2 2 3 3 4" xfId="5286" xr:uid="{00000000-0005-0000-0000-0000910A0000}"/>
    <cellStyle name="Normal 4 2 2 3 2 2 3 3 4 2" xfId="11647" xr:uid="{00000000-0005-0000-0000-0000920A0000}"/>
    <cellStyle name="Normal 4 2 2 3 2 2 3 3 5" xfId="8468" xr:uid="{00000000-0005-0000-0000-0000930A0000}"/>
    <cellStyle name="Normal 4 2 2 3 2 2 3 4" xfId="2454" xr:uid="{00000000-0005-0000-0000-0000940A0000}"/>
    <cellStyle name="Normal 4 2 2 3 2 2 3 4 2" xfId="4038" xr:uid="{00000000-0005-0000-0000-0000950A0000}"/>
    <cellStyle name="Normal 4 2 2 3 2 2 3 4 2 2" xfId="7266" xr:uid="{00000000-0005-0000-0000-0000960A0000}"/>
    <cellStyle name="Normal 4 2 2 3 2 2 3 4 2 2 2" xfId="13627" xr:uid="{00000000-0005-0000-0000-0000970A0000}"/>
    <cellStyle name="Normal 4 2 2 3 2 2 3 4 2 3" xfId="10448" xr:uid="{00000000-0005-0000-0000-0000980A0000}"/>
    <cellStyle name="Normal 4 2 2 3 2 2 3 4 3" xfId="5682" xr:uid="{00000000-0005-0000-0000-0000990A0000}"/>
    <cellStyle name="Normal 4 2 2 3 2 2 3 4 3 2" xfId="12043" xr:uid="{00000000-0005-0000-0000-00009A0A0000}"/>
    <cellStyle name="Normal 4 2 2 3 2 2 3 4 4" xfId="8864" xr:uid="{00000000-0005-0000-0000-00009B0A0000}"/>
    <cellStyle name="Normal 4 2 2 3 2 2 3 5" xfId="3246" xr:uid="{00000000-0005-0000-0000-00009C0A0000}"/>
    <cellStyle name="Normal 4 2 2 3 2 2 3 5 2" xfId="6474" xr:uid="{00000000-0005-0000-0000-00009D0A0000}"/>
    <cellStyle name="Normal 4 2 2 3 2 2 3 5 2 2" xfId="12835" xr:uid="{00000000-0005-0000-0000-00009E0A0000}"/>
    <cellStyle name="Normal 4 2 2 3 2 2 3 5 3" xfId="9656" xr:uid="{00000000-0005-0000-0000-00009F0A0000}"/>
    <cellStyle name="Normal 4 2 2 3 2 2 3 6" xfId="4890" xr:uid="{00000000-0005-0000-0000-0000A00A0000}"/>
    <cellStyle name="Normal 4 2 2 3 2 2 3 6 2" xfId="11251" xr:uid="{00000000-0005-0000-0000-0000A10A0000}"/>
    <cellStyle name="Normal 4 2 2 3 2 2 3 7" xfId="8072" xr:uid="{00000000-0005-0000-0000-0000A20A0000}"/>
    <cellStyle name="Normal 4 2 2 3 2 2 4" xfId="1727" xr:uid="{00000000-0005-0000-0000-0000A30A0000}"/>
    <cellStyle name="Normal 4 2 2 3 2 2 4 2" xfId="2123" xr:uid="{00000000-0005-0000-0000-0000A40A0000}"/>
    <cellStyle name="Normal 4 2 2 3 2 2 4 2 2" xfId="2915" xr:uid="{00000000-0005-0000-0000-0000A50A0000}"/>
    <cellStyle name="Normal 4 2 2 3 2 2 4 2 2 2" xfId="4499" xr:uid="{00000000-0005-0000-0000-0000A60A0000}"/>
    <cellStyle name="Normal 4 2 2 3 2 2 4 2 2 2 2" xfId="7727" xr:uid="{00000000-0005-0000-0000-0000A70A0000}"/>
    <cellStyle name="Normal 4 2 2 3 2 2 4 2 2 2 2 2" xfId="14088" xr:uid="{00000000-0005-0000-0000-0000A80A0000}"/>
    <cellStyle name="Normal 4 2 2 3 2 2 4 2 2 2 3" xfId="10909" xr:uid="{00000000-0005-0000-0000-0000A90A0000}"/>
    <cellStyle name="Normal 4 2 2 3 2 2 4 2 2 3" xfId="6143" xr:uid="{00000000-0005-0000-0000-0000AA0A0000}"/>
    <cellStyle name="Normal 4 2 2 3 2 2 4 2 2 3 2" xfId="12504" xr:uid="{00000000-0005-0000-0000-0000AB0A0000}"/>
    <cellStyle name="Normal 4 2 2 3 2 2 4 2 2 4" xfId="9325" xr:uid="{00000000-0005-0000-0000-0000AC0A0000}"/>
    <cellStyle name="Normal 4 2 2 3 2 2 4 2 3" xfId="3707" xr:uid="{00000000-0005-0000-0000-0000AD0A0000}"/>
    <cellStyle name="Normal 4 2 2 3 2 2 4 2 3 2" xfId="6935" xr:uid="{00000000-0005-0000-0000-0000AE0A0000}"/>
    <cellStyle name="Normal 4 2 2 3 2 2 4 2 3 2 2" xfId="13296" xr:uid="{00000000-0005-0000-0000-0000AF0A0000}"/>
    <cellStyle name="Normal 4 2 2 3 2 2 4 2 3 3" xfId="10117" xr:uid="{00000000-0005-0000-0000-0000B00A0000}"/>
    <cellStyle name="Normal 4 2 2 3 2 2 4 2 4" xfId="5351" xr:uid="{00000000-0005-0000-0000-0000B10A0000}"/>
    <cellStyle name="Normal 4 2 2 3 2 2 4 2 4 2" xfId="11712" xr:uid="{00000000-0005-0000-0000-0000B20A0000}"/>
    <cellStyle name="Normal 4 2 2 3 2 2 4 2 5" xfId="8533" xr:uid="{00000000-0005-0000-0000-0000B30A0000}"/>
    <cellStyle name="Normal 4 2 2 3 2 2 4 3" xfId="2519" xr:uid="{00000000-0005-0000-0000-0000B40A0000}"/>
    <cellStyle name="Normal 4 2 2 3 2 2 4 3 2" xfId="4103" xr:uid="{00000000-0005-0000-0000-0000B50A0000}"/>
    <cellStyle name="Normal 4 2 2 3 2 2 4 3 2 2" xfId="7331" xr:uid="{00000000-0005-0000-0000-0000B60A0000}"/>
    <cellStyle name="Normal 4 2 2 3 2 2 4 3 2 2 2" xfId="13692" xr:uid="{00000000-0005-0000-0000-0000B70A0000}"/>
    <cellStyle name="Normal 4 2 2 3 2 2 4 3 2 3" xfId="10513" xr:uid="{00000000-0005-0000-0000-0000B80A0000}"/>
    <cellStyle name="Normal 4 2 2 3 2 2 4 3 3" xfId="5747" xr:uid="{00000000-0005-0000-0000-0000B90A0000}"/>
    <cellStyle name="Normal 4 2 2 3 2 2 4 3 3 2" xfId="12108" xr:uid="{00000000-0005-0000-0000-0000BA0A0000}"/>
    <cellStyle name="Normal 4 2 2 3 2 2 4 3 4" xfId="8929" xr:uid="{00000000-0005-0000-0000-0000BB0A0000}"/>
    <cellStyle name="Normal 4 2 2 3 2 2 4 4" xfId="3311" xr:uid="{00000000-0005-0000-0000-0000BC0A0000}"/>
    <cellStyle name="Normal 4 2 2 3 2 2 4 4 2" xfId="6539" xr:uid="{00000000-0005-0000-0000-0000BD0A0000}"/>
    <cellStyle name="Normal 4 2 2 3 2 2 4 4 2 2" xfId="12900" xr:uid="{00000000-0005-0000-0000-0000BE0A0000}"/>
    <cellStyle name="Normal 4 2 2 3 2 2 4 4 3" xfId="9721" xr:uid="{00000000-0005-0000-0000-0000BF0A0000}"/>
    <cellStyle name="Normal 4 2 2 3 2 2 4 5" xfId="4955" xr:uid="{00000000-0005-0000-0000-0000C00A0000}"/>
    <cellStyle name="Normal 4 2 2 3 2 2 4 5 2" xfId="11316" xr:uid="{00000000-0005-0000-0000-0000C10A0000}"/>
    <cellStyle name="Normal 4 2 2 3 2 2 4 6" xfId="8137" xr:uid="{00000000-0005-0000-0000-0000C20A0000}"/>
    <cellStyle name="Normal 4 2 2 3 2 2 5" xfId="1925" xr:uid="{00000000-0005-0000-0000-0000C30A0000}"/>
    <cellStyle name="Normal 4 2 2 3 2 2 5 2" xfId="2717" xr:uid="{00000000-0005-0000-0000-0000C40A0000}"/>
    <cellStyle name="Normal 4 2 2 3 2 2 5 2 2" xfId="4301" xr:uid="{00000000-0005-0000-0000-0000C50A0000}"/>
    <cellStyle name="Normal 4 2 2 3 2 2 5 2 2 2" xfId="7529" xr:uid="{00000000-0005-0000-0000-0000C60A0000}"/>
    <cellStyle name="Normal 4 2 2 3 2 2 5 2 2 2 2" xfId="13890" xr:uid="{00000000-0005-0000-0000-0000C70A0000}"/>
    <cellStyle name="Normal 4 2 2 3 2 2 5 2 2 3" xfId="10711" xr:uid="{00000000-0005-0000-0000-0000C80A0000}"/>
    <cellStyle name="Normal 4 2 2 3 2 2 5 2 3" xfId="5945" xr:uid="{00000000-0005-0000-0000-0000C90A0000}"/>
    <cellStyle name="Normal 4 2 2 3 2 2 5 2 3 2" xfId="12306" xr:uid="{00000000-0005-0000-0000-0000CA0A0000}"/>
    <cellStyle name="Normal 4 2 2 3 2 2 5 2 4" xfId="9127" xr:uid="{00000000-0005-0000-0000-0000CB0A0000}"/>
    <cellStyle name="Normal 4 2 2 3 2 2 5 3" xfId="3509" xr:uid="{00000000-0005-0000-0000-0000CC0A0000}"/>
    <cellStyle name="Normal 4 2 2 3 2 2 5 3 2" xfId="6737" xr:uid="{00000000-0005-0000-0000-0000CD0A0000}"/>
    <cellStyle name="Normal 4 2 2 3 2 2 5 3 2 2" xfId="13098" xr:uid="{00000000-0005-0000-0000-0000CE0A0000}"/>
    <cellStyle name="Normal 4 2 2 3 2 2 5 3 3" xfId="9919" xr:uid="{00000000-0005-0000-0000-0000CF0A0000}"/>
    <cellStyle name="Normal 4 2 2 3 2 2 5 4" xfId="5153" xr:uid="{00000000-0005-0000-0000-0000D00A0000}"/>
    <cellStyle name="Normal 4 2 2 3 2 2 5 4 2" xfId="11514" xr:uid="{00000000-0005-0000-0000-0000D10A0000}"/>
    <cellStyle name="Normal 4 2 2 3 2 2 5 5" xfId="8335" xr:uid="{00000000-0005-0000-0000-0000D20A0000}"/>
    <cellStyle name="Normal 4 2 2 3 2 2 6" xfId="2321" xr:uid="{00000000-0005-0000-0000-0000D30A0000}"/>
    <cellStyle name="Normal 4 2 2 3 2 2 6 2" xfId="3905" xr:uid="{00000000-0005-0000-0000-0000D40A0000}"/>
    <cellStyle name="Normal 4 2 2 3 2 2 6 2 2" xfId="7133" xr:uid="{00000000-0005-0000-0000-0000D50A0000}"/>
    <cellStyle name="Normal 4 2 2 3 2 2 6 2 2 2" xfId="13494" xr:uid="{00000000-0005-0000-0000-0000D60A0000}"/>
    <cellStyle name="Normal 4 2 2 3 2 2 6 2 3" xfId="10315" xr:uid="{00000000-0005-0000-0000-0000D70A0000}"/>
    <cellStyle name="Normal 4 2 2 3 2 2 6 3" xfId="5549" xr:uid="{00000000-0005-0000-0000-0000D80A0000}"/>
    <cellStyle name="Normal 4 2 2 3 2 2 6 3 2" xfId="11910" xr:uid="{00000000-0005-0000-0000-0000D90A0000}"/>
    <cellStyle name="Normal 4 2 2 3 2 2 6 4" xfId="8731" xr:uid="{00000000-0005-0000-0000-0000DA0A0000}"/>
    <cellStyle name="Normal 4 2 2 3 2 2 7" xfId="3113" xr:uid="{00000000-0005-0000-0000-0000DB0A0000}"/>
    <cellStyle name="Normal 4 2 2 3 2 2 7 2" xfId="6341" xr:uid="{00000000-0005-0000-0000-0000DC0A0000}"/>
    <cellStyle name="Normal 4 2 2 3 2 2 7 2 2" xfId="12702" xr:uid="{00000000-0005-0000-0000-0000DD0A0000}"/>
    <cellStyle name="Normal 4 2 2 3 2 2 7 3" xfId="9523" xr:uid="{00000000-0005-0000-0000-0000DE0A0000}"/>
    <cellStyle name="Normal 4 2 2 3 2 2 8" xfId="4757" xr:uid="{00000000-0005-0000-0000-0000DF0A0000}"/>
    <cellStyle name="Normal 4 2 2 3 2 2 8 2" xfId="11118" xr:uid="{00000000-0005-0000-0000-0000E00A0000}"/>
    <cellStyle name="Normal 4 2 2 3 2 2 9" xfId="7939" xr:uid="{00000000-0005-0000-0000-0000E10A0000}"/>
    <cellStyle name="Normal 4 2 2 3 2 3" xfId="1562" xr:uid="{00000000-0005-0000-0000-0000E20A0000}"/>
    <cellStyle name="Normal 4 2 2 3 2 3 2" xfId="1760" xr:uid="{00000000-0005-0000-0000-0000E30A0000}"/>
    <cellStyle name="Normal 4 2 2 3 2 3 2 2" xfId="2156" xr:uid="{00000000-0005-0000-0000-0000E40A0000}"/>
    <cellStyle name="Normal 4 2 2 3 2 3 2 2 2" xfId="2948" xr:uid="{00000000-0005-0000-0000-0000E50A0000}"/>
    <cellStyle name="Normal 4 2 2 3 2 3 2 2 2 2" xfId="4532" xr:uid="{00000000-0005-0000-0000-0000E60A0000}"/>
    <cellStyle name="Normal 4 2 2 3 2 3 2 2 2 2 2" xfId="7760" xr:uid="{00000000-0005-0000-0000-0000E70A0000}"/>
    <cellStyle name="Normal 4 2 2 3 2 3 2 2 2 2 2 2" xfId="14121" xr:uid="{00000000-0005-0000-0000-0000E80A0000}"/>
    <cellStyle name="Normal 4 2 2 3 2 3 2 2 2 2 3" xfId="10942" xr:uid="{00000000-0005-0000-0000-0000E90A0000}"/>
    <cellStyle name="Normal 4 2 2 3 2 3 2 2 2 3" xfId="6176" xr:uid="{00000000-0005-0000-0000-0000EA0A0000}"/>
    <cellStyle name="Normal 4 2 2 3 2 3 2 2 2 3 2" xfId="12537" xr:uid="{00000000-0005-0000-0000-0000EB0A0000}"/>
    <cellStyle name="Normal 4 2 2 3 2 3 2 2 2 4" xfId="9358" xr:uid="{00000000-0005-0000-0000-0000EC0A0000}"/>
    <cellStyle name="Normal 4 2 2 3 2 3 2 2 3" xfId="3740" xr:uid="{00000000-0005-0000-0000-0000ED0A0000}"/>
    <cellStyle name="Normal 4 2 2 3 2 3 2 2 3 2" xfId="6968" xr:uid="{00000000-0005-0000-0000-0000EE0A0000}"/>
    <cellStyle name="Normal 4 2 2 3 2 3 2 2 3 2 2" xfId="13329" xr:uid="{00000000-0005-0000-0000-0000EF0A0000}"/>
    <cellStyle name="Normal 4 2 2 3 2 3 2 2 3 3" xfId="10150" xr:uid="{00000000-0005-0000-0000-0000F00A0000}"/>
    <cellStyle name="Normal 4 2 2 3 2 3 2 2 4" xfId="5384" xr:uid="{00000000-0005-0000-0000-0000F10A0000}"/>
    <cellStyle name="Normal 4 2 2 3 2 3 2 2 4 2" xfId="11745" xr:uid="{00000000-0005-0000-0000-0000F20A0000}"/>
    <cellStyle name="Normal 4 2 2 3 2 3 2 2 5" xfId="8566" xr:uid="{00000000-0005-0000-0000-0000F30A0000}"/>
    <cellStyle name="Normal 4 2 2 3 2 3 2 3" xfId="2552" xr:uid="{00000000-0005-0000-0000-0000F40A0000}"/>
    <cellStyle name="Normal 4 2 2 3 2 3 2 3 2" xfId="4136" xr:uid="{00000000-0005-0000-0000-0000F50A0000}"/>
    <cellStyle name="Normal 4 2 2 3 2 3 2 3 2 2" xfId="7364" xr:uid="{00000000-0005-0000-0000-0000F60A0000}"/>
    <cellStyle name="Normal 4 2 2 3 2 3 2 3 2 2 2" xfId="13725" xr:uid="{00000000-0005-0000-0000-0000F70A0000}"/>
    <cellStyle name="Normal 4 2 2 3 2 3 2 3 2 3" xfId="10546" xr:uid="{00000000-0005-0000-0000-0000F80A0000}"/>
    <cellStyle name="Normal 4 2 2 3 2 3 2 3 3" xfId="5780" xr:uid="{00000000-0005-0000-0000-0000F90A0000}"/>
    <cellStyle name="Normal 4 2 2 3 2 3 2 3 3 2" xfId="12141" xr:uid="{00000000-0005-0000-0000-0000FA0A0000}"/>
    <cellStyle name="Normal 4 2 2 3 2 3 2 3 4" xfId="8962" xr:uid="{00000000-0005-0000-0000-0000FB0A0000}"/>
    <cellStyle name="Normal 4 2 2 3 2 3 2 4" xfId="3344" xr:uid="{00000000-0005-0000-0000-0000FC0A0000}"/>
    <cellStyle name="Normal 4 2 2 3 2 3 2 4 2" xfId="6572" xr:uid="{00000000-0005-0000-0000-0000FD0A0000}"/>
    <cellStyle name="Normal 4 2 2 3 2 3 2 4 2 2" xfId="12933" xr:uid="{00000000-0005-0000-0000-0000FE0A0000}"/>
    <cellStyle name="Normal 4 2 2 3 2 3 2 4 3" xfId="9754" xr:uid="{00000000-0005-0000-0000-0000FF0A0000}"/>
    <cellStyle name="Normal 4 2 2 3 2 3 2 5" xfId="4988" xr:uid="{00000000-0005-0000-0000-0000000B0000}"/>
    <cellStyle name="Normal 4 2 2 3 2 3 2 5 2" xfId="11349" xr:uid="{00000000-0005-0000-0000-0000010B0000}"/>
    <cellStyle name="Normal 4 2 2 3 2 3 2 6" xfId="8170" xr:uid="{00000000-0005-0000-0000-0000020B0000}"/>
    <cellStyle name="Normal 4 2 2 3 2 3 3" xfId="1958" xr:uid="{00000000-0005-0000-0000-0000030B0000}"/>
    <cellStyle name="Normal 4 2 2 3 2 3 3 2" xfId="2750" xr:uid="{00000000-0005-0000-0000-0000040B0000}"/>
    <cellStyle name="Normal 4 2 2 3 2 3 3 2 2" xfId="4334" xr:uid="{00000000-0005-0000-0000-0000050B0000}"/>
    <cellStyle name="Normal 4 2 2 3 2 3 3 2 2 2" xfId="7562" xr:uid="{00000000-0005-0000-0000-0000060B0000}"/>
    <cellStyle name="Normal 4 2 2 3 2 3 3 2 2 2 2" xfId="13923" xr:uid="{00000000-0005-0000-0000-0000070B0000}"/>
    <cellStyle name="Normal 4 2 2 3 2 3 3 2 2 3" xfId="10744" xr:uid="{00000000-0005-0000-0000-0000080B0000}"/>
    <cellStyle name="Normal 4 2 2 3 2 3 3 2 3" xfId="5978" xr:uid="{00000000-0005-0000-0000-0000090B0000}"/>
    <cellStyle name="Normal 4 2 2 3 2 3 3 2 3 2" xfId="12339" xr:uid="{00000000-0005-0000-0000-00000A0B0000}"/>
    <cellStyle name="Normal 4 2 2 3 2 3 3 2 4" xfId="9160" xr:uid="{00000000-0005-0000-0000-00000B0B0000}"/>
    <cellStyle name="Normal 4 2 2 3 2 3 3 3" xfId="3542" xr:uid="{00000000-0005-0000-0000-00000C0B0000}"/>
    <cellStyle name="Normal 4 2 2 3 2 3 3 3 2" xfId="6770" xr:uid="{00000000-0005-0000-0000-00000D0B0000}"/>
    <cellStyle name="Normal 4 2 2 3 2 3 3 3 2 2" xfId="13131" xr:uid="{00000000-0005-0000-0000-00000E0B0000}"/>
    <cellStyle name="Normal 4 2 2 3 2 3 3 3 3" xfId="9952" xr:uid="{00000000-0005-0000-0000-00000F0B0000}"/>
    <cellStyle name="Normal 4 2 2 3 2 3 3 4" xfId="5186" xr:uid="{00000000-0005-0000-0000-0000100B0000}"/>
    <cellStyle name="Normal 4 2 2 3 2 3 3 4 2" xfId="11547" xr:uid="{00000000-0005-0000-0000-0000110B0000}"/>
    <cellStyle name="Normal 4 2 2 3 2 3 3 5" xfId="8368" xr:uid="{00000000-0005-0000-0000-0000120B0000}"/>
    <cellStyle name="Normal 4 2 2 3 2 3 4" xfId="2354" xr:uid="{00000000-0005-0000-0000-0000130B0000}"/>
    <cellStyle name="Normal 4 2 2 3 2 3 4 2" xfId="3938" xr:uid="{00000000-0005-0000-0000-0000140B0000}"/>
    <cellStyle name="Normal 4 2 2 3 2 3 4 2 2" xfId="7166" xr:uid="{00000000-0005-0000-0000-0000150B0000}"/>
    <cellStyle name="Normal 4 2 2 3 2 3 4 2 2 2" xfId="13527" xr:uid="{00000000-0005-0000-0000-0000160B0000}"/>
    <cellStyle name="Normal 4 2 2 3 2 3 4 2 3" xfId="10348" xr:uid="{00000000-0005-0000-0000-0000170B0000}"/>
    <cellStyle name="Normal 4 2 2 3 2 3 4 3" xfId="5582" xr:uid="{00000000-0005-0000-0000-0000180B0000}"/>
    <cellStyle name="Normal 4 2 2 3 2 3 4 3 2" xfId="11943" xr:uid="{00000000-0005-0000-0000-0000190B0000}"/>
    <cellStyle name="Normal 4 2 2 3 2 3 4 4" xfId="8764" xr:uid="{00000000-0005-0000-0000-00001A0B0000}"/>
    <cellStyle name="Normal 4 2 2 3 2 3 5" xfId="3146" xr:uid="{00000000-0005-0000-0000-00001B0B0000}"/>
    <cellStyle name="Normal 4 2 2 3 2 3 5 2" xfId="6374" xr:uid="{00000000-0005-0000-0000-00001C0B0000}"/>
    <cellStyle name="Normal 4 2 2 3 2 3 5 2 2" xfId="12735" xr:uid="{00000000-0005-0000-0000-00001D0B0000}"/>
    <cellStyle name="Normal 4 2 2 3 2 3 5 3" xfId="9556" xr:uid="{00000000-0005-0000-0000-00001E0B0000}"/>
    <cellStyle name="Normal 4 2 2 3 2 3 6" xfId="4790" xr:uid="{00000000-0005-0000-0000-00001F0B0000}"/>
    <cellStyle name="Normal 4 2 2 3 2 3 6 2" xfId="11151" xr:uid="{00000000-0005-0000-0000-0000200B0000}"/>
    <cellStyle name="Normal 4 2 2 3 2 3 7" xfId="7972" xr:uid="{00000000-0005-0000-0000-0000210B0000}"/>
    <cellStyle name="Normal 4 2 2 3 2 4" xfId="1630" xr:uid="{00000000-0005-0000-0000-0000220B0000}"/>
    <cellStyle name="Normal 4 2 2 3 2 4 2" xfId="1828" xr:uid="{00000000-0005-0000-0000-0000230B0000}"/>
    <cellStyle name="Normal 4 2 2 3 2 4 2 2" xfId="2224" xr:uid="{00000000-0005-0000-0000-0000240B0000}"/>
    <cellStyle name="Normal 4 2 2 3 2 4 2 2 2" xfId="3016" xr:uid="{00000000-0005-0000-0000-0000250B0000}"/>
    <cellStyle name="Normal 4 2 2 3 2 4 2 2 2 2" xfId="4600" xr:uid="{00000000-0005-0000-0000-0000260B0000}"/>
    <cellStyle name="Normal 4 2 2 3 2 4 2 2 2 2 2" xfId="7828" xr:uid="{00000000-0005-0000-0000-0000270B0000}"/>
    <cellStyle name="Normal 4 2 2 3 2 4 2 2 2 2 2 2" xfId="14189" xr:uid="{00000000-0005-0000-0000-0000280B0000}"/>
    <cellStyle name="Normal 4 2 2 3 2 4 2 2 2 2 3" xfId="11010" xr:uid="{00000000-0005-0000-0000-0000290B0000}"/>
    <cellStyle name="Normal 4 2 2 3 2 4 2 2 2 3" xfId="6244" xr:uid="{00000000-0005-0000-0000-00002A0B0000}"/>
    <cellStyle name="Normal 4 2 2 3 2 4 2 2 2 3 2" xfId="12605" xr:uid="{00000000-0005-0000-0000-00002B0B0000}"/>
    <cellStyle name="Normal 4 2 2 3 2 4 2 2 2 4" xfId="9426" xr:uid="{00000000-0005-0000-0000-00002C0B0000}"/>
    <cellStyle name="Normal 4 2 2 3 2 4 2 2 3" xfId="3808" xr:uid="{00000000-0005-0000-0000-00002D0B0000}"/>
    <cellStyle name="Normal 4 2 2 3 2 4 2 2 3 2" xfId="7036" xr:uid="{00000000-0005-0000-0000-00002E0B0000}"/>
    <cellStyle name="Normal 4 2 2 3 2 4 2 2 3 2 2" xfId="13397" xr:uid="{00000000-0005-0000-0000-00002F0B0000}"/>
    <cellStyle name="Normal 4 2 2 3 2 4 2 2 3 3" xfId="10218" xr:uid="{00000000-0005-0000-0000-0000300B0000}"/>
    <cellStyle name="Normal 4 2 2 3 2 4 2 2 4" xfId="5452" xr:uid="{00000000-0005-0000-0000-0000310B0000}"/>
    <cellStyle name="Normal 4 2 2 3 2 4 2 2 4 2" xfId="11813" xr:uid="{00000000-0005-0000-0000-0000320B0000}"/>
    <cellStyle name="Normal 4 2 2 3 2 4 2 2 5" xfId="8634" xr:uid="{00000000-0005-0000-0000-0000330B0000}"/>
    <cellStyle name="Normal 4 2 2 3 2 4 2 3" xfId="2620" xr:uid="{00000000-0005-0000-0000-0000340B0000}"/>
    <cellStyle name="Normal 4 2 2 3 2 4 2 3 2" xfId="4204" xr:uid="{00000000-0005-0000-0000-0000350B0000}"/>
    <cellStyle name="Normal 4 2 2 3 2 4 2 3 2 2" xfId="7432" xr:uid="{00000000-0005-0000-0000-0000360B0000}"/>
    <cellStyle name="Normal 4 2 2 3 2 4 2 3 2 2 2" xfId="13793" xr:uid="{00000000-0005-0000-0000-0000370B0000}"/>
    <cellStyle name="Normal 4 2 2 3 2 4 2 3 2 3" xfId="10614" xr:uid="{00000000-0005-0000-0000-0000380B0000}"/>
    <cellStyle name="Normal 4 2 2 3 2 4 2 3 3" xfId="5848" xr:uid="{00000000-0005-0000-0000-0000390B0000}"/>
    <cellStyle name="Normal 4 2 2 3 2 4 2 3 3 2" xfId="12209" xr:uid="{00000000-0005-0000-0000-00003A0B0000}"/>
    <cellStyle name="Normal 4 2 2 3 2 4 2 3 4" xfId="9030" xr:uid="{00000000-0005-0000-0000-00003B0B0000}"/>
    <cellStyle name="Normal 4 2 2 3 2 4 2 4" xfId="3412" xr:uid="{00000000-0005-0000-0000-00003C0B0000}"/>
    <cellStyle name="Normal 4 2 2 3 2 4 2 4 2" xfId="6640" xr:uid="{00000000-0005-0000-0000-00003D0B0000}"/>
    <cellStyle name="Normal 4 2 2 3 2 4 2 4 2 2" xfId="13001" xr:uid="{00000000-0005-0000-0000-00003E0B0000}"/>
    <cellStyle name="Normal 4 2 2 3 2 4 2 4 3" xfId="9822" xr:uid="{00000000-0005-0000-0000-00003F0B0000}"/>
    <cellStyle name="Normal 4 2 2 3 2 4 2 5" xfId="5056" xr:uid="{00000000-0005-0000-0000-0000400B0000}"/>
    <cellStyle name="Normal 4 2 2 3 2 4 2 5 2" xfId="11417" xr:uid="{00000000-0005-0000-0000-0000410B0000}"/>
    <cellStyle name="Normal 4 2 2 3 2 4 2 6" xfId="8238" xr:uid="{00000000-0005-0000-0000-0000420B0000}"/>
    <cellStyle name="Normal 4 2 2 3 2 4 3" xfId="2026" xr:uid="{00000000-0005-0000-0000-0000430B0000}"/>
    <cellStyle name="Normal 4 2 2 3 2 4 3 2" xfId="2818" xr:uid="{00000000-0005-0000-0000-0000440B0000}"/>
    <cellStyle name="Normal 4 2 2 3 2 4 3 2 2" xfId="4402" xr:uid="{00000000-0005-0000-0000-0000450B0000}"/>
    <cellStyle name="Normal 4 2 2 3 2 4 3 2 2 2" xfId="7630" xr:uid="{00000000-0005-0000-0000-0000460B0000}"/>
    <cellStyle name="Normal 4 2 2 3 2 4 3 2 2 2 2" xfId="13991" xr:uid="{00000000-0005-0000-0000-0000470B0000}"/>
    <cellStyle name="Normal 4 2 2 3 2 4 3 2 2 3" xfId="10812" xr:uid="{00000000-0005-0000-0000-0000480B0000}"/>
    <cellStyle name="Normal 4 2 2 3 2 4 3 2 3" xfId="6046" xr:uid="{00000000-0005-0000-0000-0000490B0000}"/>
    <cellStyle name="Normal 4 2 2 3 2 4 3 2 3 2" xfId="12407" xr:uid="{00000000-0005-0000-0000-00004A0B0000}"/>
    <cellStyle name="Normal 4 2 2 3 2 4 3 2 4" xfId="9228" xr:uid="{00000000-0005-0000-0000-00004B0B0000}"/>
    <cellStyle name="Normal 4 2 2 3 2 4 3 3" xfId="3610" xr:uid="{00000000-0005-0000-0000-00004C0B0000}"/>
    <cellStyle name="Normal 4 2 2 3 2 4 3 3 2" xfId="6838" xr:uid="{00000000-0005-0000-0000-00004D0B0000}"/>
    <cellStyle name="Normal 4 2 2 3 2 4 3 3 2 2" xfId="13199" xr:uid="{00000000-0005-0000-0000-00004E0B0000}"/>
    <cellStyle name="Normal 4 2 2 3 2 4 3 3 3" xfId="10020" xr:uid="{00000000-0005-0000-0000-00004F0B0000}"/>
    <cellStyle name="Normal 4 2 2 3 2 4 3 4" xfId="5254" xr:uid="{00000000-0005-0000-0000-0000500B0000}"/>
    <cellStyle name="Normal 4 2 2 3 2 4 3 4 2" xfId="11615" xr:uid="{00000000-0005-0000-0000-0000510B0000}"/>
    <cellStyle name="Normal 4 2 2 3 2 4 3 5" xfId="8436" xr:uid="{00000000-0005-0000-0000-0000520B0000}"/>
    <cellStyle name="Normal 4 2 2 3 2 4 4" xfId="2422" xr:uid="{00000000-0005-0000-0000-0000530B0000}"/>
    <cellStyle name="Normal 4 2 2 3 2 4 4 2" xfId="4006" xr:uid="{00000000-0005-0000-0000-0000540B0000}"/>
    <cellStyle name="Normal 4 2 2 3 2 4 4 2 2" xfId="7234" xr:uid="{00000000-0005-0000-0000-0000550B0000}"/>
    <cellStyle name="Normal 4 2 2 3 2 4 4 2 2 2" xfId="13595" xr:uid="{00000000-0005-0000-0000-0000560B0000}"/>
    <cellStyle name="Normal 4 2 2 3 2 4 4 2 3" xfId="10416" xr:uid="{00000000-0005-0000-0000-0000570B0000}"/>
    <cellStyle name="Normal 4 2 2 3 2 4 4 3" xfId="5650" xr:uid="{00000000-0005-0000-0000-0000580B0000}"/>
    <cellStyle name="Normal 4 2 2 3 2 4 4 3 2" xfId="12011" xr:uid="{00000000-0005-0000-0000-0000590B0000}"/>
    <cellStyle name="Normal 4 2 2 3 2 4 4 4" xfId="8832" xr:uid="{00000000-0005-0000-0000-00005A0B0000}"/>
    <cellStyle name="Normal 4 2 2 3 2 4 5" xfId="3214" xr:uid="{00000000-0005-0000-0000-00005B0B0000}"/>
    <cellStyle name="Normal 4 2 2 3 2 4 5 2" xfId="6442" xr:uid="{00000000-0005-0000-0000-00005C0B0000}"/>
    <cellStyle name="Normal 4 2 2 3 2 4 5 2 2" xfId="12803" xr:uid="{00000000-0005-0000-0000-00005D0B0000}"/>
    <cellStyle name="Normal 4 2 2 3 2 4 5 3" xfId="9624" xr:uid="{00000000-0005-0000-0000-00005E0B0000}"/>
    <cellStyle name="Normal 4 2 2 3 2 4 6" xfId="4858" xr:uid="{00000000-0005-0000-0000-00005F0B0000}"/>
    <cellStyle name="Normal 4 2 2 3 2 4 6 2" xfId="11219" xr:uid="{00000000-0005-0000-0000-0000600B0000}"/>
    <cellStyle name="Normal 4 2 2 3 2 4 7" xfId="8040" xr:uid="{00000000-0005-0000-0000-0000610B0000}"/>
    <cellStyle name="Normal 4 2 2 3 2 5" xfId="1695" xr:uid="{00000000-0005-0000-0000-0000620B0000}"/>
    <cellStyle name="Normal 4 2 2 3 2 5 2" xfId="2091" xr:uid="{00000000-0005-0000-0000-0000630B0000}"/>
    <cellStyle name="Normal 4 2 2 3 2 5 2 2" xfId="2883" xr:uid="{00000000-0005-0000-0000-0000640B0000}"/>
    <cellStyle name="Normal 4 2 2 3 2 5 2 2 2" xfId="4467" xr:uid="{00000000-0005-0000-0000-0000650B0000}"/>
    <cellStyle name="Normal 4 2 2 3 2 5 2 2 2 2" xfId="7695" xr:uid="{00000000-0005-0000-0000-0000660B0000}"/>
    <cellStyle name="Normal 4 2 2 3 2 5 2 2 2 2 2" xfId="14056" xr:uid="{00000000-0005-0000-0000-0000670B0000}"/>
    <cellStyle name="Normal 4 2 2 3 2 5 2 2 2 3" xfId="10877" xr:uid="{00000000-0005-0000-0000-0000680B0000}"/>
    <cellStyle name="Normal 4 2 2 3 2 5 2 2 3" xfId="6111" xr:uid="{00000000-0005-0000-0000-0000690B0000}"/>
    <cellStyle name="Normal 4 2 2 3 2 5 2 2 3 2" xfId="12472" xr:uid="{00000000-0005-0000-0000-00006A0B0000}"/>
    <cellStyle name="Normal 4 2 2 3 2 5 2 2 4" xfId="9293" xr:uid="{00000000-0005-0000-0000-00006B0B0000}"/>
    <cellStyle name="Normal 4 2 2 3 2 5 2 3" xfId="3675" xr:uid="{00000000-0005-0000-0000-00006C0B0000}"/>
    <cellStyle name="Normal 4 2 2 3 2 5 2 3 2" xfId="6903" xr:uid="{00000000-0005-0000-0000-00006D0B0000}"/>
    <cellStyle name="Normal 4 2 2 3 2 5 2 3 2 2" xfId="13264" xr:uid="{00000000-0005-0000-0000-00006E0B0000}"/>
    <cellStyle name="Normal 4 2 2 3 2 5 2 3 3" xfId="10085" xr:uid="{00000000-0005-0000-0000-00006F0B0000}"/>
    <cellStyle name="Normal 4 2 2 3 2 5 2 4" xfId="5319" xr:uid="{00000000-0005-0000-0000-0000700B0000}"/>
    <cellStyle name="Normal 4 2 2 3 2 5 2 4 2" xfId="11680" xr:uid="{00000000-0005-0000-0000-0000710B0000}"/>
    <cellStyle name="Normal 4 2 2 3 2 5 2 5" xfId="8501" xr:uid="{00000000-0005-0000-0000-0000720B0000}"/>
    <cellStyle name="Normal 4 2 2 3 2 5 3" xfId="2487" xr:uid="{00000000-0005-0000-0000-0000730B0000}"/>
    <cellStyle name="Normal 4 2 2 3 2 5 3 2" xfId="4071" xr:uid="{00000000-0005-0000-0000-0000740B0000}"/>
    <cellStyle name="Normal 4 2 2 3 2 5 3 2 2" xfId="7299" xr:uid="{00000000-0005-0000-0000-0000750B0000}"/>
    <cellStyle name="Normal 4 2 2 3 2 5 3 2 2 2" xfId="13660" xr:uid="{00000000-0005-0000-0000-0000760B0000}"/>
    <cellStyle name="Normal 4 2 2 3 2 5 3 2 3" xfId="10481" xr:uid="{00000000-0005-0000-0000-0000770B0000}"/>
    <cellStyle name="Normal 4 2 2 3 2 5 3 3" xfId="5715" xr:uid="{00000000-0005-0000-0000-0000780B0000}"/>
    <cellStyle name="Normal 4 2 2 3 2 5 3 3 2" xfId="12076" xr:uid="{00000000-0005-0000-0000-0000790B0000}"/>
    <cellStyle name="Normal 4 2 2 3 2 5 3 4" xfId="8897" xr:uid="{00000000-0005-0000-0000-00007A0B0000}"/>
    <cellStyle name="Normal 4 2 2 3 2 5 4" xfId="3279" xr:uid="{00000000-0005-0000-0000-00007B0B0000}"/>
    <cellStyle name="Normal 4 2 2 3 2 5 4 2" xfId="6507" xr:uid="{00000000-0005-0000-0000-00007C0B0000}"/>
    <cellStyle name="Normal 4 2 2 3 2 5 4 2 2" xfId="12868" xr:uid="{00000000-0005-0000-0000-00007D0B0000}"/>
    <cellStyle name="Normal 4 2 2 3 2 5 4 3" xfId="9689" xr:uid="{00000000-0005-0000-0000-00007E0B0000}"/>
    <cellStyle name="Normal 4 2 2 3 2 5 5" xfId="4923" xr:uid="{00000000-0005-0000-0000-00007F0B0000}"/>
    <cellStyle name="Normal 4 2 2 3 2 5 5 2" xfId="11284" xr:uid="{00000000-0005-0000-0000-0000800B0000}"/>
    <cellStyle name="Normal 4 2 2 3 2 5 6" xfId="8105" xr:uid="{00000000-0005-0000-0000-0000810B0000}"/>
    <cellStyle name="Normal 4 2 2 3 2 6" xfId="1893" xr:uid="{00000000-0005-0000-0000-0000820B0000}"/>
    <cellStyle name="Normal 4 2 2 3 2 6 2" xfId="2685" xr:uid="{00000000-0005-0000-0000-0000830B0000}"/>
    <cellStyle name="Normal 4 2 2 3 2 6 2 2" xfId="4269" xr:uid="{00000000-0005-0000-0000-0000840B0000}"/>
    <cellStyle name="Normal 4 2 2 3 2 6 2 2 2" xfId="7497" xr:uid="{00000000-0005-0000-0000-0000850B0000}"/>
    <cellStyle name="Normal 4 2 2 3 2 6 2 2 2 2" xfId="13858" xr:uid="{00000000-0005-0000-0000-0000860B0000}"/>
    <cellStyle name="Normal 4 2 2 3 2 6 2 2 3" xfId="10679" xr:uid="{00000000-0005-0000-0000-0000870B0000}"/>
    <cellStyle name="Normal 4 2 2 3 2 6 2 3" xfId="5913" xr:uid="{00000000-0005-0000-0000-0000880B0000}"/>
    <cellStyle name="Normal 4 2 2 3 2 6 2 3 2" xfId="12274" xr:uid="{00000000-0005-0000-0000-0000890B0000}"/>
    <cellStyle name="Normal 4 2 2 3 2 6 2 4" xfId="9095" xr:uid="{00000000-0005-0000-0000-00008A0B0000}"/>
    <cellStyle name="Normal 4 2 2 3 2 6 3" xfId="3477" xr:uid="{00000000-0005-0000-0000-00008B0B0000}"/>
    <cellStyle name="Normal 4 2 2 3 2 6 3 2" xfId="6705" xr:uid="{00000000-0005-0000-0000-00008C0B0000}"/>
    <cellStyle name="Normal 4 2 2 3 2 6 3 2 2" xfId="13066" xr:uid="{00000000-0005-0000-0000-00008D0B0000}"/>
    <cellStyle name="Normal 4 2 2 3 2 6 3 3" xfId="9887" xr:uid="{00000000-0005-0000-0000-00008E0B0000}"/>
    <cellStyle name="Normal 4 2 2 3 2 6 4" xfId="5121" xr:uid="{00000000-0005-0000-0000-00008F0B0000}"/>
    <cellStyle name="Normal 4 2 2 3 2 6 4 2" xfId="11482" xr:uid="{00000000-0005-0000-0000-0000900B0000}"/>
    <cellStyle name="Normal 4 2 2 3 2 6 5" xfId="8303" xr:uid="{00000000-0005-0000-0000-0000910B0000}"/>
    <cellStyle name="Normal 4 2 2 3 2 7" xfId="2289" xr:uid="{00000000-0005-0000-0000-0000920B0000}"/>
    <cellStyle name="Normal 4 2 2 3 2 7 2" xfId="3873" xr:uid="{00000000-0005-0000-0000-0000930B0000}"/>
    <cellStyle name="Normal 4 2 2 3 2 7 2 2" xfId="7101" xr:uid="{00000000-0005-0000-0000-0000940B0000}"/>
    <cellStyle name="Normal 4 2 2 3 2 7 2 2 2" xfId="13462" xr:uid="{00000000-0005-0000-0000-0000950B0000}"/>
    <cellStyle name="Normal 4 2 2 3 2 7 2 3" xfId="10283" xr:uid="{00000000-0005-0000-0000-0000960B0000}"/>
    <cellStyle name="Normal 4 2 2 3 2 7 3" xfId="5517" xr:uid="{00000000-0005-0000-0000-0000970B0000}"/>
    <cellStyle name="Normal 4 2 2 3 2 7 3 2" xfId="11878" xr:uid="{00000000-0005-0000-0000-0000980B0000}"/>
    <cellStyle name="Normal 4 2 2 3 2 7 4" xfId="8699" xr:uid="{00000000-0005-0000-0000-0000990B0000}"/>
    <cellStyle name="Normal 4 2 2 3 2 8" xfId="3081" xr:uid="{00000000-0005-0000-0000-00009A0B0000}"/>
    <cellStyle name="Normal 4 2 2 3 2 8 2" xfId="6309" xr:uid="{00000000-0005-0000-0000-00009B0B0000}"/>
    <cellStyle name="Normal 4 2 2 3 2 8 2 2" xfId="12670" xr:uid="{00000000-0005-0000-0000-00009C0B0000}"/>
    <cellStyle name="Normal 4 2 2 3 2 8 3" xfId="9491" xr:uid="{00000000-0005-0000-0000-00009D0B0000}"/>
    <cellStyle name="Normal 4 2 2 3 2 9" xfId="4725" xr:uid="{00000000-0005-0000-0000-00009E0B0000}"/>
    <cellStyle name="Normal 4 2 2 3 2 9 2" xfId="11086" xr:uid="{00000000-0005-0000-0000-00009F0B0000}"/>
    <cellStyle name="Normal 4 2 2 3 3" xfId="1466" xr:uid="{00000000-0005-0000-0000-0000A00B0000}"/>
    <cellStyle name="Normal 4 2 2 3 3 2" xfId="1578" xr:uid="{00000000-0005-0000-0000-0000A10B0000}"/>
    <cellStyle name="Normal 4 2 2 3 3 2 2" xfId="1776" xr:uid="{00000000-0005-0000-0000-0000A20B0000}"/>
    <cellStyle name="Normal 4 2 2 3 3 2 2 2" xfId="2172" xr:uid="{00000000-0005-0000-0000-0000A30B0000}"/>
    <cellStyle name="Normal 4 2 2 3 3 2 2 2 2" xfId="2964" xr:uid="{00000000-0005-0000-0000-0000A40B0000}"/>
    <cellStyle name="Normal 4 2 2 3 3 2 2 2 2 2" xfId="4548" xr:uid="{00000000-0005-0000-0000-0000A50B0000}"/>
    <cellStyle name="Normal 4 2 2 3 3 2 2 2 2 2 2" xfId="7776" xr:uid="{00000000-0005-0000-0000-0000A60B0000}"/>
    <cellStyle name="Normal 4 2 2 3 3 2 2 2 2 2 2 2" xfId="14137" xr:uid="{00000000-0005-0000-0000-0000A70B0000}"/>
    <cellStyle name="Normal 4 2 2 3 3 2 2 2 2 2 3" xfId="10958" xr:uid="{00000000-0005-0000-0000-0000A80B0000}"/>
    <cellStyle name="Normal 4 2 2 3 3 2 2 2 2 3" xfId="6192" xr:uid="{00000000-0005-0000-0000-0000A90B0000}"/>
    <cellStyle name="Normal 4 2 2 3 3 2 2 2 2 3 2" xfId="12553" xr:uid="{00000000-0005-0000-0000-0000AA0B0000}"/>
    <cellStyle name="Normal 4 2 2 3 3 2 2 2 2 4" xfId="9374" xr:uid="{00000000-0005-0000-0000-0000AB0B0000}"/>
    <cellStyle name="Normal 4 2 2 3 3 2 2 2 3" xfId="3756" xr:uid="{00000000-0005-0000-0000-0000AC0B0000}"/>
    <cellStyle name="Normal 4 2 2 3 3 2 2 2 3 2" xfId="6984" xr:uid="{00000000-0005-0000-0000-0000AD0B0000}"/>
    <cellStyle name="Normal 4 2 2 3 3 2 2 2 3 2 2" xfId="13345" xr:uid="{00000000-0005-0000-0000-0000AE0B0000}"/>
    <cellStyle name="Normal 4 2 2 3 3 2 2 2 3 3" xfId="10166" xr:uid="{00000000-0005-0000-0000-0000AF0B0000}"/>
    <cellStyle name="Normal 4 2 2 3 3 2 2 2 4" xfId="5400" xr:uid="{00000000-0005-0000-0000-0000B00B0000}"/>
    <cellStyle name="Normal 4 2 2 3 3 2 2 2 4 2" xfId="11761" xr:uid="{00000000-0005-0000-0000-0000B10B0000}"/>
    <cellStyle name="Normal 4 2 2 3 3 2 2 2 5" xfId="8582" xr:uid="{00000000-0005-0000-0000-0000B20B0000}"/>
    <cellStyle name="Normal 4 2 2 3 3 2 2 3" xfId="2568" xr:uid="{00000000-0005-0000-0000-0000B30B0000}"/>
    <cellStyle name="Normal 4 2 2 3 3 2 2 3 2" xfId="4152" xr:uid="{00000000-0005-0000-0000-0000B40B0000}"/>
    <cellStyle name="Normal 4 2 2 3 3 2 2 3 2 2" xfId="7380" xr:uid="{00000000-0005-0000-0000-0000B50B0000}"/>
    <cellStyle name="Normal 4 2 2 3 3 2 2 3 2 2 2" xfId="13741" xr:uid="{00000000-0005-0000-0000-0000B60B0000}"/>
    <cellStyle name="Normal 4 2 2 3 3 2 2 3 2 3" xfId="10562" xr:uid="{00000000-0005-0000-0000-0000B70B0000}"/>
    <cellStyle name="Normal 4 2 2 3 3 2 2 3 3" xfId="5796" xr:uid="{00000000-0005-0000-0000-0000B80B0000}"/>
    <cellStyle name="Normal 4 2 2 3 3 2 2 3 3 2" xfId="12157" xr:uid="{00000000-0005-0000-0000-0000B90B0000}"/>
    <cellStyle name="Normal 4 2 2 3 3 2 2 3 4" xfId="8978" xr:uid="{00000000-0005-0000-0000-0000BA0B0000}"/>
    <cellStyle name="Normal 4 2 2 3 3 2 2 4" xfId="3360" xr:uid="{00000000-0005-0000-0000-0000BB0B0000}"/>
    <cellStyle name="Normal 4 2 2 3 3 2 2 4 2" xfId="6588" xr:uid="{00000000-0005-0000-0000-0000BC0B0000}"/>
    <cellStyle name="Normal 4 2 2 3 3 2 2 4 2 2" xfId="12949" xr:uid="{00000000-0005-0000-0000-0000BD0B0000}"/>
    <cellStyle name="Normal 4 2 2 3 3 2 2 4 3" xfId="9770" xr:uid="{00000000-0005-0000-0000-0000BE0B0000}"/>
    <cellStyle name="Normal 4 2 2 3 3 2 2 5" xfId="5004" xr:uid="{00000000-0005-0000-0000-0000BF0B0000}"/>
    <cellStyle name="Normal 4 2 2 3 3 2 2 5 2" xfId="11365" xr:uid="{00000000-0005-0000-0000-0000C00B0000}"/>
    <cellStyle name="Normal 4 2 2 3 3 2 2 6" xfId="8186" xr:uid="{00000000-0005-0000-0000-0000C10B0000}"/>
    <cellStyle name="Normal 4 2 2 3 3 2 3" xfId="1974" xr:uid="{00000000-0005-0000-0000-0000C20B0000}"/>
    <cellStyle name="Normal 4 2 2 3 3 2 3 2" xfId="2766" xr:uid="{00000000-0005-0000-0000-0000C30B0000}"/>
    <cellStyle name="Normal 4 2 2 3 3 2 3 2 2" xfId="4350" xr:uid="{00000000-0005-0000-0000-0000C40B0000}"/>
    <cellStyle name="Normal 4 2 2 3 3 2 3 2 2 2" xfId="7578" xr:uid="{00000000-0005-0000-0000-0000C50B0000}"/>
    <cellStyle name="Normal 4 2 2 3 3 2 3 2 2 2 2" xfId="13939" xr:uid="{00000000-0005-0000-0000-0000C60B0000}"/>
    <cellStyle name="Normal 4 2 2 3 3 2 3 2 2 3" xfId="10760" xr:uid="{00000000-0005-0000-0000-0000C70B0000}"/>
    <cellStyle name="Normal 4 2 2 3 3 2 3 2 3" xfId="5994" xr:uid="{00000000-0005-0000-0000-0000C80B0000}"/>
    <cellStyle name="Normal 4 2 2 3 3 2 3 2 3 2" xfId="12355" xr:uid="{00000000-0005-0000-0000-0000C90B0000}"/>
    <cellStyle name="Normal 4 2 2 3 3 2 3 2 4" xfId="9176" xr:uid="{00000000-0005-0000-0000-0000CA0B0000}"/>
    <cellStyle name="Normal 4 2 2 3 3 2 3 3" xfId="3558" xr:uid="{00000000-0005-0000-0000-0000CB0B0000}"/>
    <cellStyle name="Normal 4 2 2 3 3 2 3 3 2" xfId="6786" xr:uid="{00000000-0005-0000-0000-0000CC0B0000}"/>
    <cellStyle name="Normal 4 2 2 3 3 2 3 3 2 2" xfId="13147" xr:uid="{00000000-0005-0000-0000-0000CD0B0000}"/>
    <cellStyle name="Normal 4 2 2 3 3 2 3 3 3" xfId="9968" xr:uid="{00000000-0005-0000-0000-0000CE0B0000}"/>
    <cellStyle name="Normal 4 2 2 3 3 2 3 4" xfId="5202" xr:uid="{00000000-0005-0000-0000-0000CF0B0000}"/>
    <cellStyle name="Normal 4 2 2 3 3 2 3 4 2" xfId="11563" xr:uid="{00000000-0005-0000-0000-0000D00B0000}"/>
    <cellStyle name="Normal 4 2 2 3 3 2 3 5" xfId="8384" xr:uid="{00000000-0005-0000-0000-0000D10B0000}"/>
    <cellStyle name="Normal 4 2 2 3 3 2 4" xfId="2370" xr:uid="{00000000-0005-0000-0000-0000D20B0000}"/>
    <cellStyle name="Normal 4 2 2 3 3 2 4 2" xfId="3954" xr:uid="{00000000-0005-0000-0000-0000D30B0000}"/>
    <cellStyle name="Normal 4 2 2 3 3 2 4 2 2" xfId="7182" xr:uid="{00000000-0005-0000-0000-0000D40B0000}"/>
    <cellStyle name="Normal 4 2 2 3 3 2 4 2 2 2" xfId="13543" xr:uid="{00000000-0005-0000-0000-0000D50B0000}"/>
    <cellStyle name="Normal 4 2 2 3 3 2 4 2 3" xfId="10364" xr:uid="{00000000-0005-0000-0000-0000D60B0000}"/>
    <cellStyle name="Normal 4 2 2 3 3 2 4 3" xfId="5598" xr:uid="{00000000-0005-0000-0000-0000D70B0000}"/>
    <cellStyle name="Normal 4 2 2 3 3 2 4 3 2" xfId="11959" xr:uid="{00000000-0005-0000-0000-0000D80B0000}"/>
    <cellStyle name="Normal 4 2 2 3 3 2 4 4" xfId="8780" xr:uid="{00000000-0005-0000-0000-0000D90B0000}"/>
    <cellStyle name="Normal 4 2 2 3 3 2 5" xfId="3162" xr:uid="{00000000-0005-0000-0000-0000DA0B0000}"/>
    <cellStyle name="Normal 4 2 2 3 3 2 5 2" xfId="6390" xr:uid="{00000000-0005-0000-0000-0000DB0B0000}"/>
    <cellStyle name="Normal 4 2 2 3 3 2 5 2 2" xfId="12751" xr:uid="{00000000-0005-0000-0000-0000DC0B0000}"/>
    <cellStyle name="Normal 4 2 2 3 3 2 5 3" xfId="9572" xr:uid="{00000000-0005-0000-0000-0000DD0B0000}"/>
    <cellStyle name="Normal 4 2 2 3 3 2 6" xfId="4806" xr:uid="{00000000-0005-0000-0000-0000DE0B0000}"/>
    <cellStyle name="Normal 4 2 2 3 3 2 6 2" xfId="11167" xr:uid="{00000000-0005-0000-0000-0000DF0B0000}"/>
    <cellStyle name="Normal 4 2 2 3 3 2 7" xfId="7988" xr:uid="{00000000-0005-0000-0000-0000E00B0000}"/>
    <cellStyle name="Normal 4 2 2 3 3 3" xfId="1646" xr:uid="{00000000-0005-0000-0000-0000E10B0000}"/>
    <cellStyle name="Normal 4 2 2 3 3 3 2" xfId="1844" xr:uid="{00000000-0005-0000-0000-0000E20B0000}"/>
    <cellStyle name="Normal 4 2 2 3 3 3 2 2" xfId="2240" xr:uid="{00000000-0005-0000-0000-0000E30B0000}"/>
    <cellStyle name="Normal 4 2 2 3 3 3 2 2 2" xfId="3032" xr:uid="{00000000-0005-0000-0000-0000E40B0000}"/>
    <cellStyle name="Normal 4 2 2 3 3 3 2 2 2 2" xfId="4616" xr:uid="{00000000-0005-0000-0000-0000E50B0000}"/>
    <cellStyle name="Normal 4 2 2 3 3 3 2 2 2 2 2" xfId="7844" xr:uid="{00000000-0005-0000-0000-0000E60B0000}"/>
    <cellStyle name="Normal 4 2 2 3 3 3 2 2 2 2 2 2" xfId="14205" xr:uid="{00000000-0005-0000-0000-0000E70B0000}"/>
    <cellStyle name="Normal 4 2 2 3 3 3 2 2 2 2 3" xfId="11026" xr:uid="{00000000-0005-0000-0000-0000E80B0000}"/>
    <cellStyle name="Normal 4 2 2 3 3 3 2 2 2 3" xfId="6260" xr:uid="{00000000-0005-0000-0000-0000E90B0000}"/>
    <cellStyle name="Normal 4 2 2 3 3 3 2 2 2 3 2" xfId="12621" xr:uid="{00000000-0005-0000-0000-0000EA0B0000}"/>
    <cellStyle name="Normal 4 2 2 3 3 3 2 2 2 4" xfId="9442" xr:uid="{00000000-0005-0000-0000-0000EB0B0000}"/>
    <cellStyle name="Normal 4 2 2 3 3 3 2 2 3" xfId="3824" xr:uid="{00000000-0005-0000-0000-0000EC0B0000}"/>
    <cellStyle name="Normal 4 2 2 3 3 3 2 2 3 2" xfId="7052" xr:uid="{00000000-0005-0000-0000-0000ED0B0000}"/>
    <cellStyle name="Normal 4 2 2 3 3 3 2 2 3 2 2" xfId="13413" xr:uid="{00000000-0005-0000-0000-0000EE0B0000}"/>
    <cellStyle name="Normal 4 2 2 3 3 3 2 2 3 3" xfId="10234" xr:uid="{00000000-0005-0000-0000-0000EF0B0000}"/>
    <cellStyle name="Normal 4 2 2 3 3 3 2 2 4" xfId="5468" xr:uid="{00000000-0005-0000-0000-0000F00B0000}"/>
    <cellStyle name="Normal 4 2 2 3 3 3 2 2 4 2" xfId="11829" xr:uid="{00000000-0005-0000-0000-0000F10B0000}"/>
    <cellStyle name="Normal 4 2 2 3 3 3 2 2 5" xfId="8650" xr:uid="{00000000-0005-0000-0000-0000F20B0000}"/>
    <cellStyle name="Normal 4 2 2 3 3 3 2 3" xfId="2636" xr:uid="{00000000-0005-0000-0000-0000F30B0000}"/>
    <cellStyle name="Normal 4 2 2 3 3 3 2 3 2" xfId="4220" xr:uid="{00000000-0005-0000-0000-0000F40B0000}"/>
    <cellStyle name="Normal 4 2 2 3 3 3 2 3 2 2" xfId="7448" xr:uid="{00000000-0005-0000-0000-0000F50B0000}"/>
    <cellStyle name="Normal 4 2 2 3 3 3 2 3 2 2 2" xfId="13809" xr:uid="{00000000-0005-0000-0000-0000F60B0000}"/>
    <cellStyle name="Normal 4 2 2 3 3 3 2 3 2 3" xfId="10630" xr:uid="{00000000-0005-0000-0000-0000F70B0000}"/>
    <cellStyle name="Normal 4 2 2 3 3 3 2 3 3" xfId="5864" xr:uid="{00000000-0005-0000-0000-0000F80B0000}"/>
    <cellStyle name="Normal 4 2 2 3 3 3 2 3 3 2" xfId="12225" xr:uid="{00000000-0005-0000-0000-0000F90B0000}"/>
    <cellStyle name="Normal 4 2 2 3 3 3 2 3 4" xfId="9046" xr:uid="{00000000-0005-0000-0000-0000FA0B0000}"/>
    <cellStyle name="Normal 4 2 2 3 3 3 2 4" xfId="3428" xr:uid="{00000000-0005-0000-0000-0000FB0B0000}"/>
    <cellStyle name="Normal 4 2 2 3 3 3 2 4 2" xfId="6656" xr:uid="{00000000-0005-0000-0000-0000FC0B0000}"/>
    <cellStyle name="Normal 4 2 2 3 3 3 2 4 2 2" xfId="13017" xr:uid="{00000000-0005-0000-0000-0000FD0B0000}"/>
    <cellStyle name="Normal 4 2 2 3 3 3 2 4 3" xfId="9838" xr:uid="{00000000-0005-0000-0000-0000FE0B0000}"/>
    <cellStyle name="Normal 4 2 2 3 3 3 2 5" xfId="5072" xr:uid="{00000000-0005-0000-0000-0000FF0B0000}"/>
    <cellStyle name="Normal 4 2 2 3 3 3 2 5 2" xfId="11433" xr:uid="{00000000-0005-0000-0000-0000000C0000}"/>
    <cellStyle name="Normal 4 2 2 3 3 3 2 6" xfId="8254" xr:uid="{00000000-0005-0000-0000-0000010C0000}"/>
    <cellStyle name="Normal 4 2 2 3 3 3 3" xfId="2042" xr:uid="{00000000-0005-0000-0000-0000020C0000}"/>
    <cellStyle name="Normal 4 2 2 3 3 3 3 2" xfId="2834" xr:uid="{00000000-0005-0000-0000-0000030C0000}"/>
    <cellStyle name="Normal 4 2 2 3 3 3 3 2 2" xfId="4418" xr:uid="{00000000-0005-0000-0000-0000040C0000}"/>
    <cellStyle name="Normal 4 2 2 3 3 3 3 2 2 2" xfId="7646" xr:uid="{00000000-0005-0000-0000-0000050C0000}"/>
    <cellStyle name="Normal 4 2 2 3 3 3 3 2 2 2 2" xfId="14007" xr:uid="{00000000-0005-0000-0000-0000060C0000}"/>
    <cellStyle name="Normal 4 2 2 3 3 3 3 2 2 3" xfId="10828" xr:uid="{00000000-0005-0000-0000-0000070C0000}"/>
    <cellStyle name="Normal 4 2 2 3 3 3 3 2 3" xfId="6062" xr:uid="{00000000-0005-0000-0000-0000080C0000}"/>
    <cellStyle name="Normal 4 2 2 3 3 3 3 2 3 2" xfId="12423" xr:uid="{00000000-0005-0000-0000-0000090C0000}"/>
    <cellStyle name="Normal 4 2 2 3 3 3 3 2 4" xfId="9244" xr:uid="{00000000-0005-0000-0000-00000A0C0000}"/>
    <cellStyle name="Normal 4 2 2 3 3 3 3 3" xfId="3626" xr:uid="{00000000-0005-0000-0000-00000B0C0000}"/>
    <cellStyle name="Normal 4 2 2 3 3 3 3 3 2" xfId="6854" xr:uid="{00000000-0005-0000-0000-00000C0C0000}"/>
    <cellStyle name="Normal 4 2 2 3 3 3 3 3 2 2" xfId="13215" xr:uid="{00000000-0005-0000-0000-00000D0C0000}"/>
    <cellStyle name="Normal 4 2 2 3 3 3 3 3 3" xfId="10036" xr:uid="{00000000-0005-0000-0000-00000E0C0000}"/>
    <cellStyle name="Normal 4 2 2 3 3 3 3 4" xfId="5270" xr:uid="{00000000-0005-0000-0000-00000F0C0000}"/>
    <cellStyle name="Normal 4 2 2 3 3 3 3 4 2" xfId="11631" xr:uid="{00000000-0005-0000-0000-0000100C0000}"/>
    <cellStyle name="Normal 4 2 2 3 3 3 3 5" xfId="8452" xr:uid="{00000000-0005-0000-0000-0000110C0000}"/>
    <cellStyle name="Normal 4 2 2 3 3 3 4" xfId="2438" xr:uid="{00000000-0005-0000-0000-0000120C0000}"/>
    <cellStyle name="Normal 4 2 2 3 3 3 4 2" xfId="4022" xr:uid="{00000000-0005-0000-0000-0000130C0000}"/>
    <cellStyle name="Normal 4 2 2 3 3 3 4 2 2" xfId="7250" xr:uid="{00000000-0005-0000-0000-0000140C0000}"/>
    <cellStyle name="Normal 4 2 2 3 3 3 4 2 2 2" xfId="13611" xr:uid="{00000000-0005-0000-0000-0000150C0000}"/>
    <cellStyle name="Normal 4 2 2 3 3 3 4 2 3" xfId="10432" xr:uid="{00000000-0005-0000-0000-0000160C0000}"/>
    <cellStyle name="Normal 4 2 2 3 3 3 4 3" xfId="5666" xr:uid="{00000000-0005-0000-0000-0000170C0000}"/>
    <cellStyle name="Normal 4 2 2 3 3 3 4 3 2" xfId="12027" xr:uid="{00000000-0005-0000-0000-0000180C0000}"/>
    <cellStyle name="Normal 4 2 2 3 3 3 4 4" xfId="8848" xr:uid="{00000000-0005-0000-0000-0000190C0000}"/>
    <cellStyle name="Normal 4 2 2 3 3 3 5" xfId="3230" xr:uid="{00000000-0005-0000-0000-00001A0C0000}"/>
    <cellStyle name="Normal 4 2 2 3 3 3 5 2" xfId="6458" xr:uid="{00000000-0005-0000-0000-00001B0C0000}"/>
    <cellStyle name="Normal 4 2 2 3 3 3 5 2 2" xfId="12819" xr:uid="{00000000-0005-0000-0000-00001C0C0000}"/>
    <cellStyle name="Normal 4 2 2 3 3 3 5 3" xfId="9640" xr:uid="{00000000-0005-0000-0000-00001D0C0000}"/>
    <cellStyle name="Normal 4 2 2 3 3 3 6" xfId="4874" xr:uid="{00000000-0005-0000-0000-00001E0C0000}"/>
    <cellStyle name="Normal 4 2 2 3 3 3 6 2" xfId="11235" xr:uid="{00000000-0005-0000-0000-00001F0C0000}"/>
    <cellStyle name="Normal 4 2 2 3 3 3 7" xfId="8056" xr:uid="{00000000-0005-0000-0000-0000200C0000}"/>
    <cellStyle name="Normal 4 2 2 3 3 4" xfId="1711" xr:uid="{00000000-0005-0000-0000-0000210C0000}"/>
    <cellStyle name="Normal 4 2 2 3 3 4 2" xfId="2107" xr:uid="{00000000-0005-0000-0000-0000220C0000}"/>
    <cellStyle name="Normal 4 2 2 3 3 4 2 2" xfId="2899" xr:uid="{00000000-0005-0000-0000-0000230C0000}"/>
    <cellStyle name="Normal 4 2 2 3 3 4 2 2 2" xfId="4483" xr:uid="{00000000-0005-0000-0000-0000240C0000}"/>
    <cellStyle name="Normal 4 2 2 3 3 4 2 2 2 2" xfId="7711" xr:uid="{00000000-0005-0000-0000-0000250C0000}"/>
    <cellStyle name="Normal 4 2 2 3 3 4 2 2 2 2 2" xfId="14072" xr:uid="{00000000-0005-0000-0000-0000260C0000}"/>
    <cellStyle name="Normal 4 2 2 3 3 4 2 2 2 3" xfId="10893" xr:uid="{00000000-0005-0000-0000-0000270C0000}"/>
    <cellStyle name="Normal 4 2 2 3 3 4 2 2 3" xfId="6127" xr:uid="{00000000-0005-0000-0000-0000280C0000}"/>
    <cellStyle name="Normal 4 2 2 3 3 4 2 2 3 2" xfId="12488" xr:uid="{00000000-0005-0000-0000-0000290C0000}"/>
    <cellStyle name="Normal 4 2 2 3 3 4 2 2 4" xfId="9309" xr:uid="{00000000-0005-0000-0000-00002A0C0000}"/>
    <cellStyle name="Normal 4 2 2 3 3 4 2 3" xfId="3691" xr:uid="{00000000-0005-0000-0000-00002B0C0000}"/>
    <cellStyle name="Normal 4 2 2 3 3 4 2 3 2" xfId="6919" xr:uid="{00000000-0005-0000-0000-00002C0C0000}"/>
    <cellStyle name="Normal 4 2 2 3 3 4 2 3 2 2" xfId="13280" xr:uid="{00000000-0005-0000-0000-00002D0C0000}"/>
    <cellStyle name="Normal 4 2 2 3 3 4 2 3 3" xfId="10101" xr:uid="{00000000-0005-0000-0000-00002E0C0000}"/>
    <cellStyle name="Normal 4 2 2 3 3 4 2 4" xfId="5335" xr:uid="{00000000-0005-0000-0000-00002F0C0000}"/>
    <cellStyle name="Normal 4 2 2 3 3 4 2 4 2" xfId="11696" xr:uid="{00000000-0005-0000-0000-0000300C0000}"/>
    <cellStyle name="Normal 4 2 2 3 3 4 2 5" xfId="8517" xr:uid="{00000000-0005-0000-0000-0000310C0000}"/>
    <cellStyle name="Normal 4 2 2 3 3 4 3" xfId="2503" xr:uid="{00000000-0005-0000-0000-0000320C0000}"/>
    <cellStyle name="Normal 4 2 2 3 3 4 3 2" xfId="4087" xr:uid="{00000000-0005-0000-0000-0000330C0000}"/>
    <cellStyle name="Normal 4 2 2 3 3 4 3 2 2" xfId="7315" xr:uid="{00000000-0005-0000-0000-0000340C0000}"/>
    <cellStyle name="Normal 4 2 2 3 3 4 3 2 2 2" xfId="13676" xr:uid="{00000000-0005-0000-0000-0000350C0000}"/>
    <cellStyle name="Normal 4 2 2 3 3 4 3 2 3" xfId="10497" xr:uid="{00000000-0005-0000-0000-0000360C0000}"/>
    <cellStyle name="Normal 4 2 2 3 3 4 3 3" xfId="5731" xr:uid="{00000000-0005-0000-0000-0000370C0000}"/>
    <cellStyle name="Normal 4 2 2 3 3 4 3 3 2" xfId="12092" xr:uid="{00000000-0005-0000-0000-0000380C0000}"/>
    <cellStyle name="Normal 4 2 2 3 3 4 3 4" xfId="8913" xr:uid="{00000000-0005-0000-0000-0000390C0000}"/>
    <cellStyle name="Normal 4 2 2 3 3 4 4" xfId="3295" xr:uid="{00000000-0005-0000-0000-00003A0C0000}"/>
    <cellStyle name="Normal 4 2 2 3 3 4 4 2" xfId="6523" xr:uid="{00000000-0005-0000-0000-00003B0C0000}"/>
    <cellStyle name="Normal 4 2 2 3 3 4 4 2 2" xfId="12884" xr:uid="{00000000-0005-0000-0000-00003C0C0000}"/>
    <cellStyle name="Normal 4 2 2 3 3 4 4 3" xfId="9705" xr:uid="{00000000-0005-0000-0000-00003D0C0000}"/>
    <cellStyle name="Normal 4 2 2 3 3 4 5" xfId="4939" xr:uid="{00000000-0005-0000-0000-00003E0C0000}"/>
    <cellStyle name="Normal 4 2 2 3 3 4 5 2" xfId="11300" xr:uid="{00000000-0005-0000-0000-00003F0C0000}"/>
    <cellStyle name="Normal 4 2 2 3 3 4 6" xfId="8121" xr:uid="{00000000-0005-0000-0000-0000400C0000}"/>
    <cellStyle name="Normal 4 2 2 3 3 5" xfId="1909" xr:uid="{00000000-0005-0000-0000-0000410C0000}"/>
    <cellStyle name="Normal 4 2 2 3 3 5 2" xfId="2701" xr:uid="{00000000-0005-0000-0000-0000420C0000}"/>
    <cellStyle name="Normal 4 2 2 3 3 5 2 2" xfId="4285" xr:uid="{00000000-0005-0000-0000-0000430C0000}"/>
    <cellStyle name="Normal 4 2 2 3 3 5 2 2 2" xfId="7513" xr:uid="{00000000-0005-0000-0000-0000440C0000}"/>
    <cellStyle name="Normal 4 2 2 3 3 5 2 2 2 2" xfId="13874" xr:uid="{00000000-0005-0000-0000-0000450C0000}"/>
    <cellStyle name="Normal 4 2 2 3 3 5 2 2 3" xfId="10695" xr:uid="{00000000-0005-0000-0000-0000460C0000}"/>
    <cellStyle name="Normal 4 2 2 3 3 5 2 3" xfId="5929" xr:uid="{00000000-0005-0000-0000-0000470C0000}"/>
    <cellStyle name="Normal 4 2 2 3 3 5 2 3 2" xfId="12290" xr:uid="{00000000-0005-0000-0000-0000480C0000}"/>
    <cellStyle name="Normal 4 2 2 3 3 5 2 4" xfId="9111" xr:uid="{00000000-0005-0000-0000-0000490C0000}"/>
    <cellStyle name="Normal 4 2 2 3 3 5 3" xfId="3493" xr:uid="{00000000-0005-0000-0000-00004A0C0000}"/>
    <cellStyle name="Normal 4 2 2 3 3 5 3 2" xfId="6721" xr:uid="{00000000-0005-0000-0000-00004B0C0000}"/>
    <cellStyle name="Normal 4 2 2 3 3 5 3 2 2" xfId="13082" xr:uid="{00000000-0005-0000-0000-00004C0C0000}"/>
    <cellStyle name="Normal 4 2 2 3 3 5 3 3" xfId="9903" xr:uid="{00000000-0005-0000-0000-00004D0C0000}"/>
    <cellStyle name="Normal 4 2 2 3 3 5 4" xfId="5137" xr:uid="{00000000-0005-0000-0000-00004E0C0000}"/>
    <cellStyle name="Normal 4 2 2 3 3 5 4 2" xfId="11498" xr:uid="{00000000-0005-0000-0000-00004F0C0000}"/>
    <cellStyle name="Normal 4 2 2 3 3 5 5" xfId="8319" xr:uid="{00000000-0005-0000-0000-0000500C0000}"/>
    <cellStyle name="Normal 4 2 2 3 3 6" xfId="2305" xr:uid="{00000000-0005-0000-0000-0000510C0000}"/>
    <cellStyle name="Normal 4 2 2 3 3 6 2" xfId="3889" xr:uid="{00000000-0005-0000-0000-0000520C0000}"/>
    <cellStyle name="Normal 4 2 2 3 3 6 2 2" xfId="7117" xr:uid="{00000000-0005-0000-0000-0000530C0000}"/>
    <cellStyle name="Normal 4 2 2 3 3 6 2 2 2" xfId="13478" xr:uid="{00000000-0005-0000-0000-0000540C0000}"/>
    <cellStyle name="Normal 4 2 2 3 3 6 2 3" xfId="10299" xr:uid="{00000000-0005-0000-0000-0000550C0000}"/>
    <cellStyle name="Normal 4 2 2 3 3 6 3" xfId="5533" xr:uid="{00000000-0005-0000-0000-0000560C0000}"/>
    <cellStyle name="Normal 4 2 2 3 3 6 3 2" xfId="11894" xr:uid="{00000000-0005-0000-0000-0000570C0000}"/>
    <cellStyle name="Normal 4 2 2 3 3 6 4" xfId="8715" xr:uid="{00000000-0005-0000-0000-0000580C0000}"/>
    <cellStyle name="Normal 4 2 2 3 3 7" xfId="3097" xr:uid="{00000000-0005-0000-0000-0000590C0000}"/>
    <cellStyle name="Normal 4 2 2 3 3 7 2" xfId="6325" xr:uid="{00000000-0005-0000-0000-00005A0C0000}"/>
    <cellStyle name="Normal 4 2 2 3 3 7 2 2" xfId="12686" xr:uid="{00000000-0005-0000-0000-00005B0C0000}"/>
    <cellStyle name="Normal 4 2 2 3 3 7 3" xfId="9507" xr:uid="{00000000-0005-0000-0000-00005C0C0000}"/>
    <cellStyle name="Normal 4 2 2 3 3 8" xfId="4741" xr:uid="{00000000-0005-0000-0000-00005D0C0000}"/>
    <cellStyle name="Normal 4 2 2 3 3 8 2" xfId="11102" xr:uid="{00000000-0005-0000-0000-00005E0C0000}"/>
    <cellStyle name="Normal 4 2 2 3 3 9" xfId="7923" xr:uid="{00000000-0005-0000-0000-00005F0C0000}"/>
    <cellStyle name="Normal 4 2 2 3 4" xfId="1546" xr:uid="{00000000-0005-0000-0000-0000600C0000}"/>
    <cellStyle name="Normal 4 2 2 3 4 2" xfId="1744" xr:uid="{00000000-0005-0000-0000-0000610C0000}"/>
    <cellStyle name="Normal 4 2 2 3 4 2 2" xfId="2140" xr:uid="{00000000-0005-0000-0000-0000620C0000}"/>
    <cellStyle name="Normal 4 2 2 3 4 2 2 2" xfId="2932" xr:uid="{00000000-0005-0000-0000-0000630C0000}"/>
    <cellStyle name="Normal 4 2 2 3 4 2 2 2 2" xfId="4516" xr:uid="{00000000-0005-0000-0000-0000640C0000}"/>
    <cellStyle name="Normal 4 2 2 3 4 2 2 2 2 2" xfId="7744" xr:uid="{00000000-0005-0000-0000-0000650C0000}"/>
    <cellStyle name="Normal 4 2 2 3 4 2 2 2 2 2 2" xfId="14105" xr:uid="{00000000-0005-0000-0000-0000660C0000}"/>
    <cellStyle name="Normal 4 2 2 3 4 2 2 2 2 3" xfId="10926" xr:uid="{00000000-0005-0000-0000-0000670C0000}"/>
    <cellStyle name="Normal 4 2 2 3 4 2 2 2 3" xfId="6160" xr:uid="{00000000-0005-0000-0000-0000680C0000}"/>
    <cellStyle name="Normal 4 2 2 3 4 2 2 2 3 2" xfId="12521" xr:uid="{00000000-0005-0000-0000-0000690C0000}"/>
    <cellStyle name="Normal 4 2 2 3 4 2 2 2 4" xfId="9342" xr:uid="{00000000-0005-0000-0000-00006A0C0000}"/>
    <cellStyle name="Normal 4 2 2 3 4 2 2 3" xfId="3724" xr:uid="{00000000-0005-0000-0000-00006B0C0000}"/>
    <cellStyle name="Normal 4 2 2 3 4 2 2 3 2" xfId="6952" xr:uid="{00000000-0005-0000-0000-00006C0C0000}"/>
    <cellStyle name="Normal 4 2 2 3 4 2 2 3 2 2" xfId="13313" xr:uid="{00000000-0005-0000-0000-00006D0C0000}"/>
    <cellStyle name="Normal 4 2 2 3 4 2 2 3 3" xfId="10134" xr:uid="{00000000-0005-0000-0000-00006E0C0000}"/>
    <cellStyle name="Normal 4 2 2 3 4 2 2 4" xfId="5368" xr:uid="{00000000-0005-0000-0000-00006F0C0000}"/>
    <cellStyle name="Normal 4 2 2 3 4 2 2 4 2" xfId="11729" xr:uid="{00000000-0005-0000-0000-0000700C0000}"/>
    <cellStyle name="Normal 4 2 2 3 4 2 2 5" xfId="8550" xr:uid="{00000000-0005-0000-0000-0000710C0000}"/>
    <cellStyle name="Normal 4 2 2 3 4 2 3" xfId="2536" xr:uid="{00000000-0005-0000-0000-0000720C0000}"/>
    <cellStyle name="Normal 4 2 2 3 4 2 3 2" xfId="4120" xr:uid="{00000000-0005-0000-0000-0000730C0000}"/>
    <cellStyle name="Normal 4 2 2 3 4 2 3 2 2" xfId="7348" xr:uid="{00000000-0005-0000-0000-0000740C0000}"/>
    <cellStyle name="Normal 4 2 2 3 4 2 3 2 2 2" xfId="13709" xr:uid="{00000000-0005-0000-0000-0000750C0000}"/>
    <cellStyle name="Normal 4 2 2 3 4 2 3 2 3" xfId="10530" xr:uid="{00000000-0005-0000-0000-0000760C0000}"/>
    <cellStyle name="Normal 4 2 2 3 4 2 3 3" xfId="5764" xr:uid="{00000000-0005-0000-0000-0000770C0000}"/>
    <cellStyle name="Normal 4 2 2 3 4 2 3 3 2" xfId="12125" xr:uid="{00000000-0005-0000-0000-0000780C0000}"/>
    <cellStyle name="Normal 4 2 2 3 4 2 3 4" xfId="8946" xr:uid="{00000000-0005-0000-0000-0000790C0000}"/>
    <cellStyle name="Normal 4 2 2 3 4 2 4" xfId="3328" xr:uid="{00000000-0005-0000-0000-00007A0C0000}"/>
    <cellStyle name="Normal 4 2 2 3 4 2 4 2" xfId="6556" xr:uid="{00000000-0005-0000-0000-00007B0C0000}"/>
    <cellStyle name="Normal 4 2 2 3 4 2 4 2 2" xfId="12917" xr:uid="{00000000-0005-0000-0000-00007C0C0000}"/>
    <cellStyle name="Normal 4 2 2 3 4 2 4 3" xfId="9738" xr:uid="{00000000-0005-0000-0000-00007D0C0000}"/>
    <cellStyle name="Normal 4 2 2 3 4 2 5" xfId="4972" xr:uid="{00000000-0005-0000-0000-00007E0C0000}"/>
    <cellStyle name="Normal 4 2 2 3 4 2 5 2" xfId="11333" xr:uid="{00000000-0005-0000-0000-00007F0C0000}"/>
    <cellStyle name="Normal 4 2 2 3 4 2 6" xfId="8154" xr:uid="{00000000-0005-0000-0000-0000800C0000}"/>
    <cellStyle name="Normal 4 2 2 3 4 3" xfId="1942" xr:uid="{00000000-0005-0000-0000-0000810C0000}"/>
    <cellStyle name="Normal 4 2 2 3 4 3 2" xfId="2734" xr:uid="{00000000-0005-0000-0000-0000820C0000}"/>
    <cellStyle name="Normal 4 2 2 3 4 3 2 2" xfId="4318" xr:uid="{00000000-0005-0000-0000-0000830C0000}"/>
    <cellStyle name="Normal 4 2 2 3 4 3 2 2 2" xfId="7546" xr:uid="{00000000-0005-0000-0000-0000840C0000}"/>
    <cellStyle name="Normal 4 2 2 3 4 3 2 2 2 2" xfId="13907" xr:uid="{00000000-0005-0000-0000-0000850C0000}"/>
    <cellStyle name="Normal 4 2 2 3 4 3 2 2 3" xfId="10728" xr:uid="{00000000-0005-0000-0000-0000860C0000}"/>
    <cellStyle name="Normal 4 2 2 3 4 3 2 3" xfId="5962" xr:uid="{00000000-0005-0000-0000-0000870C0000}"/>
    <cellStyle name="Normal 4 2 2 3 4 3 2 3 2" xfId="12323" xr:uid="{00000000-0005-0000-0000-0000880C0000}"/>
    <cellStyle name="Normal 4 2 2 3 4 3 2 4" xfId="9144" xr:uid="{00000000-0005-0000-0000-0000890C0000}"/>
    <cellStyle name="Normal 4 2 2 3 4 3 3" xfId="3526" xr:uid="{00000000-0005-0000-0000-00008A0C0000}"/>
    <cellStyle name="Normal 4 2 2 3 4 3 3 2" xfId="6754" xr:uid="{00000000-0005-0000-0000-00008B0C0000}"/>
    <cellStyle name="Normal 4 2 2 3 4 3 3 2 2" xfId="13115" xr:uid="{00000000-0005-0000-0000-00008C0C0000}"/>
    <cellStyle name="Normal 4 2 2 3 4 3 3 3" xfId="9936" xr:uid="{00000000-0005-0000-0000-00008D0C0000}"/>
    <cellStyle name="Normal 4 2 2 3 4 3 4" xfId="5170" xr:uid="{00000000-0005-0000-0000-00008E0C0000}"/>
    <cellStyle name="Normal 4 2 2 3 4 3 4 2" xfId="11531" xr:uid="{00000000-0005-0000-0000-00008F0C0000}"/>
    <cellStyle name="Normal 4 2 2 3 4 3 5" xfId="8352" xr:uid="{00000000-0005-0000-0000-0000900C0000}"/>
    <cellStyle name="Normal 4 2 2 3 4 4" xfId="2338" xr:uid="{00000000-0005-0000-0000-0000910C0000}"/>
    <cellStyle name="Normal 4 2 2 3 4 4 2" xfId="3922" xr:uid="{00000000-0005-0000-0000-0000920C0000}"/>
    <cellStyle name="Normal 4 2 2 3 4 4 2 2" xfId="7150" xr:uid="{00000000-0005-0000-0000-0000930C0000}"/>
    <cellStyle name="Normal 4 2 2 3 4 4 2 2 2" xfId="13511" xr:uid="{00000000-0005-0000-0000-0000940C0000}"/>
    <cellStyle name="Normal 4 2 2 3 4 4 2 3" xfId="10332" xr:uid="{00000000-0005-0000-0000-0000950C0000}"/>
    <cellStyle name="Normal 4 2 2 3 4 4 3" xfId="5566" xr:uid="{00000000-0005-0000-0000-0000960C0000}"/>
    <cellStyle name="Normal 4 2 2 3 4 4 3 2" xfId="11927" xr:uid="{00000000-0005-0000-0000-0000970C0000}"/>
    <cellStyle name="Normal 4 2 2 3 4 4 4" xfId="8748" xr:uid="{00000000-0005-0000-0000-0000980C0000}"/>
    <cellStyle name="Normal 4 2 2 3 4 5" xfId="3130" xr:uid="{00000000-0005-0000-0000-0000990C0000}"/>
    <cellStyle name="Normal 4 2 2 3 4 5 2" xfId="6358" xr:uid="{00000000-0005-0000-0000-00009A0C0000}"/>
    <cellStyle name="Normal 4 2 2 3 4 5 2 2" xfId="12719" xr:uid="{00000000-0005-0000-0000-00009B0C0000}"/>
    <cellStyle name="Normal 4 2 2 3 4 5 3" xfId="9540" xr:uid="{00000000-0005-0000-0000-00009C0C0000}"/>
    <cellStyle name="Normal 4 2 2 3 4 6" xfId="4774" xr:uid="{00000000-0005-0000-0000-00009D0C0000}"/>
    <cellStyle name="Normal 4 2 2 3 4 6 2" xfId="11135" xr:uid="{00000000-0005-0000-0000-00009E0C0000}"/>
    <cellStyle name="Normal 4 2 2 3 4 7" xfId="7956" xr:uid="{00000000-0005-0000-0000-00009F0C0000}"/>
    <cellStyle name="Normal 4 2 2 3 5" xfId="1614" xr:uid="{00000000-0005-0000-0000-0000A00C0000}"/>
    <cellStyle name="Normal 4 2 2 3 5 2" xfId="1812" xr:uid="{00000000-0005-0000-0000-0000A10C0000}"/>
    <cellStyle name="Normal 4 2 2 3 5 2 2" xfId="2208" xr:uid="{00000000-0005-0000-0000-0000A20C0000}"/>
    <cellStyle name="Normal 4 2 2 3 5 2 2 2" xfId="3000" xr:uid="{00000000-0005-0000-0000-0000A30C0000}"/>
    <cellStyle name="Normal 4 2 2 3 5 2 2 2 2" xfId="4584" xr:uid="{00000000-0005-0000-0000-0000A40C0000}"/>
    <cellStyle name="Normal 4 2 2 3 5 2 2 2 2 2" xfId="7812" xr:uid="{00000000-0005-0000-0000-0000A50C0000}"/>
    <cellStyle name="Normal 4 2 2 3 5 2 2 2 2 2 2" xfId="14173" xr:uid="{00000000-0005-0000-0000-0000A60C0000}"/>
    <cellStyle name="Normal 4 2 2 3 5 2 2 2 2 3" xfId="10994" xr:uid="{00000000-0005-0000-0000-0000A70C0000}"/>
    <cellStyle name="Normal 4 2 2 3 5 2 2 2 3" xfId="6228" xr:uid="{00000000-0005-0000-0000-0000A80C0000}"/>
    <cellStyle name="Normal 4 2 2 3 5 2 2 2 3 2" xfId="12589" xr:uid="{00000000-0005-0000-0000-0000A90C0000}"/>
    <cellStyle name="Normal 4 2 2 3 5 2 2 2 4" xfId="9410" xr:uid="{00000000-0005-0000-0000-0000AA0C0000}"/>
    <cellStyle name="Normal 4 2 2 3 5 2 2 3" xfId="3792" xr:uid="{00000000-0005-0000-0000-0000AB0C0000}"/>
    <cellStyle name="Normal 4 2 2 3 5 2 2 3 2" xfId="7020" xr:uid="{00000000-0005-0000-0000-0000AC0C0000}"/>
    <cellStyle name="Normal 4 2 2 3 5 2 2 3 2 2" xfId="13381" xr:uid="{00000000-0005-0000-0000-0000AD0C0000}"/>
    <cellStyle name="Normal 4 2 2 3 5 2 2 3 3" xfId="10202" xr:uid="{00000000-0005-0000-0000-0000AE0C0000}"/>
    <cellStyle name="Normal 4 2 2 3 5 2 2 4" xfId="5436" xr:uid="{00000000-0005-0000-0000-0000AF0C0000}"/>
    <cellStyle name="Normal 4 2 2 3 5 2 2 4 2" xfId="11797" xr:uid="{00000000-0005-0000-0000-0000B00C0000}"/>
    <cellStyle name="Normal 4 2 2 3 5 2 2 5" xfId="8618" xr:uid="{00000000-0005-0000-0000-0000B10C0000}"/>
    <cellStyle name="Normal 4 2 2 3 5 2 3" xfId="2604" xr:uid="{00000000-0005-0000-0000-0000B20C0000}"/>
    <cellStyle name="Normal 4 2 2 3 5 2 3 2" xfId="4188" xr:uid="{00000000-0005-0000-0000-0000B30C0000}"/>
    <cellStyle name="Normal 4 2 2 3 5 2 3 2 2" xfId="7416" xr:uid="{00000000-0005-0000-0000-0000B40C0000}"/>
    <cellStyle name="Normal 4 2 2 3 5 2 3 2 2 2" xfId="13777" xr:uid="{00000000-0005-0000-0000-0000B50C0000}"/>
    <cellStyle name="Normal 4 2 2 3 5 2 3 2 3" xfId="10598" xr:uid="{00000000-0005-0000-0000-0000B60C0000}"/>
    <cellStyle name="Normal 4 2 2 3 5 2 3 3" xfId="5832" xr:uid="{00000000-0005-0000-0000-0000B70C0000}"/>
    <cellStyle name="Normal 4 2 2 3 5 2 3 3 2" xfId="12193" xr:uid="{00000000-0005-0000-0000-0000B80C0000}"/>
    <cellStyle name="Normal 4 2 2 3 5 2 3 4" xfId="9014" xr:uid="{00000000-0005-0000-0000-0000B90C0000}"/>
    <cellStyle name="Normal 4 2 2 3 5 2 4" xfId="3396" xr:uid="{00000000-0005-0000-0000-0000BA0C0000}"/>
    <cellStyle name="Normal 4 2 2 3 5 2 4 2" xfId="6624" xr:uid="{00000000-0005-0000-0000-0000BB0C0000}"/>
    <cellStyle name="Normal 4 2 2 3 5 2 4 2 2" xfId="12985" xr:uid="{00000000-0005-0000-0000-0000BC0C0000}"/>
    <cellStyle name="Normal 4 2 2 3 5 2 4 3" xfId="9806" xr:uid="{00000000-0005-0000-0000-0000BD0C0000}"/>
    <cellStyle name="Normal 4 2 2 3 5 2 5" xfId="5040" xr:uid="{00000000-0005-0000-0000-0000BE0C0000}"/>
    <cellStyle name="Normal 4 2 2 3 5 2 5 2" xfId="11401" xr:uid="{00000000-0005-0000-0000-0000BF0C0000}"/>
    <cellStyle name="Normal 4 2 2 3 5 2 6" xfId="8222" xr:uid="{00000000-0005-0000-0000-0000C00C0000}"/>
    <cellStyle name="Normal 4 2 2 3 5 3" xfId="2010" xr:uid="{00000000-0005-0000-0000-0000C10C0000}"/>
    <cellStyle name="Normal 4 2 2 3 5 3 2" xfId="2802" xr:uid="{00000000-0005-0000-0000-0000C20C0000}"/>
    <cellStyle name="Normal 4 2 2 3 5 3 2 2" xfId="4386" xr:uid="{00000000-0005-0000-0000-0000C30C0000}"/>
    <cellStyle name="Normal 4 2 2 3 5 3 2 2 2" xfId="7614" xr:uid="{00000000-0005-0000-0000-0000C40C0000}"/>
    <cellStyle name="Normal 4 2 2 3 5 3 2 2 2 2" xfId="13975" xr:uid="{00000000-0005-0000-0000-0000C50C0000}"/>
    <cellStyle name="Normal 4 2 2 3 5 3 2 2 3" xfId="10796" xr:uid="{00000000-0005-0000-0000-0000C60C0000}"/>
    <cellStyle name="Normal 4 2 2 3 5 3 2 3" xfId="6030" xr:uid="{00000000-0005-0000-0000-0000C70C0000}"/>
    <cellStyle name="Normal 4 2 2 3 5 3 2 3 2" xfId="12391" xr:uid="{00000000-0005-0000-0000-0000C80C0000}"/>
    <cellStyle name="Normal 4 2 2 3 5 3 2 4" xfId="9212" xr:uid="{00000000-0005-0000-0000-0000C90C0000}"/>
    <cellStyle name="Normal 4 2 2 3 5 3 3" xfId="3594" xr:uid="{00000000-0005-0000-0000-0000CA0C0000}"/>
    <cellStyle name="Normal 4 2 2 3 5 3 3 2" xfId="6822" xr:uid="{00000000-0005-0000-0000-0000CB0C0000}"/>
    <cellStyle name="Normal 4 2 2 3 5 3 3 2 2" xfId="13183" xr:uid="{00000000-0005-0000-0000-0000CC0C0000}"/>
    <cellStyle name="Normal 4 2 2 3 5 3 3 3" xfId="10004" xr:uid="{00000000-0005-0000-0000-0000CD0C0000}"/>
    <cellStyle name="Normal 4 2 2 3 5 3 4" xfId="5238" xr:uid="{00000000-0005-0000-0000-0000CE0C0000}"/>
    <cellStyle name="Normal 4 2 2 3 5 3 4 2" xfId="11599" xr:uid="{00000000-0005-0000-0000-0000CF0C0000}"/>
    <cellStyle name="Normal 4 2 2 3 5 3 5" xfId="8420" xr:uid="{00000000-0005-0000-0000-0000D00C0000}"/>
    <cellStyle name="Normal 4 2 2 3 5 4" xfId="2406" xr:uid="{00000000-0005-0000-0000-0000D10C0000}"/>
    <cellStyle name="Normal 4 2 2 3 5 4 2" xfId="3990" xr:uid="{00000000-0005-0000-0000-0000D20C0000}"/>
    <cellStyle name="Normal 4 2 2 3 5 4 2 2" xfId="7218" xr:uid="{00000000-0005-0000-0000-0000D30C0000}"/>
    <cellStyle name="Normal 4 2 2 3 5 4 2 2 2" xfId="13579" xr:uid="{00000000-0005-0000-0000-0000D40C0000}"/>
    <cellStyle name="Normal 4 2 2 3 5 4 2 3" xfId="10400" xr:uid="{00000000-0005-0000-0000-0000D50C0000}"/>
    <cellStyle name="Normal 4 2 2 3 5 4 3" xfId="5634" xr:uid="{00000000-0005-0000-0000-0000D60C0000}"/>
    <cellStyle name="Normal 4 2 2 3 5 4 3 2" xfId="11995" xr:uid="{00000000-0005-0000-0000-0000D70C0000}"/>
    <cellStyle name="Normal 4 2 2 3 5 4 4" xfId="8816" xr:uid="{00000000-0005-0000-0000-0000D80C0000}"/>
    <cellStyle name="Normal 4 2 2 3 5 5" xfId="3198" xr:uid="{00000000-0005-0000-0000-0000D90C0000}"/>
    <cellStyle name="Normal 4 2 2 3 5 5 2" xfId="6426" xr:uid="{00000000-0005-0000-0000-0000DA0C0000}"/>
    <cellStyle name="Normal 4 2 2 3 5 5 2 2" xfId="12787" xr:uid="{00000000-0005-0000-0000-0000DB0C0000}"/>
    <cellStyle name="Normal 4 2 2 3 5 5 3" xfId="9608" xr:uid="{00000000-0005-0000-0000-0000DC0C0000}"/>
    <cellStyle name="Normal 4 2 2 3 5 6" xfId="4842" xr:uid="{00000000-0005-0000-0000-0000DD0C0000}"/>
    <cellStyle name="Normal 4 2 2 3 5 6 2" xfId="11203" xr:uid="{00000000-0005-0000-0000-0000DE0C0000}"/>
    <cellStyle name="Normal 4 2 2 3 5 7" xfId="8024" xr:uid="{00000000-0005-0000-0000-0000DF0C0000}"/>
    <cellStyle name="Normal 4 2 2 3 6" xfId="1679" xr:uid="{00000000-0005-0000-0000-0000E00C0000}"/>
    <cellStyle name="Normal 4 2 2 3 6 2" xfId="2075" xr:uid="{00000000-0005-0000-0000-0000E10C0000}"/>
    <cellStyle name="Normal 4 2 2 3 6 2 2" xfId="2867" xr:uid="{00000000-0005-0000-0000-0000E20C0000}"/>
    <cellStyle name="Normal 4 2 2 3 6 2 2 2" xfId="4451" xr:uid="{00000000-0005-0000-0000-0000E30C0000}"/>
    <cellStyle name="Normal 4 2 2 3 6 2 2 2 2" xfId="7679" xr:uid="{00000000-0005-0000-0000-0000E40C0000}"/>
    <cellStyle name="Normal 4 2 2 3 6 2 2 2 2 2" xfId="14040" xr:uid="{00000000-0005-0000-0000-0000E50C0000}"/>
    <cellStyle name="Normal 4 2 2 3 6 2 2 2 3" xfId="10861" xr:uid="{00000000-0005-0000-0000-0000E60C0000}"/>
    <cellStyle name="Normal 4 2 2 3 6 2 2 3" xfId="6095" xr:uid="{00000000-0005-0000-0000-0000E70C0000}"/>
    <cellStyle name="Normal 4 2 2 3 6 2 2 3 2" xfId="12456" xr:uid="{00000000-0005-0000-0000-0000E80C0000}"/>
    <cellStyle name="Normal 4 2 2 3 6 2 2 4" xfId="9277" xr:uid="{00000000-0005-0000-0000-0000E90C0000}"/>
    <cellStyle name="Normal 4 2 2 3 6 2 3" xfId="3659" xr:uid="{00000000-0005-0000-0000-0000EA0C0000}"/>
    <cellStyle name="Normal 4 2 2 3 6 2 3 2" xfId="6887" xr:uid="{00000000-0005-0000-0000-0000EB0C0000}"/>
    <cellStyle name="Normal 4 2 2 3 6 2 3 2 2" xfId="13248" xr:uid="{00000000-0005-0000-0000-0000EC0C0000}"/>
    <cellStyle name="Normal 4 2 2 3 6 2 3 3" xfId="10069" xr:uid="{00000000-0005-0000-0000-0000ED0C0000}"/>
    <cellStyle name="Normal 4 2 2 3 6 2 4" xfId="5303" xr:uid="{00000000-0005-0000-0000-0000EE0C0000}"/>
    <cellStyle name="Normal 4 2 2 3 6 2 4 2" xfId="11664" xr:uid="{00000000-0005-0000-0000-0000EF0C0000}"/>
    <cellStyle name="Normal 4 2 2 3 6 2 5" xfId="8485" xr:uid="{00000000-0005-0000-0000-0000F00C0000}"/>
    <cellStyle name="Normal 4 2 2 3 6 3" xfId="2471" xr:uid="{00000000-0005-0000-0000-0000F10C0000}"/>
    <cellStyle name="Normal 4 2 2 3 6 3 2" xfId="4055" xr:uid="{00000000-0005-0000-0000-0000F20C0000}"/>
    <cellStyle name="Normal 4 2 2 3 6 3 2 2" xfId="7283" xr:uid="{00000000-0005-0000-0000-0000F30C0000}"/>
    <cellStyle name="Normal 4 2 2 3 6 3 2 2 2" xfId="13644" xr:uid="{00000000-0005-0000-0000-0000F40C0000}"/>
    <cellStyle name="Normal 4 2 2 3 6 3 2 3" xfId="10465" xr:uid="{00000000-0005-0000-0000-0000F50C0000}"/>
    <cellStyle name="Normal 4 2 2 3 6 3 3" xfId="5699" xr:uid="{00000000-0005-0000-0000-0000F60C0000}"/>
    <cellStyle name="Normal 4 2 2 3 6 3 3 2" xfId="12060" xr:uid="{00000000-0005-0000-0000-0000F70C0000}"/>
    <cellStyle name="Normal 4 2 2 3 6 3 4" xfId="8881" xr:uid="{00000000-0005-0000-0000-0000F80C0000}"/>
    <cellStyle name="Normal 4 2 2 3 6 4" xfId="3263" xr:uid="{00000000-0005-0000-0000-0000F90C0000}"/>
    <cellStyle name="Normal 4 2 2 3 6 4 2" xfId="6491" xr:uid="{00000000-0005-0000-0000-0000FA0C0000}"/>
    <cellStyle name="Normal 4 2 2 3 6 4 2 2" xfId="12852" xr:uid="{00000000-0005-0000-0000-0000FB0C0000}"/>
    <cellStyle name="Normal 4 2 2 3 6 4 3" xfId="9673" xr:uid="{00000000-0005-0000-0000-0000FC0C0000}"/>
    <cellStyle name="Normal 4 2 2 3 6 5" xfId="4907" xr:uid="{00000000-0005-0000-0000-0000FD0C0000}"/>
    <cellStyle name="Normal 4 2 2 3 6 5 2" xfId="11268" xr:uid="{00000000-0005-0000-0000-0000FE0C0000}"/>
    <cellStyle name="Normal 4 2 2 3 6 6" xfId="8089" xr:uid="{00000000-0005-0000-0000-0000FF0C0000}"/>
    <cellStyle name="Normal 4 2 2 3 7" xfId="1877" xr:uid="{00000000-0005-0000-0000-0000000D0000}"/>
    <cellStyle name="Normal 4 2 2 3 7 2" xfId="2669" xr:uid="{00000000-0005-0000-0000-0000010D0000}"/>
    <cellStyle name="Normal 4 2 2 3 7 2 2" xfId="4253" xr:uid="{00000000-0005-0000-0000-0000020D0000}"/>
    <cellStyle name="Normal 4 2 2 3 7 2 2 2" xfId="7481" xr:uid="{00000000-0005-0000-0000-0000030D0000}"/>
    <cellStyle name="Normal 4 2 2 3 7 2 2 2 2" xfId="13842" xr:uid="{00000000-0005-0000-0000-0000040D0000}"/>
    <cellStyle name="Normal 4 2 2 3 7 2 2 3" xfId="10663" xr:uid="{00000000-0005-0000-0000-0000050D0000}"/>
    <cellStyle name="Normal 4 2 2 3 7 2 3" xfId="5897" xr:uid="{00000000-0005-0000-0000-0000060D0000}"/>
    <cellStyle name="Normal 4 2 2 3 7 2 3 2" xfId="12258" xr:uid="{00000000-0005-0000-0000-0000070D0000}"/>
    <cellStyle name="Normal 4 2 2 3 7 2 4" xfId="9079" xr:uid="{00000000-0005-0000-0000-0000080D0000}"/>
    <cellStyle name="Normal 4 2 2 3 7 3" xfId="3461" xr:uid="{00000000-0005-0000-0000-0000090D0000}"/>
    <cellStyle name="Normal 4 2 2 3 7 3 2" xfId="6689" xr:uid="{00000000-0005-0000-0000-00000A0D0000}"/>
    <cellStyle name="Normal 4 2 2 3 7 3 2 2" xfId="13050" xr:uid="{00000000-0005-0000-0000-00000B0D0000}"/>
    <cellStyle name="Normal 4 2 2 3 7 3 3" xfId="9871" xr:uid="{00000000-0005-0000-0000-00000C0D0000}"/>
    <cellStyle name="Normal 4 2 2 3 7 4" xfId="5105" xr:uid="{00000000-0005-0000-0000-00000D0D0000}"/>
    <cellStyle name="Normal 4 2 2 3 7 4 2" xfId="11466" xr:uid="{00000000-0005-0000-0000-00000E0D0000}"/>
    <cellStyle name="Normal 4 2 2 3 7 5" xfId="8287" xr:uid="{00000000-0005-0000-0000-00000F0D0000}"/>
    <cellStyle name="Normal 4 2 2 3 8" xfId="2273" xr:uid="{00000000-0005-0000-0000-0000100D0000}"/>
    <cellStyle name="Normal 4 2 2 3 8 2" xfId="3857" xr:uid="{00000000-0005-0000-0000-0000110D0000}"/>
    <cellStyle name="Normal 4 2 2 3 8 2 2" xfId="7085" xr:uid="{00000000-0005-0000-0000-0000120D0000}"/>
    <cellStyle name="Normal 4 2 2 3 8 2 2 2" xfId="13446" xr:uid="{00000000-0005-0000-0000-0000130D0000}"/>
    <cellStyle name="Normal 4 2 2 3 8 2 3" xfId="10267" xr:uid="{00000000-0005-0000-0000-0000140D0000}"/>
    <cellStyle name="Normal 4 2 2 3 8 3" xfId="5501" xr:uid="{00000000-0005-0000-0000-0000150D0000}"/>
    <cellStyle name="Normal 4 2 2 3 8 3 2" xfId="11862" xr:uid="{00000000-0005-0000-0000-0000160D0000}"/>
    <cellStyle name="Normal 4 2 2 3 8 4" xfId="8683" xr:uid="{00000000-0005-0000-0000-0000170D0000}"/>
    <cellStyle name="Normal 4 2 2 3 9" xfId="3065" xr:uid="{00000000-0005-0000-0000-0000180D0000}"/>
    <cellStyle name="Normal 4 2 2 3 9 2" xfId="6293" xr:uid="{00000000-0005-0000-0000-0000190D0000}"/>
    <cellStyle name="Normal 4 2 2 3 9 2 2" xfId="12654" xr:uid="{00000000-0005-0000-0000-00001A0D0000}"/>
    <cellStyle name="Normal 4 2 2 3 9 3" xfId="9475" xr:uid="{00000000-0005-0000-0000-00001B0D0000}"/>
    <cellStyle name="Normal 4 2 2 4" xfId="1442" xr:uid="{00000000-0005-0000-0000-00001C0D0000}"/>
    <cellStyle name="Normal 4 2 2 4 10" xfId="7899" xr:uid="{00000000-0005-0000-0000-00001D0D0000}"/>
    <cellStyle name="Normal 4 2 2 4 2" xfId="1474" xr:uid="{00000000-0005-0000-0000-00001E0D0000}"/>
    <cellStyle name="Normal 4 2 2 4 2 2" xfId="1586" xr:uid="{00000000-0005-0000-0000-00001F0D0000}"/>
    <cellStyle name="Normal 4 2 2 4 2 2 2" xfId="1784" xr:uid="{00000000-0005-0000-0000-0000200D0000}"/>
    <cellStyle name="Normal 4 2 2 4 2 2 2 2" xfId="2180" xr:uid="{00000000-0005-0000-0000-0000210D0000}"/>
    <cellStyle name="Normal 4 2 2 4 2 2 2 2 2" xfId="2972" xr:uid="{00000000-0005-0000-0000-0000220D0000}"/>
    <cellStyle name="Normal 4 2 2 4 2 2 2 2 2 2" xfId="4556" xr:uid="{00000000-0005-0000-0000-0000230D0000}"/>
    <cellStyle name="Normal 4 2 2 4 2 2 2 2 2 2 2" xfId="7784" xr:uid="{00000000-0005-0000-0000-0000240D0000}"/>
    <cellStyle name="Normal 4 2 2 4 2 2 2 2 2 2 2 2" xfId="14145" xr:uid="{00000000-0005-0000-0000-0000250D0000}"/>
    <cellStyle name="Normal 4 2 2 4 2 2 2 2 2 2 3" xfId="10966" xr:uid="{00000000-0005-0000-0000-0000260D0000}"/>
    <cellStyle name="Normal 4 2 2 4 2 2 2 2 2 3" xfId="6200" xr:uid="{00000000-0005-0000-0000-0000270D0000}"/>
    <cellStyle name="Normal 4 2 2 4 2 2 2 2 2 3 2" xfId="12561" xr:uid="{00000000-0005-0000-0000-0000280D0000}"/>
    <cellStyle name="Normal 4 2 2 4 2 2 2 2 2 4" xfId="9382" xr:uid="{00000000-0005-0000-0000-0000290D0000}"/>
    <cellStyle name="Normal 4 2 2 4 2 2 2 2 3" xfId="3764" xr:uid="{00000000-0005-0000-0000-00002A0D0000}"/>
    <cellStyle name="Normal 4 2 2 4 2 2 2 2 3 2" xfId="6992" xr:uid="{00000000-0005-0000-0000-00002B0D0000}"/>
    <cellStyle name="Normal 4 2 2 4 2 2 2 2 3 2 2" xfId="13353" xr:uid="{00000000-0005-0000-0000-00002C0D0000}"/>
    <cellStyle name="Normal 4 2 2 4 2 2 2 2 3 3" xfId="10174" xr:uid="{00000000-0005-0000-0000-00002D0D0000}"/>
    <cellStyle name="Normal 4 2 2 4 2 2 2 2 4" xfId="5408" xr:uid="{00000000-0005-0000-0000-00002E0D0000}"/>
    <cellStyle name="Normal 4 2 2 4 2 2 2 2 4 2" xfId="11769" xr:uid="{00000000-0005-0000-0000-00002F0D0000}"/>
    <cellStyle name="Normal 4 2 2 4 2 2 2 2 5" xfId="8590" xr:uid="{00000000-0005-0000-0000-0000300D0000}"/>
    <cellStyle name="Normal 4 2 2 4 2 2 2 3" xfId="2576" xr:uid="{00000000-0005-0000-0000-0000310D0000}"/>
    <cellStyle name="Normal 4 2 2 4 2 2 2 3 2" xfId="4160" xr:uid="{00000000-0005-0000-0000-0000320D0000}"/>
    <cellStyle name="Normal 4 2 2 4 2 2 2 3 2 2" xfId="7388" xr:uid="{00000000-0005-0000-0000-0000330D0000}"/>
    <cellStyle name="Normal 4 2 2 4 2 2 2 3 2 2 2" xfId="13749" xr:uid="{00000000-0005-0000-0000-0000340D0000}"/>
    <cellStyle name="Normal 4 2 2 4 2 2 2 3 2 3" xfId="10570" xr:uid="{00000000-0005-0000-0000-0000350D0000}"/>
    <cellStyle name="Normal 4 2 2 4 2 2 2 3 3" xfId="5804" xr:uid="{00000000-0005-0000-0000-0000360D0000}"/>
    <cellStyle name="Normal 4 2 2 4 2 2 2 3 3 2" xfId="12165" xr:uid="{00000000-0005-0000-0000-0000370D0000}"/>
    <cellStyle name="Normal 4 2 2 4 2 2 2 3 4" xfId="8986" xr:uid="{00000000-0005-0000-0000-0000380D0000}"/>
    <cellStyle name="Normal 4 2 2 4 2 2 2 4" xfId="3368" xr:uid="{00000000-0005-0000-0000-0000390D0000}"/>
    <cellStyle name="Normal 4 2 2 4 2 2 2 4 2" xfId="6596" xr:uid="{00000000-0005-0000-0000-00003A0D0000}"/>
    <cellStyle name="Normal 4 2 2 4 2 2 2 4 2 2" xfId="12957" xr:uid="{00000000-0005-0000-0000-00003B0D0000}"/>
    <cellStyle name="Normal 4 2 2 4 2 2 2 4 3" xfId="9778" xr:uid="{00000000-0005-0000-0000-00003C0D0000}"/>
    <cellStyle name="Normal 4 2 2 4 2 2 2 5" xfId="5012" xr:uid="{00000000-0005-0000-0000-00003D0D0000}"/>
    <cellStyle name="Normal 4 2 2 4 2 2 2 5 2" xfId="11373" xr:uid="{00000000-0005-0000-0000-00003E0D0000}"/>
    <cellStyle name="Normal 4 2 2 4 2 2 2 6" xfId="8194" xr:uid="{00000000-0005-0000-0000-00003F0D0000}"/>
    <cellStyle name="Normal 4 2 2 4 2 2 3" xfId="1982" xr:uid="{00000000-0005-0000-0000-0000400D0000}"/>
    <cellStyle name="Normal 4 2 2 4 2 2 3 2" xfId="2774" xr:uid="{00000000-0005-0000-0000-0000410D0000}"/>
    <cellStyle name="Normal 4 2 2 4 2 2 3 2 2" xfId="4358" xr:uid="{00000000-0005-0000-0000-0000420D0000}"/>
    <cellStyle name="Normal 4 2 2 4 2 2 3 2 2 2" xfId="7586" xr:uid="{00000000-0005-0000-0000-0000430D0000}"/>
    <cellStyle name="Normal 4 2 2 4 2 2 3 2 2 2 2" xfId="13947" xr:uid="{00000000-0005-0000-0000-0000440D0000}"/>
    <cellStyle name="Normal 4 2 2 4 2 2 3 2 2 3" xfId="10768" xr:uid="{00000000-0005-0000-0000-0000450D0000}"/>
    <cellStyle name="Normal 4 2 2 4 2 2 3 2 3" xfId="6002" xr:uid="{00000000-0005-0000-0000-0000460D0000}"/>
    <cellStyle name="Normal 4 2 2 4 2 2 3 2 3 2" xfId="12363" xr:uid="{00000000-0005-0000-0000-0000470D0000}"/>
    <cellStyle name="Normal 4 2 2 4 2 2 3 2 4" xfId="9184" xr:uid="{00000000-0005-0000-0000-0000480D0000}"/>
    <cellStyle name="Normal 4 2 2 4 2 2 3 3" xfId="3566" xr:uid="{00000000-0005-0000-0000-0000490D0000}"/>
    <cellStyle name="Normal 4 2 2 4 2 2 3 3 2" xfId="6794" xr:uid="{00000000-0005-0000-0000-00004A0D0000}"/>
    <cellStyle name="Normal 4 2 2 4 2 2 3 3 2 2" xfId="13155" xr:uid="{00000000-0005-0000-0000-00004B0D0000}"/>
    <cellStyle name="Normal 4 2 2 4 2 2 3 3 3" xfId="9976" xr:uid="{00000000-0005-0000-0000-00004C0D0000}"/>
    <cellStyle name="Normal 4 2 2 4 2 2 3 4" xfId="5210" xr:uid="{00000000-0005-0000-0000-00004D0D0000}"/>
    <cellStyle name="Normal 4 2 2 4 2 2 3 4 2" xfId="11571" xr:uid="{00000000-0005-0000-0000-00004E0D0000}"/>
    <cellStyle name="Normal 4 2 2 4 2 2 3 5" xfId="8392" xr:uid="{00000000-0005-0000-0000-00004F0D0000}"/>
    <cellStyle name="Normal 4 2 2 4 2 2 4" xfId="2378" xr:uid="{00000000-0005-0000-0000-0000500D0000}"/>
    <cellStyle name="Normal 4 2 2 4 2 2 4 2" xfId="3962" xr:uid="{00000000-0005-0000-0000-0000510D0000}"/>
    <cellStyle name="Normal 4 2 2 4 2 2 4 2 2" xfId="7190" xr:uid="{00000000-0005-0000-0000-0000520D0000}"/>
    <cellStyle name="Normal 4 2 2 4 2 2 4 2 2 2" xfId="13551" xr:uid="{00000000-0005-0000-0000-0000530D0000}"/>
    <cellStyle name="Normal 4 2 2 4 2 2 4 2 3" xfId="10372" xr:uid="{00000000-0005-0000-0000-0000540D0000}"/>
    <cellStyle name="Normal 4 2 2 4 2 2 4 3" xfId="5606" xr:uid="{00000000-0005-0000-0000-0000550D0000}"/>
    <cellStyle name="Normal 4 2 2 4 2 2 4 3 2" xfId="11967" xr:uid="{00000000-0005-0000-0000-0000560D0000}"/>
    <cellStyle name="Normal 4 2 2 4 2 2 4 4" xfId="8788" xr:uid="{00000000-0005-0000-0000-0000570D0000}"/>
    <cellStyle name="Normal 4 2 2 4 2 2 5" xfId="3170" xr:uid="{00000000-0005-0000-0000-0000580D0000}"/>
    <cellStyle name="Normal 4 2 2 4 2 2 5 2" xfId="6398" xr:uid="{00000000-0005-0000-0000-0000590D0000}"/>
    <cellStyle name="Normal 4 2 2 4 2 2 5 2 2" xfId="12759" xr:uid="{00000000-0005-0000-0000-00005A0D0000}"/>
    <cellStyle name="Normal 4 2 2 4 2 2 5 3" xfId="9580" xr:uid="{00000000-0005-0000-0000-00005B0D0000}"/>
    <cellStyle name="Normal 4 2 2 4 2 2 6" xfId="4814" xr:uid="{00000000-0005-0000-0000-00005C0D0000}"/>
    <cellStyle name="Normal 4 2 2 4 2 2 6 2" xfId="11175" xr:uid="{00000000-0005-0000-0000-00005D0D0000}"/>
    <cellStyle name="Normal 4 2 2 4 2 2 7" xfId="7996" xr:uid="{00000000-0005-0000-0000-00005E0D0000}"/>
    <cellStyle name="Normal 4 2 2 4 2 3" xfId="1654" xr:uid="{00000000-0005-0000-0000-00005F0D0000}"/>
    <cellStyle name="Normal 4 2 2 4 2 3 2" xfId="1852" xr:uid="{00000000-0005-0000-0000-0000600D0000}"/>
    <cellStyle name="Normal 4 2 2 4 2 3 2 2" xfId="2248" xr:uid="{00000000-0005-0000-0000-0000610D0000}"/>
    <cellStyle name="Normal 4 2 2 4 2 3 2 2 2" xfId="3040" xr:uid="{00000000-0005-0000-0000-0000620D0000}"/>
    <cellStyle name="Normal 4 2 2 4 2 3 2 2 2 2" xfId="4624" xr:uid="{00000000-0005-0000-0000-0000630D0000}"/>
    <cellStyle name="Normal 4 2 2 4 2 3 2 2 2 2 2" xfId="7852" xr:uid="{00000000-0005-0000-0000-0000640D0000}"/>
    <cellStyle name="Normal 4 2 2 4 2 3 2 2 2 2 2 2" xfId="14213" xr:uid="{00000000-0005-0000-0000-0000650D0000}"/>
    <cellStyle name="Normal 4 2 2 4 2 3 2 2 2 2 3" xfId="11034" xr:uid="{00000000-0005-0000-0000-0000660D0000}"/>
    <cellStyle name="Normal 4 2 2 4 2 3 2 2 2 3" xfId="6268" xr:uid="{00000000-0005-0000-0000-0000670D0000}"/>
    <cellStyle name="Normal 4 2 2 4 2 3 2 2 2 3 2" xfId="12629" xr:uid="{00000000-0005-0000-0000-0000680D0000}"/>
    <cellStyle name="Normal 4 2 2 4 2 3 2 2 2 4" xfId="9450" xr:uid="{00000000-0005-0000-0000-0000690D0000}"/>
    <cellStyle name="Normal 4 2 2 4 2 3 2 2 3" xfId="3832" xr:uid="{00000000-0005-0000-0000-00006A0D0000}"/>
    <cellStyle name="Normal 4 2 2 4 2 3 2 2 3 2" xfId="7060" xr:uid="{00000000-0005-0000-0000-00006B0D0000}"/>
    <cellStyle name="Normal 4 2 2 4 2 3 2 2 3 2 2" xfId="13421" xr:uid="{00000000-0005-0000-0000-00006C0D0000}"/>
    <cellStyle name="Normal 4 2 2 4 2 3 2 2 3 3" xfId="10242" xr:uid="{00000000-0005-0000-0000-00006D0D0000}"/>
    <cellStyle name="Normal 4 2 2 4 2 3 2 2 4" xfId="5476" xr:uid="{00000000-0005-0000-0000-00006E0D0000}"/>
    <cellStyle name="Normal 4 2 2 4 2 3 2 2 4 2" xfId="11837" xr:uid="{00000000-0005-0000-0000-00006F0D0000}"/>
    <cellStyle name="Normal 4 2 2 4 2 3 2 2 5" xfId="8658" xr:uid="{00000000-0005-0000-0000-0000700D0000}"/>
    <cellStyle name="Normal 4 2 2 4 2 3 2 3" xfId="2644" xr:uid="{00000000-0005-0000-0000-0000710D0000}"/>
    <cellStyle name="Normal 4 2 2 4 2 3 2 3 2" xfId="4228" xr:uid="{00000000-0005-0000-0000-0000720D0000}"/>
    <cellStyle name="Normal 4 2 2 4 2 3 2 3 2 2" xfId="7456" xr:uid="{00000000-0005-0000-0000-0000730D0000}"/>
    <cellStyle name="Normal 4 2 2 4 2 3 2 3 2 2 2" xfId="13817" xr:uid="{00000000-0005-0000-0000-0000740D0000}"/>
    <cellStyle name="Normal 4 2 2 4 2 3 2 3 2 3" xfId="10638" xr:uid="{00000000-0005-0000-0000-0000750D0000}"/>
    <cellStyle name="Normal 4 2 2 4 2 3 2 3 3" xfId="5872" xr:uid="{00000000-0005-0000-0000-0000760D0000}"/>
    <cellStyle name="Normal 4 2 2 4 2 3 2 3 3 2" xfId="12233" xr:uid="{00000000-0005-0000-0000-0000770D0000}"/>
    <cellStyle name="Normal 4 2 2 4 2 3 2 3 4" xfId="9054" xr:uid="{00000000-0005-0000-0000-0000780D0000}"/>
    <cellStyle name="Normal 4 2 2 4 2 3 2 4" xfId="3436" xr:uid="{00000000-0005-0000-0000-0000790D0000}"/>
    <cellStyle name="Normal 4 2 2 4 2 3 2 4 2" xfId="6664" xr:uid="{00000000-0005-0000-0000-00007A0D0000}"/>
    <cellStyle name="Normal 4 2 2 4 2 3 2 4 2 2" xfId="13025" xr:uid="{00000000-0005-0000-0000-00007B0D0000}"/>
    <cellStyle name="Normal 4 2 2 4 2 3 2 4 3" xfId="9846" xr:uid="{00000000-0005-0000-0000-00007C0D0000}"/>
    <cellStyle name="Normal 4 2 2 4 2 3 2 5" xfId="5080" xr:uid="{00000000-0005-0000-0000-00007D0D0000}"/>
    <cellStyle name="Normal 4 2 2 4 2 3 2 5 2" xfId="11441" xr:uid="{00000000-0005-0000-0000-00007E0D0000}"/>
    <cellStyle name="Normal 4 2 2 4 2 3 2 6" xfId="8262" xr:uid="{00000000-0005-0000-0000-00007F0D0000}"/>
    <cellStyle name="Normal 4 2 2 4 2 3 3" xfId="2050" xr:uid="{00000000-0005-0000-0000-0000800D0000}"/>
    <cellStyle name="Normal 4 2 2 4 2 3 3 2" xfId="2842" xr:uid="{00000000-0005-0000-0000-0000810D0000}"/>
    <cellStyle name="Normal 4 2 2 4 2 3 3 2 2" xfId="4426" xr:uid="{00000000-0005-0000-0000-0000820D0000}"/>
    <cellStyle name="Normal 4 2 2 4 2 3 3 2 2 2" xfId="7654" xr:uid="{00000000-0005-0000-0000-0000830D0000}"/>
    <cellStyle name="Normal 4 2 2 4 2 3 3 2 2 2 2" xfId="14015" xr:uid="{00000000-0005-0000-0000-0000840D0000}"/>
    <cellStyle name="Normal 4 2 2 4 2 3 3 2 2 3" xfId="10836" xr:uid="{00000000-0005-0000-0000-0000850D0000}"/>
    <cellStyle name="Normal 4 2 2 4 2 3 3 2 3" xfId="6070" xr:uid="{00000000-0005-0000-0000-0000860D0000}"/>
    <cellStyle name="Normal 4 2 2 4 2 3 3 2 3 2" xfId="12431" xr:uid="{00000000-0005-0000-0000-0000870D0000}"/>
    <cellStyle name="Normal 4 2 2 4 2 3 3 2 4" xfId="9252" xr:uid="{00000000-0005-0000-0000-0000880D0000}"/>
    <cellStyle name="Normal 4 2 2 4 2 3 3 3" xfId="3634" xr:uid="{00000000-0005-0000-0000-0000890D0000}"/>
    <cellStyle name="Normal 4 2 2 4 2 3 3 3 2" xfId="6862" xr:uid="{00000000-0005-0000-0000-00008A0D0000}"/>
    <cellStyle name="Normal 4 2 2 4 2 3 3 3 2 2" xfId="13223" xr:uid="{00000000-0005-0000-0000-00008B0D0000}"/>
    <cellStyle name="Normal 4 2 2 4 2 3 3 3 3" xfId="10044" xr:uid="{00000000-0005-0000-0000-00008C0D0000}"/>
    <cellStyle name="Normal 4 2 2 4 2 3 3 4" xfId="5278" xr:uid="{00000000-0005-0000-0000-00008D0D0000}"/>
    <cellStyle name="Normal 4 2 2 4 2 3 3 4 2" xfId="11639" xr:uid="{00000000-0005-0000-0000-00008E0D0000}"/>
    <cellStyle name="Normal 4 2 2 4 2 3 3 5" xfId="8460" xr:uid="{00000000-0005-0000-0000-00008F0D0000}"/>
    <cellStyle name="Normal 4 2 2 4 2 3 4" xfId="2446" xr:uid="{00000000-0005-0000-0000-0000900D0000}"/>
    <cellStyle name="Normal 4 2 2 4 2 3 4 2" xfId="4030" xr:uid="{00000000-0005-0000-0000-0000910D0000}"/>
    <cellStyle name="Normal 4 2 2 4 2 3 4 2 2" xfId="7258" xr:uid="{00000000-0005-0000-0000-0000920D0000}"/>
    <cellStyle name="Normal 4 2 2 4 2 3 4 2 2 2" xfId="13619" xr:uid="{00000000-0005-0000-0000-0000930D0000}"/>
    <cellStyle name="Normal 4 2 2 4 2 3 4 2 3" xfId="10440" xr:uid="{00000000-0005-0000-0000-0000940D0000}"/>
    <cellStyle name="Normal 4 2 2 4 2 3 4 3" xfId="5674" xr:uid="{00000000-0005-0000-0000-0000950D0000}"/>
    <cellStyle name="Normal 4 2 2 4 2 3 4 3 2" xfId="12035" xr:uid="{00000000-0005-0000-0000-0000960D0000}"/>
    <cellStyle name="Normal 4 2 2 4 2 3 4 4" xfId="8856" xr:uid="{00000000-0005-0000-0000-0000970D0000}"/>
    <cellStyle name="Normal 4 2 2 4 2 3 5" xfId="3238" xr:uid="{00000000-0005-0000-0000-0000980D0000}"/>
    <cellStyle name="Normal 4 2 2 4 2 3 5 2" xfId="6466" xr:uid="{00000000-0005-0000-0000-0000990D0000}"/>
    <cellStyle name="Normal 4 2 2 4 2 3 5 2 2" xfId="12827" xr:uid="{00000000-0005-0000-0000-00009A0D0000}"/>
    <cellStyle name="Normal 4 2 2 4 2 3 5 3" xfId="9648" xr:uid="{00000000-0005-0000-0000-00009B0D0000}"/>
    <cellStyle name="Normal 4 2 2 4 2 3 6" xfId="4882" xr:uid="{00000000-0005-0000-0000-00009C0D0000}"/>
    <cellStyle name="Normal 4 2 2 4 2 3 6 2" xfId="11243" xr:uid="{00000000-0005-0000-0000-00009D0D0000}"/>
    <cellStyle name="Normal 4 2 2 4 2 3 7" xfId="8064" xr:uid="{00000000-0005-0000-0000-00009E0D0000}"/>
    <cellStyle name="Normal 4 2 2 4 2 4" xfId="1719" xr:uid="{00000000-0005-0000-0000-00009F0D0000}"/>
    <cellStyle name="Normal 4 2 2 4 2 4 2" xfId="2115" xr:uid="{00000000-0005-0000-0000-0000A00D0000}"/>
    <cellStyle name="Normal 4 2 2 4 2 4 2 2" xfId="2907" xr:uid="{00000000-0005-0000-0000-0000A10D0000}"/>
    <cellStyle name="Normal 4 2 2 4 2 4 2 2 2" xfId="4491" xr:uid="{00000000-0005-0000-0000-0000A20D0000}"/>
    <cellStyle name="Normal 4 2 2 4 2 4 2 2 2 2" xfId="7719" xr:uid="{00000000-0005-0000-0000-0000A30D0000}"/>
    <cellStyle name="Normal 4 2 2 4 2 4 2 2 2 2 2" xfId="14080" xr:uid="{00000000-0005-0000-0000-0000A40D0000}"/>
    <cellStyle name="Normal 4 2 2 4 2 4 2 2 2 3" xfId="10901" xr:uid="{00000000-0005-0000-0000-0000A50D0000}"/>
    <cellStyle name="Normal 4 2 2 4 2 4 2 2 3" xfId="6135" xr:uid="{00000000-0005-0000-0000-0000A60D0000}"/>
    <cellStyle name="Normal 4 2 2 4 2 4 2 2 3 2" xfId="12496" xr:uid="{00000000-0005-0000-0000-0000A70D0000}"/>
    <cellStyle name="Normal 4 2 2 4 2 4 2 2 4" xfId="9317" xr:uid="{00000000-0005-0000-0000-0000A80D0000}"/>
    <cellStyle name="Normal 4 2 2 4 2 4 2 3" xfId="3699" xr:uid="{00000000-0005-0000-0000-0000A90D0000}"/>
    <cellStyle name="Normal 4 2 2 4 2 4 2 3 2" xfId="6927" xr:uid="{00000000-0005-0000-0000-0000AA0D0000}"/>
    <cellStyle name="Normal 4 2 2 4 2 4 2 3 2 2" xfId="13288" xr:uid="{00000000-0005-0000-0000-0000AB0D0000}"/>
    <cellStyle name="Normal 4 2 2 4 2 4 2 3 3" xfId="10109" xr:uid="{00000000-0005-0000-0000-0000AC0D0000}"/>
    <cellStyle name="Normal 4 2 2 4 2 4 2 4" xfId="5343" xr:uid="{00000000-0005-0000-0000-0000AD0D0000}"/>
    <cellStyle name="Normal 4 2 2 4 2 4 2 4 2" xfId="11704" xr:uid="{00000000-0005-0000-0000-0000AE0D0000}"/>
    <cellStyle name="Normal 4 2 2 4 2 4 2 5" xfId="8525" xr:uid="{00000000-0005-0000-0000-0000AF0D0000}"/>
    <cellStyle name="Normal 4 2 2 4 2 4 3" xfId="2511" xr:uid="{00000000-0005-0000-0000-0000B00D0000}"/>
    <cellStyle name="Normal 4 2 2 4 2 4 3 2" xfId="4095" xr:uid="{00000000-0005-0000-0000-0000B10D0000}"/>
    <cellStyle name="Normal 4 2 2 4 2 4 3 2 2" xfId="7323" xr:uid="{00000000-0005-0000-0000-0000B20D0000}"/>
    <cellStyle name="Normal 4 2 2 4 2 4 3 2 2 2" xfId="13684" xr:uid="{00000000-0005-0000-0000-0000B30D0000}"/>
    <cellStyle name="Normal 4 2 2 4 2 4 3 2 3" xfId="10505" xr:uid="{00000000-0005-0000-0000-0000B40D0000}"/>
    <cellStyle name="Normal 4 2 2 4 2 4 3 3" xfId="5739" xr:uid="{00000000-0005-0000-0000-0000B50D0000}"/>
    <cellStyle name="Normal 4 2 2 4 2 4 3 3 2" xfId="12100" xr:uid="{00000000-0005-0000-0000-0000B60D0000}"/>
    <cellStyle name="Normal 4 2 2 4 2 4 3 4" xfId="8921" xr:uid="{00000000-0005-0000-0000-0000B70D0000}"/>
    <cellStyle name="Normal 4 2 2 4 2 4 4" xfId="3303" xr:uid="{00000000-0005-0000-0000-0000B80D0000}"/>
    <cellStyle name="Normal 4 2 2 4 2 4 4 2" xfId="6531" xr:uid="{00000000-0005-0000-0000-0000B90D0000}"/>
    <cellStyle name="Normal 4 2 2 4 2 4 4 2 2" xfId="12892" xr:uid="{00000000-0005-0000-0000-0000BA0D0000}"/>
    <cellStyle name="Normal 4 2 2 4 2 4 4 3" xfId="9713" xr:uid="{00000000-0005-0000-0000-0000BB0D0000}"/>
    <cellStyle name="Normal 4 2 2 4 2 4 5" xfId="4947" xr:uid="{00000000-0005-0000-0000-0000BC0D0000}"/>
    <cellStyle name="Normal 4 2 2 4 2 4 5 2" xfId="11308" xr:uid="{00000000-0005-0000-0000-0000BD0D0000}"/>
    <cellStyle name="Normal 4 2 2 4 2 4 6" xfId="8129" xr:uid="{00000000-0005-0000-0000-0000BE0D0000}"/>
    <cellStyle name="Normal 4 2 2 4 2 5" xfId="1917" xr:uid="{00000000-0005-0000-0000-0000BF0D0000}"/>
    <cellStyle name="Normal 4 2 2 4 2 5 2" xfId="2709" xr:uid="{00000000-0005-0000-0000-0000C00D0000}"/>
    <cellStyle name="Normal 4 2 2 4 2 5 2 2" xfId="4293" xr:uid="{00000000-0005-0000-0000-0000C10D0000}"/>
    <cellStyle name="Normal 4 2 2 4 2 5 2 2 2" xfId="7521" xr:uid="{00000000-0005-0000-0000-0000C20D0000}"/>
    <cellStyle name="Normal 4 2 2 4 2 5 2 2 2 2" xfId="13882" xr:uid="{00000000-0005-0000-0000-0000C30D0000}"/>
    <cellStyle name="Normal 4 2 2 4 2 5 2 2 3" xfId="10703" xr:uid="{00000000-0005-0000-0000-0000C40D0000}"/>
    <cellStyle name="Normal 4 2 2 4 2 5 2 3" xfId="5937" xr:uid="{00000000-0005-0000-0000-0000C50D0000}"/>
    <cellStyle name="Normal 4 2 2 4 2 5 2 3 2" xfId="12298" xr:uid="{00000000-0005-0000-0000-0000C60D0000}"/>
    <cellStyle name="Normal 4 2 2 4 2 5 2 4" xfId="9119" xr:uid="{00000000-0005-0000-0000-0000C70D0000}"/>
    <cellStyle name="Normal 4 2 2 4 2 5 3" xfId="3501" xr:uid="{00000000-0005-0000-0000-0000C80D0000}"/>
    <cellStyle name="Normal 4 2 2 4 2 5 3 2" xfId="6729" xr:uid="{00000000-0005-0000-0000-0000C90D0000}"/>
    <cellStyle name="Normal 4 2 2 4 2 5 3 2 2" xfId="13090" xr:uid="{00000000-0005-0000-0000-0000CA0D0000}"/>
    <cellStyle name="Normal 4 2 2 4 2 5 3 3" xfId="9911" xr:uid="{00000000-0005-0000-0000-0000CB0D0000}"/>
    <cellStyle name="Normal 4 2 2 4 2 5 4" xfId="5145" xr:uid="{00000000-0005-0000-0000-0000CC0D0000}"/>
    <cellStyle name="Normal 4 2 2 4 2 5 4 2" xfId="11506" xr:uid="{00000000-0005-0000-0000-0000CD0D0000}"/>
    <cellStyle name="Normal 4 2 2 4 2 5 5" xfId="8327" xr:uid="{00000000-0005-0000-0000-0000CE0D0000}"/>
    <cellStyle name="Normal 4 2 2 4 2 6" xfId="2313" xr:uid="{00000000-0005-0000-0000-0000CF0D0000}"/>
    <cellStyle name="Normal 4 2 2 4 2 6 2" xfId="3897" xr:uid="{00000000-0005-0000-0000-0000D00D0000}"/>
    <cellStyle name="Normal 4 2 2 4 2 6 2 2" xfId="7125" xr:uid="{00000000-0005-0000-0000-0000D10D0000}"/>
    <cellStyle name="Normal 4 2 2 4 2 6 2 2 2" xfId="13486" xr:uid="{00000000-0005-0000-0000-0000D20D0000}"/>
    <cellStyle name="Normal 4 2 2 4 2 6 2 3" xfId="10307" xr:uid="{00000000-0005-0000-0000-0000D30D0000}"/>
    <cellStyle name="Normal 4 2 2 4 2 6 3" xfId="5541" xr:uid="{00000000-0005-0000-0000-0000D40D0000}"/>
    <cellStyle name="Normal 4 2 2 4 2 6 3 2" xfId="11902" xr:uid="{00000000-0005-0000-0000-0000D50D0000}"/>
    <cellStyle name="Normal 4 2 2 4 2 6 4" xfId="8723" xr:uid="{00000000-0005-0000-0000-0000D60D0000}"/>
    <cellStyle name="Normal 4 2 2 4 2 7" xfId="3105" xr:uid="{00000000-0005-0000-0000-0000D70D0000}"/>
    <cellStyle name="Normal 4 2 2 4 2 7 2" xfId="6333" xr:uid="{00000000-0005-0000-0000-0000D80D0000}"/>
    <cellStyle name="Normal 4 2 2 4 2 7 2 2" xfId="12694" xr:uid="{00000000-0005-0000-0000-0000D90D0000}"/>
    <cellStyle name="Normal 4 2 2 4 2 7 3" xfId="9515" xr:uid="{00000000-0005-0000-0000-0000DA0D0000}"/>
    <cellStyle name="Normal 4 2 2 4 2 8" xfId="4749" xr:uid="{00000000-0005-0000-0000-0000DB0D0000}"/>
    <cellStyle name="Normal 4 2 2 4 2 8 2" xfId="11110" xr:uid="{00000000-0005-0000-0000-0000DC0D0000}"/>
    <cellStyle name="Normal 4 2 2 4 2 9" xfId="7931" xr:uid="{00000000-0005-0000-0000-0000DD0D0000}"/>
    <cellStyle name="Normal 4 2 2 4 3" xfId="1554" xr:uid="{00000000-0005-0000-0000-0000DE0D0000}"/>
    <cellStyle name="Normal 4 2 2 4 3 2" xfId="1752" xr:uid="{00000000-0005-0000-0000-0000DF0D0000}"/>
    <cellStyle name="Normal 4 2 2 4 3 2 2" xfId="2148" xr:uid="{00000000-0005-0000-0000-0000E00D0000}"/>
    <cellStyle name="Normal 4 2 2 4 3 2 2 2" xfId="2940" xr:uid="{00000000-0005-0000-0000-0000E10D0000}"/>
    <cellStyle name="Normal 4 2 2 4 3 2 2 2 2" xfId="4524" xr:uid="{00000000-0005-0000-0000-0000E20D0000}"/>
    <cellStyle name="Normal 4 2 2 4 3 2 2 2 2 2" xfId="7752" xr:uid="{00000000-0005-0000-0000-0000E30D0000}"/>
    <cellStyle name="Normal 4 2 2 4 3 2 2 2 2 2 2" xfId="14113" xr:uid="{00000000-0005-0000-0000-0000E40D0000}"/>
    <cellStyle name="Normal 4 2 2 4 3 2 2 2 2 3" xfId="10934" xr:uid="{00000000-0005-0000-0000-0000E50D0000}"/>
    <cellStyle name="Normal 4 2 2 4 3 2 2 2 3" xfId="6168" xr:uid="{00000000-0005-0000-0000-0000E60D0000}"/>
    <cellStyle name="Normal 4 2 2 4 3 2 2 2 3 2" xfId="12529" xr:uid="{00000000-0005-0000-0000-0000E70D0000}"/>
    <cellStyle name="Normal 4 2 2 4 3 2 2 2 4" xfId="9350" xr:uid="{00000000-0005-0000-0000-0000E80D0000}"/>
    <cellStyle name="Normal 4 2 2 4 3 2 2 3" xfId="3732" xr:uid="{00000000-0005-0000-0000-0000E90D0000}"/>
    <cellStyle name="Normal 4 2 2 4 3 2 2 3 2" xfId="6960" xr:uid="{00000000-0005-0000-0000-0000EA0D0000}"/>
    <cellStyle name="Normal 4 2 2 4 3 2 2 3 2 2" xfId="13321" xr:uid="{00000000-0005-0000-0000-0000EB0D0000}"/>
    <cellStyle name="Normal 4 2 2 4 3 2 2 3 3" xfId="10142" xr:uid="{00000000-0005-0000-0000-0000EC0D0000}"/>
    <cellStyle name="Normal 4 2 2 4 3 2 2 4" xfId="5376" xr:uid="{00000000-0005-0000-0000-0000ED0D0000}"/>
    <cellStyle name="Normal 4 2 2 4 3 2 2 4 2" xfId="11737" xr:uid="{00000000-0005-0000-0000-0000EE0D0000}"/>
    <cellStyle name="Normal 4 2 2 4 3 2 2 5" xfId="8558" xr:uid="{00000000-0005-0000-0000-0000EF0D0000}"/>
    <cellStyle name="Normal 4 2 2 4 3 2 3" xfId="2544" xr:uid="{00000000-0005-0000-0000-0000F00D0000}"/>
    <cellStyle name="Normal 4 2 2 4 3 2 3 2" xfId="4128" xr:uid="{00000000-0005-0000-0000-0000F10D0000}"/>
    <cellStyle name="Normal 4 2 2 4 3 2 3 2 2" xfId="7356" xr:uid="{00000000-0005-0000-0000-0000F20D0000}"/>
    <cellStyle name="Normal 4 2 2 4 3 2 3 2 2 2" xfId="13717" xr:uid="{00000000-0005-0000-0000-0000F30D0000}"/>
    <cellStyle name="Normal 4 2 2 4 3 2 3 2 3" xfId="10538" xr:uid="{00000000-0005-0000-0000-0000F40D0000}"/>
    <cellStyle name="Normal 4 2 2 4 3 2 3 3" xfId="5772" xr:uid="{00000000-0005-0000-0000-0000F50D0000}"/>
    <cellStyle name="Normal 4 2 2 4 3 2 3 3 2" xfId="12133" xr:uid="{00000000-0005-0000-0000-0000F60D0000}"/>
    <cellStyle name="Normal 4 2 2 4 3 2 3 4" xfId="8954" xr:uid="{00000000-0005-0000-0000-0000F70D0000}"/>
    <cellStyle name="Normal 4 2 2 4 3 2 4" xfId="3336" xr:uid="{00000000-0005-0000-0000-0000F80D0000}"/>
    <cellStyle name="Normal 4 2 2 4 3 2 4 2" xfId="6564" xr:uid="{00000000-0005-0000-0000-0000F90D0000}"/>
    <cellStyle name="Normal 4 2 2 4 3 2 4 2 2" xfId="12925" xr:uid="{00000000-0005-0000-0000-0000FA0D0000}"/>
    <cellStyle name="Normal 4 2 2 4 3 2 4 3" xfId="9746" xr:uid="{00000000-0005-0000-0000-0000FB0D0000}"/>
    <cellStyle name="Normal 4 2 2 4 3 2 5" xfId="4980" xr:uid="{00000000-0005-0000-0000-0000FC0D0000}"/>
    <cellStyle name="Normal 4 2 2 4 3 2 5 2" xfId="11341" xr:uid="{00000000-0005-0000-0000-0000FD0D0000}"/>
    <cellStyle name="Normal 4 2 2 4 3 2 6" xfId="8162" xr:uid="{00000000-0005-0000-0000-0000FE0D0000}"/>
    <cellStyle name="Normal 4 2 2 4 3 3" xfId="1950" xr:uid="{00000000-0005-0000-0000-0000FF0D0000}"/>
    <cellStyle name="Normal 4 2 2 4 3 3 2" xfId="2742" xr:uid="{00000000-0005-0000-0000-0000000E0000}"/>
    <cellStyle name="Normal 4 2 2 4 3 3 2 2" xfId="4326" xr:uid="{00000000-0005-0000-0000-0000010E0000}"/>
    <cellStyle name="Normal 4 2 2 4 3 3 2 2 2" xfId="7554" xr:uid="{00000000-0005-0000-0000-0000020E0000}"/>
    <cellStyle name="Normal 4 2 2 4 3 3 2 2 2 2" xfId="13915" xr:uid="{00000000-0005-0000-0000-0000030E0000}"/>
    <cellStyle name="Normal 4 2 2 4 3 3 2 2 3" xfId="10736" xr:uid="{00000000-0005-0000-0000-0000040E0000}"/>
    <cellStyle name="Normal 4 2 2 4 3 3 2 3" xfId="5970" xr:uid="{00000000-0005-0000-0000-0000050E0000}"/>
    <cellStyle name="Normal 4 2 2 4 3 3 2 3 2" xfId="12331" xr:uid="{00000000-0005-0000-0000-0000060E0000}"/>
    <cellStyle name="Normal 4 2 2 4 3 3 2 4" xfId="9152" xr:uid="{00000000-0005-0000-0000-0000070E0000}"/>
    <cellStyle name="Normal 4 2 2 4 3 3 3" xfId="3534" xr:uid="{00000000-0005-0000-0000-0000080E0000}"/>
    <cellStyle name="Normal 4 2 2 4 3 3 3 2" xfId="6762" xr:uid="{00000000-0005-0000-0000-0000090E0000}"/>
    <cellStyle name="Normal 4 2 2 4 3 3 3 2 2" xfId="13123" xr:uid="{00000000-0005-0000-0000-00000A0E0000}"/>
    <cellStyle name="Normal 4 2 2 4 3 3 3 3" xfId="9944" xr:uid="{00000000-0005-0000-0000-00000B0E0000}"/>
    <cellStyle name="Normal 4 2 2 4 3 3 4" xfId="5178" xr:uid="{00000000-0005-0000-0000-00000C0E0000}"/>
    <cellStyle name="Normal 4 2 2 4 3 3 4 2" xfId="11539" xr:uid="{00000000-0005-0000-0000-00000D0E0000}"/>
    <cellStyle name="Normal 4 2 2 4 3 3 5" xfId="8360" xr:uid="{00000000-0005-0000-0000-00000E0E0000}"/>
    <cellStyle name="Normal 4 2 2 4 3 4" xfId="2346" xr:uid="{00000000-0005-0000-0000-00000F0E0000}"/>
    <cellStyle name="Normal 4 2 2 4 3 4 2" xfId="3930" xr:uid="{00000000-0005-0000-0000-0000100E0000}"/>
    <cellStyle name="Normal 4 2 2 4 3 4 2 2" xfId="7158" xr:uid="{00000000-0005-0000-0000-0000110E0000}"/>
    <cellStyle name="Normal 4 2 2 4 3 4 2 2 2" xfId="13519" xr:uid="{00000000-0005-0000-0000-0000120E0000}"/>
    <cellStyle name="Normal 4 2 2 4 3 4 2 3" xfId="10340" xr:uid="{00000000-0005-0000-0000-0000130E0000}"/>
    <cellStyle name="Normal 4 2 2 4 3 4 3" xfId="5574" xr:uid="{00000000-0005-0000-0000-0000140E0000}"/>
    <cellStyle name="Normal 4 2 2 4 3 4 3 2" xfId="11935" xr:uid="{00000000-0005-0000-0000-0000150E0000}"/>
    <cellStyle name="Normal 4 2 2 4 3 4 4" xfId="8756" xr:uid="{00000000-0005-0000-0000-0000160E0000}"/>
    <cellStyle name="Normal 4 2 2 4 3 5" xfId="3138" xr:uid="{00000000-0005-0000-0000-0000170E0000}"/>
    <cellStyle name="Normal 4 2 2 4 3 5 2" xfId="6366" xr:uid="{00000000-0005-0000-0000-0000180E0000}"/>
    <cellStyle name="Normal 4 2 2 4 3 5 2 2" xfId="12727" xr:uid="{00000000-0005-0000-0000-0000190E0000}"/>
    <cellStyle name="Normal 4 2 2 4 3 5 3" xfId="9548" xr:uid="{00000000-0005-0000-0000-00001A0E0000}"/>
    <cellStyle name="Normal 4 2 2 4 3 6" xfId="4782" xr:uid="{00000000-0005-0000-0000-00001B0E0000}"/>
    <cellStyle name="Normal 4 2 2 4 3 6 2" xfId="11143" xr:uid="{00000000-0005-0000-0000-00001C0E0000}"/>
    <cellStyle name="Normal 4 2 2 4 3 7" xfId="7964" xr:uid="{00000000-0005-0000-0000-00001D0E0000}"/>
    <cellStyle name="Normal 4 2 2 4 4" xfId="1622" xr:uid="{00000000-0005-0000-0000-00001E0E0000}"/>
    <cellStyle name="Normal 4 2 2 4 4 2" xfId="1820" xr:uid="{00000000-0005-0000-0000-00001F0E0000}"/>
    <cellStyle name="Normal 4 2 2 4 4 2 2" xfId="2216" xr:uid="{00000000-0005-0000-0000-0000200E0000}"/>
    <cellStyle name="Normal 4 2 2 4 4 2 2 2" xfId="3008" xr:uid="{00000000-0005-0000-0000-0000210E0000}"/>
    <cellStyle name="Normal 4 2 2 4 4 2 2 2 2" xfId="4592" xr:uid="{00000000-0005-0000-0000-0000220E0000}"/>
    <cellStyle name="Normal 4 2 2 4 4 2 2 2 2 2" xfId="7820" xr:uid="{00000000-0005-0000-0000-0000230E0000}"/>
    <cellStyle name="Normal 4 2 2 4 4 2 2 2 2 2 2" xfId="14181" xr:uid="{00000000-0005-0000-0000-0000240E0000}"/>
    <cellStyle name="Normal 4 2 2 4 4 2 2 2 2 3" xfId="11002" xr:uid="{00000000-0005-0000-0000-0000250E0000}"/>
    <cellStyle name="Normal 4 2 2 4 4 2 2 2 3" xfId="6236" xr:uid="{00000000-0005-0000-0000-0000260E0000}"/>
    <cellStyle name="Normal 4 2 2 4 4 2 2 2 3 2" xfId="12597" xr:uid="{00000000-0005-0000-0000-0000270E0000}"/>
    <cellStyle name="Normal 4 2 2 4 4 2 2 2 4" xfId="9418" xr:uid="{00000000-0005-0000-0000-0000280E0000}"/>
    <cellStyle name="Normal 4 2 2 4 4 2 2 3" xfId="3800" xr:uid="{00000000-0005-0000-0000-0000290E0000}"/>
    <cellStyle name="Normal 4 2 2 4 4 2 2 3 2" xfId="7028" xr:uid="{00000000-0005-0000-0000-00002A0E0000}"/>
    <cellStyle name="Normal 4 2 2 4 4 2 2 3 2 2" xfId="13389" xr:uid="{00000000-0005-0000-0000-00002B0E0000}"/>
    <cellStyle name="Normal 4 2 2 4 4 2 2 3 3" xfId="10210" xr:uid="{00000000-0005-0000-0000-00002C0E0000}"/>
    <cellStyle name="Normal 4 2 2 4 4 2 2 4" xfId="5444" xr:uid="{00000000-0005-0000-0000-00002D0E0000}"/>
    <cellStyle name="Normal 4 2 2 4 4 2 2 4 2" xfId="11805" xr:uid="{00000000-0005-0000-0000-00002E0E0000}"/>
    <cellStyle name="Normal 4 2 2 4 4 2 2 5" xfId="8626" xr:uid="{00000000-0005-0000-0000-00002F0E0000}"/>
    <cellStyle name="Normal 4 2 2 4 4 2 3" xfId="2612" xr:uid="{00000000-0005-0000-0000-0000300E0000}"/>
    <cellStyle name="Normal 4 2 2 4 4 2 3 2" xfId="4196" xr:uid="{00000000-0005-0000-0000-0000310E0000}"/>
    <cellStyle name="Normal 4 2 2 4 4 2 3 2 2" xfId="7424" xr:uid="{00000000-0005-0000-0000-0000320E0000}"/>
    <cellStyle name="Normal 4 2 2 4 4 2 3 2 2 2" xfId="13785" xr:uid="{00000000-0005-0000-0000-0000330E0000}"/>
    <cellStyle name="Normal 4 2 2 4 4 2 3 2 3" xfId="10606" xr:uid="{00000000-0005-0000-0000-0000340E0000}"/>
    <cellStyle name="Normal 4 2 2 4 4 2 3 3" xfId="5840" xr:uid="{00000000-0005-0000-0000-0000350E0000}"/>
    <cellStyle name="Normal 4 2 2 4 4 2 3 3 2" xfId="12201" xr:uid="{00000000-0005-0000-0000-0000360E0000}"/>
    <cellStyle name="Normal 4 2 2 4 4 2 3 4" xfId="9022" xr:uid="{00000000-0005-0000-0000-0000370E0000}"/>
    <cellStyle name="Normal 4 2 2 4 4 2 4" xfId="3404" xr:uid="{00000000-0005-0000-0000-0000380E0000}"/>
    <cellStyle name="Normal 4 2 2 4 4 2 4 2" xfId="6632" xr:uid="{00000000-0005-0000-0000-0000390E0000}"/>
    <cellStyle name="Normal 4 2 2 4 4 2 4 2 2" xfId="12993" xr:uid="{00000000-0005-0000-0000-00003A0E0000}"/>
    <cellStyle name="Normal 4 2 2 4 4 2 4 3" xfId="9814" xr:uid="{00000000-0005-0000-0000-00003B0E0000}"/>
    <cellStyle name="Normal 4 2 2 4 4 2 5" xfId="5048" xr:uid="{00000000-0005-0000-0000-00003C0E0000}"/>
    <cellStyle name="Normal 4 2 2 4 4 2 5 2" xfId="11409" xr:uid="{00000000-0005-0000-0000-00003D0E0000}"/>
    <cellStyle name="Normal 4 2 2 4 4 2 6" xfId="8230" xr:uid="{00000000-0005-0000-0000-00003E0E0000}"/>
    <cellStyle name="Normal 4 2 2 4 4 3" xfId="2018" xr:uid="{00000000-0005-0000-0000-00003F0E0000}"/>
    <cellStyle name="Normal 4 2 2 4 4 3 2" xfId="2810" xr:uid="{00000000-0005-0000-0000-0000400E0000}"/>
    <cellStyle name="Normal 4 2 2 4 4 3 2 2" xfId="4394" xr:uid="{00000000-0005-0000-0000-0000410E0000}"/>
    <cellStyle name="Normal 4 2 2 4 4 3 2 2 2" xfId="7622" xr:uid="{00000000-0005-0000-0000-0000420E0000}"/>
    <cellStyle name="Normal 4 2 2 4 4 3 2 2 2 2" xfId="13983" xr:uid="{00000000-0005-0000-0000-0000430E0000}"/>
    <cellStyle name="Normal 4 2 2 4 4 3 2 2 3" xfId="10804" xr:uid="{00000000-0005-0000-0000-0000440E0000}"/>
    <cellStyle name="Normal 4 2 2 4 4 3 2 3" xfId="6038" xr:uid="{00000000-0005-0000-0000-0000450E0000}"/>
    <cellStyle name="Normal 4 2 2 4 4 3 2 3 2" xfId="12399" xr:uid="{00000000-0005-0000-0000-0000460E0000}"/>
    <cellStyle name="Normal 4 2 2 4 4 3 2 4" xfId="9220" xr:uid="{00000000-0005-0000-0000-0000470E0000}"/>
    <cellStyle name="Normal 4 2 2 4 4 3 3" xfId="3602" xr:uid="{00000000-0005-0000-0000-0000480E0000}"/>
    <cellStyle name="Normal 4 2 2 4 4 3 3 2" xfId="6830" xr:uid="{00000000-0005-0000-0000-0000490E0000}"/>
    <cellStyle name="Normal 4 2 2 4 4 3 3 2 2" xfId="13191" xr:uid="{00000000-0005-0000-0000-00004A0E0000}"/>
    <cellStyle name="Normal 4 2 2 4 4 3 3 3" xfId="10012" xr:uid="{00000000-0005-0000-0000-00004B0E0000}"/>
    <cellStyle name="Normal 4 2 2 4 4 3 4" xfId="5246" xr:uid="{00000000-0005-0000-0000-00004C0E0000}"/>
    <cellStyle name="Normal 4 2 2 4 4 3 4 2" xfId="11607" xr:uid="{00000000-0005-0000-0000-00004D0E0000}"/>
    <cellStyle name="Normal 4 2 2 4 4 3 5" xfId="8428" xr:uid="{00000000-0005-0000-0000-00004E0E0000}"/>
    <cellStyle name="Normal 4 2 2 4 4 4" xfId="2414" xr:uid="{00000000-0005-0000-0000-00004F0E0000}"/>
    <cellStyle name="Normal 4 2 2 4 4 4 2" xfId="3998" xr:uid="{00000000-0005-0000-0000-0000500E0000}"/>
    <cellStyle name="Normal 4 2 2 4 4 4 2 2" xfId="7226" xr:uid="{00000000-0005-0000-0000-0000510E0000}"/>
    <cellStyle name="Normal 4 2 2 4 4 4 2 2 2" xfId="13587" xr:uid="{00000000-0005-0000-0000-0000520E0000}"/>
    <cellStyle name="Normal 4 2 2 4 4 4 2 3" xfId="10408" xr:uid="{00000000-0005-0000-0000-0000530E0000}"/>
    <cellStyle name="Normal 4 2 2 4 4 4 3" xfId="5642" xr:uid="{00000000-0005-0000-0000-0000540E0000}"/>
    <cellStyle name="Normal 4 2 2 4 4 4 3 2" xfId="12003" xr:uid="{00000000-0005-0000-0000-0000550E0000}"/>
    <cellStyle name="Normal 4 2 2 4 4 4 4" xfId="8824" xr:uid="{00000000-0005-0000-0000-0000560E0000}"/>
    <cellStyle name="Normal 4 2 2 4 4 5" xfId="3206" xr:uid="{00000000-0005-0000-0000-0000570E0000}"/>
    <cellStyle name="Normal 4 2 2 4 4 5 2" xfId="6434" xr:uid="{00000000-0005-0000-0000-0000580E0000}"/>
    <cellStyle name="Normal 4 2 2 4 4 5 2 2" xfId="12795" xr:uid="{00000000-0005-0000-0000-0000590E0000}"/>
    <cellStyle name="Normal 4 2 2 4 4 5 3" xfId="9616" xr:uid="{00000000-0005-0000-0000-00005A0E0000}"/>
    <cellStyle name="Normal 4 2 2 4 4 6" xfId="4850" xr:uid="{00000000-0005-0000-0000-00005B0E0000}"/>
    <cellStyle name="Normal 4 2 2 4 4 6 2" xfId="11211" xr:uid="{00000000-0005-0000-0000-00005C0E0000}"/>
    <cellStyle name="Normal 4 2 2 4 4 7" xfId="8032" xr:uid="{00000000-0005-0000-0000-00005D0E0000}"/>
    <cellStyle name="Normal 4 2 2 4 5" xfId="1687" xr:uid="{00000000-0005-0000-0000-00005E0E0000}"/>
    <cellStyle name="Normal 4 2 2 4 5 2" xfId="2083" xr:uid="{00000000-0005-0000-0000-00005F0E0000}"/>
    <cellStyle name="Normal 4 2 2 4 5 2 2" xfId="2875" xr:uid="{00000000-0005-0000-0000-0000600E0000}"/>
    <cellStyle name="Normal 4 2 2 4 5 2 2 2" xfId="4459" xr:uid="{00000000-0005-0000-0000-0000610E0000}"/>
    <cellStyle name="Normal 4 2 2 4 5 2 2 2 2" xfId="7687" xr:uid="{00000000-0005-0000-0000-0000620E0000}"/>
    <cellStyle name="Normal 4 2 2 4 5 2 2 2 2 2" xfId="14048" xr:uid="{00000000-0005-0000-0000-0000630E0000}"/>
    <cellStyle name="Normal 4 2 2 4 5 2 2 2 3" xfId="10869" xr:uid="{00000000-0005-0000-0000-0000640E0000}"/>
    <cellStyle name="Normal 4 2 2 4 5 2 2 3" xfId="6103" xr:uid="{00000000-0005-0000-0000-0000650E0000}"/>
    <cellStyle name="Normal 4 2 2 4 5 2 2 3 2" xfId="12464" xr:uid="{00000000-0005-0000-0000-0000660E0000}"/>
    <cellStyle name="Normal 4 2 2 4 5 2 2 4" xfId="9285" xr:uid="{00000000-0005-0000-0000-0000670E0000}"/>
    <cellStyle name="Normal 4 2 2 4 5 2 3" xfId="3667" xr:uid="{00000000-0005-0000-0000-0000680E0000}"/>
    <cellStyle name="Normal 4 2 2 4 5 2 3 2" xfId="6895" xr:uid="{00000000-0005-0000-0000-0000690E0000}"/>
    <cellStyle name="Normal 4 2 2 4 5 2 3 2 2" xfId="13256" xr:uid="{00000000-0005-0000-0000-00006A0E0000}"/>
    <cellStyle name="Normal 4 2 2 4 5 2 3 3" xfId="10077" xr:uid="{00000000-0005-0000-0000-00006B0E0000}"/>
    <cellStyle name="Normal 4 2 2 4 5 2 4" xfId="5311" xr:uid="{00000000-0005-0000-0000-00006C0E0000}"/>
    <cellStyle name="Normal 4 2 2 4 5 2 4 2" xfId="11672" xr:uid="{00000000-0005-0000-0000-00006D0E0000}"/>
    <cellStyle name="Normal 4 2 2 4 5 2 5" xfId="8493" xr:uid="{00000000-0005-0000-0000-00006E0E0000}"/>
    <cellStyle name="Normal 4 2 2 4 5 3" xfId="2479" xr:uid="{00000000-0005-0000-0000-00006F0E0000}"/>
    <cellStyle name="Normal 4 2 2 4 5 3 2" xfId="4063" xr:uid="{00000000-0005-0000-0000-0000700E0000}"/>
    <cellStyle name="Normal 4 2 2 4 5 3 2 2" xfId="7291" xr:uid="{00000000-0005-0000-0000-0000710E0000}"/>
    <cellStyle name="Normal 4 2 2 4 5 3 2 2 2" xfId="13652" xr:uid="{00000000-0005-0000-0000-0000720E0000}"/>
    <cellStyle name="Normal 4 2 2 4 5 3 2 3" xfId="10473" xr:uid="{00000000-0005-0000-0000-0000730E0000}"/>
    <cellStyle name="Normal 4 2 2 4 5 3 3" xfId="5707" xr:uid="{00000000-0005-0000-0000-0000740E0000}"/>
    <cellStyle name="Normal 4 2 2 4 5 3 3 2" xfId="12068" xr:uid="{00000000-0005-0000-0000-0000750E0000}"/>
    <cellStyle name="Normal 4 2 2 4 5 3 4" xfId="8889" xr:uid="{00000000-0005-0000-0000-0000760E0000}"/>
    <cellStyle name="Normal 4 2 2 4 5 4" xfId="3271" xr:uid="{00000000-0005-0000-0000-0000770E0000}"/>
    <cellStyle name="Normal 4 2 2 4 5 4 2" xfId="6499" xr:uid="{00000000-0005-0000-0000-0000780E0000}"/>
    <cellStyle name="Normal 4 2 2 4 5 4 2 2" xfId="12860" xr:uid="{00000000-0005-0000-0000-0000790E0000}"/>
    <cellStyle name="Normal 4 2 2 4 5 4 3" xfId="9681" xr:uid="{00000000-0005-0000-0000-00007A0E0000}"/>
    <cellStyle name="Normal 4 2 2 4 5 5" xfId="4915" xr:uid="{00000000-0005-0000-0000-00007B0E0000}"/>
    <cellStyle name="Normal 4 2 2 4 5 5 2" xfId="11276" xr:uid="{00000000-0005-0000-0000-00007C0E0000}"/>
    <cellStyle name="Normal 4 2 2 4 5 6" xfId="8097" xr:uid="{00000000-0005-0000-0000-00007D0E0000}"/>
    <cellStyle name="Normal 4 2 2 4 6" xfId="1885" xr:uid="{00000000-0005-0000-0000-00007E0E0000}"/>
    <cellStyle name="Normal 4 2 2 4 6 2" xfId="2677" xr:uid="{00000000-0005-0000-0000-00007F0E0000}"/>
    <cellStyle name="Normal 4 2 2 4 6 2 2" xfId="4261" xr:uid="{00000000-0005-0000-0000-0000800E0000}"/>
    <cellStyle name="Normal 4 2 2 4 6 2 2 2" xfId="7489" xr:uid="{00000000-0005-0000-0000-0000810E0000}"/>
    <cellStyle name="Normal 4 2 2 4 6 2 2 2 2" xfId="13850" xr:uid="{00000000-0005-0000-0000-0000820E0000}"/>
    <cellStyle name="Normal 4 2 2 4 6 2 2 3" xfId="10671" xr:uid="{00000000-0005-0000-0000-0000830E0000}"/>
    <cellStyle name="Normal 4 2 2 4 6 2 3" xfId="5905" xr:uid="{00000000-0005-0000-0000-0000840E0000}"/>
    <cellStyle name="Normal 4 2 2 4 6 2 3 2" xfId="12266" xr:uid="{00000000-0005-0000-0000-0000850E0000}"/>
    <cellStyle name="Normal 4 2 2 4 6 2 4" xfId="9087" xr:uid="{00000000-0005-0000-0000-0000860E0000}"/>
    <cellStyle name="Normal 4 2 2 4 6 3" xfId="3469" xr:uid="{00000000-0005-0000-0000-0000870E0000}"/>
    <cellStyle name="Normal 4 2 2 4 6 3 2" xfId="6697" xr:uid="{00000000-0005-0000-0000-0000880E0000}"/>
    <cellStyle name="Normal 4 2 2 4 6 3 2 2" xfId="13058" xr:uid="{00000000-0005-0000-0000-0000890E0000}"/>
    <cellStyle name="Normal 4 2 2 4 6 3 3" xfId="9879" xr:uid="{00000000-0005-0000-0000-00008A0E0000}"/>
    <cellStyle name="Normal 4 2 2 4 6 4" xfId="5113" xr:uid="{00000000-0005-0000-0000-00008B0E0000}"/>
    <cellStyle name="Normal 4 2 2 4 6 4 2" xfId="11474" xr:uid="{00000000-0005-0000-0000-00008C0E0000}"/>
    <cellStyle name="Normal 4 2 2 4 6 5" xfId="8295" xr:uid="{00000000-0005-0000-0000-00008D0E0000}"/>
    <cellStyle name="Normal 4 2 2 4 7" xfId="2281" xr:uid="{00000000-0005-0000-0000-00008E0E0000}"/>
    <cellStyle name="Normal 4 2 2 4 7 2" xfId="3865" xr:uid="{00000000-0005-0000-0000-00008F0E0000}"/>
    <cellStyle name="Normal 4 2 2 4 7 2 2" xfId="7093" xr:uid="{00000000-0005-0000-0000-0000900E0000}"/>
    <cellStyle name="Normal 4 2 2 4 7 2 2 2" xfId="13454" xr:uid="{00000000-0005-0000-0000-0000910E0000}"/>
    <cellStyle name="Normal 4 2 2 4 7 2 3" xfId="10275" xr:uid="{00000000-0005-0000-0000-0000920E0000}"/>
    <cellStyle name="Normal 4 2 2 4 7 3" xfId="5509" xr:uid="{00000000-0005-0000-0000-0000930E0000}"/>
    <cellStyle name="Normal 4 2 2 4 7 3 2" xfId="11870" xr:uid="{00000000-0005-0000-0000-0000940E0000}"/>
    <cellStyle name="Normal 4 2 2 4 7 4" xfId="8691" xr:uid="{00000000-0005-0000-0000-0000950E0000}"/>
    <cellStyle name="Normal 4 2 2 4 8" xfId="3073" xr:uid="{00000000-0005-0000-0000-0000960E0000}"/>
    <cellStyle name="Normal 4 2 2 4 8 2" xfId="6301" xr:uid="{00000000-0005-0000-0000-0000970E0000}"/>
    <cellStyle name="Normal 4 2 2 4 8 2 2" xfId="12662" xr:uid="{00000000-0005-0000-0000-0000980E0000}"/>
    <cellStyle name="Normal 4 2 2 4 8 3" xfId="9483" xr:uid="{00000000-0005-0000-0000-0000990E0000}"/>
    <cellStyle name="Normal 4 2 2 4 9" xfId="4717" xr:uid="{00000000-0005-0000-0000-00009A0E0000}"/>
    <cellStyle name="Normal 4 2 2 4 9 2" xfId="11078" xr:uid="{00000000-0005-0000-0000-00009B0E0000}"/>
    <cellStyle name="Normal 4 2 2 5" xfId="1458" xr:uid="{00000000-0005-0000-0000-00009C0E0000}"/>
    <cellStyle name="Normal 4 2 2 5 2" xfId="1570" xr:uid="{00000000-0005-0000-0000-00009D0E0000}"/>
    <cellStyle name="Normal 4 2 2 5 2 2" xfId="1768" xr:uid="{00000000-0005-0000-0000-00009E0E0000}"/>
    <cellStyle name="Normal 4 2 2 5 2 2 2" xfId="2164" xr:uid="{00000000-0005-0000-0000-00009F0E0000}"/>
    <cellStyle name="Normal 4 2 2 5 2 2 2 2" xfId="2956" xr:uid="{00000000-0005-0000-0000-0000A00E0000}"/>
    <cellStyle name="Normal 4 2 2 5 2 2 2 2 2" xfId="4540" xr:uid="{00000000-0005-0000-0000-0000A10E0000}"/>
    <cellStyle name="Normal 4 2 2 5 2 2 2 2 2 2" xfId="7768" xr:uid="{00000000-0005-0000-0000-0000A20E0000}"/>
    <cellStyle name="Normal 4 2 2 5 2 2 2 2 2 2 2" xfId="14129" xr:uid="{00000000-0005-0000-0000-0000A30E0000}"/>
    <cellStyle name="Normal 4 2 2 5 2 2 2 2 2 3" xfId="10950" xr:uid="{00000000-0005-0000-0000-0000A40E0000}"/>
    <cellStyle name="Normal 4 2 2 5 2 2 2 2 3" xfId="6184" xr:uid="{00000000-0005-0000-0000-0000A50E0000}"/>
    <cellStyle name="Normal 4 2 2 5 2 2 2 2 3 2" xfId="12545" xr:uid="{00000000-0005-0000-0000-0000A60E0000}"/>
    <cellStyle name="Normal 4 2 2 5 2 2 2 2 4" xfId="9366" xr:uid="{00000000-0005-0000-0000-0000A70E0000}"/>
    <cellStyle name="Normal 4 2 2 5 2 2 2 3" xfId="3748" xr:uid="{00000000-0005-0000-0000-0000A80E0000}"/>
    <cellStyle name="Normal 4 2 2 5 2 2 2 3 2" xfId="6976" xr:uid="{00000000-0005-0000-0000-0000A90E0000}"/>
    <cellStyle name="Normal 4 2 2 5 2 2 2 3 2 2" xfId="13337" xr:uid="{00000000-0005-0000-0000-0000AA0E0000}"/>
    <cellStyle name="Normal 4 2 2 5 2 2 2 3 3" xfId="10158" xr:uid="{00000000-0005-0000-0000-0000AB0E0000}"/>
    <cellStyle name="Normal 4 2 2 5 2 2 2 4" xfId="5392" xr:uid="{00000000-0005-0000-0000-0000AC0E0000}"/>
    <cellStyle name="Normal 4 2 2 5 2 2 2 4 2" xfId="11753" xr:uid="{00000000-0005-0000-0000-0000AD0E0000}"/>
    <cellStyle name="Normal 4 2 2 5 2 2 2 5" xfId="8574" xr:uid="{00000000-0005-0000-0000-0000AE0E0000}"/>
    <cellStyle name="Normal 4 2 2 5 2 2 3" xfId="2560" xr:uid="{00000000-0005-0000-0000-0000AF0E0000}"/>
    <cellStyle name="Normal 4 2 2 5 2 2 3 2" xfId="4144" xr:uid="{00000000-0005-0000-0000-0000B00E0000}"/>
    <cellStyle name="Normal 4 2 2 5 2 2 3 2 2" xfId="7372" xr:uid="{00000000-0005-0000-0000-0000B10E0000}"/>
    <cellStyle name="Normal 4 2 2 5 2 2 3 2 2 2" xfId="13733" xr:uid="{00000000-0005-0000-0000-0000B20E0000}"/>
    <cellStyle name="Normal 4 2 2 5 2 2 3 2 3" xfId="10554" xr:uid="{00000000-0005-0000-0000-0000B30E0000}"/>
    <cellStyle name="Normal 4 2 2 5 2 2 3 3" xfId="5788" xr:uid="{00000000-0005-0000-0000-0000B40E0000}"/>
    <cellStyle name="Normal 4 2 2 5 2 2 3 3 2" xfId="12149" xr:uid="{00000000-0005-0000-0000-0000B50E0000}"/>
    <cellStyle name="Normal 4 2 2 5 2 2 3 4" xfId="8970" xr:uid="{00000000-0005-0000-0000-0000B60E0000}"/>
    <cellStyle name="Normal 4 2 2 5 2 2 4" xfId="3352" xr:uid="{00000000-0005-0000-0000-0000B70E0000}"/>
    <cellStyle name="Normal 4 2 2 5 2 2 4 2" xfId="6580" xr:uid="{00000000-0005-0000-0000-0000B80E0000}"/>
    <cellStyle name="Normal 4 2 2 5 2 2 4 2 2" xfId="12941" xr:uid="{00000000-0005-0000-0000-0000B90E0000}"/>
    <cellStyle name="Normal 4 2 2 5 2 2 4 3" xfId="9762" xr:uid="{00000000-0005-0000-0000-0000BA0E0000}"/>
    <cellStyle name="Normal 4 2 2 5 2 2 5" xfId="4996" xr:uid="{00000000-0005-0000-0000-0000BB0E0000}"/>
    <cellStyle name="Normal 4 2 2 5 2 2 5 2" xfId="11357" xr:uid="{00000000-0005-0000-0000-0000BC0E0000}"/>
    <cellStyle name="Normal 4 2 2 5 2 2 6" xfId="8178" xr:uid="{00000000-0005-0000-0000-0000BD0E0000}"/>
    <cellStyle name="Normal 4 2 2 5 2 3" xfId="1966" xr:uid="{00000000-0005-0000-0000-0000BE0E0000}"/>
    <cellStyle name="Normal 4 2 2 5 2 3 2" xfId="2758" xr:uid="{00000000-0005-0000-0000-0000BF0E0000}"/>
    <cellStyle name="Normal 4 2 2 5 2 3 2 2" xfId="4342" xr:uid="{00000000-0005-0000-0000-0000C00E0000}"/>
    <cellStyle name="Normal 4 2 2 5 2 3 2 2 2" xfId="7570" xr:uid="{00000000-0005-0000-0000-0000C10E0000}"/>
    <cellStyle name="Normal 4 2 2 5 2 3 2 2 2 2" xfId="13931" xr:uid="{00000000-0005-0000-0000-0000C20E0000}"/>
    <cellStyle name="Normal 4 2 2 5 2 3 2 2 3" xfId="10752" xr:uid="{00000000-0005-0000-0000-0000C30E0000}"/>
    <cellStyle name="Normal 4 2 2 5 2 3 2 3" xfId="5986" xr:uid="{00000000-0005-0000-0000-0000C40E0000}"/>
    <cellStyle name="Normal 4 2 2 5 2 3 2 3 2" xfId="12347" xr:uid="{00000000-0005-0000-0000-0000C50E0000}"/>
    <cellStyle name="Normal 4 2 2 5 2 3 2 4" xfId="9168" xr:uid="{00000000-0005-0000-0000-0000C60E0000}"/>
    <cellStyle name="Normal 4 2 2 5 2 3 3" xfId="3550" xr:uid="{00000000-0005-0000-0000-0000C70E0000}"/>
    <cellStyle name="Normal 4 2 2 5 2 3 3 2" xfId="6778" xr:uid="{00000000-0005-0000-0000-0000C80E0000}"/>
    <cellStyle name="Normal 4 2 2 5 2 3 3 2 2" xfId="13139" xr:uid="{00000000-0005-0000-0000-0000C90E0000}"/>
    <cellStyle name="Normal 4 2 2 5 2 3 3 3" xfId="9960" xr:uid="{00000000-0005-0000-0000-0000CA0E0000}"/>
    <cellStyle name="Normal 4 2 2 5 2 3 4" xfId="5194" xr:uid="{00000000-0005-0000-0000-0000CB0E0000}"/>
    <cellStyle name="Normal 4 2 2 5 2 3 4 2" xfId="11555" xr:uid="{00000000-0005-0000-0000-0000CC0E0000}"/>
    <cellStyle name="Normal 4 2 2 5 2 3 5" xfId="8376" xr:uid="{00000000-0005-0000-0000-0000CD0E0000}"/>
    <cellStyle name="Normal 4 2 2 5 2 4" xfId="2362" xr:uid="{00000000-0005-0000-0000-0000CE0E0000}"/>
    <cellStyle name="Normal 4 2 2 5 2 4 2" xfId="3946" xr:uid="{00000000-0005-0000-0000-0000CF0E0000}"/>
    <cellStyle name="Normal 4 2 2 5 2 4 2 2" xfId="7174" xr:uid="{00000000-0005-0000-0000-0000D00E0000}"/>
    <cellStyle name="Normal 4 2 2 5 2 4 2 2 2" xfId="13535" xr:uid="{00000000-0005-0000-0000-0000D10E0000}"/>
    <cellStyle name="Normal 4 2 2 5 2 4 2 3" xfId="10356" xr:uid="{00000000-0005-0000-0000-0000D20E0000}"/>
    <cellStyle name="Normal 4 2 2 5 2 4 3" xfId="5590" xr:uid="{00000000-0005-0000-0000-0000D30E0000}"/>
    <cellStyle name="Normal 4 2 2 5 2 4 3 2" xfId="11951" xr:uid="{00000000-0005-0000-0000-0000D40E0000}"/>
    <cellStyle name="Normal 4 2 2 5 2 4 4" xfId="8772" xr:uid="{00000000-0005-0000-0000-0000D50E0000}"/>
    <cellStyle name="Normal 4 2 2 5 2 5" xfId="3154" xr:uid="{00000000-0005-0000-0000-0000D60E0000}"/>
    <cellStyle name="Normal 4 2 2 5 2 5 2" xfId="6382" xr:uid="{00000000-0005-0000-0000-0000D70E0000}"/>
    <cellStyle name="Normal 4 2 2 5 2 5 2 2" xfId="12743" xr:uid="{00000000-0005-0000-0000-0000D80E0000}"/>
    <cellStyle name="Normal 4 2 2 5 2 5 3" xfId="9564" xr:uid="{00000000-0005-0000-0000-0000D90E0000}"/>
    <cellStyle name="Normal 4 2 2 5 2 6" xfId="4798" xr:uid="{00000000-0005-0000-0000-0000DA0E0000}"/>
    <cellStyle name="Normal 4 2 2 5 2 6 2" xfId="11159" xr:uid="{00000000-0005-0000-0000-0000DB0E0000}"/>
    <cellStyle name="Normal 4 2 2 5 2 7" xfId="7980" xr:uid="{00000000-0005-0000-0000-0000DC0E0000}"/>
    <cellStyle name="Normal 4 2 2 5 3" xfId="1638" xr:uid="{00000000-0005-0000-0000-0000DD0E0000}"/>
    <cellStyle name="Normal 4 2 2 5 3 2" xfId="1836" xr:uid="{00000000-0005-0000-0000-0000DE0E0000}"/>
    <cellStyle name="Normal 4 2 2 5 3 2 2" xfId="2232" xr:uid="{00000000-0005-0000-0000-0000DF0E0000}"/>
    <cellStyle name="Normal 4 2 2 5 3 2 2 2" xfId="3024" xr:uid="{00000000-0005-0000-0000-0000E00E0000}"/>
    <cellStyle name="Normal 4 2 2 5 3 2 2 2 2" xfId="4608" xr:uid="{00000000-0005-0000-0000-0000E10E0000}"/>
    <cellStyle name="Normal 4 2 2 5 3 2 2 2 2 2" xfId="7836" xr:uid="{00000000-0005-0000-0000-0000E20E0000}"/>
    <cellStyle name="Normal 4 2 2 5 3 2 2 2 2 2 2" xfId="14197" xr:uid="{00000000-0005-0000-0000-0000E30E0000}"/>
    <cellStyle name="Normal 4 2 2 5 3 2 2 2 2 3" xfId="11018" xr:uid="{00000000-0005-0000-0000-0000E40E0000}"/>
    <cellStyle name="Normal 4 2 2 5 3 2 2 2 3" xfId="6252" xr:uid="{00000000-0005-0000-0000-0000E50E0000}"/>
    <cellStyle name="Normal 4 2 2 5 3 2 2 2 3 2" xfId="12613" xr:uid="{00000000-0005-0000-0000-0000E60E0000}"/>
    <cellStyle name="Normal 4 2 2 5 3 2 2 2 4" xfId="9434" xr:uid="{00000000-0005-0000-0000-0000E70E0000}"/>
    <cellStyle name="Normal 4 2 2 5 3 2 2 3" xfId="3816" xr:uid="{00000000-0005-0000-0000-0000E80E0000}"/>
    <cellStyle name="Normal 4 2 2 5 3 2 2 3 2" xfId="7044" xr:uid="{00000000-0005-0000-0000-0000E90E0000}"/>
    <cellStyle name="Normal 4 2 2 5 3 2 2 3 2 2" xfId="13405" xr:uid="{00000000-0005-0000-0000-0000EA0E0000}"/>
    <cellStyle name="Normal 4 2 2 5 3 2 2 3 3" xfId="10226" xr:uid="{00000000-0005-0000-0000-0000EB0E0000}"/>
    <cellStyle name="Normal 4 2 2 5 3 2 2 4" xfId="5460" xr:uid="{00000000-0005-0000-0000-0000EC0E0000}"/>
    <cellStyle name="Normal 4 2 2 5 3 2 2 4 2" xfId="11821" xr:uid="{00000000-0005-0000-0000-0000ED0E0000}"/>
    <cellStyle name="Normal 4 2 2 5 3 2 2 5" xfId="8642" xr:uid="{00000000-0005-0000-0000-0000EE0E0000}"/>
    <cellStyle name="Normal 4 2 2 5 3 2 3" xfId="2628" xr:uid="{00000000-0005-0000-0000-0000EF0E0000}"/>
    <cellStyle name="Normal 4 2 2 5 3 2 3 2" xfId="4212" xr:uid="{00000000-0005-0000-0000-0000F00E0000}"/>
    <cellStyle name="Normal 4 2 2 5 3 2 3 2 2" xfId="7440" xr:uid="{00000000-0005-0000-0000-0000F10E0000}"/>
    <cellStyle name="Normal 4 2 2 5 3 2 3 2 2 2" xfId="13801" xr:uid="{00000000-0005-0000-0000-0000F20E0000}"/>
    <cellStyle name="Normal 4 2 2 5 3 2 3 2 3" xfId="10622" xr:uid="{00000000-0005-0000-0000-0000F30E0000}"/>
    <cellStyle name="Normal 4 2 2 5 3 2 3 3" xfId="5856" xr:uid="{00000000-0005-0000-0000-0000F40E0000}"/>
    <cellStyle name="Normal 4 2 2 5 3 2 3 3 2" xfId="12217" xr:uid="{00000000-0005-0000-0000-0000F50E0000}"/>
    <cellStyle name="Normal 4 2 2 5 3 2 3 4" xfId="9038" xr:uid="{00000000-0005-0000-0000-0000F60E0000}"/>
    <cellStyle name="Normal 4 2 2 5 3 2 4" xfId="3420" xr:uid="{00000000-0005-0000-0000-0000F70E0000}"/>
    <cellStyle name="Normal 4 2 2 5 3 2 4 2" xfId="6648" xr:uid="{00000000-0005-0000-0000-0000F80E0000}"/>
    <cellStyle name="Normal 4 2 2 5 3 2 4 2 2" xfId="13009" xr:uid="{00000000-0005-0000-0000-0000F90E0000}"/>
    <cellStyle name="Normal 4 2 2 5 3 2 4 3" xfId="9830" xr:uid="{00000000-0005-0000-0000-0000FA0E0000}"/>
    <cellStyle name="Normal 4 2 2 5 3 2 5" xfId="5064" xr:uid="{00000000-0005-0000-0000-0000FB0E0000}"/>
    <cellStyle name="Normal 4 2 2 5 3 2 5 2" xfId="11425" xr:uid="{00000000-0005-0000-0000-0000FC0E0000}"/>
    <cellStyle name="Normal 4 2 2 5 3 2 6" xfId="8246" xr:uid="{00000000-0005-0000-0000-0000FD0E0000}"/>
    <cellStyle name="Normal 4 2 2 5 3 3" xfId="2034" xr:uid="{00000000-0005-0000-0000-0000FE0E0000}"/>
    <cellStyle name="Normal 4 2 2 5 3 3 2" xfId="2826" xr:uid="{00000000-0005-0000-0000-0000FF0E0000}"/>
    <cellStyle name="Normal 4 2 2 5 3 3 2 2" xfId="4410" xr:uid="{00000000-0005-0000-0000-0000000F0000}"/>
    <cellStyle name="Normal 4 2 2 5 3 3 2 2 2" xfId="7638" xr:uid="{00000000-0005-0000-0000-0000010F0000}"/>
    <cellStyle name="Normal 4 2 2 5 3 3 2 2 2 2" xfId="13999" xr:uid="{00000000-0005-0000-0000-0000020F0000}"/>
    <cellStyle name="Normal 4 2 2 5 3 3 2 2 3" xfId="10820" xr:uid="{00000000-0005-0000-0000-0000030F0000}"/>
    <cellStyle name="Normal 4 2 2 5 3 3 2 3" xfId="6054" xr:uid="{00000000-0005-0000-0000-0000040F0000}"/>
    <cellStyle name="Normal 4 2 2 5 3 3 2 3 2" xfId="12415" xr:uid="{00000000-0005-0000-0000-0000050F0000}"/>
    <cellStyle name="Normal 4 2 2 5 3 3 2 4" xfId="9236" xr:uid="{00000000-0005-0000-0000-0000060F0000}"/>
    <cellStyle name="Normal 4 2 2 5 3 3 3" xfId="3618" xr:uid="{00000000-0005-0000-0000-0000070F0000}"/>
    <cellStyle name="Normal 4 2 2 5 3 3 3 2" xfId="6846" xr:uid="{00000000-0005-0000-0000-0000080F0000}"/>
    <cellStyle name="Normal 4 2 2 5 3 3 3 2 2" xfId="13207" xr:uid="{00000000-0005-0000-0000-0000090F0000}"/>
    <cellStyle name="Normal 4 2 2 5 3 3 3 3" xfId="10028" xr:uid="{00000000-0005-0000-0000-00000A0F0000}"/>
    <cellStyle name="Normal 4 2 2 5 3 3 4" xfId="5262" xr:uid="{00000000-0005-0000-0000-00000B0F0000}"/>
    <cellStyle name="Normal 4 2 2 5 3 3 4 2" xfId="11623" xr:uid="{00000000-0005-0000-0000-00000C0F0000}"/>
    <cellStyle name="Normal 4 2 2 5 3 3 5" xfId="8444" xr:uid="{00000000-0005-0000-0000-00000D0F0000}"/>
    <cellStyle name="Normal 4 2 2 5 3 4" xfId="2430" xr:uid="{00000000-0005-0000-0000-00000E0F0000}"/>
    <cellStyle name="Normal 4 2 2 5 3 4 2" xfId="4014" xr:uid="{00000000-0005-0000-0000-00000F0F0000}"/>
    <cellStyle name="Normal 4 2 2 5 3 4 2 2" xfId="7242" xr:uid="{00000000-0005-0000-0000-0000100F0000}"/>
    <cellStyle name="Normal 4 2 2 5 3 4 2 2 2" xfId="13603" xr:uid="{00000000-0005-0000-0000-0000110F0000}"/>
    <cellStyle name="Normal 4 2 2 5 3 4 2 3" xfId="10424" xr:uid="{00000000-0005-0000-0000-0000120F0000}"/>
    <cellStyle name="Normal 4 2 2 5 3 4 3" xfId="5658" xr:uid="{00000000-0005-0000-0000-0000130F0000}"/>
    <cellStyle name="Normal 4 2 2 5 3 4 3 2" xfId="12019" xr:uid="{00000000-0005-0000-0000-0000140F0000}"/>
    <cellStyle name="Normal 4 2 2 5 3 4 4" xfId="8840" xr:uid="{00000000-0005-0000-0000-0000150F0000}"/>
    <cellStyle name="Normal 4 2 2 5 3 5" xfId="3222" xr:uid="{00000000-0005-0000-0000-0000160F0000}"/>
    <cellStyle name="Normal 4 2 2 5 3 5 2" xfId="6450" xr:uid="{00000000-0005-0000-0000-0000170F0000}"/>
    <cellStyle name="Normal 4 2 2 5 3 5 2 2" xfId="12811" xr:uid="{00000000-0005-0000-0000-0000180F0000}"/>
    <cellStyle name="Normal 4 2 2 5 3 5 3" xfId="9632" xr:uid="{00000000-0005-0000-0000-0000190F0000}"/>
    <cellStyle name="Normal 4 2 2 5 3 6" xfId="4866" xr:uid="{00000000-0005-0000-0000-00001A0F0000}"/>
    <cellStyle name="Normal 4 2 2 5 3 6 2" xfId="11227" xr:uid="{00000000-0005-0000-0000-00001B0F0000}"/>
    <cellStyle name="Normal 4 2 2 5 3 7" xfId="8048" xr:uid="{00000000-0005-0000-0000-00001C0F0000}"/>
    <cellStyle name="Normal 4 2 2 5 4" xfId="1703" xr:uid="{00000000-0005-0000-0000-00001D0F0000}"/>
    <cellStyle name="Normal 4 2 2 5 4 2" xfId="2099" xr:uid="{00000000-0005-0000-0000-00001E0F0000}"/>
    <cellStyle name="Normal 4 2 2 5 4 2 2" xfId="2891" xr:uid="{00000000-0005-0000-0000-00001F0F0000}"/>
    <cellStyle name="Normal 4 2 2 5 4 2 2 2" xfId="4475" xr:uid="{00000000-0005-0000-0000-0000200F0000}"/>
    <cellStyle name="Normal 4 2 2 5 4 2 2 2 2" xfId="7703" xr:uid="{00000000-0005-0000-0000-0000210F0000}"/>
    <cellStyle name="Normal 4 2 2 5 4 2 2 2 2 2" xfId="14064" xr:uid="{00000000-0005-0000-0000-0000220F0000}"/>
    <cellStyle name="Normal 4 2 2 5 4 2 2 2 3" xfId="10885" xr:uid="{00000000-0005-0000-0000-0000230F0000}"/>
    <cellStyle name="Normal 4 2 2 5 4 2 2 3" xfId="6119" xr:uid="{00000000-0005-0000-0000-0000240F0000}"/>
    <cellStyle name="Normal 4 2 2 5 4 2 2 3 2" xfId="12480" xr:uid="{00000000-0005-0000-0000-0000250F0000}"/>
    <cellStyle name="Normal 4 2 2 5 4 2 2 4" xfId="9301" xr:uid="{00000000-0005-0000-0000-0000260F0000}"/>
    <cellStyle name="Normal 4 2 2 5 4 2 3" xfId="3683" xr:uid="{00000000-0005-0000-0000-0000270F0000}"/>
    <cellStyle name="Normal 4 2 2 5 4 2 3 2" xfId="6911" xr:uid="{00000000-0005-0000-0000-0000280F0000}"/>
    <cellStyle name="Normal 4 2 2 5 4 2 3 2 2" xfId="13272" xr:uid="{00000000-0005-0000-0000-0000290F0000}"/>
    <cellStyle name="Normal 4 2 2 5 4 2 3 3" xfId="10093" xr:uid="{00000000-0005-0000-0000-00002A0F0000}"/>
    <cellStyle name="Normal 4 2 2 5 4 2 4" xfId="5327" xr:uid="{00000000-0005-0000-0000-00002B0F0000}"/>
    <cellStyle name="Normal 4 2 2 5 4 2 4 2" xfId="11688" xr:uid="{00000000-0005-0000-0000-00002C0F0000}"/>
    <cellStyle name="Normal 4 2 2 5 4 2 5" xfId="8509" xr:uid="{00000000-0005-0000-0000-00002D0F0000}"/>
    <cellStyle name="Normal 4 2 2 5 4 3" xfId="2495" xr:uid="{00000000-0005-0000-0000-00002E0F0000}"/>
    <cellStyle name="Normal 4 2 2 5 4 3 2" xfId="4079" xr:uid="{00000000-0005-0000-0000-00002F0F0000}"/>
    <cellStyle name="Normal 4 2 2 5 4 3 2 2" xfId="7307" xr:uid="{00000000-0005-0000-0000-0000300F0000}"/>
    <cellStyle name="Normal 4 2 2 5 4 3 2 2 2" xfId="13668" xr:uid="{00000000-0005-0000-0000-0000310F0000}"/>
    <cellStyle name="Normal 4 2 2 5 4 3 2 3" xfId="10489" xr:uid="{00000000-0005-0000-0000-0000320F0000}"/>
    <cellStyle name="Normal 4 2 2 5 4 3 3" xfId="5723" xr:uid="{00000000-0005-0000-0000-0000330F0000}"/>
    <cellStyle name="Normal 4 2 2 5 4 3 3 2" xfId="12084" xr:uid="{00000000-0005-0000-0000-0000340F0000}"/>
    <cellStyle name="Normal 4 2 2 5 4 3 4" xfId="8905" xr:uid="{00000000-0005-0000-0000-0000350F0000}"/>
    <cellStyle name="Normal 4 2 2 5 4 4" xfId="3287" xr:uid="{00000000-0005-0000-0000-0000360F0000}"/>
    <cellStyle name="Normal 4 2 2 5 4 4 2" xfId="6515" xr:uid="{00000000-0005-0000-0000-0000370F0000}"/>
    <cellStyle name="Normal 4 2 2 5 4 4 2 2" xfId="12876" xr:uid="{00000000-0005-0000-0000-0000380F0000}"/>
    <cellStyle name="Normal 4 2 2 5 4 4 3" xfId="9697" xr:uid="{00000000-0005-0000-0000-0000390F0000}"/>
    <cellStyle name="Normal 4 2 2 5 4 5" xfId="4931" xr:uid="{00000000-0005-0000-0000-00003A0F0000}"/>
    <cellStyle name="Normal 4 2 2 5 4 5 2" xfId="11292" xr:uid="{00000000-0005-0000-0000-00003B0F0000}"/>
    <cellStyle name="Normal 4 2 2 5 4 6" xfId="8113" xr:uid="{00000000-0005-0000-0000-00003C0F0000}"/>
    <cellStyle name="Normal 4 2 2 5 5" xfId="1901" xr:uid="{00000000-0005-0000-0000-00003D0F0000}"/>
    <cellStyle name="Normal 4 2 2 5 5 2" xfId="2693" xr:uid="{00000000-0005-0000-0000-00003E0F0000}"/>
    <cellStyle name="Normal 4 2 2 5 5 2 2" xfId="4277" xr:uid="{00000000-0005-0000-0000-00003F0F0000}"/>
    <cellStyle name="Normal 4 2 2 5 5 2 2 2" xfId="7505" xr:uid="{00000000-0005-0000-0000-0000400F0000}"/>
    <cellStyle name="Normal 4 2 2 5 5 2 2 2 2" xfId="13866" xr:uid="{00000000-0005-0000-0000-0000410F0000}"/>
    <cellStyle name="Normal 4 2 2 5 5 2 2 3" xfId="10687" xr:uid="{00000000-0005-0000-0000-0000420F0000}"/>
    <cellStyle name="Normal 4 2 2 5 5 2 3" xfId="5921" xr:uid="{00000000-0005-0000-0000-0000430F0000}"/>
    <cellStyle name="Normal 4 2 2 5 5 2 3 2" xfId="12282" xr:uid="{00000000-0005-0000-0000-0000440F0000}"/>
    <cellStyle name="Normal 4 2 2 5 5 2 4" xfId="9103" xr:uid="{00000000-0005-0000-0000-0000450F0000}"/>
    <cellStyle name="Normal 4 2 2 5 5 3" xfId="3485" xr:uid="{00000000-0005-0000-0000-0000460F0000}"/>
    <cellStyle name="Normal 4 2 2 5 5 3 2" xfId="6713" xr:uid="{00000000-0005-0000-0000-0000470F0000}"/>
    <cellStyle name="Normal 4 2 2 5 5 3 2 2" xfId="13074" xr:uid="{00000000-0005-0000-0000-0000480F0000}"/>
    <cellStyle name="Normal 4 2 2 5 5 3 3" xfId="9895" xr:uid="{00000000-0005-0000-0000-0000490F0000}"/>
    <cellStyle name="Normal 4 2 2 5 5 4" xfId="5129" xr:uid="{00000000-0005-0000-0000-00004A0F0000}"/>
    <cellStyle name="Normal 4 2 2 5 5 4 2" xfId="11490" xr:uid="{00000000-0005-0000-0000-00004B0F0000}"/>
    <cellStyle name="Normal 4 2 2 5 5 5" xfId="8311" xr:uid="{00000000-0005-0000-0000-00004C0F0000}"/>
    <cellStyle name="Normal 4 2 2 5 6" xfId="2297" xr:uid="{00000000-0005-0000-0000-00004D0F0000}"/>
    <cellStyle name="Normal 4 2 2 5 6 2" xfId="3881" xr:uid="{00000000-0005-0000-0000-00004E0F0000}"/>
    <cellStyle name="Normal 4 2 2 5 6 2 2" xfId="7109" xr:uid="{00000000-0005-0000-0000-00004F0F0000}"/>
    <cellStyle name="Normal 4 2 2 5 6 2 2 2" xfId="13470" xr:uid="{00000000-0005-0000-0000-0000500F0000}"/>
    <cellStyle name="Normal 4 2 2 5 6 2 3" xfId="10291" xr:uid="{00000000-0005-0000-0000-0000510F0000}"/>
    <cellStyle name="Normal 4 2 2 5 6 3" xfId="5525" xr:uid="{00000000-0005-0000-0000-0000520F0000}"/>
    <cellStyle name="Normal 4 2 2 5 6 3 2" xfId="11886" xr:uid="{00000000-0005-0000-0000-0000530F0000}"/>
    <cellStyle name="Normal 4 2 2 5 6 4" xfId="8707" xr:uid="{00000000-0005-0000-0000-0000540F0000}"/>
    <cellStyle name="Normal 4 2 2 5 7" xfId="3089" xr:uid="{00000000-0005-0000-0000-0000550F0000}"/>
    <cellStyle name="Normal 4 2 2 5 7 2" xfId="6317" xr:uid="{00000000-0005-0000-0000-0000560F0000}"/>
    <cellStyle name="Normal 4 2 2 5 7 2 2" xfId="12678" xr:uid="{00000000-0005-0000-0000-0000570F0000}"/>
    <cellStyle name="Normal 4 2 2 5 7 3" xfId="9499" xr:uid="{00000000-0005-0000-0000-0000580F0000}"/>
    <cellStyle name="Normal 4 2 2 5 8" xfId="4733" xr:uid="{00000000-0005-0000-0000-0000590F0000}"/>
    <cellStyle name="Normal 4 2 2 5 8 2" xfId="11094" xr:uid="{00000000-0005-0000-0000-00005A0F0000}"/>
    <cellStyle name="Normal 4 2 2 5 9" xfId="7915" xr:uid="{00000000-0005-0000-0000-00005B0F0000}"/>
    <cellStyle name="Normal 4 2 2 6" xfId="1538" xr:uid="{00000000-0005-0000-0000-00005C0F0000}"/>
    <cellStyle name="Normal 4 2 2 6 2" xfId="1736" xr:uid="{00000000-0005-0000-0000-00005D0F0000}"/>
    <cellStyle name="Normal 4 2 2 6 2 2" xfId="2132" xr:uid="{00000000-0005-0000-0000-00005E0F0000}"/>
    <cellStyle name="Normal 4 2 2 6 2 2 2" xfId="2924" xr:uid="{00000000-0005-0000-0000-00005F0F0000}"/>
    <cellStyle name="Normal 4 2 2 6 2 2 2 2" xfId="4508" xr:uid="{00000000-0005-0000-0000-0000600F0000}"/>
    <cellStyle name="Normal 4 2 2 6 2 2 2 2 2" xfId="7736" xr:uid="{00000000-0005-0000-0000-0000610F0000}"/>
    <cellStyle name="Normal 4 2 2 6 2 2 2 2 2 2" xfId="14097" xr:uid="{00000000-0005-0000-0000-0000620F0000}"/>
    <cellStyle name="Normal 4 2 2 6 2 2 2 2 3" xfId="10918" xr:uid="{00000000-0005-0000-0000-0000630F0000}"/>
    <cellStyle name="Normal 4 2 2 6 2 2 2 3" xfId="6152" xr:uid="{00000000-0005-0000-0000-0000640F0000}"/>
    <cellStyle name="Normal 4 2 2 6 2 2 2 3 2" xfId="12513" xr:uid="{00000000-0005-0000-0000-0000650F0000}"/>
    <cellStyle name="Normal 4 2 2 6 2 2 2 4" xfId="9334" xr:uid="{00000000-0005-0000-0000-0000660F0000}"/>
    <cellStyle name="Normal 4 2 2 6 2 2 3" xfId="3716" xr:uid="{00000000-0005-0000-0000-0000670F0000}"/>
    <cellStyle name="Normal 4 2 2 6 2 2 3 2" xfId="6944" xr:uid="{00000000-0005-0000-0000-0000680F0000}"/>
    <cellStyle name="Normal 4 2 2 6 2 2 3 2 2" xfId="13305" xr:uid="{00000000-0005-0000-0000-0000690F0000}"/>
    <cellStyle name="Normal 4 2 2 6 2 2 3 3" xfId="10126" xr:uid="{00000000-0005-0000-0000-00006A0F0000}"/>
    <cellStyle name="Normal 4 2 2 6 2 2 4" xfId="5360" xr:uid="{00000000-0005-0000-0000-00006B0F0000}"/>
    <cellStyle name="Normal 4 2 2 6 2 2 4 2" xfId="11721" xr:uid="{00000000-0005-0000-0000-00006C0F0000}"/>
    <cellStyle name="Normal 4 2 2 6 2 2 5" xfId="8542" xr:uid="{00000000-0005-0000-0000-00006D0F0000}"/>
    <cellStyle name="Normal 4 2 2 6 2 3" xfId="2528" xr:uid="{00000000-0005-0000-0000-00006E0F0000}"/>
    <cellStyle name="Normal 4 2 2 6 2 3 2" xfId="4112" xr:uid="{00000000-0005-0000-0000-00006F0F0000}"/>
    <cellStyle name="Normal 4 2 2 6 2 3 2 2" xfId="7340" xr:uid="{00000000-0005-0000-0000-0000700F0000}"/>
    <cellStyle name="Normal 4 2 2 6 2 3 2 2 2" xfId="13701" xr:uid="{00000000-0005-0000-0000-0000710F0000}"/>
    <cellStyle name="Normal 4 2 2 6 2 3 2 3" xfId="10522" xr:uid="{00000000-0005-0000-0000-0000720F0000}"/>
    <cellStyle name="Normal 4 2 2 6 2 3 3" xfId="5756" xr:uid="{00000000-0005-0000-0000-0000730F0000}"/>
    <cellStyle name="Normal 4 2 2 6 2 3 3 2" xfId="12117" xr:uid="{00000000-0005-0000-0000-0000740F0000}"/>
    <cellStyle name="Normal 4 2 2 6 2 3 4" xfId="8938" xr:uid="{00000000-0005-0000-0000-0000750F0000}"/>
    <cellStyle name="Normal 4 2 2 6 2 4" xfId="3320" xr:uid="{00000000-0005-0000-0000-0000760F0000}"/>
    <cellStyle name="Normal 4 2 2 6 2 4 2" xfId="6548" xr:uid="{00000000-0005-0000-0000-0000770F0000}"/>
    <cellStyle name="Normal 4 2 2 6 2 4 2 2" xfId="12909" xr:uid="{00000000-0005-0000-0000-0000780F0000}"/>
    <cellStyle name="Normal 4 2 2 6 2 4 3" xfId="9730" xr:uid="{00000000-0005-0000-0000-0000790F0000}"/>
    <cellStyle name="Normal 4 2 2 6 2 5" xfId="4964" xr:uid="{00000000-0005-0000-0000-00007A0F0000}"/>
    <cellStyle name="Normal 4 2 2 6 2 5 2" xfId="11325" xr:uid="{00000000-0005-0000-0000-00007B0F0000}"/>
    <cellStyle name="Normal 4 2 2 6 2 6" xfId="8146" xr:uid="{00000000-0005-0000-0000-00007C0F0000}"/>
    <cellStyle name="Normal 4 2 2 6 3" xfId="1934" xr:uid="{00000000-0005-0000-0000-00007D0F0000}"/>
    <cellStyle name="Normal 4 2 2 6 3 2" xfId="2726" xr:uid="{00000000-0005-0000-0000-00007E0F0000}"/>
    <cellStyle name="Normal 4 2 2 6 3 2 2" xfId="4310" xr:uid="{00000000-0005-0000-0000-00007F0F0000}"/>
    <cellStyle name="Normal 4 2 2 6 3 2 2 2" xfId="7538" xr:uid="{00000000-0005-0000-0000-0000800F0000}"/>
    <cellStyle name="Normal 4 2 2 6 3 2 2 2 2" xfId="13899" xr:uid="{00000000-0005-0000-0000-0000810F0000}"/>
    <cellStyle name="Normal 4 2 2 6 3 2 2 3" xfId="10720" xr:uid="{00000000-0005-0000-0000-0000820F0000}"/>
    <cellStyle name="Normal 4 2 2 6 3 2 3" xfId="5954" xr:uid="{00000000-0005-0000-0000-0000830F0000}"/>
    <cellStyle name="Normal 4 2 2 6 3 2 3 2" xfId="12315" xr:uid="{00000000-0005-0000-0000-0000840F0000}"/>
    <cellStyle name="Normal 4 2 2 6 3 2 4" xfId="9136" xr:uid="{00000000-0005-0000-0000-0000850F0000}"/>
    <cellStyle name="Normal 4 2 2 6 3 3" xfId="3518" xr:uid="{00000000-0005-0000-0000-0000860F0000}"/>
    <cellStyle name="Normal 4 2 2 6 3 3 2" xfId="6746" xr:uid="{00000000-0005-0000-0000-0000870F0000}"/>
    <cellStyle name="Normal 4 2 2 6 3 3 2 2" xfId="13107" xr:uid="{00000000-0005-0000-0000-0000880F0000}"/>
    <cellStyle name="Normal 4 2 2 6 3 3 3" xfId="9928" xr:uid="{00000000-0005-0000-0000-0000890F0000}"/>
    <cellStyle name="Normal 4 2 2 6 3 4" xfId="5162" xr:uid="{00000000-0005-0000-0000-00008A0F0000}"/>
    <cellStyle name="Normal 4 2 2 6 3 4 2" xfId="11523" xr:uid="{00000000-0005-0000-0000-00008B0F0000}"/>
    <cellStyle name="Normal 4 2 2 6 3 5" xfId="8344" xr:uid="{00000000-0005-0000-0000-00008C0F0000}"/>
    <cellStyle name="Normal 4 2 2 6 4" xfId="2330" xr:uid="{00000000-0005-0000-0000-00008D0F0000}"/>
    <cellStyle name="Normal 4 2 2 6 4 2" xfId="3914" xr:uid="{00000000-0005-0000-0000-00008E0F0000}"/>
    <cellStyle name="Normal 4 2 2 6 4 2 2" xfId="7142" xr:uid="{00000000-0005-0000-0000-00008F0F0000}"/>
    <cellStyle name="Normal 4 2 2 6 4 2 2 2" xfId="13503" xr:uid="{00000000-0005-0000-0000-0000900F0000}"/>
    <cellStyle name="Normal 4 2 2 6 4 2 3" xfId="10324" xr:uid="{00000000-0005-0000-0000-0000910F0000}"/>
    <cellStyle name="Normal 4 2 2 6 4 3" xfId="5558" xr:uid="{00000000-0005-0000-0000-0000920F0000}"/>
    <cellStyle name="Normal 4 2 2 6 4 3 2" xfId="11919" xr:uid="{00000000-0005-0000-0000-0000930F0000}"/>
    <cellStyle name="Normal 4 2 2 6 4 4" xfId="8740" xr:uid="{00000000-0005-0000-0000-0000940F0000}"/>
    <cellStyle name="Normal 4 2 2 6 5" xfId="3122" xr:uid="{00000000-0005-0000-0000-0000950F0000}"/>
    <cellStyle name="Normal 4 2 2 6 5 2" xfId="6350" xr:uid="{00000000-0005-0000-0000-0000960F0000}"/>
    <cellStyle name="Normal 4 2 2 6 5 2 2" xfId="12711" xr:uid="{00000000-0005-0000-0000-0000970F0000}"/>
    <cellStyle name="Normal 4 2 2 6 5 3" xfId="9532" xr:uid="{00000000-0005-0000-0000-0000980F0000}"/>
    <cellStyle name="Normal 4 2 2 6 6" xfId="4766" xr:uid="{00000000-0005-0000-0000-0000990F0000}"/>
    <cellStyle name="Normal 4 2 2 6 6 2" xfId="11127" xr:uid="{00000000-0005-0000-0000-00009A0F0000}"/>
    <cellStyle name="Normal 4 2 2 6 7" xfId="7948" xr:uid="{00000000-0005-0000-0000-00009B0F0000}"/>
    <cellStyle name="Normal 4 2 2 7" xfId="1606" xr:uid="{00000000-0005-0000-0000-00009C0F0000}"/>
    <cellStyle name="Normal 4 2 2 7 2" xfId="1804" xr:uid="{00000000-0005-0000-0000-00009D0F0000}"/>
    <cellStyle name="Normal 4 2 2 7 2 2" xfId="2200" xr:uid="{00000000-0005-0000-0000-00009E0F0000}"/>
    <cellStyle name="Normal 4 2 2 7 2 2 2" xfId="2992" xr:uid="{00000000-0005-0000-0000-00009F0F0000}"/>
    <cellStyle name="Normal 4 2 2 7 2 2 2 2" xfId="4576" xr:uid="{00000000-0005-0000-0000-0000A00F0000}"/>
    <cellStyle name="Normal 4 2 2 7 2 2 2 2 2" xfId="7804" xr:uid="{00000000-0005-0000-0000-0000A10F0000}"/>
    <cellStyle name="Normal 4 2 2 7 2 2 2 2 2 2" xfId="14165" xr:uid="{00000000-0005-0000-0000-0000A20F0000}"/>
    <cellStyle name="Normal 4 2 2 7 2 2 2 2 3" xfId="10986" xr:uid="{00000000-0005-0000-0000-0000A30F0000}"/>
    <cellStyle name="Normal 4 2 2 7 2 2 2 3" xfId="6220" xr:uid="{00000000-0005-0000-0000-0000A40F0000}"/>
    <cellStyle name="Normal 4 2 2 7 2 2 2 3 2" xfId="12581" xr:uid="{00000000-0005-0000-0000-0000A50F0000}"/>
    <cellStyle name="Normal 4 2 2 7 2 2 2 4" xfId="9402" xr:uid="{00000000-0005-0000-0000-0000A60F0000}"/>
    <cellStyle name="Normal 4 2 2 7 2 2 3" xfId="3784" xr:uid="{00000000-0005-0000-0000-0000A70F0000}"/>
    <cellStyle name="Normal 4 2 2 7 2 2 3 2" xfId="7012" xr:uid="{00000000-0005-0000-0000-0000A80F0000}"/>
    <cellStyle name="Normal 4 2 2 7 2 2 3 2 2" xfId="13373" xr:uid="{00000000-0005-0000-0000-0000A90F0000}"/>
    <cellStyle name="Normal 4 2 2 7 2 2 3 3" xfId="10194" xr:uid="{00000000-0005-0000-0000-0000AA0F0000}"/>
    <cellStyle name="Normal 4 2 2 7 2 2 4" xfId="5428" xr:uid="{00000000-0005-0000-0000-0000AB0F0000}"/>
    <cellStyle name="Normal 4 2 2 7 2 2 4 2" xfId="11789" xr:uid="{00000000-0005-0000-0000-0000AC0F0000}"/>
    <cellStyle name="Normal 4 2 2 7 2 2 5" xfId="8610" xr:uid="{00000000-0005-0000-0000-0000AD0F0000}"/>
    <cellStyle name="Normal 4 2 2 7 2 3" xfId="2596" xr:uid="{00000000-0005-0000-0000-0000AE0F0000}"/>
    <cellStyle name="Normal 4 2 2 7 2 3 2" xfId="4180" xr:uid="{00000000-0005-0000-0000-0000AF0F0000}"/>
    <cellStyle name="Normal 4 2 2 7 2 3 2 2" xfId="7408" xr:uid="{00000000-0005-0000-0000-0000B00F0000}"/>
    <cellStyle name="Normal 4 2 2 7 2 3 2 2 2" xfId="13769" xr:uid="{00000000-0005-0000-0000-0000B10F0000}"/>
    <cellStyle name="Normal 4 2 2 7 2 3 2 3" xfId="10590" xr:uid="{00000000-0005-0000-0000-0000B20F0000}"/>
    <cellStyle name="Normal 4 2 2 7 2 3 3" xfId="5824" xr:uid="{00000000-0005-0000-0000-0000B30F0000}"/>
    <cellStyle name="Normal 4 2 2 7 2 3 3 2" xfId="12185" xr:uid="{00000000-0005-0000-0000-0000B40F0000}"/>
    <cellStyle name="Normal 4 2 2 7 2 3 4" xfId="9006" xr:uid="{00000000-0005-0000-0000-0000B50F0000}"/>
    <cellStyle name="Normal 4 2 2 7 2 4" xfId="3388" xr:uid="{00000000-0005-0000-0000-0000B60F0000}"/>
    <cellStyle name="Normal 4 2 2 7 2 4 2" xfId="6616" xr:uid="{00000000-0005-0000-0000-0000B70F0000}"/>
    <cellStyle name="Normal 4 2 2 7 2 4 2 2" xfId="12977" xr:uid="{00000000-0005-0000-0000-0000B80F0000}"/>
    <cellStyle name="Normal 4 2 2 7 2 4 3" xfId="9798" xr:uid="{00000000-0005-0000-0000-0000B90F0000}"/>
    <cellStyle name="Normal 4 2 2 7 2 5" xfId="5032" xr:uid="{00000000-0005-0000-0000-0000BA0F0000}"/>
    <cellStyle name="Normal 4 2 2 7 2 5 2" xfId="11393" xr:uid="{00000000-0005-0000-0000-0000BB0F0000}"/>
    <cellStyle name="Normal 4 2 2 7 2 6" xfId="8214" xr:uid="{00000000-0005-0000-0000-0000BC0F0000}"/>
    <cellStyle name="Normal 4 2 2 7 3" xfId="2002" xr:uid="{00000000-0005-0000-0000-0000BD0F0000}"/>
    <cellStyle name="Normal 4 2 2 7 3 2" xfId="2794" xr:uid="{00000000-0005-0000-0000-0000BE0F0000}"/>
    <cellStyle name="Normal 4 2 2 7 3 2 2" xfId="4378" xr:uid="{00000000-0005-0000-0000-0000BF0F0000}"/>
    <cellStyle name="Normal 4 2 2 7 3 2 2 2" xfId="7606" xr:uid="{00000000-0005-0000-0000-0000C00F0000}"/>
    <cellStyle name="Normal 4 2 2 7 3 2 2 2 2" xfId="13967" xr:uid="{00000000-0005-0000-0000-0000C10F0000}"/>
    <cellStyle name="Normal 4 2 2 7 3 2 2 3" xfId="10788" xr:uid="{00000000-0005-0000-0000-0000C20F0000}"/>
    <cellStyle name="Normal 4 2 2 7 3 2 3" xfId="6022" xr:uid="{00000000-0005-0000-0000-0000C30F0000}"/>
    <cellStyle name="Normal 4 2 2 7 3 2 3 2" xfId="12383" xr:uid="{00000000-0005-0000-0000-0000C40F0000}"/>
    <cellStyle name="Normal 4 2 2 7 3 2 4" xfId="9204" xr:uid="{00000000-0005-0000-0000-0000C50F0000}"/>
    <cellStyle name="Normal 4 2 2 7 3 3" xfId="3586" xr:uid="{00000000-0005-0000-0000-0000C60F0000}"/>
    <cellStyle name="Normal 4 2 2 7 3 3 2" xfId="6814" xr:uid="{00000000-0005-0000-0000-0000C70F0000}"/>
    <cellStyle name="Normal 4 2 2 7 3 3 2 2" xfId="13175" xr:uid="{00000000-0005-0000-0000-0000C80F0000}"/>
    <cellStyle name="Normal 4 2 2 7 3 3 3" xfId="9996" xr:uid="{00000000-0005-0000-0000-0000C90F0000}"/>
    <cellStyle name="Normal 4 2 2 7 3 4" xfId="5230" xr:uid="{00000000-0005-0000-0000-0000CA0F0000}"/>
    <cellStyle name="Normal 4 2 2 7 3 4 2" xfId="11591" xr:uid="{00000000-0005-0000-0000-0000CB0F0000}"/>
    <cellStyle name="Normal 4 2 2 7 3 5" xfId="8412" xr:uid="{00000000-0005-0000-0000-0000CC0F0000}"/>
    <cellStyle name="Normal 4 2 2 7 4" xfId="2398" xr:uid="{00000000-0005-0000-0000-0000CD0F0000}"/>
    <cellStyle name="Normal 4 2 2 7 4 2" xfId="3982" xr:uid="{00000000-0005-0000-0000-0000CE0F0000}"/>
    <cellStyle name="Normal 4 2 2 7 4 2 2" xfId="7210" xr:uid="{00000000-0005-0000-0000-0000CF0F0000}"/>
    <cellStyle name="Normal 4 2 2 7 4 2 2 2" xfId="13571" xr:uid="{00000000-0005-0000-0000-0000D00F0000}"/>
    <cellStyle name="Normal 4 2 2 7 4 2 3" xfId="10392" xr:uid="{00000000-0005-0000-0000-0000D10F0000}"/>
    <cellStyle name="Normal 4 2 2 7 4 3" xfId="5626" xr:uid="{00000000-0005-0000-0000-0000D20F0000}"/>
    <cellStyle name="Normal 4 2 2 7 4 3 2" xfId="11987" xr:uid="{00000000-0005-0000-0000-0000D30F0000}"/>
    <cellStyle name="Normal 4 2 2 7 4 4" xfId="8808" xr:uid="{00000000-0005-0000-0000-0000D40F0000}"/>
    <cellStyle name="Normal 4 2 2 7 5" xfId="3190" xr:uid="{00000000-0005-0000-0000-0000D50F0000}"/>
    <cellStyle name="Normal 4 2 2 7 5 2" xfId="6418" xr:uid="{00000000-0005-0000-0000-0000D60F0000}"/>
    <cellStyle name="Normal 4 2 2 7 5 2 2" xfId="12779" xr:uid="{00000000-0005-0000-0000-0000D70F0000}"/>
    <cellStyle name="Normal 4 2 2 7 5 3" xfId="9600" xr:uid="{00000000-0005-0000-0000-0000D80F0000}"/>
    <cellStyle name="Normal 4 2 2 7 6" xfId="4834" xr:uid="{00000000-0005-0000-0000-0000D90F0000}"/>
    <cellStyle name="Normal 4 2 2 7 6 2" xfId="11195" xr:uid="{00000000-0005-0000-0000-0000DA0F0000}"/>
    <cellStyle name="Normal 4 2 2 7 7" xfId="8016" xr:uid="{00000000-0005-0000-0000-0000DB0F0000}"/>
    <cellStyle name="Normal 4 2 2 8" xfId="1671" xr:uid="{00000000-0005-0000-0000-0000DC0F0000}"/>
    <cellStyle name="Normal 4 2 2 8 2" xfId="2067" xr:uid="{00000000-0005-0000-0000-0000DD0F0000}"/>
    <cellStyle name="Normal 4 2 2 8 2 2" xfId="2859" xr:uid="{00000000-0005-0000-0000-0000DE0F0000}"/>
    <cellStyle name="Normal 4 2 2 8 2 2 2" xfId="4443" xr:uid="{00000000-0005-0000-0000-0000DF0F0000}"/>
    <cellStyle name="Normal 4 2 2 8 2 2 2 2" xfId="7671" xr:uid="{00000000-0005-0000-0000-0000E00F0000}"/>
    <cellStyle name="Normal 4 2 2 8 2 2 2 2 2" xfId="14032" xr:uid="{00000000-0005-0000-0000-0000E10F0000}"/>
    <cellStyle name="Normal 4 2 2 8 2 2 2 3" xfId="10853" xr:uid="{00000000-0005-0000-0000-0000E20F0000}"/>
    <cellStyle name="Normal 4 2 2 8 2 2 3" xfId="6087" xr:uid="{00000000-0005-0000-0000-0000E30F0000}"/>
    <cellStyle name="Normal 4 2 2 8 2 2 3 2" xfId="12448" xr:uid="{00000000-0005-0000-0000-0000E40F0000}"/>
    <cellStyle name="Normal 4 2 2 8 2 2 4" xfId="9269" xr:uid="{00000000-0005-0000-0000-0000E50F0000}"/>
    <cellStyle name="Normal 4 2 2 8 2 3" xfId="3651" xr:uid="{00000000-0005-0000-0000-0000E60F0000}"/>
    <cellStyle name="Normal 4 2 2 8 2 3 2" xfId="6879" xr:uid="{00000000-0005-0000-0000-0000E70F0000}"/>
    <cellStyle name="Normal 4 2 2 8 2 3 2 2" xfId="13240" xr:uid="{00000000-0005-0000-0000-0000E80F0000}"/>
    <cellStyle name="Normal 4 2 2 8 2 3 3" xfId="10061" xr:uid="{00000000-0005-0000-0000-0000E90F0000}"/>
    <cellStyle name="Normal 4 2 2 8 2 4" xfId="5295" xr:uid="{00000000-0005-0000-0000-0000EA0F0000}"/>
    <cellStyle name="Normal 4 2 2 8 2 4 2" xfId="11656" xr:uid="{00000000-0005-0000-0000-0000EB0F0000}"/>
    <cellStyle name="Normal 4 2 2 8 2 5" xfId="8477" xr:uid="{00000000-0005-0000-0000-0000EC0F0000}"/>
    <cellStyle name="Normal 4 2 2 8 3" xfId="2463" xr:uid="{00000000-0005-0000-0000-0000ED0F0000}"/>
    <cellStyle name="Normal 4 2 2 8 3 2" xfId="4047" xr:uid="{00000000-0005-0000-0000-0000EE0F0000}"/>
    <cellStyle name="Normal 4 2 2 8 3 2 2" xfId="7275" xr:uid="{00000000-0005-0000-0000-0000EF0F0000}"/>
    <cellStyle name="Normal 4 2 2 8 3 2 2 2" xfId="13636" xr:uid="{00000000-0005-0000-0000-0000F00F0000}"/>
    <cellStyle name="Normal 4 2 2 8 3 2 3" xfId="10457" xr:uid="{00000000-0005-0000-0000-0000F10F0000}"/>
    <cellStyle name="Normal 4 2 2 8 3 3" xfId="5691" xr:uid="{00000000-0005-0000-0000-0000F20F0000}"/>
    <cellStyle name="Normal 4 2 2 8 3 3 2" xfId="12052" xr:uid="{00000000-0005-0000-0000-0000F30F0000}"/>
    <cellStyle name="Normal 4 2 2 8 3 4" xfId="8873" xr:uid="{00000000-0005-0000-0000-0000F40F0000}"/>
    <cellStyle name="Normal 4 2 2 8 4" xfId="3255" xr:uid="{00000000-0005-0000-0000-0000F50F0000}"/>
    <cellStyle name="Normal 4 2 2 8 4 2" xfId="6483" xr:uid="{00000000-0005-0000-0000-0000F60F0000}"/>
    <cellStyle name="Normal 4 2 2 8 4 2 2" xfId="12844" xr:uid="{00000000-0005-0000-0000-0000F70F0000}"/>
    <cellStyle name="Normal 4 2 2 8 4 3" xfId="9665" xr:uid="{00000000-0005-0000-0000-0000F80F0000}"/>
    <cellStyle name="Normal 4 2 2 8 5" xfId="4899" xr:uid="{00000000-0005-0000-0000-0000F90F0000}"/>
    <cellStyle name="Normal 4 2 2 8 5 2" xfId="11260" xr:uid="{00000000-0005-0000-0000-0000FA0F0000}"/>
    <cellStyle name="Normal 4 2 2 8 6" xfId="8081" xr:uid="{00000000-0005-0000-0000-0000FB0F0000}"/>
    <cellStyle name="Normal 4 2 2 9" xfId="1869" xr:uid="{00000000-0005-0000-0000-0000FC0F0000}"/>
    <cellStyle name="Normal 4 2 2 9 2" xfId="2661" xr:uid="{00000000-0005-0000-0000-0000FD0F0000}"/>
    <cellStyle name="Normal 4 2 2 9 2 2" xfId="4245" xr:uid="{00000000-0005-0000-0000-0000FE0F0000}"/>
    <cellStyle name="Normal 4 2 2 9 2 2 2" xfId="7473" xr:uid="{00000000-0005-0000-0000-0000FF0F0000}"/>
    <cellStyle name="Normal 4 2 2 9 2 2 2 2" xfId="13834" xr:uid="{00000000-0005-0000-0000-000000100000}"/>
    <cellStyle name="Normal 4 2 2 9 2 2 3" xfId="10655" xr:uid="{00000000-0005-0000-0000-000001100000}"/>
    <cellStyle name="Normal 4 2 2 9 2 3" xfId="5889" xr:uid="{00000000-0005-0000-0000-000002100000}"/>
    <cellStyle name="Normal 4 2 2 9 2 3 2" xfId="12250" xr:uid="{00000000-0005-0000-0000-000003100000}"/>
    <cellStyle name="Normal 4 2 2 9 2 4" xfId="9071" xr:uid="{00000000-0005-0000-0000-000004100000}"/>
    <cellStyle name="Normal 4 2 2 9 3" xfId="3453" xr:uid="{00000000-0005-0000-0000-000005100000}"/>
    <cellStyle name="Normal 4 2 2 9 3 2" xfId="6681" xr:uid="{00000000-0005-0000-0000-000006100000}"/>
    <cellStyle name="Normal 4 2 2 9 3 2 2" xfId="13042" xr:uid="{00000000-0005-0000-0000-000007100000}"/>
    <cellStyle name="Normal 4 2 2 9 3 3" xfId="9863" xr:uid="{00000000-0005-0000-0000-000008100000}"/>
    <cellStyle name="Normal 4 2 2 9 4" xfId="5097" xr:uid="{00000000-0005-0000-0000-000009100000}"/>
    <cellStyle name="Normal 4 2 2 9 4 2" xfId="11458" xr:uid="{00000000-0005-0000-0000-00000A100000}"/>
    <cellStyle name="Normal 4 2 2 9 5" xfId="8279" xr:uid="{00000000-0005-0000-0000-00000B100000}"/>
    <cellStyle name="Normal 4 2 3" xfId="1428" xr:uid="{00000000-0005-0000-0000-00000C100000}"/>
    <cellStyle name="Normal 4 2 3 10" xfId="3059" xr:uid="{00000000-0005-0000-0000-00000D100000}"/>
    <cellStyle name="Normal 4 2 3 10 2" xfId="6287" xr:uid="{00000000-0005-0000-0000-00000E100000}"/>
    <cellStyle name="Normal 4 2 3 10 2 2" xfId="12648" xr:uid="{00000000-0005-0000-0000-00000F100000}"/>
    <cellStyle name="Normal 4 2 3 10 3" xfId="9469" xr:uid="{00000000-0005-0000-0000-000010100000}"/>
    <cellStyle name="Normal 4 2 3 11" xfId="4703" xr:uid="{00000000-0005-0000-0000-000011100000}"/>
    <cellStyle name="Normal 4 2 3 11 2" xfId="11064" xr:uid="{00000000-0005-0000-0000-000012100000}"/>
    <cellStyle name="Normal 4 2 3 12" xfId="7885" xr:uid="{00000000-0005-0000-0000-000013100000}"/>
    <cellStyle name="Normal 4 2 3 2" xfId="1436" xr:uid="{00000000-0005-0000-0000-000014100000}"/>
    <cellStyle name="Normal 4 2 3 2 10" xfId="4711" xr:uid="{00000000-0005-0000-0000-000015100000}"/>
    <cellStyle name="Normal 4 2 3 2 10 2" xfId="11072" xr:uid="{00000000-0005-0000-0000-000016100000}"/>
    <cellStyle name="Normal 4 2 3 2 11" xfId="7893" xr:uid="{00000000-0005-0000-0000-000017100000}"/>
    <cellStyle name="Normal 4 2 3 2 2" xfId="1452" xr:uid="{00000000-0005-0000-0000-000018100000}"/>
    <cellStyle name="Normal 4 2 3 2 2 10" xfId="7909" xr:uid="{00000000-0005-0000-0000-000019100000}"/>
    <cellStyle name="Normal 4 2 3 2 2 2" xfId="1484" xr:uid="{00000000-0005-0000-0000-00001A100000}"/>
    <cellStyle name="Normal 4 2 3 2 2 2 2" xfId="1596" xr:uid="{00000000-0005-0000-0000-00001B100000}"/>
    <cellStyle name="Normal 4 2 3 2 2 2 2 2" xfId="1794" xr:uid="{00000000-0005-0000-0000-00001C100000}"/>
    <cellStyle name="Normal 4 2 3 2 2 2 2 2 2" xfId="2190" xr:uid="{00000000-0005-0000-0000-00001D100000}"/>
    <cellStyle name="Normal 4 2 3 2 2 2 2 2 2 2" xfId="2982" xr:uid="{00000000-0005-0000-0000-00001E100000}"/>
    <cellStyle name="Normal 4 2 3 2 2 2 2 2 2 2 2" xfId="4566" xr:uid="{00000000-0005-0000-0000-00001F100000}"/>
    <cellStyle name="Normal 4 2 3 2 2 2 2 2 2 2 2 2" xfId="7794" xr:uid="{00000000-0005-0000-0000-000020100000}"/>
    <cellStyle name="Normal 4 2 3 2 2 2 2 2 2 2 2 2 2" xfId="14155" xr:uid="{00000000-0005-0000-0000-000021100000}"/>
    <cellStyle name="Normal 4 2 3 2 2 2 2 2 2 2 2 3" xfId="10976" xr:uid="{00000000-0005-0000-0000-000022100000}"/>
    <cellStyle name="Normal 4 2 3 2 2 2 2 2 2 2 3" xfId="6210" xr:uid="{00000000-0005-0000-0000-000023100000}"/>
    <cellStyle name="Normal 4 2 3 2 2 2 2 2 2 2 3 2" xfId="12571" xr:uid="{00000000-0005-0000-0000-000024100000}"/>
    <cellStyle name="Normal 4 2 3 2 2 2 2 2 2 2 4" xfId="9392" xr:uid="{00000000-0005-0000-0000-000025100000}"/>
    <cellStyle name="Normal 4 2 3 2 2 2 2 2 2 3" xfId="3774" xr:uid="{00000000-0005-0000-0000-000026100000}"/>
    <cellStyle name="Normal 4 2 3 2 2 2 2 2 2 3 2" xfId="7002" xr:uid="{00000000-0005-0000-0000-000027100000}"/>
    <cellStyle name="Normal 4 2 3 2 2 2 2 2 2 3 2 2" xfId="13363" xr:uid="{00000000-0005-0000-0000-000028100000}"/>
    <cellStyle name="Normal 4 2 3 2 2 2 2 2 2 3 3" xfId="10184" xr:uid="{00000000-0005-0000-0000-000029100000}"/>
    <cellStyle name="Normal 4 2 3 2 2 2 2 2 2 4" xfId="5418" xr:uid="{00000000-0005-0000-0000-00002A100000}"/>
    <cellStyle name="Normal 4 2 3 2 2 2 2 2 2 4 2" xfId="11779" xr:uid="{00000000-0005-0000-0000-00002B100000}"/>
    <cellStyle name="Normal 4 2 3 2 2 2 2 2 2 5" xfId="8600" xr:uid="{00000000-0005-0000-0000-00002C100000}"/>
    <cellStyle name="Normal 4 2 3 2 2 2 2 2 3" xfId="2586" xr:uid="{00000000-0005-0000-0000-00002D100000}"/>
    <cellStyle name="Normal 4 2 3 2 2 2 2 2 3 2" xfId="4170" xr:uid="{00000000-0005-0000-0000-00002E100000}"/>
    <cellStyle name="Normal 4 2 3 2 2 2 2 2 3 2 2" xfId="7398" xr:uid="{00000000-0005-0000-0000-00002F100000}"/>
    <cellStyle name="Normal 4 2 3 2 2 2 2 2 3 2 2 2" xfId="13759" xr:uid="{00000000-0005-0000-0000-000030100000}"/>
    <cellStyle name="Normal 4 2 3 2 2 2 2 2 3 2 3" xfId="10580" xr:uid="{00000000-0005-0000-0000-000031100000}"/>
    <cellStyle name="Normal 4 2 3 2 2 2 2 2 3 3" xfId="5814" xr:uid="{00000000-0005-0000-0000-000032100000}"/>
    <cellStyle name="Normal 4 2 3 2 2 2 2 2 3 3 2" xfId="12175" xr:uid="{00000000-0005-0000-0000-000033100000}"/>
    <cellStyle name="Normal 4 2 3 2 2 2 2 2 3 4" xfId="8996" xr:uid="{00000000-0005-0000-0000-000034100000}"/>
    <cellStyle name="Normal 4 2 3 2 2 2 2 2 4" xfId="3378" xr:uid="{00000000-0005-0000-0000-000035100000}"/>
    <cellStyle name="Normal 4 2 3 2 2 2 2 2 4 2" xfId="6606" xr:uid="{00000000-0005-0000-0000-000036100000}"/>
    <cellStyle name="Normal 4 2 3 2 2 2 2 2 4 2 2" xfId="12967" xr:uid="{00000000-0005-0000-0000-000037100000}"/>
    <cellStyle name="Normal 4 2 3 2 2 2 2 2 4 3" xfId="9788" xr:uid="{00000000-0005-0000-0000-000038100000}"/>
    <cellStyle name="Normal 4 2 3 2 2 2 2 2 5" xfId="5022" xr:uid="{00000000-0005-0000-0000-000039100000}"/>
    <cellStyle name="Normal 4 2 3 2 2 2 2 2 5 2" xfId="11383" xr:uid="{00000000-0005-0000-0000-00003A100000}"/>
    <cellStyle name="Normal 4 2 3 2 2 2 2 2 6" xfId="8204" xr:uid="{00000000-0005-0000-0000-00003B100000}"/>
    <cellStyle name="Normal 4 2 3 2 2 2 2 3" xfId="1992" xr:uid="{00000000-0005-0000-0000-00003C100000}"/>
    <cellStyle name="Normal 4 2 3 2 2 2 2 3 2" xfId="2784" xr:uid="{00000000-0005-0000-0000-00003D100000}"/>
    <cellStyle name="Normal 4 2 3 2 2 2 2 3 2 2" xfId="4368" xr:uid="{00000000-0005-0000-0000-00003E100000}"/>
    <cellStyle name="Normal 4 2 3 2 2 2 2 3 2 2 2" xfId="7596" xr:uid="{00000000-0005-0000-0000-00003F100000}"/>
    <cellStyle name="Normal 4 2 3 2 2 2 2 3 2 2 2 2" xfId="13957" xr:uid="{00000000-0005-0000-0000-000040100000}"/>
    <cellStyle name="Normal 4 2 3 2 2 2 2 3 2 2 3" xfId="10778" xr:uid="{00000000-0005-0000-0000-000041100000}"/>
    <cellStyle name="Normal 4 2 3 2 2 2 2 3 2 3" xfId="6012" xr:uid="{00000000-0005-0000-0000-000042100000}"/>
    <cellStyle name="Normal 4 2 3 2 2 2 2 3 2 3 2" xfId="12373" xr:uid="{00000000-0005-0000-0000-000043100000}"/>
    <cellStyle name="Normal 4 2 3 2 2 2 2 3 2 4" xfId="9194" xr:uid="{00000000-0005-0000-0000-000044100000}"/>
    <cellStyle name="Normal 4 2 3 2 2 2 2 3 3" xfId="3576" xr:uid="{00000000-0005-0000-0000-000045100000}"/>
    <cellStyle name="Normal 4 2 3 2 2 2 2 3 3 2" xfId="6804" xr:uid="{00000000-0005-0000-0000-000046100000}"/>
    <cellStyle name="Normal 4 2 3 2 2 2 2 3 3 2 2" xfId="13165" xr:uid="{00000000-0005-0000-0000-000047100000}"/>
    <cellStyle name="Normal 4 2 3 2 2 2 2 3 3 3" xfId="9986" xr:uid="{00000000-0005-0000-0000-000048100000}"/>
    <cellStyle name="Normal 4 2 3 2 2 2 2 3 4" xfId="5220" xr:uid="{00000000-0005-0000-0000-000049100000}"/>
    <cellStyle name="Normal 4 2 3 2 2 2 2 3 4 2" xfId="11581" xr:uid="{00000000-0005-0000-0000-00004A100000}"/>
    <cellStyle name="Normal 4 2 3 2 2 2 2 3 5" xfId="8402" xr:uid="{00000000-0005-0000-0000-00004B100000}"/>
    <cellStyle name="Normal 4 2 3 2 2 2 2 4" xfId="2388" xr:uid="{00000000-0005-0000-0000-00004C100000}"/>
    <cellStyle name="Normal 4 2 3 2 2 2 2 4 2" xfId="3972" xr:uid="{00000000-0005-0000-0000-00004D100000}"/>
    <cellStyle name="Normal 4 2 3 2 2 2 2 4 2 2" xfId="7200" xr:uid="{00000000-0005-0000-0000-00004E100000}"/>
    <cellStyle name="Normal 4 2 3 2 2 2 2 4 2 2 2" xfId="13561" xr:uid="{00000000-0005-0000-0000-00004F100000}"/>
    <cellStyle name="Normal 4 2 3 2 2 2 2 4 2 3" xfId="10382" xr:uid="{00000000-0005-0000-0000-000050100000}"/>
    <cellStyle name="Normal 4 2 3 2 2 2 2 4 3" xfId="5616" xr:uid="{00000000-0005-0000-0000-000051100000}"/>
    <cellStyle name="Normal 4 2 3 2 2 2 2 4 3 2" xfId="11977" xr:uid="{00000000-0005-0000-0000-000052100000}"/>
    <cellStyle name="Normal 4 2 3 2 2 2 2 4 4" xfId="8798" xr:uid="{00000000-0005-0000-0000-000053100000}"/>
    <cellStyle name="Normal 4 2 3 2 2 2 2 5" xfId="3180" xr:uid="{00000000-0005-0000-0000-000054100000}"/>
    <cellStyle name="Normal 4 2 3 2 2 2 2 5 2" xfId="6408" xr:uid="{00000000-0005-0000-0000-000055100000}"/>
    <cellStyle name="Normal 4 2 3 2 2 2 2 5 2 2" xfId="12769" xr:uid="{00000000-0005-0000-0000-000056100000}"/>
    <cellStyle name="Normal 4 2 3 2 2 2 2 5 3" xfId="9590" xr:uid="{00000000-0005-0000-0000-000057100000}"/>
    <cellStyle name="Normal 4 2 3 2 2 2 2 6" xfId="4824" xr:uid="{00000000-0005-0000-0000-000058100000}"/>
    <cellStyle name="Normal 4 2 3 2 2 2 2 6 2" xfId="11185" xr:uid="{00000000-0005-0000-0000-000059100000}"/>
    <cellStyle name="Normal 4 2 3 2 2 2 2 7" xfId="8006" xr:uid="{00000000-0005-0000-0000-00005A100000}"/>
    <cellStyle name="Normal 4 2 3 2 2 2 3" xfId="1664" xr:uid="{00000000-0005-0000-0000-00005B100000}"/>
    <cellStyle name="Normal 4 2 3 2 2 2 3 2" xfId="1862" xr:uid="{00000000-0005-0000-0000-00005C100000}"/>
    <cellStyle name="Normal 4 2 3 2 2 2 3 2 2" xfId="2258" xr:uid="{00000000-0005-0000-0000-00005D100000}"/>
    <cellStyle name="Normal 4 2 3 2 2 2 3 2 2 2" xfId="3050" xr:uid="{00000000-0005-0000-0000-00005E100000}"/>
    <cellStyle name="Normal 4 2 3 2 2 2 3 2 2 2 2" xfId="4634" xr:uid="{00000000-0005-0000-0000-00005F100000}"/>
    <cellStyle name="Normal 4 2 3 2 2 2 3 2 2 2 2 2" xfId="7862" xr:uid="{00000000-0005-0000-0000-000060100000}"/>
    <cellStyle name="Normal 4 2 3 2 2 2 3 2 2 2 2 2 2" xfId="14223" xr:uid="{00000000-0005-0000-0000-000061100000}"/>
    <cellStyle name="Normal 4 2 3 2 2 2 3 2 2 2 2 3" xfId="11044" xr:uid="{00000000-0005-0000-0000-000062100000}"/>
    <cellStyle name="Normal 4 2 3 2 2 2 3 2 2 2 3" xfId="6278" xr:uid="{00000000-0005-0000-0000-000063100000}"/>
    <cellStyle name="Normal 4 2 3 2 2 2 3 2 2 2 3 2" xfId="12639" xr:uid="{00000000-0005-0000-0000-000064100000}"/>
    <cellStyle name="Normal 4 2 3 2 2 2 3 2 2 2 4" xfId="9460" xr:uid="{00000000-0005-0000-0000-000065100000}"/>
    <cellStyle name="Normal 4 2 3 2 2 2 3 2 2 3" xfId="3842" xr:uid="{00000000-0005-0000-0000-000066100000}"/>
    <cellStyle name="Normal 4 2 3 2 2 2 3 2 2 3 2" xfId="7070" xr:uid="{00000000-0005-0000-0000-000067100000}"/>
    <cellStyle name="Normal 4 2 3 2 2 2 3 2 2 3 2 2" xfId="13431" xr:uid="{00000000-0005-0000-0000-000068100000}"/>
    <cellStyle name="Normal 4 2 3 2 2 2 3 2 2 3 3" xfId="10252" xr:uid="{00000000-0005-0000-0000-000069100000}"/>
    <cellStyle name="Normal 4 2 3 2 2 2 3 2 2 4" xfId="5486" xr:uid="{00000000-0005-0000-0000-00006A100000}"/>
    <cellStyle name="Normal 4 2 3 2 2 2 3 2 2 4 2" xfId="11847" xr:uid="{00000000-0005-0000-0000-00006B100000}"/>
    <cellStyle name="Normal 4 2 3 2 2 2 3 2 2 5" xfId="8668" xr:uid="{00000000-0005-0000-0000-00006C100000}"/>
    <cellStyle name="Normal 4 2 3 2 2 2 3 2 3" xfId="2654" xr:uid="{00000000-0005-0000-0000-00006D100000}"/>
    <cellStyle name="Normal 4 2 3 2 2 2 3 2 3 2" xfId="4238" xr:uid="{00000000-0005-0000-0000-00006E100000}"/>
    <cellStyle name="Normal 4 2 3 2 2 2 3 2 3 2 2" xfId="7466" xr:uid="{00000000-0005-0000-0000-00006F100000}"/>
    <cellStyle name="Normal 4 2 3 2 2 2 3 2 3 2 2 2" xfId="13827" xr:uid="{00000000-0005-0000-0000-000070100000}"/>
    <cellStyle name="Normal 4 2 3 2 2 2 3 2 3 2 3" xfId="10648" xr:uid="{00000000-0005-0000-0000-000071100000}"/>
    <cellStyle name="Normal 4 2 3 2 2 2 3 2 3 3" xfId="5882" xr:uid="{00000000-0005-0000-0000-000072100000}"/>
    <cellStyle name="Normal 4 2 3 2 2 2 3 2 3 3 2" xfId="12243" xr:uid="{00000000-0005-0000-0000-000073100000}"/>
    <cellStyle name="Normal 4 2 3 2 2 2 3 2 3 4" xfId="9064" xr:uid="{00000000-0005-0000-0000-000074100000}"/>
    <cellStyle name="Normal 4 2 3 2 2 2 3 2 4" xfId="3446" xr:uid="{00000000-0005-0000-0000-000075100000}"/>
    <cellStyle name="Normal 4 2 3 2 2 2 3 2 4 2" xfId="6674" xr:uid="{00000000-0005-0000-0000-000076100000}"/>
    <cellStyle name="Normal 4 2 3 2 2 2 3 2 4 2 2" xfId="13035" xr:uid="{00000000-0005-0000-0000-000077100000}"/>
    <cellStyle name="Normal 4 2 3 2 2 2 3 2 4 3" xfId="9856" xr:uid="{00000000-0005-0000-0000-000078100000}"/>
    <cellStyle name="Normal 4 2 3 2 2 2 3 2 5" xfId="5090" xr:uid="{00000000-0005-0000-0000-000079100000}"/>
    <cellStyle name="Normal 4 2 3 2 2 2 3 2 5 2" xfId="11451" xr:uid="{00000000-0005-0000-0000-00007A100000}"/>
    <cellStyle name="Normal 4 2 3 2 2 2 3 2 6" xfId="8272" xr:uid="{00000000-0005-0000-0000-00007B100000}"/>
    <cellStyle name="Normal 4 2 3 2 2 2 3 3" xfId="2060" xr:uid="{00000000-0005-0000-0000-00007C100000}"/>
    <cellStyle name="Normal 4 2 3 2 2 2 3 3 2" xfId="2852" xr:uid="{00000000-0005-0000-0000-00007D100000}"/>
    <cellStyle name="Normal 4 2 3 2 2 2 3 3 2 2" xfId="4436" xr:uid="{00000000-0005-0000-0000-00007E100000}"/>
    <cellStyle name="Normal 4 2 3 2 2 2 3 3 2 2 2" xfId="7664" xr:uid="{00000000-0005-0000-0000-00007F100000}"/>
    <cellStyle name="Normal 4 2 3 2 2 2 3 3 2 2 2 2" xfId="14025" xr:uid="{00000000-0005-0000-0000-000080100000}"/>
    <cellStyle name="Normal 4 2 3 2 2 2 3 3 2 2 3" xfId="10846" xr:uid="{00000000-0005-0000-0000-000081100000}"/>
    <cellStyle name="Normal 4 2 3 2 2 2 3 3 2 3" xfId="6080" xr:uid="{00000000-0005-0000-0000-000082100000}"/>
    <cellStyle name="Normal 4 2 3 2 2 2 3 3 2 3 2" xfId="12441" xr:uid="{00000000-0005-0000-0000-000083100000}"/>
    <cellStyle name="Normal 4 2 3 2 2 2 3 3 2 4" xfId="9262" xr:uid="{00000000-0005-0000-0000-000084100000}"/>
    <cellStyle name="Normal 4 2 3 2 2 2 3 3 3" xfId="3644" xr:uid="{00000000-0005-0000-0000-000085100000}"/>
    <cellStyle name="Normal 4 2 3 2 2 2 3 3 3 2" xfId="6872" xr:uid="{00000000-0005-0000-0000-000086100000}"/>
    <cellStyle name="Normal 4 2 3 2 2 2 3 3 3 2 2" xfId="13233" xr:uid="{00000000-0005-0000-0000-000087100000}"/>
    <cellStyle name="Normal 4 2 3 2 2 2 3 3 3 3" xfId="10054" xr:uid="{00000000-0005-0000-0000-000088100000}"/>
    <cellStyle name="Normal 4 2 3 2 2 2 3 3 4" xfId="5288" xr:uid="{00000000-0005-0000-0000-000089100000}"/>
    <cellStyle name="Normal 4 2 3 2 2 2 3 3 4 2" xfId="11649" xr:uid="{00000000-0005-0000-0000-00008A100000}"/>
    <cellStyle name="Normal 4 2 3 2 2 2 3 3 5" xfId="8470" xr:uid="{00000000-0005-0000-0000-00008B100000}"/>
    <cellStyle name="Normal 4 2 3 2 2 2 3 4" xfId="2456" xr:uid="{00000000-0005-0000-0000-00008C100000}"/>
    <cellStyle name="Normal 4 2 3 2 2 2 3 4 2" xfId="4040" xr:uid="{00000000-0005-0000-0000-00008D100000}"/>
    <cellStyle name="Normal 4 2 3 2 2 2 3 4 2 2" xfId="7268" xr:uid="{00000000-0005-0000-0000-00008E100000}"/>
    <cellStyle name="Normal 4 2 3 2 2 2 3 4 2 2 2" xfId="13629" xr:uid="{00000000-0005-0000-0000-00008F100000}"/>
    <cellStyle name="Normal 4 2 3 2 2 2 3 4 2 3" xfId="10450" xr:uid="{00000000-0005-0000-0000-000090100000}"/>
    <cellStyle name="Normal 4 2 3 2 2 2 3 4 3" xfId="5684" xr:uid="{00000000-0005-0000-0000-000091100000}"/>
    <cellStyle name="Normal 4 2 3 2 2 2 3 4 3 2" xfId="12045" xr:uid="{00000000-0005-0000-0000-000092100000}"/>
    <cellStyle name="Normal 4 2 3 2 2 2 3 4 4" xfId="8866" xr:uid="{00000000-0005-0000-0000-000093100000}"/>
    <cellStyle name="Normal 4 2 3 2 2 2 3 5" xfId="3248" xr:uid="{00000000-0005-0000-0000-000094100000}"/>
    <cellStyle name="Normal 4 2 3 2 2 2 3 5 2" xfId="6476" xr:uid="{00000000-0005-0000-0000-000095100000}"/>
    <cellStyle name="Normal 4 2 3 2 2 2 3 5 2 2" xfId="12837" xr:uid="{00000000-0005-0000-0000-000096100000}"/>
    <cellStyle name="Normal 4 2 3 2 2 2 3 5 3" xfId="9658" xr:uid="{00000000-0005-0000-0000-000097100000}"/>
    <cellStyle name="Normal 4 2 3 2 2 2 3 6" xfId="4892" xr:uid="{00000000-0005-0000-0000-000098100000}"/>
    <cellStyle name="Normal 4 2 3 2 2 2 3 6 2" xfId="11253" xr:uid="{00000000-0005-0000-0000-000099100000}"/>
    <cellStyle name="Normal 4 2 3 2 2 2 3 7" xfId="8074" xr:uid="{00000000-0005-0000-0000-00009A100000}"/>
    <cellStyle name="Normal 4 2 3 2 2 2 4" xfId="1729" xr:uid="{00000000-0005-0000-0000-00009B100000}"/>
    <cellStyle name="Normal 4 2 3 2 2 2 4 2" xfId="2125" xr:uid="{00000000-0005-0000-0000-00009C100000}"/>
    <cellStyle name="Normal 4 2 3 2 2 2 4 2 2" xfId="2917" xr:uid="{00000000-0005-0000-0000-00009D100000}"/>
    <cellStyle name="Normal 4 2 3 2 2 2 4 2 2 2" xfId="4501" xr:uid="{00000000-0005-0000-0000-00009E100000}"/>
    <cellStyle name="Normal 4 2 3 2 2 2 4 2 2 2 2" xfId="7729" xr:uid="{00000000-0005-0000-0000-00009F100000}"/>
    <cellStyle name="Normal 4 2 3 2 2 2 4 2 2 2 2 2" xfId="14090" xr:uid="{00000000-0005-0000-0000-0000A0100000}"/>
    <cellStyle name="Normal 4 2 3 2 2 2 4 2 2 2 3" xfId="10911" xr:uid="{00000000-0005-0000-0000-0000A1100000}"/>
    <cellStyle name="Normal 4 2 3 2 2 2 4 2 2 3" xfId="6145" xr:uid="{00000000-0005-0000-0000-0000A2100000}"/>
    <cellStyle name="Normal 4 2 3 2 2 2 4 2 2 3 2" xfId="12506" xr:uid="{00000000-0005-0000-0000-0000A3100000}"/>
    <cellStyle name="Normal 4 2 3 2 2 2 4 2 2 4" xfId="9327" xr:uid="{00000000-0005-0000-0000-0000A4100000}"/>
    <cellStyle name="Normal 4 2 3 2 2 2 4 2 3" xfId="3709" xr:uid="{00000000-0005-0000-0000-0000A5100000}"/>
    <cellStyle name="Normal 4 2 3 2 2 2 4 2 3 2" xfId="6937" xr:uid="{00000000-0005-0000-0000-0000A6100000}"/>
    <cellStyle name="Normal 4 2 3 2 2 2 4 2 3 2 2" xfId="13298" xr:uid="{00000000-0005-0000-0000-0000A7100000}"/>
    <cellStyle name="Normal 4 2 3 2 2 2 4 2 3 3" xfId="10119" xr:uid="{00000000-0005-0000-0000-0000A8100000}"/>
    <cellStyle name="Normal 4 2 3 2 2 2 4 2 4" xfId="5353" xr:uid="{00000000-0005-0000-0000-0000A9100000}"/>
    <cellStyle name="Normal 4 2 3 2 2 2 4 2 4 2" xfId="11714" xr:uid="{00000000-0005-0000-0000-0000AA100000}"/>
    <cellStyle name="Normal 4 2 3 2 2 2 4 2 5" xfId="8535" xr:uid="{00000000-0005-0000-0000-0000AB100000}"/>
    <cellStyle name="Normal 4 2 3 2 2 2 4 3" xfId="2521" xr:uid="{00000000-0005-0000-0000-0000AC100000}"/>
    <cellStyle name="Normal 4 2 3 2 2 2 4 3 2" xfId="4105" xr:uid="{00000000-0005-0000-0000-0000AD100000}"/>
    <cellStyle name="Normal 4 2 3 2 2 2 4 3 2 2" xfId="7333" xr:uid="{00000000-0005-0000-0000-0000AE100000}"/>
    <cellStyle name="Normal 4 2 3 2 2 2 4 3 2 2 2" xfId="13694" xr:uid="{00000000-0005-0000-0000-0000AF100000}"/>
    <cellStyle name="Normal 4 2 3 2 2 2 4 3 2 3" xfId="10515" xr:uid="{00000000-0005-0000-0000-0000B0100000}"/>
    <cellStyle name="Normal 4 2 3 2 2 2 4 3 3" xfId="5749" xr:uid="{00000000-0005-0000-0000-0000B1100000}"/>
    <cellStyle name="Normal 4 2 3 2 2 2 4 3 3 2" xfId="12110" xr:uid="{00000000-0005-0000-0000-0000B2100000}"/>
    <cellStyle name="Normal 4 2 3 2 2 2 4 3 4" xfId="8931" xr:uid="{00000000-0005-0000-0000-0000B3100000}"/>
    <cellStyle name="Normal 4 2 3 2 2 2 4 4" xfId="3313" xr:uid="{00000000-0005-0000-0000-0000B4100000}"/>
    <cellStyle name="Normal 4 2 3 2 2 2 4 4 2" xfId="6541" xr:uid="{00000000-0005-0000-0000-0000B5100000}"/>
    <cellStyle name="Normal 4 2 3 2 2 2 4 4 2 2" xfId="12902" xr:uid="{00000000-0005-0000-0000-0000B6100000}"/>
    <cellStyle name="Normal 4 2 3 2 2 2 4 4 3" xfId="9723" xr:uid="{00000000-0005-0000-0000-0000B7100000}"/>
    <cellStyle name="Normal 4 2 3 2 2 2 4 5" xfId="4957" xr:uid="{00000000-0005-0000-0000-0000B8100000}"/>
    <cellStyle name="Normal 4 2 3 2 2 2 4 5 2" xfId="11318" xr:uid="{00000000-0005-0000-0000-0000B9100000}"/>
    <cellStyle name="Normal 4 2 3 2 2 2 4 6" xfId="8139" xr:uid="{00000000-0005-0000-0000-0000BA100000}"/>
    <cellStyle name="Normal 4 2 3 2 2 2 5" xfId="1927" xr:uid="{00000000-0005-0000-0000-0000BB100000}"/>
    <cellStyle name="Normal 4 2 3 2 2 2 5 2" xfId="2719" xr:uid="{00000000-0005-0000-0000-0000BC100000}"/>
    <cellStyle name="Normal 4 2 3 2 2 2 5 2 2" xfId="4303" xr:uid="{00000000-0005-0000-0000-0000BD100000}"/>
    <cellStyle name="Normal 4 2 3 2 2 2 5 2 2 2" xfId="7531" xr:uid="{00000000-0005-0000-0000-0000BE100000}"/>
    <cellStyle name="Normal 4 2 3 2 2 2 5 2 2 2 2" xfId="13892" xr:uid="{00000000-0005-0000-0000-0000BF100000}"/>
    <cellStyle name="Normal 4 2 3 2 2 2 5 2 2 3" xfId="10713" xr:uid="{00000000-0005-0000-0000-0000C0100000}"/>
    <cellStyle name="Normal 4 2 3 2 2 2 5 2 3" xfId="5947" xr:uid="{00000000-0005-0000-0000-0000C1100000}"/>
    <cellStyle name="Normal 4 2 3 2 2 2 5 2 3 2" xfId="12308" xr:uid="{00000000-0005-0000-0000-0000C2100000}"/>
    <cellStyle name="Normal 4 2 3 2 2 2 5 2 4" xfId="9129" xr:uid="{00000000-0005-0000-0000-0000C3100000}"/>
    <cellStyle name="Normal 4 2 3 2 2 2 5 3" xfId="3511" xr:uid="{00000000-0005-0000-0000-0000C4100000}"/>
    <cellStyle name="Normal 4 2 3 2 2 2 5 3 2" xfId="6739" xr:uid="{00000000-0005-0000-0000-0000C5100000}"/>
    <cellStyle name="Normal 4 2 3 2 2 2 5 3 2 2" xfId="13100" xr:uid="{00000000-0005-0000-0000-0000C6100000}"/>
    <cellStyle name="Normal 4 2 3 2 2 2 5 3 3" xfId="9921" xr:uid="{00000000-0005-0000-0000-0000C7100000}"/>
    <cellStyle name="Normal 4 2 3 2 2 2 5 4" xfId="5155" xr:uid="{00000000-0005-0000-0000-0000C8100000}"/>
    <cellStyle name="Normal 4 2 3 2 2 2 5 4 2" xfId="11516" xr:uid="{00000000-0005-0000-0000-0000C9100000}"/>
    <cellStyle name="Normal 4 2 3 2 2 2 5 5" xfId="8337" xr:uid="{00000000-0005-0000-0000-0000CA100000}"/>
    <cellStyle name="Normal 4 2 3 2 2 2 6" xfId="2323" xr:uid="{00000000-0005-0000-0000-0000CB100000}"/>
    <cellStyle name="Normal 4 2 3 2 2 2 6 2" xfId="3907" xr:uid="{00000000-0005-0000-0000-0000CC100000}"/>
    <cellStyle name="Normal 4 2 3 2 2 2 6 2 2" xfId="7135" xr:uid="{00000000-0005-0000-0000-0000CD100000}"/>
    <cellStyle name="Normal 4 2 3 2 2 2 6 2 2 2" xfId="13496" xr:uid="{00000000-0005-0000-0000-0000CE100000}"/>
    <cellStyle name="Normal 4 2 3 2 2 2 6 2 3" xfId="10317" xr:uid="{00000000-0005-0000-0000-0000CF100000}"/>
    <cellStyle name="Normal 4 2 3 2 2 2 6 3" xfId="5551" xr:uid="{00000000-0005-0000-0000-0000D0100000}"/>
    <cellStyle name="Normal 4 2 3 2 2 2 6 3 2" xfId="11912" xr:uid="{00000000-0005-0000-0000-0000D1100000}"/>
    <cellStyle name="Normal 4 2 3 2 2 2 6 4" xfId="8733" xr:uid="{00000000-0005-0000-0000-0000D2100000}"/>
    <cellStyle name="Normal 4 2 3 2 2 2 7" xfId="3115" xr:uid="{00000000-0005-0000-0000-0000D3100000}"/>
    <cellStyle name="Normal 4 2 3 2 2 2 7 2" xfId="6343" xr:uid="{00000000-0005-0000-0000-0000D4100000}"/>
    <cellStyle name="Normal 4 2 3 2 2 2 7 2 2" xfId="12704" xr:uid="{00000000-0005-0000-0000-0000D5100000}"/>
    <cellStyle name="Normal 4 2 3 2 2 2 7 3" xfId="9525" xr:uid="{00000000-0005-0000-0000-0000D6100000}"/>
    <cellStyle name="Normal 4 2 3 2 2 2 8" xfId="4759" xr:uid="{00000000-0005-0000-0000-0000D7100000}"/>
    <cellStyle name="Normal 4 2 3 2 2 2 8 2" xfId="11120" xr:uid="{00000000-0005-0000-0000-0000D8100000}"/>
    <cellStyle name="Normal 4 2 3 2 2 2 9" xfId="7941" xr:uid="{00000000-0005-0000-0000-0000D9100000}"/>
    <cellStyle name="Normal 4 2 3 2 2 3" xfId="1564" xr:uid="{00000000-0005-0000-0000-0000DA100000}"/>
    <cellStyle name="Normal 4 2 3 2 2 3 2" xfId="1762" xr:uid="{00000000-0005-0000-0000-0000DB100000}"/>
    <cellStyle name="Normal 4 2 3 2 2 3 2 2" xfId="2158" xr:uid="{00000000-0005-0000-0000-0000DC100000}"/>
    <cellStyle name="Normal 4 2 3 2 2 3 2 2 2" xfId="2950" xr:uid="{00000000-0005-0000-0000-0000DD100000}"/>
    <cellStyle name="Normal 4 2 3 2 2 3 2 2 2 2" xfId="4534" xr:uid="{00000000-0005-0000-0000-0000DE100000}"/>
    <cellStyle name="Normal 4 2 3 2 2 3 2 2 2 2 2" xfId="7762" xr:uid="{00000000-0005-0000-0000-0000DF100000}"/>
    <cellStyle name="Normal 4 2 3 2 2 3 2 2 2 2 2 2" xfId="14123" xr:uid="{00000000-0005-0000-0000-0000E0100000}"/>
    <cellStyle name="Normal 4 2 3 2 2 3 2 2 2 2 3" xfId="10944" xr:uid="{00000000-0005-0000-0000-0000E1100000}"/>
    <cellStyle name="Normal 4 2 3 2 2 3 2 2 2 3" xfId="6178" xr:uid="{00000000-0005-0000-0000-0000E2100000}"/>
    <cellStyle name="Normal 4 2 3 2 2 3 2 2 2 3 2" xfId="12539" xr:uid="{00000000-0005-0000-0000-0000E3100000}"/>
    <cellStyle name="Normal 4 2 3 2 2 3 2 2 2 4" xfId="9360" xr:uid="{00000000-0005-0000-0000-0000E4100000}"/>
    <cellStyle name="Normal 4 2 3 2 2 3 2 2 3" xfId="3742" xr:uid="{00000000-0005-0000-0000-0000E5100000}"/>
    <cellStyle name="Normal 4 2 3 2 2 3 2 2 3 2" xfId="6970" xr:uid="{00000000-0005-0000-0000-0000E6100000}"/>
    <cellStyle name="Normal 4 2 3 2 2 3 2 2 3 2 2" xfId="13331" xr:uid="{00000000-0005-0000-0000-0000E7100000}"/>
    <cellStyle name="Normal 4 2 3 2 2 3 2 2 3 3" xfId="10152" xr:uid="{00000000-0005-0000-0000-0000E8100000}"/>
    <cellStyle name="Normal 4 2 3 2 2 3 2 2 4" xfId="5386" xr:uid="{00000000-0005-0000-0000-0000E9100000}"/>
    <cellStyle name="Normal 4 2 3 2 2 3 2 2 4 2" xfId="11747" xr:uid="{00000000-0005-0000-0000-0000EA100000}"/>
    <cellStyle name="Normal 4 2 3 2 2 3 2 2 5" xfId="8568" xr:uid="{00000000-0005-0000-0000-0000EB100000}"/>
    <cellStyle name="Normal 4 2 3 2 2 3 2 3" xfId="2554" xr:uid="{00000000-0005-0000-0000-0000EC100000}"/>
    <cellStyle name="Normal 4 2 3 2 2 3 2 3 2" xfId="4138" xr:uid="{00000000-0005-0000-0000-0000ED100000}"/>
    <cellStyle name="Normal 4 2 3 2 2 3 2 3 2 2" xfId="7366" xr:uid="{00000000-0005-0000-0000-0000EE100000}"/>
    <cellStyle name="Normal 4 2 3 2 2 3 2 3 2 2 2" xfId="13727" xr:uid="{00000000-0005-0000-0000-0000EF100000}"/>
    <cellStyle name="Normal 4 2 3 2 2 3 2 3 2 3" xfId="10548" xr:uid="{00000000-0005-0000-0000-0000F0100000}"/>
    <cellStyle name="Normal 4 2 3 2 2 3 2 3 3" xfId="5782" xr:uid="{00000000-0005-0000-0000-0000F1100000}"/>
    <cellStyle name="Normal 4 2 3 2 2 3 2 3 3 2" xfId="12143" xr:uid="{00000000-0005-0000-0000-0000F2100000}"/>
    <cellStyle name="Normal 4 2 3 2 2 3 2 3 4" xfId="8964" xr:uid="{00000000-0005-0000-0000-0000F3100000}"/>
    <cellStyle name="Normal 4 2 3 2 2 3 2 4" xfId="3346" xr:uid="{00000000-0005-0000-0000-0000F4100000}"/>
    <cellStyle name="Normal 4 2 3 2 2 3 2 4 2" xfId="6574" xr:uid="{00000000-0005-0000-0000-0000F5100000}"/>
    <cellStyle name="Normal 4 2 3 2 2 3 2 4 2 2" xfId="12935" xr:uid="{00000000-0005-0000-0000-0000F6100000}"/>
    <cellStyle name="Normal 4 2 3 2 2 3 2 4 3" xfId="9756" xr:uid="{00000000-0005-0000-0000-0000F7100000}"/>
    <cellStyle name="Normal 4 2 3 2 2 3 2 5" xfId="4990" xr:uid="{00000000-0005-0000-0000-0000F8100000}"/>
    <cellStyle name="Normal 4 2 3 2 2 3 2 5 2" xfId="11351" xr:uid="{00000000-0005-0000-0000-0000F9100000}"/>
    <cellStyle name="Normal 4 2 3 2 2 3 2 6" xfId="8172" xr:uid="{00000000-0005-0000-0000-0000FA100000}"/>
    <cellStyle name="Normal 4 2 3 2 2 3 3" xfId="1960" xr:uid="{00000000-0005-0000-0000-0000FB100000}"/>
    <cellStyle name="Normal 4 2 3 2 2 3 3 2" xfId="2752" xr:uid="{00000000-0005-0000-0000-0000FC100000}"/>
    <cellStyle name="Normal 4 2 3 2 2 3 3 2 2" xfId="4336" xr:uid="{00000000-0005-0000-0000-0000FD100000}"/>
    <cellStyle name="Normal 4 2 3 2 2 3 3 2 2 2" xfId="7564" xr:uid="{00000000-0005-0000-0000-0000FE100000}"/>
    <cellStyle name="Normal 4 2 3 2 2 3 3 2 2 2 2" xfId="13925" xr:uid="{00000000-0005-0000-0000-0000FF100000}"/>
    <cellStyle name="Normal 4 2 3 2 2 3 3 2 2 3" xfId="10746" xr:uid="{00000000-0005-0000-0000-000000110000}"/>
    <cellStyle name="Normal 4 2 3 2 2 3 3 2 3" xfId="5980" xr:uid="{00000000-0005-0000-0000-000001110000}"/>
    <cellStyle name="Normal 4 2 3 2 2 3 3 2 3 2" xfId="12341" xr:uid="{00000000-0005-0000-0000-000002110000}"/>
    <cellStyle name="Normal 4 2 3 2 2 3 3 2 4" xfId="9162" xr:uid="{00000000-0005-0000-0000-000003110000}"/>
    <cellStyle name="Normal 4 2 3 2 2 3 3 3" xfId="3544" xr:uid="{00000000-0005-0000-0000-000004110000}"/>
    <cellStyle name="Normal 4 2 3 2 2 3 3 3 2" xfId="6772" xr:uid="{00000000-0005-0000-0000-000005110000}"/>
    <cellStyle name="Normal 4 2 3 2 2 3 3 3 2 2" xfId="13133" xr:uid="{00000000-0005-0000-0000-000006110000}"/>
    <cellStyle name="Normal 4 2 3 2 2 3 3 3 3" xfId="9954" xr:uid="{00000000-0005-0000-0000-000007110000}"/>
    <cellStyle name="Normal 4 2 3 2 2 3 3 4" xfId="5188" xr:uid="{00000000-0005-0000-0000-000008110000}"/>
    <cellStyle name="Normal 4 2 3 2 2 3 3 4 2" xfId="11549" xr:uid="{00000000-0005-0000-0000-000009110000}"/>
    <cellStyle name="Normal 4 2 3 2 2 3 3 5" xfId="8370" xr:uid="{00000000-0005-0000-0000-00000A110000}"/>
    <cellStyle name="Normal 4 2 3 2 2 3 4" xfId="2356" xr:uid="{00000000-0005-0000-0000-00000B110000}"/>
    <cellStyle name="Normal 4 2 3 2 2 3 4 2" xfId="3940" xr:uid="{00000000-0005-0000-0000-00000C110000}"/>
    <cellStyle name="Normal 4 2 3 2 2 3 4 2 2" xfId="7168" xr:uid="{00000000-0005-0000-0000-00000D110000}"/>
    <cellStyle name="Normal 4 2 3 2 2 3 4 2 2 2" xfId="13529" xr:uid="{00000000-0005-0000-0000-00000E110000}"/>
    <cellStyle name="Normal 4 2 3 2 2 3 4 2 3" xfId="10350" xr:uid="{00000000-0005-0000-0000-00000F110000}"/>
    <cellStyle name="Normal 4 2 3 2 2 3 4 3" xfId="5584" xr:uid="{00000000-0005-0000-0000-000010110000}"/>
    <cellStyle name="Normal 4 2 3 2 2 3 4 3 2" xfId="11945" xr:uid="{00000000-0005-0000-0000-000011110000}"/>
    <cellStyle name="Normal 4 2 3 2 2 3 4 4" xfId="8766" xr:uid="{00000000-0005-0000-0000-000012110000}"/>
    <cellStyle name="Normal 4 2 3 2 2 3 5" xfId="3148" xr:uid="{00000000-0005-0000-0000-000013110000}"/>
    <cellStyle name="Normal 4 2 3 2 2 3 5 2" xfId="6376" xr:uid="{00000000-0005-0000-0000-000014110000}"/>
    <cellStyle name="Normal 4 2 3 2 2 3 5 2 2" xfId="12737" xr:uid="{00000000-0005-0000-0000-000015110000}"/>
    <cellStyle name="Normal 4 2 3 2 2 3 5 3" xfId="9558" xr:uid="{00000000-0005-0000-0000-000016110000}"/>
    <cellStyle name="Normal 4 2 3 2 2 3 6" xfId="4792" xr:uid="{00000000-0005-0000-0000-000017110000}"/>
    <cellStyle name="Normal 4 2 3 2 2 3 6 2" xfId="11153" xr:uid="{00000000-0005-0000-0000-000018110000}"/>
    <cellStyle name="Normal 4 2 3 2 2 3 7" xfId="7974" xr:uid="{00000000-0005-0000-0000-000019110000}"/>
    <cellStyle name="Normal 4 2 3 2 2 4" xfId="1632" xr:uid="{00000000-0005-0000-0000-00001A110000}"/>
    <cellStyle name="Normal 4 2 3 2 2 4 2" xfId="1830" xr:uid="{00000000-0005-0000-0000-00001B110000}"/>
    <cellStyle name="Normal 4 2 3 2 2 4 2 2" xfId="2226" xr:uid="{00000000-0005-0000-0000-00001C110000}"/>
    <cellStyle name="Normal 4 2 3 2 2 4 2 2 2" xfId="3018" xr:uid="{00000000-0005-0000-0000-00001D110000}"/>
    <cellStyle name="Normal 4 2 3 2 2 4 2 2 2 2" xfId="4602" xr:uid="{00000000-0005-0000-0000-00001E110000}"/>
    <cellStyle name="Normal 4 2 3 2 2 4 2 2 2 2 2" xfId="7830" xr:uid="{00000000-0005-0000-0000-00001F110000}"/>
    <cellStyle name="Normal 4 2 3 2 2 4 2 2 2 2 2 2" xfId="14191" xr:uid="{00000000-0005-0000-0000-000020110000}"/>
    <cellStyle name="Normal 4 2 3 2 2 4 2 2 2 2 3" xfId="11012" xr:uid="{00000000-0005-0000-0000-000021110000}"/>
    <cellStyle name="Normal 4 2 3 2 2 4 2 2 2 3" xfId="6246" xr:uid="{00000000-0005-0000-0000-000022110000}"/>
    <cellStyle name="Normal 4 2 3 2 2 4 2 2 2 3 2" xfId="12607" xr:uid="{00000000-0005-0000-0000-000023110000}"/>
    <cellStyle name="Normal 4 2 3 2 2 4 2 2 2 4" xfId="9428" xr:uid="{00000000-0005-0000-0000-000024110000}"/>
    <cellStyle name="Normal 4 2 3 2 2 4 2 2 3" xfId="3810" xr:uid="{00000000-0005-0000-0000-000025110000}"/>
    <cellStyle name="Normal 4 2 3 2 2 4 2 2 3 2" xfId="7038" xr:uid="{00000000-0005-0000-0000-000026110000}"/>
    <cellStyle name="Normal 4 2 3 2 2 4 2 2 3 2 2" xfId="13399" xr:uid="{00000000-0005-0000-0000-000027110000}"/>
    <cellStyle name="Normal 4 2 3 2 2 4 2 2 3 3" xfId="10220" xr:uid="{00000000-0005-0000-0000-000028110000}"/>
    <cellStyle name="Normal 4 2 3 2 2 4 2 2 4" xfId="5454" xr:uid="{00000000-0005-0000-0000-000029110000}"/>
    <cellStyle name="Normal 4 2 3 2 2 4 2 2 4 2" xfId="11815" xr:uid="{00000000-0005-0000-0000-00002A110000}"/>
    <cellStyle name="Normal 4 2 3 2 2 4 2 2 5" xfId="8636" xr:uid="{00000000-0005-0000-0000-00002B110000}"/>
    <cellStyle name="Normal 4 2 3 2 2 4 2 3" xfId="2622" xr:uid="{00000000-0005-0000-0000-00002C110000}"/>
    <cellStyle name="Normal 4 2 3 2 2 4 2 3 2" xfId="4206" xr:uid="{00000000-0005-0000-0000-00002D110000}"/>
    <cellStyle name="Normal 4 2 3 2 2 4 2 3 2 2" xfId="7434" xr:uid="{00000000-0005-0000-0000-00002E110000}"/>
    <cellStyle name="Normal 4 2 3 2 2 4 2 3 2 2 2" xfId="13795" xr:uid="{00000000-0005-0000-0000-00002F110000}"/>
    <cellStyle name="Normal 4 2 3 2 2 4 2 3 2 3" xfId="10616" xr:uid="{00000000-0005-0000-0000-000030110000}"/>
    <cellStyle name="Normal 4 2 3 2 2 4 2 3 3" xfId="5850" xr:uid="{00000000-0005-0000-0000-000031110000}"/>
    <cellStyle name="Normal 4 2 3 2 2 4 2 3 3 2" xfId="12211" xr:uid="{00000000-0005-0000-0000-000032110000}"/>
    <cellStyle name="Normal 4 2 3 2 2 4 2 3 4" xfId="9032" xr:uid="{00000000-0005-0000-0000-000033110000}"/>
    <cellStyle name="Normal 4 2 3 2 2 4 2 4" xfId="3414" xr:uid="{00000000-0005-0000-0000-000034110000}"/>
    <cellStyle name="Normal 4 2 3 2 2 4 2 4 2" xfId="6642" xr:uid="{00000000-0005-0000-0000-000035110000}"/>
    <cellStyle name="Normal 4 2 3 2 2 4 2 4 2 2" xfId="13003" xr:uid="{00000000-0005-0000-0000-000036110000}"/>
    <cellStyle name="Normal 4 2 3 2 2 4 2 4 3" xfId="9824" xr:uid="{00000000-0005-0000-0000-000037110000}"/>
    <cellStyle name="Normal 4 2 3 2 2 4 2 5" xfId="5058" xr:uid="{00000000-0005-0000-0000-000038110000}"/>
    <cellStyle name="Normal 4 2 3 2 2 4 2 5 2" xfId="11419" xr:uid="{00000000-0005-0000-0000-000039110000}"/>
    <cellStyle name="Normal 4 2 3 2 2 4 2 6" xfId="8240" xr:uid="{00000000-0005-0000-0000-00003A110000}"/>
    <cellStyle name="Normal 4 2 3 2 2 4 3" xfId="2028" xr:uid="{00000000-0005-0000-0000-00003B110000}"/>
    <cellStyle name="Normal 4 2 3 2 2 4 3 2" xfId="2820" xr:uid="{00000000-0005-0000-0000-00003C110000}"/>
    <cellStyle name="Normal 4 2 3 2 2 4 3 2 2" xfId="4404" xr:uid="{00000000-0005-0000-0000-00003D110000}"/>
    <cellStyle name="Normal 4 2 3 2 2 4 3 2 2 2" xfId="7632" xr:uid="{00000000-0005-0000-0000-00003E110000}"/>
    <cellStyle name="Normal 4 2 3 2 2 4 3 2 2 2 2" xfId="13993" xr:uid="{00000000-0005-0000-0000-00003F110000}"/>
    <cellStyle name="Normal 4 2 3 2 2 4 3 2 2 3" xfId="10814" xr:uid="{00000000-0005-0000-0000-000040110000}"/>
    <cellStyle name="Normal 4 2 3 2 2 4 3 2 3" xfId="6048" xr:uid="{00000000-0005-0000-0000-000041110000}"/>
    <cellStyle name="Normal 4 2 3 2 2 4 3 2 3 2" xfId="12409" xr:uid="{00000000-0005-0000-0000-000042110000}"/>
    <cellStyle name="Normal 4 2 3 2 2 4 3 2 4" xfId="9230" xr:uid="{00000000-0005-0000-0000-000043110000}"/>
    <cellStyle name="Normal 4 2 3 2 2 4 3 3" xfId="3612" xr:uid="{00000000-0005-0000-0000-000044110000}"/>
    <cellStyle name="Normal 4 2 3 2 2 4 3 3 2" xfId="6840" xr:uid="{00000000-0005-0000-0000-000045110000}"/>
    <cellStyle name="Normal 4 2 3 2 2 4 3 3 2 2" xfId="13201" xr:uid="{00000000-0005-0000-0000-000046110000}"/>
    <cellStyle name="Normal 4 2 3 2 2 4 3 3 3" xfId="10022" xr:uid="{00000000-0005-0000-0000-000047110000}"/>
    <cellStyle name="Normal 4 2 3 2 2 4 3 4" xfId="5256" xr:uid="{00000000-0005-0000-0000-000048110000}"/>
    <cellStyle name="Normal 4 2 3 2 2 4 3 4 2" xfId="11617" xr:uid="{00000000-0005-0000-0000-000049110000}"/>
    <cellStyle name="Normal 4 2 3 2 2 4 3 5" xfId="8438" xr:uid="{00000000-0005-0000-0000-00004A110000}"/>
    <cellStyle name="Normal 4 2 3 2 2 4 4" xfId="2424" xr:uid="{00000000-0005-0000-0000-00004B110000}"/>
    <cellStyle name="Normal 4 2 3 2 2 4 4 2" xfId="4008" xr:uid="{00000000-0005-0000-0000-00004C110000}"/>
    <cellStyle name="Normal 4 2 3 2 2 4 4 2 2" xfId="7236" xr:uid="{00000000-0005-0000-0000-00004D110000}"/>
    <cellStyle name="Normal 4 2 3 2 2 4 4 2 2 2" xfId="13597" xr:uid="{00000000-0005-0000-0000-00004E110000}"/>
    <cellStyle name="Normal 4 2 3 2 2 4 4 2 3" xfId="10418" xr:uid="{00000000-0005-0000-0000-00004F110000}"/>
    <cellStyle name="Normal 4 2 3 2 2 4 4 3" xfId="5652" xr:uid="{00000000-0005-0000-0000-000050110000}"/>
    <cellStyle name="Normal 4 2 3 2 2 4 4 3 2" xfId="12013" xr:uid="{00000000-0005-0000-0000-000051110000}"/>
    <cellStyle name="Normal 4 2 3 2 2 4 4 4" xfId="8834" xr:uid="{00000000-0005-0000-0000-000052110000}"/>
    <cellStyle name="Normal 4 2 3 2 2 4 5" xfId="3216" xr:uid="{00000000-0005-0000-0000-000053110000}"/>
    <cellStyle name="Normal 4 2 3 2 2 4 5 2" xfId="6444" xr:uid="{00000000-0005-0000-0000-000054110000}"/>
    <cellStyle name="Normal 4 2 3 2 2 4 5 2 2" xfId="12805" xr:uid="{00000000-0005-0000-0000-000055110000}"/>
    <cellStyle name="Normal 4 2 3 2 2 4 5 3" xfId="9626" xr:uid="{00000000-0005-0000-0000-000056110000}"/>
    <cellStyle name="Normal 4 2 3 2 2 4 6" xfId="4860" xr:uid="{00000000-0005-0000-0000-000057110000}"/>
    <cellStyle name="Normal 4 2 3 2 2 4 6 2" xfId="11221" xr:uid="{00000000-0005-0000-0000-000058110000}"/>
    <cellStyle name="Normal 4 2 3 2 2 4 7" xfId="8042" xr:uid="{00000000-0005-0000-0000-000059110000}"/>
    <cellStyle name="Normal 4 2 3 2 2 5" xfId="1697" xr:uid="{00000000-0005-0000-0000-00005A110000}"/>
    <cellStyle name="Normal 4 2 3 2 2 5 2" xfId="2093" xr:uid="{00000000-0005-0000-0000-00005B110000}"/>
    <cellStyle name="Normal 4 2 3 2 2 5 2 2" xfId="2885" xr:uid="{00000000-0005-0000-0000-00005C110000}"/>
    <cellStyle name="Normal 4 2 3 2 2 5 2 2 2" xfId="4469" xr:uid="{00000000-0005-0000-0000-00005D110000}"/>
    <cellStyle name="Normal 4 2 3 2 2 5 2 2 2 2" xfId="7697" xr:uid="{00000000-0005-0000-0000-00005E110000}"/>
    <cellStyle name="Normal 4 2 3 2 2 5 2 2 2 2 2" xfId="14058" xr:uid="{00000000-0005-0000-0000-00005F110000}"/>
    <cellStyle name="Normal 4 2 3 2 2 5 2 2 2 3" xfId="10879" xr:uid="{00000000-0005-0000-0000-000060110000}"/>
    <cellStyle name="Normal 4 2 3 2 2 5 2 2 3" xfId="6113" xr:uid="{00000000-0005-0000-0000-000061110000}"/>
    <cellStyle name="Normal 4 2 3 2 2 5 2 2 3 2" xfId="12474" xr:uid="{00000000-0005-0000-0000-000062110000}"/>
    <cellStyle name="Normal 4 2 3 2 2 5 2 2 4" xfId="9295" xr:uid="{00000000-0005-0000-0000-000063110000}"/>
    <cellStyle name="Normal 4 2 3 2 2 5 2 3" xfId="3677" xr:uid="{00000000-0005-0000-0000-000064110000}"/>
    <cellStyle name="Normal 4 2 3 2 2 5 2 3 2" xfId="6905" xr:uid="{00000000-0005-0000-0000-000065110000}"/>
    <cellStyle name="Normal 4 2 3 2 2 5 2 3 2 2" xfId="13266" xr:uid="{00000000-0005-0000-0000-000066110000}"/>
    <cellStyle name="Normal 4 2 3 2 2 5 2 3 3" xfId="10087" xr:uid="{00000000-0005-0000-0000-000067110000}"/>
    <cellStyle name="Normal 4 2 3 2 2 5 2 4" xfId="5321" xr:uid="{00000000-0005-0000-0000-000068110000}"/>
    <cellStyle name="Normal 4 2 3 2 2 5 2 4 2" xfId="11682" xr:uid="{00000000-0005-0000-0000-000069110000}"/>
    <cellStyle name="Normal 4 2 3 2 2 5 2 5" xfId="8503" xr:uid="{00000000-0005-0000-0000-00006A110000}"/>
    <cellStyle name="Normal 4 2 3 2 2 5 3" xfId="2489" xr:uid="{00000000-0005-0000-0000-00006B110000}"/>
    <cellStyle name="Normal 4 2 3 2 2 5 3 2" xfId="4073" xr:uid="{00000000-0005-0000-0000-00006C110000}"/>
    <cellStyle name="Normal 4 2 3 2 2 5 3 2 2" xfId="7301" xr:uid="{00000000-0005-0000-0000-00006D110000}"/>
    <cellStyle name="Normal 4 2 3 2 2 5 3 2 2 2" xfId="13662" xr:uid="{00000000-0005-0000-0000-00006E110000}"/>
    <cellStyle name="Normal 4 2 3 2 2 5 3 2 3" xfId="10483" xr:uid="{00000000-0005-0000-0000-00006F110000}"/>
    <cellStyle name="Normal 4 2 3 2 2 5 3 3" xfId="5717" xr:uid="{00000000-0005-0000-0000-000070110000}"/>
    <cellStyle name="Normal 4 2 3 2 2 5 3 3 2" xfId="12078" xr:uid="{00000000-0005-0000-0000-000071110000}"/>
    <cellStyle name="Normal 4 2 3 2 2 5 3 4" xfId="8899" xr:uid="{00000000-0005-0000-0000-000072110000}"/>
    <cellStyle name="Normal 4 2 3 2 2 5 4" xfId="3281" xr:uid="{00000000-0005-0000-0000-000073110000}"/>
    <cellStyle name="Normal 4 2 3 2 2 5 4 2" xfId="6509" xr:uid="{00000000-0005-0000-0000-000074110000}"/>
    <cellStyle name="Normal 4 2 3 2 2 5 4 2 2" xfId="12870" xr:uid="{00000000-0005-0000-0000-000075110000}"/>
    <cellStyle name="Normal 4 2 3 2 2 5 4 3" xfId="9691" xr:uid="{00000000-0005-0000-0000-000076110000}"/>
    <cellStyle name="Normal 4 2 3 2 2 5 5" xfId="4925" xr:uid="{00000000-0005-0000-0000-000077110000}"/>
    <cellStyle name="Normal 4 2 3 2 2 5 5 2" xfId="11286" xr:uid="{00000000-0005-0000-0000-000078110000}"/>
    <cellStyle name="Normal 4 2 3 2 2 5 6" xfId="8107" xr:uid="{00000000-0005-0000-0000-000079110000}"/>
    <cellStyle name="Normal 4 2 3 2 2 6" xfId="1895" xr:uid="{00000000-0005-0000-0000-00007A110000}"/>
    <cellStyle name="Normal 4 2 3 2 2 6 2" xfId="2687" xr:uid="{00000000-0005-0000-0000-00007B110000}"/>
    <cellStyle name="Normal 4 2 3 2 2 6 2 2" xfId="4271" xr:uid="{00000000-0005-0000-0000-00007C110000}"/>
    <cellStyle name="Normal 4 2 3 2 2 6 2 2 2" xfId="7499" xr:uid="{00000000-0005-0000-0000-00007D110000}"/>
    <cellStyle name="Normal 4 2 3 2 2 6 2 2 2 2" xfId="13860" xr:uid="{00000000-0005-0000-0000-00007E110000}"/>
    <cellStyle name="Normal 4 2 3 2 2 6 2 2 3" xfId="10681" xr:uid="{00000000-0005-0000-0000-00007F110000}"/>
    <cellStyle name="Normal 4 2 3 2 2 6 2 3" xfId="5915" xr:uid="{00000000-0005-0000-0000-000080110000}"/>
    <cellStyle name="Normal 4 2 3 2 2 6 2 3 2" xfId="12276" xr:uid="{00000000-0005-0000-0000-000081110000}"/>
    <cellStyle name="Normal 4 2 3 2 2 6 2 4" xfId="9097" xr:uid="{00000000-0005-0000-0000-000082110000}"/>
    <cellStyle name="Normal 4 2 3 2 2 6 3" xfId="3479" xr:uid="{00000000-0005-0000-0000-000083110000}"/>
    <cellStyle name="Normal 4 2 3 2 2 6 3 2" xfId="6707" xr:uid="{00000000-0005-0000-0000-000084110000}"/>
    <cellStyle name="Normal 4 2 3 2 2 6 3 2 2" xfId="13068" xr:uid="{00000000-0005-0000-0000-000085110000}"/>
    <cellStyle name="Normal 4 2 3 2 2 6 3 3" xfId="9889" xr:uid="{00000000-0005-0000-0000-000086110000}"/>
    <cellStyle name="Normal 4 2 3 2 2 6 4" xfId="5123" xr:uid="{00000000-0005-0000-0000-000087110000}"/>
    <cellStyle name="Normal 4 2 3 2 2 6 4 2" xfId="11484" xr:uid="{00000000-0005-0000-0000-000088110000}"/>
    <cellStyle name="Normal 4 2 3 2 2 6 5" xfId="8305" xr:uid="{00000000-0005-0000-0000-000089110000}"/>
    <cellStyle name="Normal 4 2 3 2 2 7" xfId="2291" xr:uid="{00000000-0005-0000-0000-00008A110000}"/>
    <cellStyle name="Normal 4 2 3 2 2 7 2" xfId="3875" xr:uid="{00000000-0005-0000-0000-00008B110000}"/>
    <cellStyle name="Normal 4 2 3 2 2 7 2 2" xfId="7103" xr:uid="{00000000-0005-0000-0000-00008C110000}"/>
    <cellStyle name="Normal 4 2 3 2 2 7 2 2 2" xfId="13464" xr:uid="{00000000-0005-0000-0000-00008D110000}"/>
    <cellStyle name="Normal 4 2 3 2 2 7 2 3" xfId="10285" xr:uid="{00000000-0005-0000-0000-00008E110000}"/>
    <cellStyle name="Normal 4 2 3 2 2 7 3" xfId="5519" xr:uid="{00000000-0005-0000-0000-00008F110000}"/>
    <cellStyle name="Normal 4 2 3 2 2 7 3 2" xfId="11880" xr:uid="{00000000-0005-0000-0000-000090110000}"/>
    <cellStyle name="Normal 4 2 3 2 2 7 4" xfId="8701" xr:uid="{00000000-0005-0000-0000-000091110000}"/>
    <cellStyle name="Normal 4 2 3 2 2 8" xfId="3083" xr:uid="{00000000-0005-0000-0000-000092110000}"/>
    <cellStyle name="Normal 4 2 3 2 2 8 2" xfId="6311" xr:uid="{00000000-0005-0000-0000-000093110000}"/>
    <cellStyle name="Normal 4 2 3 2 2 8 2 2" xfId="12672" xr:uid="{00000000-0005-0000-0000-000094110000}"/>
    <cellStyle name="Normal 4 2 3 2 2 8 3" xfId="9493" xr:uid="{00000000-0005-0000-0000-000095110000}"/>
    <cellStyle name="Normal 4 2 3 2 2 9" xfId="4727" xr:uid="{00000000-0005-0000-0000-000096110000}"/>
    <cellStyle name="Normal 4 2 3 2 2 9 2" xfId="11088" xr:uid="{00000000-0005-0000-0000-000097110000}"/>
    <cellStyle name="Normal 4 2 3 2 3" xfId="1468" xr:uid="{00000000-0005-0000-0000-000098110000}"/>
    <cellStyle name="Normal 4 2 3 2 3 2" xfId="1580" xr:uid="{00000000-0005-0000-0000-000099110000}"/>
    <cellStyle name="Normal 4 2 3 2 3 2 2" xfId="1778" xr:uid="{00000000-0005-0000-0000-00009A110000}"/>
    <cellStyle name="Normal 4 2 3 2 3 2 2 2" xfId="2174" xr:uid="{00000000-0005-0000-0000-00009B110000}"/>
    <cellStyle name="Normal 4 2 3 2 3 2 2 2 2" xfId="2966" xr:uid="{00000000-0005-0000-0000-00009C110000}"/>
    <cellStyle name="Normal 4 2 3 2 3 2 2 2 2 2" xfId="4550" xr:uid="{00000000-0005-0000-0000-00009D110000}"/>
    <cellStyle name="Normal 4 2 3 2 3 2 2 2 2 2 2" xfId="7778" xr:uid="{00000000-0005-0000-0000-00009E110000}"/>
    <cellStyle name="Normal 4 2 3 2 3 2 2 2 2 2 2 2" xfId="14139" xr:uid="{00000000-0005-0000-0000-00009F110000}"/>
    <cellStyle name="Normal 4 2 3 2 3 2 2 2 2 2 3" xfId="10960" xr:uid="{00000000-0005-0000-0000-0000A0110000}"/>
    <cellStyle name="Normal 4 2 3 2 3 2 2 2 2 3" xfId="6194" xr:uid="{00000000-0005-0000-0000-0000A1110000}"/>
    <cellStyle name="Normal 4 2 3 2 3 2 2 2 2 3 2" xfId="12555" xr:uid="{00000000-0005-0000-0000-0000A2110000}"/>
    <cellStyle name="Normal 4 2 3 2 3 2 2 2 2 4" xfId="9376" xr:uid="{00000000-0005-0000-0000-0000A3110000}"/>
    <cellStyle name="Normal 4 2 3 2 3 2 2 2 3" xfId="3758" xr:uid="{00000000-0005-0000-0000-0000A4110000}"/>
    <cellStyle name="Normal 4 2 3 2 3 2 2 2 3 2" xfId="6986" xr:uid="{00000000-0005-0000-0000-0000A5110000}"/>
    <cellStyle name="Normal 4 2 3 2 3 2 2 2 3 2 2" xfId="13347" xr:uid="{00000000-0005-0000-0000-0000A6110000}"/>
    <cellStyle name="Normal 4 2 3 2 3 2 2 2 3 3" xfId="10168" xr:uid="{00000000-0005-0000-0000-0000A7110000}"/>
    <cellStyle name="Normal 4 2 3 2 3 2 2 2 4" xfId="5402" xr:uid="{00000000-0005-0000-0000-0000A8110000}"/>
    <cellStyle name="Normal 4 2 3 2 3 2 2 2 4 2" xfId="11763" xr:uid="{00000000-0005-0000-0000-0000A9110000}"/>
    <cellStyle name="Normal 4 2 3 2 3 2 2 2 5" xfId="8584" xr:uid="{00000000-0005-0000-0000-0000AA110000}"/>
    <cellStyle name="Normal 4 2 3 2 3 2 2 3" xfId="2570" xr:uid="{00000000-0005-0000-0000-0000AB110000}"/>
    <cellStyle name="Normal 4 2 3 2 3 2 2 3 2" xfId="4154" xr:uid="{00000000-0005-0000-0000-0000AC110000}"/>
    <cellStyle name="Normal 4 2 3 2 3 2 2 3 2 2" xfId="7382" xr:uid="{00000000-0005-0000-0000-0000AD110000}"/>
    <cellStyle name="Normal 4 2 3 2 3 2 2 3 2 2 2" xfId="13743" xr:uid="{00000000-0005-0000-0000-0000AE110000}"/>
    <cellStyle name="Normal 4 2 3 2 3 2 2 3 2 3" xfId="10564" xr:uid="{00000000-0005-0000-0000-0000AF110000}"/>
    <cellStyle name="Normal 4 2 3 2 3 2 2 3 3" xfId="5798" xr:uid="{00000000-0005-0000-0000-0000B0110000}"/>
    <cellStyle name="Normal 4 2 3 2 3 2 2 3 3 2" xfId="12159" xr:uid="{00000000-0005-0000-0000-0000B1110000}"/>
    <cellStyle name="Normal 4 2 3 2 3 2 2 3 4" xfId="8980" xr:uid="{00000000-0005-0000-0000-0000B2110000}"/>
    <cellStyle name="Normal 4 2 3 2 3 2 2 4" xfId="3362" xr:uid="{00000000-0005-0000-0000-0000B3110000}"/>
    <cellStyle name="Normal 4 2 3 2 3 2 2 4 2" xfId="6590" xr:uid="{00000000-0005-0000-0000-0000B4110000}"/>
    <cellStyle name="Normal 4 2 3 2 3 2 2 4 2 2" xfId="12951" xr:uid="{00000000-0005-0000-0000-0000B5110000}"/>
    <cellStyle name="Normal 4 2 3 2 3 2 2 4 3" xfId="9772" xr:uid="{00000000-0005-0000-0000-0000B6110000}"/>
    <cellStyle name="Normal 4 2 3 2 3 2 2 5" xfId="5006" xr:uid="{00000000-0005-0000-0000-0000B7110000}"/>
    <cellStyle name="Normal 4 2 3 2 3 2 2 5 2" xfId="11367" xr:uid="{00000000-0005-0000-0000-0000B8110000}"/>
    <cellStyle name="Normal 4 2 3 2 3 2 2 6" xfId="8188" xr:uid="{00000000-0005-0000-0000-0000B9110000}"/>
    <cellStyle name="Normal 4 2 3 2 3 2 3" xfId="1976" xr:uid="{00000000-0005-0000-0000-0000BA110000}"/>
    <cellStyle name="Normal 4 2 3 2 3 2 3 2" xfId="2768" xr:uid="{00000000-0005-0000-0000-0000BB110000}"/>
    <cellStyle name="Normal 4 2 3 2 3 2 3 2 2" xfId="4352" xr:uid="{00000000-0005-0000-0000-0000BC110000}"/>
    <cellStyle name="Normal 4 2 3 2 3 2 3 2 2 2" xfId="7580" xr:uid="{00000000-0005-0000-0000-0000BD110000}"/>
    <cellStyle name="Normal 4 2 3 2 3 2 3 2 2 2 2" xfId="13941" xr:uid="{00000000-0005-0000-0000-0000BE110000}"/>
    <cellStyle name="Normal 4 2 3 2 3 2 3 2 2 3" xfId="10762" xr:uid="{00000000-0005-0000-0000-0000BF110000}"/>
    <cellStyle name="Normal 4 2 3 2 3 2 3 2 3" xfId="5996" xr:uid="{00000000-0005-0000-0000-0000C0110000}"/>
    <cellStyle name="Normal 4 2 3 2 3 2 3 2 3 2" xfId="12357" xr:uid="{00000000-0005-0000-0000-0000C1110000}"/>
    <cellStyle name="Normal 4 2 3 2 3 2 3 2 4" xfId="9178" xr:uid="{00000000-0005-0000-0000-0000C2110000}"/>
    <cellStyle name="Normal 4 2 3 2 3 2 3 3" xfId="3560" xr:uid="{00000000-0005-0000-0000-0000C3110000}"/>
    <cellStyle name="Normal 4 2 3 2 3 2 3 3 2" xfId="6788" xr:uid="{00000000-0005-0000-0000-0000C4110000}"/>
    <cellStyle name="Normal 4 2 3 2 3 2 3 3 2 2" xfId="13149" xr:uid="{00000000-0005-0000-0000-0000C5110000}"/>
    <cellStyle name="Normal 4 2 3 2 3 2 3 3 3" xfId="9970" xr:uid="{00000000-0005-0000-0000-0000C6110000}"/>
    <cellStyle name="Normal 4 2 3 2 3 2 3 4" xfId="5204" xr:uid="{00000000-0005-0000-0000-0000C7110000}"/>
    <cellStyle name="Normal 4 2 3 2 3 2 3 4 2" xfId="11565" xr:uid="{00000000-0005-0000-0000-0000C8110000}"/>
    <cellStyle name="Normal 4 2 3 2 3 2 3 5" xfId="8386" xr:uid="{00000000-0005-0000-0000-0000C9110000}"/>
    <cellStyle name="Normal 4 2 3 2 3 2 4" xfId="2372" xr:uid="{00000000-0005-0000-0000-0000CA110000}"/>
    <cellStyle name="Normal 4 2 3 2 3 2 4 2" xfId="3956" xr:uid="{00000000-0005-0000-0000-0000CB110000}"/>
    <cellStyle name="Normal 4 2 3 2 3 2 4 2 2" xfId="7184" xr:uid="{00000000-0005-0000-0000-0000CC110000}"/>
    <cellStyle name="Normal 4 2 3 2 3 2 4 2 2 2" xfId="13545" xr:uid="{00000000-0005-0000-0000-0000CD110000}"/>
    <cellStyle name="Normal 4 2 3 2 3 2 4 2 3" xfId="10366" xr:uid="{00000000-0005-0000-0000-0000CE110000}"/>
    <cellStyle name="Normal 4 2 3 2 3 2 4 3" xfId="5600" xr:uid="{00000000-0005-0000-0000-0000CF110000}"/>
    <cellStyle name="Normal 4 2 3 2 3 2 4 3 2" xfId="11961" xr:uid="{00000000-0005-0000-0000-0000D0110000}"/>
    <cellStyle name="Normal 4 2 3 2 3 2 4 4" xfId="8782" xr:uid="{00000000-0005-0000-0000-0000D1110000}"/>
    <cellStyle name="Normal 4 2 3 2 3 2 5" xfId="3164" xr:uid="{00000000-0005-0000-0000-0000D2110000}"/>
    <cellStyle name="Normal 4 2 3 2 3 2 5 2" xfId="6392" xr:uid="{00000000-0005-0000-0000-0000D3110000}"/>
    <cellStyle name="Normal 4 2 3 2 3 2 5 2 2" xfId="12753" xr:uid="{00000000-0005-0000-0000-0000D4110000}"/>
    <cellStyle name="Normal 4 2 3 2 3 2 5 3" xfId="9574" xr:uid="{00000000-0005-0000-0000-0000D5110000}"/>
    <cellStyle name="Normal 4 2 3 2 3 2 6" xfId="4808" xr:uid="{00000000-0005-0000-0000-0000D6110000}"/>
    <cellStyle name="Normal 4 2 3 2 3 2 6 2" xfId="11169" xr:uid="{00000000-0005-0000-0000-0000D7110000}"/>
    <cellStyle name="Normal 4 2 3 2 3 2 7" xfId="7990" xr:uid="{00000000-0005-0000-0000-0000D8110000}"/>
    <cellStyle name="Normal 4 2 3 2 3 3" xfId="1648" xr:uid="{00000000-0005-0000-0000-0000D9110000}"/>
    <cellStyle name="Normal 4 2 3 2 3 3 2" xfId="1846" xr:uid="{00000000-0005-0000-0000-0000DA110000}"/>
    <cellStyle name="Normal 4 2 3 2 3 3 2 2" xfId="2242" xr:uid="{00000000-0005-0000-0000-0000DB110000}"/>
    <cellStyle name="Normal 4 2 3 2 3 3 2 2 2" xfId="3034" xr:uid="{00000000-0005-0000-0000-0000DC110000}"/>
    <cellStyle name="Normal 4 2 3 2 3 3 2 2 2 2" xfId="4618" xr:uid="{00000000-0005-0000-0000-0000DD110000}"/>
    <cellStyle name="Normal 4 2 3 2 3 3 2 2 2 2 2" xfId="7846" xr:uid="{00000000-0005-0000-0000-0000DE110000}"/>
    <cellStyle name="Normal 4 2 3 2 3 3 2 2 2 2 2 2" xfId="14207" xr:uid="{00000000-0005-0000-0000-0000DF110000}"/>
    <cellStyle name="Normal 4 2 3 2 3 3 2 2 2 2 3" xfId="11028" xr:uid="{00000000-0005-0000-0000-0000E0110000}"/>
    <cellStyle name="Normal 4 2 3 2 3 3 2 2 2 3" xfId="6262" xr:uid="{00000000-0005-0000-0000-0000E1110000}"/>
    <cellStyle name="Normal 4 2 3 2 3 3 2 2 2 3 2" xfId="12623" xr:uid="{00000000-0005-0000-0000-0000E2110000}"/>
    <cellStyle name="Normal 4 2 3 2 3 3 2 2 2 4" xfId="9444" xr:uid="{00000000-0005-0000-0000-0000E3110000}"/>
    <cellStyle name="Normal 4 2 3 2 3 3 2 2 3" xfId="3826" xr:uid="{00000000-0005-0000-0000-0000E4110000}"/>
    <cellStyle name="Normal 4 2 3 2 3 3 2 2 3 2" xfId="7054" xr:uid="{00000000-0005-0000-0000-0000E5110000}"/>
    <cellStyle name="Normal 4 2 3 2 3 3 2 2 3 2 2" xfId="13415" xr:uid="{00000000-0005-0000-0000-0000E6110000}"/>
    <cellStyle name="Normal 4 2 3 2 3 3 2 2 3 3" xfId="10236" xr:uid="{00000000-0005-0000-0000-0000E7110000}"/>
    <cellStyle name="Normal 4 2 3 2 3 3 2 2 4" xfId="5470" xr:uid="{00000000-0005-0000-0000-0000E8110000}"/>
    <cellStyle name="Normal 4 2 3 2 3 3 2 2 4 2" xfId="11831" xr:uid="{00000000-0005-0000-0000-0000E9110000}"/>
    <cellStyle name="Normal 4 2 3 2 3 3 2 2 5" xfId="8652" xr:uid="{00000000-0005-0000-0000-0000EA110000}"/>
    <cellStyle name="Normal 4 2 3 2 3 3 2 3" xfId="2638" xr:uid="{00000000-0005-0000-0000-0000EB110000}"/>
    <cellStyle name="Normal 4 2 3 2 3 3 2 3 2" xfId="4222" xr:uid="{00000000-0005-0000-0000-0000EC110000}"/>
    <cellStyle name="Normal 4 2 3 2 3 3 2 3 2 2" xfId="7450" xr:uid="{00000000-0005-0000-0000-0000ED110000}"/>
    <cellStyle name="Normal 4 2 3 2 3 3 2 3 2 2 2" xfId="13811" xr:uid="{00000000-0005-0000-0000-0000EE110000}"/>
    <cellStyle name="Normal 4 2 3 2 3 3 2 3 2 3" xfId="10632" xr:uid="{00000000-0005-0000-0000-0000EF110000}"/>
    <cellStyle name="Normal 4 2 3 2 3 3 2 3 3" xfId="5866" xr:uid="{00000000-0005-0000-0000-0000F0110000}"/>
    <cellStyle name="Normal 4 2 3 2 3 3 2 3 3 2" xfId="12227" xr:uid="{00000000-0005-0000-0000-0000F1110000}"/>
    <cellStyle name="Normal 4 2 3 2 3 3 2 3 4" xfId="9048" xr:uid="{00000000-0005-0000-0000-0000F2110000}"/>
    <cellStyle name="Normal 4 2 3 2 3 3 2 4" xfId="3430" xr:uid="{00000000-0005-0000-0000-0000F3110000}"/>
    <cellStyle name="Normal 4 2 3 2 3 3 2 4 2" xfId="6658" xr:uid="{00000000-0005-0000-0000-0000F4110000}"/>
    <cellStyle name="Normal 4 2 3 2 3 3 2 4 2 2" xfId="13019" xr:uid="{00000000-0005-0000-0000-0000F5110000}"/>
    <cellStyle name="Normal 4 2 3 2 3 3 2 4 3" xfId="9840" xr:uid="{00000000-0005-0000-0000-0000F6110000}"/>
    <cellStyle name="Normal 4 2 3 2 3 3 2 5" xfId="5074" xr:uid="{00000000-0005-0000-0000-0000F7110000}"/>
    <cellStyle name="Normal 4 2 3 2 3 3 2 5 2" xfId="11435" xr:uid="{00000000-0005-0000-0000-0000F8110000}"/>
    <cellStyle name="Normal 4 2 3 2 3 3 2 6" xfId="8256" xr:uid="{00000000-0005-0000-0000-0000F9110000}"/>
    <cellStyle name="Normal 4 2 3 2 3 3 3" xfId="2044" xr:uid="{00000000-0005-0000-0000-0000FA110000}"/>
    <cellStyle name="Normal 4 2 3 2 3 3 3 2" xfId="2836" xr:uid="{00000000-0005-0000-0000-0000FB110000}"/>
    <cellStyle name="Normal 4 2 3 2 3 3 3 2 2" xfId="4420" xr:uid="{00000000-0005-0000-0000-0000FC110000}"/>
    <cellStyle name="Normal 4 2 3 2 3 3 3 2 2 2" xfId="7648" xr:uid="{00000000-0005-0000-0000-0000FD110000}"/>
    <cellStyle name="Normal 4 2 3 2 3 3 3 2 2 2 2" xfId="14009" xr:uid="{00000000-0005-0000-0000-0000FE110000}"/>
    <cellStyle name="Normal 4 2 3 2 3 3 3 2 2 3" xfId="10830" xr:uid="{00000000-0005-0000-0000-0000FF110000}"/>
    <cellStyle name="Normal 4 2 3 2 3 3 3 2 3" xfId="6064" xr:uid="{00000000-0005-0000-0000-000000120000}"/>
    <cellStyle name="Normal 4 2 3 2 3 3 3 2 3 2" xfId="12425" xr:uid="{00000000-0005-0000-0000-000001120000}"/>
    <cellStyle name="Normal 4 2 3 2 3 3 3 2 4" xfId="9246" xr:uid="{00000000-0005-0000-0000-000002120000}"/>
    <cellStyle name="Normal 4 2 3 2 3 3 3 3" xfId="3628" xr:uid="{00000000-0005-0000-0000-000003120000}"/>
    <cellStyle name="Normal 4 2 3 2 3 3 3 3 2" xfId="6856" xr:uid="{00000000-0005-0000-0000-000004120000}"/>
    <cellStyle name="Normal 4 2 3 2 3 3 3 3 2 2" xfId="13217" xr:uid="{00000000-0005-0000-0000-000005120000}"/>
    <cellStyle name="Normal 4 2 3 2 3 3 3 3 3" xfId="10038" xr:uid="{00000000-0005-0000-0000-000006120000}"/>
    <cellStyle name="Normal 4 2 3 2 3 3 3 4" xfId="5272" xr:uid="{00000000-0005-0000-0000-000007120000}"/>
    <cellStyle name="Normal 4 2 3 2 3 3 3 4 2" xfId="11633" xr:uid="{00000000-0005-0000-0000-000008120000}"/>
    <cellStyle name="Normal 4 2 3 2 3 3 3 5" xfId="8454" xr:uid="{00000000-0005-0000-0000-000009120000}"/>
    <cellStyle name="Normal 4 2 3 2 3 3 4" xfId="2440" xr:uid="{00000000-0005-0000-0000-00000A120000}"/>
    <cellStyle name="Normal 4 2 3 2 3 3 4 2" xfId="4024" xr:uid="{00000000-0005-0000-0000-00000B120000}"/>
    <cellStyle name="Normal 4 2 3 2 3 3 4 2 2" xfId="7252" xr:uid="{00000000-0005-0000-0000-00000C120000}"/>
    <cellStyle name="Normal 4 2 3 2 3 3 4 2 2 2" xfId="13613" xr:uid="{00000000-0005-0000-0000-00000D120000}"/>
    <cellStyle name="Normal 4 2 3 2 3 3 4 2 3" xfId="10434" xr:uid="{00000000-0005-0000-0000-00000E120000}"/>
    <cellStyle name="Normal 4 2 3 2 3 3 4 3" xfId="5668" xr:uid="{00000000-0005-0000-0000-00000F120000}"/>
    <cellStyle name="Normal 4 2 3 2 3 3 4 3 2" xfId="12029" xr:uid="{00000000-0005-0000-0000-000010120000}"/>
    <cellStyle name="Normal 4 2 3 2 3 3 4 4" xfId="8850" xr:uid="{00000000-0005-0000-0000-000011120000}"/>
    <cellStyle name="Normal 4 2 3 2 3 3 5" xfId="3232" xr:uid="{00000000-0005-0000-0000-000012120000}"/>
    <cellStyle name="Normal 4 2 3 2 3 3 5 2" xfId="6460" xr:uid="{00000000-0005-0000-0000-000013120000}"/>
    <cellStyle name="Normal 4 2 3 2 3 3 5 2 2" xfId="12821" xr:uid="{00000000-0005-0000-0000-000014120000}"/>
    <cellStyle name="Normal 4 2 3 2 3 3 5 3" xfId="9642" xr:uid="{00000000-0005-0000-0000-000015120000}"/>
    <cellStyle name="Normal 4 2 3 2 3 3 6" xfId="4876" xr:uid="{00000000-0005-0000-0000-000016120000}"/>
    <cellStyle name="Normal 4 2 3 2 3 3 6 2" xfId="11237" xr:uid="{00000000-0005-0000-0000-000017120000}"/>
    <cellStyle name="Normal 4 2 3 2 3 3 7" xfId="8058" xr:uid="{00000000-0005-0000-0000-000018120000}"/>
    <cellStyle name="Normal 4 2 3 2 3 4" xfId="1713" xr:uid="{00000000-0005-0000-0000-000019120000}"/>
    <cellStyle name="Normal 4 2 3 2 3 4 2" xfId="2109" xr:uid="{00000000-0005-0000-0000-00001A120000}"/>
    <cellStyle name="Normal 4 2 3 2 3 4 2 2" xfId="2901" xr:uid="{00000000-0005-0000-0000-00001B120000}"/>
    <cellStyle name="Normal 4 2 3 2 3 4 2 2 2" xfId="4485" xr:uid="{00000000-0005-0000-0000-00001C120000}"/>
    <cellStyle name="Normal 4 2 3 2 3 4 2 2 2 2" xfId="7713" xr:uid="{00000000-0005-0000-0000-00001D120000}"/>
    <cellStyle name="Normal 4 2 3 2 3 4 2 2 2 2 2" xfId="14074" xr:uid="{00000000-0005-0000-0000-00001E120000}"/>
    <cellStyle name="Normal 4 2 3 2 3 4 2 2 2 3" xfId="10895" xr:uid="{00000000-0005-0000-0000-00001F120000}"/>
    <cellStyle name="Normal 4 2 3 2 3 4 2 2 3" xfId="6129" xr:uid="{00000000-0005-0000-0000-000020120000}"/>
    <cellStyle name="Normal 4 2 3 2 3 4 2 2 3 2" xfId="12490" xr:uid="{00000000-0005-0000-0000-000021120000}"/>
    <cellStyle name="Normal 4 2 3 2 3 4 2 2 4" xfId="9311" xr:uid="{00000000-0005-0000-0000-000022120000}"/>
    <cellStyle name="Normal 4 2 3 2 3 4 2 3" xfId="3693" xr:uid="{00000000-0005-0000-0000-000023120000}"/>
    <cellStyle name="Normal 4 2 3 2 3 4 2 3 2" xfId="6921" xr:uid="{00000000-0005-0000-0000-000024120000}"/>
    <cellStyle name="Normal 4 2 3 2 3 4 2 3 2 2" xfId="13282" xr:uid="{00000000-0005-0000-0000-000025120000}"/>
    <cellStyle name="Normal 4 2 3 2 3 4 2 3 3" xfId="10103" xr:uid="{00000000-0005-0000-0000-000026120000}"/>
    <cellStyle name="Normal 4 2 3 2 3 4 2 4" xfId="5337" xr:uid="{00000000-0005-0000-0000-000027120000}"/>
    <cellStyle name="Normal 4 2 3 2 3 4 2 4 2" xfId="11698" xr:uid="{00000000-0005-0000-0000-000028120000}"/>
    <cellStyle name="Normal 4 2 3 2 3 4 2 5" xfId="8519" xr:uid="{00000000-0005-0000-0000-000029120000}"/>
    <cellStyle name="Normal 4 2 3 2 3 4 3" xfId="2505" xr:uid="{00000000-0005-0000-0000-00002A120000}"/>
    <cellStyle name="Normal 4 2 3 2 3 4 3 2" xfId="4089" xr:uid="{00000000-0005-0000-0000-00002B120000}"/>
    <cellStyle name="Normal 4 2 3 2 3 4 3 2 2" xfId="7317" xr:uid="{00000000-0005-0000-0000-00002C120000}"/>
    <cellStyle name="Normal 4 2 3 2 3 4 3 2 2 2" xfId="13678" xr:uid="{00000000-0005-0000-0000-00002D120000}"/>
    <cellStyle name="Normal 4 2 3 2 3 4 3 2 3" xfId="10499" xr:uid="{00000000-0005-0000-0000-00002E120000}"/>
    <cellStyle name="Normal 4 2 3 2 3 4 3 3" xfId="5733" xr:uid="{00000000-0005-0000-0000-00002F120000}"/>
    <cellStyle name="Normal 4 2 3 2 3 4 3 3 2" xfId="12094" xr:uid="{00000000-0005-0000-0000-000030120000}"/>
    <cellStyle name="Normal 4 2 3 2 3 4 3 4" xfId="8915" xr:uid="{00000000-0005-0000-0000-000031120000}"/>
    <cellStyle name="Normal 4 2 3 2 3 4 4" xfId="3297" xr:uid="{00000000-0005-0000-0000-000032120000}"/>
    <cellStyle name="Normal 4 2 3 2 3 4 4 2" xfId="6525" xr:uid="{00000000-0005-0000-0000-000033120000}"/>
    <cellStyle name="Normal 4 2 3 2 3 4 4 2 2" xfId="12886" xr:uid="{00000000-0005-0000-0000-000034120000}"/>
    <cellStyle name="Normal 4 2 3 2 3 4 4 3" xfId="9707" xr:uid="{00000000-0005-0000-0000-000035120000}"/>
    <cellStyle name="Normal 4 2 3 2 3 4 5" xfId="4941" xr:uid="{00000000-0005-0000-0000-000036120000}"/>
    <cellStyle name="Normal 4 2 3 2 3 4 5 2" xfId="11302" xr:uid="{00000000-0005-0000-0000-000037120000}"/>
    <cellStyle name="Normal 4 2 3 2 3 4 6" xfId="8123" xr:uid="{00000000-0005-0000-0000-000038120000}"/>
    <cellStyle name="Normal 4 2 3 2 3 5" xfId="1911" xr:uid="{00000000-0005-0000-0000-000039120000}"/>
    <cellStyle name="Normal 4 2 3 2 3 5 2" xfId="2703" xr:uid="{00000000-0005-0000-0000-00003A120000}"/>
    <cellStyle name="Normal 4 2 3 2 3 5 2 2" xfId="4287" xr:uid="{00000000-0005-0000-0000-00003B120000}"/>
    <cellStyle name="Normal 4 2 3 2 3 5 2 2 2" xfId="7515" xr:uid="{00000000-0005-0000-0000-00003C120000}"/>
    <cellStyle name="Normal 4 2 3 2 3 5 2 2 2 2" xfId="13876" xr:uid="{00000000-0005-0000-0000-00003D120000}"/>
    <cellStyle name="Normal 4 2 3 2 3 5 2 2 3" xfId="10697" xr:uid="{00000000-0005-0000-0000-00003E120000}"/>
    <cellStyle name="Normal 4 2 3 2 3 5 2 3" xfId="5931" xr:uid="{00000000-0005-0000-0000-00003F120000}"/>
    <cellStyle name="Normal 4 2 3 2 3 5 2 3 2" xfId="12292" xr:uid="{00000000-0005-0000-0000-000040120000}"/>
    <cellStyle name="Normal 4 2 3 2 3 5 2 4" xfId="9113" xr:uid="{00000000-0005-0000-0000-000041120000}"/>
    <cellStyle name="Normal 4 2 3 2 3 5 3" xfId="3495" xr:uid="{00000000-0005-0000-0000-000042120000}"/>
    <cellStyle name="Normal 4 2 3 2 3 5 3 2" xfId="6723" xr:uid="{00000000-0005-0000-0000-000043120000}"/>
    <cellStyle name="Normal 4 2 3 2 3 5 3 2 2" xfId="13084" xr:uid="{00000000-0005-0000-0000-000044120000}"/>
    <cellStyle name="Normal 4 2 3 2 3 5 3 3" xfId="9905" xr:uid="{00000000-0005-0000-0000-000045120000}"/>
    <cellStyle name="Normal 4 2 3 2 3 5 4" xfId="5139" xr:uid="{00000000-0005-0000-0000-000046120000}"/>
    <cellStyle name="Normal 4 2 3 2 3 5 4 2" xfId="11500" xr:uid="{00000000-0005-0000-0000-000047120000}"/>
    <cellStyle name="Normal 4 2 3 2 3 5 5" xfId="8321" xr:uid="{00000000-0005-0000-0000-000048120000}"/>
    <cellStyle name="Normal 4 2 3 2 3 6" xfId="2307" xr:uid="{00000000-0005-0000-0000-000049120000}"/>
    <cellStyle name="Normal 4 2 3 2 3 6 2" xfId="3891" xr:uid="{00000000-0005-0000-0000-00004A120000}"/>
    <cellStyle name="Normal 4 2 3 2 3 6 2 2" xfId="7119" xr:uid="{00000000-0005-0000-0000-00004B120000}"/>
    <cellStyle name="Normal 4 2 3 2 3 6 2 2 2" xfId="13480" xr:uid="{00000000-0005-0000-0000-00004C120000}"/>
    <cellStyle name="Normal 4 2 3 2 3 6 2 3" xfId="10301" xr:uid="{00000000-0005-0000-0000-00004D120000}"/>
    <cellStyle name="Normal 4 2 3 2 3 6 3" xfId="5535" xr:uid="{00000000-0005-0000-0000-00004E120000}"/>
    <cellStyle name="Normal 4 2 3 2 3 6 3 2" xfId="11896" xr:uid="{00000000-0005-0000-0000-00004F120000}"/>
    <cellStyle name="Normal 4 2 3 2 3 6 4" xfId="8717" xr:uid="{00000000-0005-0000-0000-000050120000}"/>
    <cellStyle name="Normal 4 2 3 2 3 7" xfId="3099" xr:uid="{00000000-0005-0000-0000-000051120000}"/>
    <cellStyle name="Normal 4 2 3 2 3 7 2" xfId="6327" xr:uid="{00000000-0005-0000-0000-000052120000}"/>
    <cellStyle name="Normal 4 2 3 2 3 7 2 2" xfId="12688" xr:uid="{00000000-0005-0000-0000-000053120000}"/>
    <cellStyle name="Normal 4 2 3 2 3 7 3" xfId="9509" xr:uid="{00000000-0005-0000-0000-000054120000}"/>
    <cellStyle name="Normal 4 2 3 2 3 8" xfId="4743" xr:uid="{00000000-0005-0000-0000-000055120000}"/>
    <cellStyle name="Normal 4 2 3 2 3 8 2" xfId="11104" xr:uid="{00000000-0005-0000-0000-000056120000}"/>
    <cellStyle name="Normal 4 2 3 2 3 9" xfId="7925" xr:uid="{00000000-0005-0000-0000-000057120000}"/>
    <cellStyle name="Normal 4 2 3 2 4" xfId="1548" xr:uid="{00000000-0005-0000-0000-000058120000}"/>
    <cellStyle name="Normal 4 2 3 2 4 2" xfId="1746" xr:uid="{00000000-0005-0000-0000-000059120000}"/>
    <cellStyle name="Normal 4 2 3 2 4 2 2" xfId="2142" xr:uid="{00000000-0005-0000-0000-00005A120000}"/>
    <cellStyle name="Normal 4 2 3 2 4 2 2 2" xfId="2934" xr:uid="{00000000-0005-0000-0000-00005B120000}"/>
    <cellStyle name="Normal 4 2 3 2 4 2 2 2 2" xfId="4518" xr:uid="{00000000-0005-0000-0000-00005C120000}"/>
    <cellStyle name="Normal 4 2 3 2 4 2 2 2 2 2" xfId="7746" xr:uid="{00000000-0005-0000-0000-00005D120000}"/>
    <cellStyle name="Normal 4 2 3 2 4 2 2 2 2 2 2" xfId="14107" xr:uid="{00000000-0005-0000-0000-00005E120000}"/>
    <cellStyle name="Normal 4 2 3 2 4 2 2 2 2 3" xfId="10928" xr:uid="{00000000-0005-0000-0000-00005F120000}"/>
    <cellStyle name="Normal 4 2 3 2 4 2 2 2 3" xfId="6162" xr:uid="{00000000-0005-0000-0000-000060120000}"/>
    <cellStyle name="Normal 4 2 3 2 4 2 2 2 3 2" xfId="12523" xr:uid="{00000000-0005-0000-0000-000061120000}"/>
    <cellStyle name="Normal 4 2 3 2 4 2 2 2 4" xfId="9344" xr:uid="{00000000-0005-0000-0000-000062120000}"/>
    <cellStyle name="Normal 4 2 3 2 4 2 2 3" xfId="3726" xr:uid="{00000000-0005-0000-0000-000063120000}"/>
    <cellStyle name="Normal 4 2 3 2 4 2 2 3 2" xfId="6954" xr:uid="{00000000-0005-0000-0000-000064120000}"/>
    <cellStyle name="Normal 4 2 3 2 4 2 2 3 2 2" xfId="13315" xr:uid="{00000000-0005-0000-0000-000065120000}"/>
    <cellStyle name="Normal 4 2 3 2 4 2 2 3 3" xfId="10136" xr:uid="{00000000-0005-0000-0000-000066120000}"/>
    <cellStyle name="Normal 4 2 3 2 4 2 2 4" xfId="5370" xr:uid="{00000000-0005-0000-0000-000067120000}"/>
    <cellStyle name="Normal 4 2 3 2 4 2 2 4 2" xfId="11731" xr:uid="{00000000-0005-0000-0000-000068120000}"/>
    <cellStyle name="Normal 4 2 3 2 4 2 2 5" xfId="8552" xr:uid="{00000000-0005-0000-0000-000069120000}"/>
    <cellStyle name="Normal 4 2 3 2 4 2 3" xfId="2538" xr:uid="{00000000-0005-0000-0000-00006A120000}"/>
    <cellStyle name="Normal 4 2 3 2 4 2 3 2" xfId="4122" xr:uid="{00000000-0005-0000-0000-00006B120000}"/>
    <cellStyle name="Normal 4 2 3 2 4 2 3 2 2" xfId="7350" xr:uid="{00000000-0005-0000-0000-00006C120000}"/>
    <cellStyle name="Normal 4 2 3 2 4 2 3 2 2 2" xfId="13711" xr:uid="{00000000-0005-0000-0000-00006D120000}"/>
    <cellStyle name="Normal 4 2 3 2 4 2 3 2 3" xfId="10532" xr:uid="{00000000-0005-0000-0000-00006E120000}"/>
    <cellStyle name="Normal 4 2 3 2 4 2 3 3" xfId="5766" xr:uid="{00000000-0005-0000-0000-00006F120000}"/>
    <cellStyle name="Normal 4 2 3 2 4 2 3 3 2" xfId="12127" xr:uid="{00000000-0005-0000-0000-000070120000}"/>
    <cellStyle name="Normal 4 2 3 2 4 2 3 4" xfId="8948" xr:uid="{00000000-0005-0000-0000-000071120000}"/>
    <cellStyle name="Normal 4 2 3 2 4 2 4" xfId="3330" xr:uid="{00000000-0005-0000-0000-000072120000}"/>
    <cellStyle name="Normal 4 2 3 2 4 2 4 2" xfId="6558" xr:uid="{00000000-0005-0000-0000-000073120000}"/>
    <cellStyle name="Normal 4 2 3 2 4 2 4 2 2" xfId="12919" xr:uid="{00000000-0005-0000-0000-000074120000}"/>
    <cellStyle name="Normal 4 2 3 2 4 2 4 3" xfId="9740" xr:uid="{00000000-0005-0000-0000-000075120000}"/>
    <cellStyle name="Normal 4 2 3 2 4 2 5" xfId="4974" xr:uid="{00000000-0005-0000-0000-000076120000}"/>
    <cellStyle name="Normal 4 2 3 2 4 2 5 2" xfId="11335" xr:uid="{00000000-0005-0000-0000-000077120000}"/>
    <cellStyle name="Normal 4 2 3 2 4 2 6" xfId="8156" xr:uid="{00000000-0005-0000-0000-000078120000}"/>
    <cellStyle name="Normal 4 2 3 2 4 3" xfId="1944" xr:uid="{00000000-0005-0000-0000-000079120000}"/>
    <cellStyle name="Normal 4 2 3 2 4 3 2" xfId="2736" xr:uid="{00000000-0005-0000-0000-00007A120000}"/>
    <cellStyle name="Normal 4 2 3 2 4 3 2 2" xfId="4320" xr:uid="{00000000-0005-0000-0000-00007B120000}"/>
    <cellStyle name="Normal 4 2 3 2 4 3 2 2 2" xfId="7548" xr:uid="{00000000-0005-0000-0000-00007C120000}"/>
    <cellStyle name="Normal 4 2 3 2 4 3 2 2 2 2" xfId="13909" xr:uid="{00000000-0005-0000-0000-00007D120000}"/>
    <cellStyle name="Normal 4 2 3 2 4 3 2 2 3" xfId="10730" xr:uid="{00000000-0005-0000-0000-00007E120000}"/>
    <cellStyle name="Normal 4 2 3 2 4 3 2 3" xfId="5964" xr:uid="{00000000-0005-0000-0000-00007F120000}"/>
    <cellStyle name="Normal 4 2 3 2 4 3 2 3 2" xfId="12325" xr:uid="{00000000-0005-0000-0000-000080120000}"/>
    <cellStyle name="Normal 4 2 3 2 4 3 2 4" xfId="9146" xr:uid="{00000000-0005-0000-0000-000081120000}"/>
    <cellStyle name="Normal 4 2 3 2 4 3 3" xfId="3528" xr:uid="{00000000-0005-0000-0000-000082120000}"/>
    <cellStyle name="Normal 4 2 3 2 4 3 3 2" xfId="6756" xr:uid="{00000000-0005-0000-0000-000083120000}"/>
    <cellStyle name="Normal 4 2 3 2 4 3 3 2 2" xfId="13117" xr:uid="{00000000-0005-0000-0000-000084120000}"/>
    <cellStyle name="Normal 4 2 3 2 4 3 3 3" xfId="9938" xr:uid="{00000000-0005-0000-0000-000085120000}"/>
    <cellStyle name="Normal 4 2 3 2 4 3 4" xfId="5172" xr:uid="{00000000-0005-0000-0000-000086120000}"/>
    <cellStyle name="Normal 4 2 3 2 4 3 4 2" xfId="11533" xr:uid="{00000000-0005-0000-0000-000087120000}"/>
    <cellStyle name="Normal 4 2 3 2 4 3 5" xfId="8354" xr:uid="{00000000-0005-0000-0000-000088120000}"/>
    <cellStyle name="Normal 4 2 3 2 4 4" xfId="2340" xr:uid="{00000000-0005-0000-0000-000089120000}"/>
    <cellStyle name="Normal 4 2 3 2 4 4 2" xfId="3924" xr:uid="{00000000-0005-0000-0000-00008A120000}"/>
    <cellStyle name="Normal 4 2 3 2 4 4 2 2" xfId="7152" xr:uid="{00000000-0005-0000-0000-00008B120000}"/>
    <cellStyle name="Normal 4 2 3 2 4 4 2 2 2" xfId="13513" xr:uid="{00000000-0005-0000-0000-00008C120000}"/>
    <cellStyle name="Normal 4 2 3 2 4 4 2 3" xfId="10334" xr:uid="{00000000-0005-0000-0000-00008D120000}"/>
    <cellStyle name="Normal 4 2 3 2 4 4 3" xfId="5568" xr:uid="{00000000-0005-0000-0000-00008E120000}"/>
    <cellStyle name="Normal 4 2 3 2 4 4 3 2" xfId="11929" xr:uid="{00000000-0005-0000-0000-00008F120000}"/>
    <cellStyle name="Normal 4 2 3 2 4 4 4" xfId="8750" xr:uid="{00000000-0005-0000-0000-000090120000}"/>
    <cellStyle name="Normal 4 2 3 2 4 5" xfId="3132" xr:uid="{00000000-0005-0000-0000-000091120000}"/>
    <cellStyle name="Normal 4 2 3 2 4 5 2" xfId="6360" xr:uid="{00000000-0005-0000-0000-000092120000}"/>
    <cellStyle name="Normal 4 2 3 2 4 5 2 2" xfId="12721" xr:uid="{00000000-0005-0000-0000-000093120000}"/>
    <cellStyle name="Normal 4 2 3 2 4 5 3" xfId="9542" xr:uid="{00000000-0005-0000-0000-000094120000}"/>
    <cellStyle name="Normal 4 2 3 2 4 6" xfId="4776" xr:uid="{00000000-0005-0000-0000-000095120000}"/>
    <cellStyle name="Normal 4 2 3 2 4 6 2" xfId="11137" xr:uid="{00000000-0005-0000-0000-000096120000}"/>
    <cellStyle name="Normal 4 2 3 2 4 7" xfId="7958" xr:uid="{00000000-0005-0000-0000-000097120000}"/>
    <cellStyle name="Normal 4 2 3 2 5" xfId="1616" xr:uid="{00000000-0005-0000-0000-000098120000}"/>
    <cellStyle name="Normal 4 2 3 2 5 2" xfId="1814" xr:uid="{00000000-0005-0000-0000-000099120000}"/>
    <cellStyle name="Normal 4 2 3 2 5 2 2" xfId="2210" xr:uid="{00000000-0005-0000-0000-00009A120000}"/>
    <cellStyle name="Normal 4 2 3 2 5 2 2 2" xfId="3002" xr:uid="{00000000-0005-0000-0000-00009B120000}"/>
    <cellStyle name="Normal 4 2 3 2 5 2 2 2 2" xfId="4586" xr:uid="{00000000-0005-0000-0000-00009C120000}"/>
    <cellStyle name="Normal 4 2 3 2 5 2 2 2 2 2" xfId="7814" xr:uid="{00000000-0005-0000-0000-00009D120000}"/>
    <cellStyle name="Normal 4 2 3 2 5 2 2 2 2 2 2" xfId="14175" xr:uid="{00000000-0005-0000-0000-00009E120000}"/>
    <cellStyle name="Normal 4 2 3 2 5 2 2 2 2 3" xfId="10996" xr:uid="{00000000-0005-0000-0000-00009F120000}"/>
    <cellStyle name="Normal 4 2 3 2 5 2 2 2 3" xfId="6230" xr:uid="{00000000-0005-0000-0000-0000A0120000}"/>
    <cellStyle name="Normal 4 2 3 2 5 2 2 2 3 2" xfId="12591" xr:uid="{00000000-0005-0000-0000-0000A1120000}"/>
    <cellStyle name="Normal 4 2 3 2 5 2 2 2 4" xfId="9412" xr:uid="{00000000-0005-0000-0000-0000A2120000}"/>
    <cellStyle name="Normal 4 2 3 2 5 2 2 3" xfId="3794" xr:uid="{00000000-0005-0000-0000-0000A3120000}"/>
    <cellStyle name="Normal 4 2 3 2 5 2 2 3 2" xfId="7022" xr:uid="{00000000-0005-0000-0000-0000A4120000}"/>
    <cellStyle name="Normal 4 2 3 2 5 2 2 3 2 2" xfId="13383" xr:uid="{00000000-0005-0000-0000-0000A5120000}"/>
    <cellStyle name="Normal 4 2 3 2 5 2 2 3 3" xfId="10204" xr:uid="{00000000-0005-0000-0000-0000A6120000}"/>
    <cellStyle name="Normal 4 2 3 2 5 2 2 4" xfId="5438" xr:uid="{00000000-0005-0000-0000-0000A7120000}"/>
    <cellStyle name="Normal 4 2 3 2 5 2 2 4 2" xfId="11799" xr:uid="{00000000-0005-0000-0000-0000A8120000}"/>
    <cellStyle name="Normal 4 2 3 2 5 2 2 5" xfId="8620" xr:uid="{00000000-0005-0000-0000-0000A9120000}"/>
    <cellStyle name="Normal 4 2 3 2 5 2 3" xfId="2606" xr:uid="{00000000-0005-0000-0000-0000AA120000}"/>
    <cellStyle name="Normal 4 2 3 2 5 2 3 2" xfId="4190" xr:uid="{00000000-0005-0000-0000-0000AB120000}"/>
    <cellStyle name="Normal 4 2 3 2 5 2 3 2 2" xfId="7418" xr:uid="{00000000-0005-0000-0000-0000AC120000}"/>
    <cellStyle name="Normal 4 2 3 2 5 2 3 2 2 2" xfId="13779" xr:uid="{00000000-0005-0000-0000-0000AD120000}"/>
    <cellStyle name="Normal 4 2 3 2 5 2 3 2 3" xfId="10600" xr:uid="{00000000-0005-0000-0000-0000AE120000}"/>
    <cellStyle name="Normal 4 2 3 2 5 2 3 3" xfId="5834" xr:uid="{00000000-0005-0000-0000-0000AF120000}"/>
    <cellStyle name="Normal 4 2 3 2 5 2 3 3 2" xfId="12195" xr:uid="{00000000-0005-0000-0000-0000B0120000}"/>
    <cellStyle name="Normal 4 2 3 2 5 2 3 4" xfId="9016" xr:uid="{00000000-0005-0000-0000-0000B1120000}"/>
    <cellStyle name="Normal 4 2 3 2 5 2 4" xfId="3398" xr:uid="{00000000-0005-0000-0000-0000B2120000}"/>
    <cellStyle name="Normal 4 2 3 2 5 2 4 2" xfId="6626" xr:uid="{00000000-0005-0000-0000-0000B3120000}"/>
    <cellStyle name="Normal 4 2 3 2 5 2 4 2 2" xfId="12987" xr:uid="{00000000-0005-0000-0000-0000B4120000}"/>
    <cellStyle name="Normal 4 2 3 2 5 2 4 3" xfId="9808" xr:uid="{00000000-0005-0000-0000-0000B5120000}"/>
    <cellStyle name="Normal 4 2 3 2 5 2 5" xfId="5042" xr:uid="{00000000-0005-0000-0000-0000B6120000}"/>
    <cellStyle name="Normal 4 2 3 2 5 2 5 2" xfId="11403" xr:uid="{00000000-0005-0000-0000-0000B7120000}"/>
    <cellStyle name="Normal 4 2 3 2 5 2 6" xfId="8224" xr:uid="{00000000-0005-0000-0000-0000B8120000}"/>
    <cellStyle name="Normal 4 2 3 2 5 3" xfId="2012" xr:uid="{00000000-0005-0000-0000-0000B9120000}"/>
    <cellStyle name="Normal 4 2 3 2 5 3 2" xfId="2804" xr:uid="{00000000-0005-0000-0000-0000BA120000}"/>
    <cellStyle name="Normal 4 2 3 2 5 3 2 2" xfId="4388" xr:uid="{00000000-0005-0000-0000-0000BB120000}"/>
    <cellStyle name="Normal 4 2 3 2 5 3 2 2 2" xfId="7616" xr:uid="{00000000-0005-0000-0000-0000BC120000}"/>
    <cellStyle name="Normal 4 2 3 2 5 3 2 2 2 2" xfId="13977" xr:uid="{00000000-0005-0000-0000-0000BD120000}"/>
    <cellStyle name="Normal 4 2 3 2 5 3 2 2 3" xfId="10798" xr:uid="{00000000-0005-0000-0000-0000BE120000}"/>
    <cellStyle name="Normal 4 2 3 2 5 3 2 3" xfId="6032" xr:uid="{00000000-0005-0000-0000-0000BF120000}"/>
    <cellStyle name="Normal 4 2 3 2 5 3 2 3 2" xfId="12393" xr:uid="{00000000-0005-0000-0000-0000C0120000}"/>
    <cellStyle name="Normal 4 2 3 2 5 3 2 4" xfId="9214" xr:uid="{00000000-0005-0000-0000-0000C1120000}"/>
    <cellStyle name="Normal 4 2 3 2 5 3 3" xfId="3596" xr:uid="{00000000-0005-0000-0000-0000C2120000}"/>
    <cellStyle name="Normal 4 2 3 2 5 3 3 2" xfId="6824" xr:uid="{00000000-0005-0000-0000-0000C3120000}"/>
    <cellStyle name="Normal 4 2 3 2 5 3 3 2 2" xfId="13185" xr:uid="{00000000-0005-0000-0000-0000C4120000}"/>
    <cellStyle name="Normal 4 2 3 2 5 3 3 3" xfId="10006" xr:uid="{00000000-0005-0000-0000-0000C5120000}"/>
    <cellStyle name="Normal 4 2 3 2 5 3 4" xfId="5240" xr:uid="{00000000-0005-0000-0000-0000C6120000}"/>
    <cellStyle name="Normal 4 2 3 2 5 3 4 2" xfId="11601" xr:uid="{00000000-0005-0000-0000-0000C7120000}"/>
    <cellStyle name="Normal 4 2 3 2 5 3 5" xfId="8422" xr:uid="{00000000-0005-0000-0000-0000C8120000}"/>
    <cellStyle name="Normal 4 2 3 2 5 4" xfId="2408" xr:uid="{00000000-0005-0000-0000-0000C9120000}"/>
    <cellStyle name="Normal 4 2 3 2 5 4 2" xfId="3992" xr:uid="{00000000-0005-0000-0000-0000CA120000}"/>
    <cellStyle name="Normal 4 2 3 2 5 4 2 2" xfId="7220" xr:uid="{00000000-0005-0000-0000-0000CB120000}"/>
    <cellStyle name="Normal 4 2 3 2 5 4 2 2 2" xfId="13581" xr:uid="{00000000-0005-0000-0000-0000CC120000}"/>
    <cellStyle name="Normal 4 2 3 2 5 4 2 3" xfId="10402" xr:uid="{00000000-0005-0000-0000-0000CD120000}"/>
    <cellStyle name="Normal 4 2 3 2 5 4 3" xfId="5636" xr:uid="{00000000-0005-0000-0000-0000CE120000}"/>
    <cellStyle name="Normal 4 2 3 2 5 4 3 2" xfId="11997" xr:uid="{00000000-0005-0000-0000-0000CF120000}"/>
    <cellStyle name="Normal 4 2 3 2 5 4 4" xfId="8818" xr:uid="{00000000-0005-0000-0000-0000D0120000}"/>
    <cellStyle name="Normal 4 2 3 2 5 5" xfId="3200" xr:uid="{00000000-0005-0000-0000-0000D1120000}"/>
    <cellStyle name="Normal 4 2 3 2 5 5 2" xfId="6428" xr:uid="{00000000-0005-0000-0000-0000D2120000}"/>
    <cellStyle name="Normal 4 2 3 2 5 5 2 2" xfId="12789" xr:uid="{00000000-0005-0000-0000-0000D3120000}"/>
    <cellStyle name="Normal 4 2 3 2 5 5 3" xfId="9610" xr:uid="{00000000-0005-0000-0000-0000D4120000}"/>
    <cellStyle name="Normal 4 2 3 2 5 6" xfId="4844" xr:uid="{00000000-0005-0000-0000-0000D5120000}"/>
    <cellStyle name="Normal 4 2 3 2 5 6 2" xfId="11205" xr:uid="{00000000-0005-0000-0000-0000D6120000}"/>
    <cellStyle name="Normal 4 2 3 2 5 7" xfId="8026" xr:uid="{00000000-0005-0000-0000-0000D7120000}"/>
    <cellStyle name="Normal 4 2 3 2 6" xfId="1681" xr:uid="{00000000-0005-0000-0000-0000D8120000}"/>
    <cellStyle name="Normal 4 2 3 2 6 2" xfId="2077" xr:uid="{00000000-0005-0000-0000-0000D9120000}"/>
    <cellStyle name="Normal 4 2 3 2 6 2 2" xfId="2869" xr:uid="{00000000-0005-0000-0000-0000DA120000}"/>
    <cellStyle name="Normal 4 2 3 2 6 2 2 2" xfId="4453" xr:uid="{00000000-0005-0000-0000-0000DB120000}"/>
    <cellStyle name="Normal 4 2 3 2 6 2 2 2 2" xfId="7681" xr:uid="{00000000-0005-0000-0000-0000DC120000}"/>
    <cellStyle name="Normal 4 2 3 2 6 2 2 2 2 2" xfId="14042" xr:uid="{00000000-0005-0000-0000-0000DD120000}"/>
    <cellStyle name="Normal 4 2 3 2 6 2 2 2 3" xfId="10863" xr:uid="{00000000-0005-0000-0000-0000DE120000}"/>
    <cellStyle name="Normal 4 2 3 2 6 2 2 3" xfId="6097" xr:uid="{00000000-0005-0000-0000-0000DF120000}"/>
    <cellStyle name="Normal 4 2 3 2 6 2 2 3 2" xfId="12458" xr:uid="{00000000-0005-0000-0000-0000E0120000}"/>
    <cellStyle name="Normal 4 2 3 2 6 2 2 4" xfId="9279" xr:uid="{00000000-0005-0000-0000-0000E1120000}"/>
    <cellStyle name="Normal 4 2 3 2 6 2 3" xfId="3661" xr:uid="{00000000-0005-0000-0000-0000E2120000}"/>
    <cellStyle name="Normal 4 2 3 2 6 2 3 2" xfId="6889" xr:uid="{00000000-0005-0000-0000-0000E3120000}"/>
    <cellStyle name="Normal 4 2 3 2 6 2 3 2 2" xfId="13250" xr:uid="{00000000-0005-0000-0000-0000E4120000}"/>
    <cellStyle name="Normal 4 2 3 2 6 2 3 3" xfId="10071" xr:uid="{00000000-0005-0000-0000-0000E5120000}"/>
    <cellStyle name="Normal 4 2 3 2 6 2 4" xfId="5305" xr:uid="{00000000-0005-0000-0000-0000E6120000}"/>
    <cellStyle name="Normal 4 2 3 2 6 2 4 2" xfId="11666" xr:uid="{00000000-0005-0000-0000-0000E7120000}"/>
    <cellStyle name="Normal 4 2 3 2 6 2 5" xfId="8487" xr:uid="{00000000-0005-0000-0000-0000E8120000}"/>
    <cellStyle name="Normal 4 2 3 2 6 3" xfId="2473" xr:uid="{00000000-0005-0000-0000-0000E9120000}"/>
    <cellStyle name="Normal 4 2 3 2 6 3 2" xfId="4057" xr:uid="{00000000-0005-0000-0000-0000EA120000}"/>
    <cellStyle name="Normal 4 2 3 2 6 3 2 2" xfId="7285" xr:uid="{00000000-0005-0000-0000-0000EB120000}"/>
    <cellStyle name="Normal 4 2 3 2 6 3 2 2 2" xfId="13646" xr:uid="{00000000-0005-0000-0000-0000EC120000}"/>
    <cellStyle name="Normal 4 2 3 2 6 3 2 3" xfId="10467" xr:uid="{00000000-0005-0000-0000-0000ED120000}"/>
    <cellStyle name="Normal 4 2 3 2 6 3 3" xfId="5701" xr:uid="{00000000-0005-0000-0000-0000EE120000}"/>
    <cellStyle name="Normal 4 2 3 2 6 3 3 2" xfId="12062" xr:uid="{00000000-0005-0000-0000-0000EF120000}"/>
    <cellStyle name="Normal 4 2 3 2 6 3 4" xfId="8883" xr:uid="{00000000-0005-0000-0000-0000F0120000}"/>
    <cellStyle name="Normal 4 2 3 2 6 4" xfId="3265" xr:uid="{00000000-0005-0000-0000-0000F1120000}"/>
    <cellStyle name="Normal 4 2 3 2 6 4 2" xfId="6493" xr:uid="{00000000-0005-0000-0000-0000F2120000}"/>
    <cellStyle name="Normal 4 2 3 2 6 4 2 2" xfId="12854" xr:uid="{00000000-0005-0000-0000-0000F3120000}"/>
    <cellStyle name="Normal 4 2 3 2 6 4 3" xfId="9675" xr:uid="{00000000-0005-0000-0000-0000F4120000}"/>
    <cellStyle name="Normal 4 2 3 2 6 5" xfId="4909" xr:uid="{00000000-0005-0000-0000-0000F5120000}"/>
    <cellStyle name="Normal 4 2 3 2 6 5 2" xfId="11270" xr:uid="{00000000-0005-0000-0000-0000F6120000}"/>
    <cellStyle name="Normal 4 2 3 2 6 6" xfId="8091" xr:uid="{00000000-0005-0000-0000-0000F7120000}"/>
    <cellStyle name="Normal 4 2 3 2 7" xfId="1879" xr:uid="{00000000-0005-0000-0000-0000F8120000}"/>
    <cellStyle name="Normal 4 2 3 2 7 2" xfId="2671" xr:uid="{00000000-0005-0000-0000-0000F9120000}"/>
    <cellStyle name="Normal 4 2 3 2 7 2 2" xfId="4255" xr:uid="{00000000-0005-0000-0000-0000FA120000}"/>
    <cellStyle name="Normal 4 2 3 2 7 2 2 2" xfId="7483" xr:uid="{00000000-0005-0000-0000-0000FB120000}"/>
    <cellStyle name="Normal 4 2 3 2 7 2 2 2 2" xfId="13844" xr:uid="{00000000-0005-0000-0000-0000FC120000}"/>
    <cellStyle name="Normal 4 2 3 2 7 2 2 3" xfId="10665" xr:uid="{00000000-0005-0000-0000-0000FD120000}"/>
    <cellStyle name="Normal 4 2 3 2 7 2 3" xfId="5899" xr:uid="{00000000-0005-0000-0000-0000FE120000}"/>
    <cellStyle name="Normal 4 2 3 2 7 2 3 2" xfId="12260" xr:uid="{00000000-0005-0000-0000-0000FF120000}"/>
    <cellStyle name="Normal 4 2 3 2 7 2 4" xfId="9081" xr:uid="{00000000-0005-0000-0000-000000130000}"/>
    <cellStyle name="Normal 4 2 3 2 7 3" xfId="3463" xr:uid="{00000000-0005-0000-0000-000001130000}"/>
    <cellStyle name="Normal 4 2 3 2 7 3 2" xfId="6691" xr:uid="{00000000-0005-0000-0000-000002130000}"/>
    <cellStyle name="Normal 4 2 3 2 7 3 2 2" xfId="13052" xr:uid="{00000000-0005-0000-0000-000003130000}"/>
    <cellStyle name="Normal 4 2 3 2 7 3 3" xfId="9873" xr:uid="{00000000-0005-0000-0000-000004130000}"/>
    <cellStyle name="Normal 4 2 3 2 7 4" xfId="5107" xr:uid="{00000000-0005-0000-0000-000005130000}"/>
    <cellStyle name="Normal 4 2 3 2 7 4 2" xfId="11468" xr:uid="{00000000-0005-0000-0000-000006130000}"/>
    <cellStyle name="Normal 4 2 3 2 7 5" xfId="8289" xr:uid="{00000000-0005-0000-0000-000007130000}"/>
    <cellStyle name="Normal 4 2 3 2 8" xfId="2275" xr:uid="{00000000-0005-0000-0000-000008130000}"/>
    <cellStyle name="Normal 4 2 3 2 8 2" xfId="3859" xr:uid="{00000000-0005-0000-0000-000009130000}"/>
    <cellStyle name="Normal 4 2 3 2 8 2 2" xfId="7087" xr:uid="{00000000-0005-0000-0000-00000A130000}"/>
    <cellStyle name="Normal 4 2 3 2 8 2 2 2" xfId="13448" xr:uid="{00000000-0005-0000-0000-00000B130000}"/>
    <cellStyle name="Normal 4 2 3 2 8 2 3" xfId="10269" xr:uid="{00000000-0005-0000-0000-00000C130000}"/>
    <cellStyle name="Normal 4 2 3 2 8 3" xfId="5503" xr:uid="{00000000-0005-0000-0000-00000D130000}"/>
    <cellStyle name="Normal 4 2 3 2 8 3 2" xfId="11864" xr:uid="{00000000-0005-0000-0000-00000E130000}"/>
    <cellStyle name="Normal 4 2 3 2 8 4" xfId="8685" xr:uid="{00000000-0005-0000-0000-00000F130000}"/>
    <cellStyle name="Normal 4 2 3 2 9" xfId="3067" xr:uid="{00000000-0005-0000-0000-000010130000}"/>
    <cellStyle name="Normal 4 2 3 2 9 2" xfId="6295" xr:uid="{00000000-0005-0000-0000-000011130000}"/>
    <cellStyle name="Normal 4 2 3 2 9 2 2" xfId="12656" xr:uid="{00000000-0005-0000-0000-000012130000}"/>
    <cellStyle name="Normal 4 2 3 2 9 3" xfId="9477" xr:uid="{00000000-0005-0000-0000-000013130000}"/>
    <cellStyle name="Normal 4 2 3 3" xfId="1444" xr:uid="{00000000-0005-0000-0000-000014130000}"/>
    <cellStyle name="Normal 4 2 3 3 10" xfId="7901" xr:uid="{00000000-0005-0000-0000-000015130000}"/>
    <cellStyle name="Normal 4 2 3 3 2" xfId="1476" xr:uid="{00000000-0005-0000-0000-000016130000}"/>
    <cellStyle name="Normal 4 2 3 3 2 2" xfId="1588" xr:uid="{00000000-0005-0000-0000-000017130000}"/>
    <cellStyle name="Normal 4 2 3 3 2 2 2" xfId="1786" xr:uid="{00000000-0005-0000-0000-000018130000}"/>
    <cellStyle name="Normal 4 2 3 3 2 2 2 2" xfId="2182" xr:uid="{00000000-0005-0000-0000-000019130000}"/>
    <cellStyle name="Normal 4 2 3 3 2 2 2 2 2" xfId="2974" xr:uid="{00000000-0005-0000-0000-00001A130000}"/>
    <cellStyle name="Normal 4 2 3 3 2 2 2 2 2 2" xfId="4558" xr:uid="{00000000-0005-0000-0000-00001B130000}"/>
    <cellStyle name="Normal 4 2 3 3 2 2 2 2 2 2 2" xfId="7786" xr:uid="{00000000-0005-0000-0000-00001C130000}"/>
    <cellStyle name="Normal 4 2 3 3 2 2 2 2 2 2 2 2" xfId="14147" xr:uid="{00000000-0005-0000-0000-00001D130000}"/>
    <cellStyle name="Normal 4 2 3 3 2 2 2 2 2 2 3" xfId="10968" xr:uid="{00000000-0005-0000-0000-00001E130000}"/>
    <cellStyle name="Normal 4 2 3 3 2 2 2 2 2 3" xfId="6202" xr:uid="{00000000-0005-0000-0000-00001F130000}"/>
    <cellStyle name="Normal 4 2 3 3 2 2 2 2 2 3 2" xfId="12563" xr:uid="{00000000-0005-0000-0000-000020130000}"/>
    <cellStyle name="Normal 4 2 3 3 2 2 2 2 2 4" xfId="9384" xr:uid="{00000000-0005-0000-0000-000021130000}"/>
    <cellStyle name="Normal 4 2 3 3 2 2 2 2 3" xfId="3766" xr:uid="{00000000-0005-0000-0000-000022130000}"/>
    <cellStyle name="Normal 4 2 3 3 2 2 2 2 3 2" xfId="6994" xr:uid="{00000000-0005-0000-0000-000023130000}"/>
    <cellStyle name="Normal 4 2 3 3 2 2 2 2 3 2 2" xfId="13355" xr:uid="{00000000-0005-0000-0000-000024130000}"/>
    <cellStyle name="Normal 4 2 3 3 2 2 2 2 3 3" xfId="10176" xr:uid="{00000000-0005-0000-0000-000025130000}"/>
    <cellStyle name="Normal 4 2 3 3 2 2 2 2 4" xfId="5410" xr:uid="{00000000-0005-0000-0000-000026130000}"/>
    <cellStyle name="Normal 4 2 3 3 2 2 2 2 4 2" xfId="11771" xr:uid="{00000000-0005-0000-0000-000027130000}"/>
    <cellStyle name="Normal 4 2 3 3 2 2 2 2 5" xfId="8592" xr:uid="{00000000-0005-0000-0000-000028130000}"/>
    <cellStyle name="Normal 4 2 3 3 2 2 2 3" xfId="2578" xr:uid="{00000000-0005-0000-0000-000029130000}"/>
    <cellStyle name="Normal 4 2 3 3 2 2 2 3 2" xfId="4162" xr:uid="{00000000-0005-0000-0000-00002A130000}"/>
    <cellStyle name="Normal 4 2 3 3 2 2 2 3 2 2" xfId="7390" xr:uid="{00000000-0005-0000-0000-00002B130000}"/>
    <cellStyle name="Normal 4 2 3 3 2 2 2 3 2 2 2" xfId="13751" xr:uid="{00000000-0005-0000-0000-00002C130000}"/>
    <cellStyle name="Normal 4 2 3 3 2 2 2 3 2 3" xfId="10572" xr:uid="{00000000-0005-0000-0000-00002D130000}"/>
    <cellStyle name="Normal 4 2 3 3 2 2 2 3 3" xfId="5806" xr:uid="{00000000-0005-0000-0000-00002E130000}"/>
    <cellStyle name="Normal 4 2 3 3 2 2 2 3 3 2" xfId="12167" xr:uid="{00000000-0005-0000-0000-00002F130000}"/>
    <cellStyle name="Normal 4 2 3 3 2 2 2 3 4" xfId="8988" xr:uid="{00000000-0005-0000-0000-000030130000}"/>
    <cellStyle name="Normal 4 2 3 3 2 2 2 4" xfId="3370" xr:uid="{00000000-0005-0000-0000-000031130000}"/>
    <cellStyle name="Normal 4 2 3 3 2 2 2 4 2" xfId="6598" xr:uid="{00000000-0005-0000-0000-000032130000}"/>
    <cellStyle name="Normal 4 2 3 3 2 2 2 4 2 2" xfId="12959" xr:uid="{00000000-0005-0000-0000-000033130000}"/>
    <cellStyle name="Normal 4 2 3 3 2 2 2 4 3" xfId="9780" xr:uid="{00000000-0005-0000-0000-000034130000}"/>
    <cellStyle name="Normal 4 2 3 3 2 2 2 5" xfId="5014" xr:uid="{00000000-0005-0000-0000-000035130000}"/>
    <cellStyle name="Normal 4 2 3 3 2 2 2 5 2" xfId="11375" xr:uid="{00000000-0005-0000-0000-000036130000}"/>
    <cellStyle name="Normal 4 2 3 3 2 2 2 6" xfId="8196" xr:uid="{00000000-0005-0000-0000-000037130000}"/>
    <cellStyle name="Normal 4 2 3 3 2 2 3" xfId="1984" xr:uid="{00000000-0005-0000-0000-000038130000}"/>
    <cellStyle name="Normal 4 2 3 3 2 2 3 2" xfId="2776" xr:uid="{00000000-0005-0000-0000-000039130000}"/>
    <cellStyle name="Normal 4 2 3 3 2 2 3 2 2" xfId="4360" xr:uid="{00000000-0005-0000-0000-00003A130000}"/>
    <cellStyle name="Normal 4 2 3 3 2 2 3 2 2 2" xfId="7588" xr:uid="{00000000-0005-0000-0000-00003B130000}"/>
    <cellStyle name="Normal 4 2 3 3 2 2 3 2 2 2 2" xfId="13949" xr:uid="{00000000-0005-0000-0000-00003C130000}"/>
    <cellStyle name="Normal 4 2 3 3 2 2 3 2 2 3" xfId="10770" xr:uid="{00000000-0005-0000-0000-00003D130000}"/>
    <cellStyle name="Normal 4 2 3 3 2 2 3 2 3" xfId="6004" xr:uid="{00000000-0005-0000-0000-00003E130000}"/>
    <cellStyle name="Normal 4 2 3 3 2 2 3 2 3 2" xfId="12365" xr:uid="{00000000-0005-0000-0000-00003F130000}"/>
    <cellStyle name="Normal 4 2 3 3 2 2 3 2 4" xfId="9186" xr:uid="{00000000-0005-0000-0000-000040130000}"/>
    <cellStyle name="Normal 4 2 3 3 2 2 3 3" xfId="3568" xr:uid="{00000000-0005-0000-0000-000041130000}"/>
    <cellStyle name="Normal 4 2 3 3 2 2 3 3 2" xfId="6796" xr:uid="{00000000-0005-0000-0000-000042130000}"/>
    <cellStyle name="Normal 4 2 3 3 2 2 3 3 2 2" xfId="13157" xr:uid="{00000000-0005-0000-0000-000043130000}"/>
    <cellStyle name="Normal 4 2 3 3 2 2 3 3 3" xfId="9978" xr:uid="{00000000-0005-0000-0000-000044130000}"/>
    <cellStyle name="Normal 4 2 3 3 2 2 3 4" xfId="5212" xr:uid="{00000000-0005-0000-0000-000045130000}"/>
    <cellStyle name="Normal 4 2 3 3 2 2 3 4 2" xfId="11573" xr:uid="{00000000-0005-0000-0000-000046130000}"/>
    <cellStyle name="Normal 4 2 3 3 2 2 3 5" xfId="8394" xr:uid="{00000000-0005-0000-0000-000047130000}"/>
    <cellStyle name="Normal 4 2 3 3 2 2 4" xfId="2380" xr:uid="{00000000-0005-0000-0000-000048130000}"/>
    <cellStyle name="Normal 4 2 3 3 2 2 4 2" xfId="3964" xr:uid="{00000000-0005-0000-0000-000049130000}"/>
    <cellStyle name="Normal 4 2 3 3 2 2 4 2 2" xfId="7192" xr:uid="{00000000-0005-0000-0000-00004A130000}"/>
    <cellStyle name="Normal 4 2 3 3 2 2 4 2 2 2" xfId="13553" xr:uid="{00000000-0005-0000-0000-00004B130000}"/>
    <cellStyle name="Normal 4 2 3 3 2 2 4 2 3" xfId="10374" xr:uid="{00000000-0005-0000-0000-00004C130000}"/>
    <cellStyle name="Normal 4 2 3 3 2 2 4 3" xfId="5608" xr:uid="{00000000-0005-0000-0000-00004D130000}"/>
    <cellStyle name="Normal 4 2 3 3 2 2 4 3 2" xfId="11969" xr:uid="{00000000-0005-0000-0000-00004E130000}"/>
    <cellStyle name="Normal 4 2 3 3 2 2 4 4" xfId="8790" xr:uid="{00000000-0005-0000-0000-00004F130000}"/>
    <cellStyle name="Normal 4 2 3 3 2 2 5" xfId="3172" xr:uid="{00000000-0005-0000-0000-000050130000}"/>
    <cellStyle name="Normal 4 2 3 3 2 2 5 2" xfId="6400" xr:uid="{00000000-0005-0000-0000-000051130000}"/>
    <cellStyle name="Normal 4 2 3 3 2 2 5 2 2" xfId="12761" xr:uid="{00000000-0005-0000-0000-000052130000}"/>
    <cellStyle name="Normal 4 2 3 3 2 2 5 3" xfId="9582" xr:uid="{00000000-0005-0000-0000-000053130000}"/>
    <cellStyle name="Normal 4 2 3 3 2 2 6" xfId="4816" xr:uid="{00000000-0005-0000-0000-000054130000}"/>
    <cellStyle name="Normal 4 2 3 3 2 2 6 2" xfId="11177" xr:uid="{00000000-0005-0000-0000-000055130000}"/>
    <cellStyle name="Normal 4 2 3 3 2 2 7" xfId="7998" xr:uid="{00000000-0005-0000-0000-000056130000}"/>
    <cellStyle name="Normal 4 2 3 3 2 3" xfId="1656" xr:uid="{00000000-0005-0000-0000-000057130000}"/>
    <cellStyle name="Normal 4 2 3 3 2 3 2" xfId="1854" xr:uid="{00000000-0005-0000-0000-000058130000}"/>
    <cellStyle name="Normal 4 2 3 3 2 3 2 2" xfId="2250" xr:uid="{00000000-0005-0000-0000-000059130000}"/>
    <cellStyle name="Normal 4 2 3 3 2 3 2 2 2" xfId="3042" xr:uid="{00000000-0005-0000-0000-00005A130000}"/>
    <cellStyle name="Normal 4 2 3 3 2 3 2 2 2 2" xfId="4626" xr:uid="{00000000-0005-0000-0000-00005B130000}"/>
    <cellStyle name="Normal 4 2 3 3 2 3 2 2 2 2 2" xfId="7854" xr:uid="{00000000-0005-0000-0000-00005C130000}"/>
    <cellStyle name="Normal 4 2 3 3 2 3 2 2 2 2 2 2" xfId="14215" xr:uid="{00000000-0005-0000-0000-00005D130000}"/>
    <cellStyle name="Normal 4 2 3 3 2 3 2 2 2 2 3" xfId="11036" xr:uid="{00000000-0005-0000-0000-00005E130000}"/>
    <cellStyle name="Normal 4 2 3 3 2 3 2 2 2 3" xfId="6270" xr:uid="{00000000-0005-0000-0000-00005F130000}"/>
    <cellStyle name="Normal 4 2 3 3 2 3 2 2 2 3 2" xfId="12631" xr:uid="{00000000-0005-0000-0000-000060130000}"/>
    <cellStyle name="Normal 4 2 3 3 2 3 2 2 2 4" xfId="9452" xr:uid="{00000000-0005-0000-0000-000061130000}"/>
    <cellStyle name="Normal 4 2 3 3 2 3 2 2 3" xfId="3834" xr:uid="{00000000-0005-0000-0000-000062130000}"/>
    <cellStyle name="Normal 4 2 3 3 2 3 2 2 3 2" xfId="7062" xr:uid="{00000000-0005-0000-0000-000063130000}"/>
    <cellStyle name="Normal 4 2 3 3 2 3 2 2 3 2 2" xfId="13423" xr:uid="{00000000-0005-0000-0000-000064130000}"/>
    <cellStyle name="Normal 4 2 3 3 2 3 2 2 3 3" xfId="10244" xr:uid="{00000000-0005-0000-0000-000065130000}"/>
    <cellStyle name="Normal 4 2 3 3 2 3 2 2 4" xfId="5478" xr:uid="{00000000-0005-0000-0000-000066130000}"/>
    <cellStyle name="Normal 4 2 3 3 2 3 2 2 4 2" xfId="11839" xr:uid="{00000000-0005-0000-0000-000067130000}"/>
    <cellStyle name="Normal 4 2 3 3 2 3 2 2 5" xfId="8660" xr:uid="{00000000-0005-0000-0000-000068130000}"/>
    <cellStyle name="Normal 4 2 3 3 2 3 2 3" xfId="2646" xr:uid="{00000000-0005-0000-0000-000069130000}"/>
    <cellStyle name="Normal 4 2 3 3 2 3 2 3 2" xfId="4230" xr:uid="{00000000-0005-0000-0000-00006A130000}"/>
    <cellStyle name="Normal 4 2 3 3 2 3 2 3 2 2" xfId="7458" xr:uid="{00000000-0005-0000-0000-00006B130000}"/>
    <cellStyle name="Normal 4 2 3 3 2 3 2 3 2 2 2" xfId="13819" xr:uid="{00000000-0005-0000-0000-00006C130000}"/>
    <cellStyle name="Normal 4 2 3 3 2 3 2 3 2 3" xfId="10640" xr:uid="{00000000-0005-0000-0000-00006D130000}"/>
    <cellStyle name="Normal 4 2 3 3 2 3 2 3 3" xfId="5874" xr:uid="{00000000-0005-0000-0000-00006E130000}"/>
    <cellStyle name="Normal 4 2 3 3 2 3 2 3 3 2" xfId="12235" xr:uid="{00000000-0005-0000-0000-00006F130000}"/>
    <cellStyle name="Normal 4 2 3 3 2 3 2 3 4" xfId="9056" xr:uid="{00000000-0005-0000-0000-000070130000}"/>
    <cellStyle name="Normal 4 2 3 3 2 3 2 4" xfId="3438" xr:uid="{00000000-0005-0000-0000-000071130000}"/>
    <cellStyle name="Normal 4 2 3 3 2 3 2 4 2" xfId="6666" xr:uid="{00000000-0005-0000-0000-000072130000}"/>
    <cellStyle name="Normal 4 2 3 3 2 3 2 4 2 2" xfId="13027" xr:uid="{00000000-0005-0000-0000-000073130000}"/>
    <cellStyle name="Normal 4 2 3 3 2 3 2 4 3" xfId="9848" xr:uid="{00000000-0005-0000-0000-000074130000}"/>
    <cellStyle name="Normal 4 2 3 3 2 3 2 5" xfId="5082" xr:uid="{00000000-0005-0000-0000-000075130000}"/>
    <cellStyle name="Normal 4 2 3 3 2 3 2 5 2" xfId="11443" xr:uid="{00000000-0005-0000-0000-000076130000}"/>
    <cellStyle name="Normal 4 2 3 3 2 3 2 6" xfId="8264" xr:uid="{00000000-0005-0000-0000-000077130000}"/>
    <cellStyle name="Normal 4 2 3 3 2 3 3" xfId="2052" xr:uid="{00000000-0005-0000-0000-000078130000}"/>
    <cellStyle name="Normal 4 2 3 3 2 3 3 2" xfId="2844" xr:uid="{00000000-0005-0000-0000-000079130000}"/>
    <cellStyle name="Normal 4 2 3 3 2 3 3 2 2" xfId="4428" xr:uid="{00000000-0005-0000-0000-00007A130000}"/>
    <cellStyle name="Normal 4 2 3 3 2 3 3 2 2 2" xfId="7656" xr:uid="{00000000-0005-0000-0000-00007B130000}"/>
    <cellStyle name="Normal 4 2 3 3 2 3 3 2 2 2 2" xfId="14017" xr:uid="{00000000-0005-0000-0000-00007C130000}"/>
    <cellStyle name="Normal 4 2 3 3 2 3 3 2 2 3" xfId="10838" xr:uid="{00000000-0005-0000-0000-00007D130000}"/>
    <cellStyle name="Normal 4 2 3 3 2 3 3 2 3" xfId="6072" xr:uid="{00000000-0005-0000-0000-00007E130000}"/>
    <cellStyle name="Normal 4 2 3 3 2 3 3 2 3 2" xfId="12433" xr:uid="{00000000-0005-0000-0000-00007F130000}"/>
    <cellStyle name="Normal 4 2 3 3 2 3 3 2 4" xfId="9254" xr:uid="{00000000-0005-0000-0000-000080130000}"/>
    <cellStyle name="Normal 4 2 3 3 2 3 3 3" xfId="3636" xr:uid="{00000000-0005-0000-0000-000081130000}"/>
    <cellStyle name="Normal 4 2 3 3 2 3 3 3 2" xfId="6864" xr:uid="{00000000-0005-0000-0000-000082130000}"/>
    <cellStyle name="Normal 4 2 3 3 2 3 3 3 2 2" xfId="13225" xr:uid="{00000000-0005-0000-0000-000083130000}"/>
    <cellStyle name="Normal 4 2 3 3 2 3 3 3 3" xfId="10046" xr:uid="{00000000-0005-0000-0000-000084130000}"/>
    <cellStyle name="Normal 4 2 3 3 2 3 3 4" xfId="5280" xr:uid="{00000000-0005-0000-0000-000085130000}"/>
    <cellStyle name="Normal 4 2 3 3 2 3 3 4 2" xfId="11641" xr:uid="{00000000-0005-0000-0000-000086130000}"/>
    <cellStyle name="Normal 4 2 3 3 2 3 3 5" xfId="8462" xr:uid="{00000000-0005-0000-0000-000087130000}"/>
    <cellStyle name="Normal 4 2 3 3 2 3 4" xfId="2448" xr:uid="{00000000-0005-0000-0000-000088130000}"/>
    <cellStyle name="Normal 4 2 3 3 2 3 4 2" xfId="4032" xr:uid="{00000000-0005-0000-0000-000089130000}"/>
    <cellStyle name="Normal 4 2 3 3 2 3 4 2 2" xfId="7260" xr:uid="{00000000-0005-0000-0000-00008A130000}"/>
    <cellStyle name="Normal 4 2 3 3 2 3 4 2 2 2" xfId="13621" xr:uid="{00000000-0005-0000-0000-00008B130000}"/>
    <cellStyle name="Normal 4 2 3 3 2 3 4 2 3" xfId="10442" xr:uid="{00000000-0005-0000-0000-00008C130000}"/>
    <cellStyle name="Normal 4 2 3 3 2 3 4 3" xfId="5676" xr:uid="{00000000-0005-0000-0000-00008D130000}"/>
    <cellStyle name="Normal 4 2 3 3 2 3 4 3 2" xfId="12037" xr:uid="{00000000-0005-0000-0000-00008E130000}"/>
    <cellStyle name="Normal 4 2 3 3 2 3 4 4" xfId="8858" xr:uid="{00000000-0005-0000-0000-00008F130000}"/>
    <cellStyle name="Normal 4 2 3 3 2 3 5" xfId="3240" xr:uid="{00000000-0005-0000-0000-000090130000}"/>
    <cellStyle name="Normal 4 2 3 3 2 3 5 2" xfId="6468" xr:uid="{00000000-0005-0000-0000-000091130000}"/>
    <cellStyle name="Normal 4 2 3 3 2 3 5 2 2" xfId="12829" xr:uid="{00000000-0005-0000-0000-000092130000}"/>
    <cellStyle name="Normal 4 2 3 3 2 3 5 3" xfId="9650" xr:uid="{00000000-0005-0000-0000-000093130000}"/>
    <cellStyle name="Normal 4 2 3 3 2 3 6" xfId="4884" xr:uid="{00000000-0005-0000-0000-000094130000}"/>
    <cellStyle name="Normal 4 2 3 3 2 3 6 2" xfId="11245" xr:uid="{00000000-0005-0000-0000-000095130000}"/>
    <cellStyle name="Normal 4 2 3 3 2 3 7" xfId="8066" xr:uid="{00000000-0005-0000-0000-000096130000}"/>
    <cellStyle name="Normal 4 2 3 3 2 4" xfId="1721" xr:uid="{00000000-0005-0000-0000-000097130000}"/>
    <cellStyle name="Normal 4 2 3 3 2 4 2" xfId="2117" xr:uid="{00000000-0005-0000-0000-000098130000}"/>
    <cellStyle name="Normal 4 2 3 3 2 4 2 2" xfId="2909" xr:uid="{00000000-0005-0000-0000-000099130000}"/>
    <cellStyle name="Normal 4 2 3 3 2 4 2 2 2" xfId="4493" xr:uid="{00000000-0005-0000-0000-00009A130000}"/>
    <cellStyle name="Normal 4 2 3 3 2 4 2 2 2 2" xfId="7721" xr:uid="{00000000-0005-0000-0000-00009B130000}"/>
    <cellStyle name="Normal 4 2 3 3 2 4 2 2 2 2 2" xfId="14082" xr:uid="{00000000-0005-0000-0000-00009C130000}"/>
    <cellStyle name="Normal 4 2 3 3 2 4 2 2 2 3" xfId="10903" xr:uid="{00000000-0005-0000-0000-00009D130000}"/>
    <cellStyle name="Normal 4 2 3 3 2 4 2 2 3" xfId="6137" xr:uid="{00000000-0005-0000-0000-00009E130000}"/>
    <cellStyle name="Normal 4 2 3 3 2 4 2 2 3 2" xfId="12498" xr:uid="{00000000-0005-0000-0000-00009F130000}"/>
    <cellStyle name="Normal 4 2 3 3 2 4 2 2 4" xfId="9319" xr:uid="{00000000-0005-0000-0000-0000A0130000}"/>
    <cellStyle name="Normal 4 2 3 3 2 4 2 3" xfId="3701" xr:uid="{00000000-0005-0000-0000-0000A1130000}"/>
    <cellStyle name="Normal 4 2 3 3 2 4 2 3 2" xfId="6929" xr:uid="{00000000-0005-0000-0000-0000A2130000}"/>
    <cellStyle name="Normal 4 2 3 3 2 4 2 3 2 2" xfId="13290" xr:uid="{00000000-0005-0000-0000-0000A3130000}"/>
    <cellStyle name="Normal 4 2 3 3 2 4 2 3 3" xfId="10111" xr:uid="{00000000-0005-0000-0000-0000A4130000}"/>
    <cellStyle name="Normal 4 2 3 3 2 4 2 4" xfId="5345" xr:uid="{00000000-0005-0000-0000-0000A5130000}"/>
    <cellStyle name="Normal 4 2 3 3 2 4 2 4 2" xfId="11706" xr:uid="{00000000-0005-0000-0000-0000A6130000}"/>
    <cellStyle name="Normal 4 2 3 3 2 4 2 5" xfId="8527" xr:uid="{00000000-0005-0000-0000-0000A7130000}"/>
    <cellStyle name="Normal 4 2 3 3 2 4 3" xfId="2513" xr:uid="{00000000-0005-0000-0000-0000A8130000}"/>
    <cellStyle name="Normal 4 2 3 3 2 4 3 2" xfId="4097" xr:uid="{00000000-0005-0000-0000-0000A9130000}"/>
    <cellStyle name="Normal 4 2 3 3 2 4 3 2 2" xfId="7325" xr:uid="{00000000-0005-0000-0000-0000AA130000}"/>
    <cellStyle name="Normal 4 2 3 3 2 4 3 2 2 2" xfId="13686" xr:uid="{00000000-0005-0000-0000-0000AB130000}"/>
    <cellStyle name="Normal 4 2 3 3 2 4 3 2 3" xfId="10507" xr:uid="{00000000-0005-0000-0000-0000AC130000}"/>
    <cellStyle name="Normal 4 2 3 3 2 4 3 3" xfId="5741" xr:uid="{00000000-0005-0000-0000-0000AD130000}"/>
    <cellStyle name="Normal 4 2 3 3 2 4 3 3 2" xfId="12102" xr:uid="{00000000-0005-0000-0000-0000AE130000}"/>
    <cellStyle name="Normal 4 2 3 3 2 4 3 4" xfId="8923" xr:uid="{00000000-0005-0000-0000-0000AF130000}"/>
    <cellStyle name="Normal 4 2 3 3 2 4 4" xfId="3305" xr:uid="{00000000-0005-0000-0000-0000B0130000}"/>
    <cellStyle name="Normal 4 2 3 3 2 4 4 2" xfId="6533" xr:uid="{00000000-0005-0000-0000-0000B1130000}"/>
    <cellStyle name="Normal 4 2 3 3 2 4 4 2 2" xfId="12894" xr:uid="{00000000-0005-0000-0000-0000B2130000}"/>
    <cellStyle name="Normal 4 2 3 3 2 4 4 3" xfId="9715" xr:uid="{00000000-0005-0000-0000-0000B3130000}"/>
    <cellStyle name="Normal 4 2 3 3 2 4 5" xfId="4949" xr:uid="{00000000-0005-0000-0000-0000B4130000}"/>
    <cellStyle name="Normal 4 2 3 3 2 4 5 2" xfId="11310" xr:uid="{00000000-0005-0000-0000-0000B5130000}"/>
    <cellStyle name="Normal 4 2 3 3 2 4 6" xfId="8131" xr:uid="{00000000-0005-0000-0000-0000B6130000}"/>
    <cellStyle name="Normal 4 2 3 3 2 5" xfId="1919" xr:uid="{00000000-0005-0000-0000-0000B7130000}"/>
    <cellStyle name="Normal 4 2 3 3 2 5 2" xfId="2711" xr:uid="{00000000-0005-0000-0000-0000B8130000}"/>
    <cellStyle name="Normal 4 2 3 3 2 5 2 2" xfId="4295" xr:uid="{00000000-0005-0000-0000-0000B9130000}"/>
    <cellStyle name="Normal 4 2 3 3 2 5 2 2 2" xfId="7523" xr:uid="{00000000-0005-0000-0000-0000BA130000}"/>
    <cellStyle name="Normal 4 2 3 3 2 5 2 2 2 2" xfId="13884" xr:uid="{00000000-0005-0000-0000-0000BB130000}"/>
    <cellStyle name="Normal 4 2 3 3 2 5 2 2 3" xfId="10705" xr:uid="{00000000-0005-0000-0000-0000BC130000}"/>
    <cellStyle name="Normal 4 2 3 3 2 5 2 3" xfId="5939" xr:uid="{00000000-0005-0000-0000-0000BD130000}"/>
    <cellStyle name="Normal 4 2 3 3 2 5 2 3 2" xfId="12300" xr:uid="{00000000-0005-0000-0000-0000BE130000}"/>
    <cellStyle name="Normal 4 2 3 3 2 5 2 4" xfId="9121" xr:uid="{00000000-0005-0000-0000-0000BF130000}"/>
    <cellStyle name="Normal 4 2 3 3 2 5 3" xfId="3503" xr:uid="{00000000-0005-0000-0000-0000C0130000}"/>
    <cellStyle name="Normal 4 2 3 3 2 5 3 2" xfId="6731" xr:uid="{00000000-0005-0000-0000-0000C1130000}"/>
    <cellStyle name="Normal 4 2 3 3 2 5 3 2 2" xfId="13092" xr:uid="{00000000-0005-0000-0000-0000C2130000}"/>
    <cellStyle name="Normal 4 2 3 3 2 5 3 3" xfId="9913" xr:uid="{00000000-0005-0000-0000-0000C3130000}"/>
    <cellStyle name="Normal 4 2 3 3 2 5 4" xfId="5147" xr:uid="{00000000-0005-0000-0000-0000C4130000}"/>
    <cellStyle name="Normal 4 2 3 3 2 5 4 2" xfId="11508" xr:uid="{00000000-0005-0000-0000-0000C5130000}"/>
    <cellStyle name="Normal 4 2 3 3 2 5 5" xfId="8329" xr:uid="{00000000-0005-0000-0000-0000C6130000}"/>
    <cellStyle name="Normal 4 2 3 3 2 6" xfId="2315" xr:uid="{00000000-0005-0000-0000-0000C7130000}"/>
    <cellStyle name="Normal 4 2 3 3 2 6 2" xfId="3899" xr:uid="{00000000-0005-0000-0000-0000C8130000}"/>
    <cellStyle name="Normal 4 2 3 3 2 6 2 2" xfId="7127" xr:uid="{00000000-0005-0000-0000-0000C9130000}"/>
    <cellStyle name="Normal 4 2 3 3 2 6 2 2 2" xfId="13488" xr:uid="{00000000-0005-0000-0000-0000CA130000}"/>
    <cellStyle name="Normal 4 2 3 3 2 6 2 3" xfId="10309" xr:uid="{00000000-0005-0000-0000-0000CB130000}"/>
    <cellStyle name="Normal 4 2 3 3 2 6 3" xfId="5543" xr:uid="{00000000-0005-0000-0000-0000CC130000}"/>
    <cellStyle name="Normal 4 2 3 3 2 6 3 2" xfId="11904" xr:uid="{00000000-0005-0000-0000-0000CD130000}"/>
    <cellStyle name="Normal 4 2 3 3 2 6 4" xfId="8725" xr:uid="{00000000-0005-0000-0000-0000CE130000}"/>
    <cellStyle name="Normal 4 2 3 3 2 7" xfId="3107" xr:uid="{00000000-0005-0000-0000-0000CF130000}"/>
    <cellStyle name="Normal 4 2 3 3 2 7 2" xfId="6335" xr:uid="{00000000-0005-0000-0000-0000D0130000}"/>
    <cellStyle name="Normal 4 2 3 3 2 7 2 2" xfId="12696" xr:uid="{00000000-0005-0000-0000-0000D1130000}"/>
    <cellStyle name="Normal 4 2 3 3 2 7 3" xfId="9517" xr:uid="{00000000-0005-0000-0000-0000D2130000}"/>
    <cellStyle name="Normal 4 2 3 3 2 8" xfId="4751" xr:uid="{00000000-0005-0000-0000-0000D3130000}"/>
    <cellStyle name="Normal 4 2 3 3 2 8 2" xfId="11112" xr:uid="{00000000-0005-0000-0000-0000D4130000}"/>
    <cellStyle name="Normal 4 2 3 3 2 9" xfId="7933" xr:uid="{00000000-0005-0000-0000-0000D5130000}"/>
    <cellStyle name="Normal 4 2 3 3 3" xfId="1556" xr:uid="{00000000-0005-0000-0000-0000D6130000}"/>
    <cellStyle name="Normal 4 2 3 3 3 2" xfId="1754" xr:uid="{00000000-0005-0000-0000-0000D7130000}"/>
    <cellStyle name="Normal 4 2 3 3 3 2 2" xfId="2150" xr:uid="{00000000-0005-0000-0000-0000D8130000}"/>
    <cellStyle name="Normal 4 2 3 3 3 2 2 2" xfId="2942" xr:uid="{00000000-0005-0000-0000-0000D9130000}"/>
    <cellStyle name="Normal 4 2 3 3 3 2 2 2 2" xfId="4526" xr:uid="{00000000-0005-0000-0000-0000DA130000}"/>
    <cellStyle name="Normal 4 2 3 3 3 2 2 2 2 2" xfId="7754" xr:uid="{00000000-0005-0000-0000-0000DB130000}"/>
    <cellStyle name="Normal 4 2 3 3 3 2 2 2 2 2 2" xfId="14115" xr:uid="{00000000-0005-0000-0000-0000DC130000}"/>
    <cellStyle name="Normal 4 2 3 3 3 2 2 2 2 3" xfId="10936" xr:uid="{00000000-0005-0000-0000-0000DD130000}"/>
    <cellStyle name="Normal 4 2 3 3 3 2 2 2 3" xfId="6170" xr:uid="{00000000-0005-0000-0000-0000DE130000}"/>
    <cellStyle name="Normal 4 2 3 3 3 2 2 2 3 2" xfId="12531" xr:uid="{00000000-0005-0000-0000-0000DF130000}"/>
    <cellStyle name="Normal 4 2 3 3 3 2 2 2 4" xfId="9352" xr:uid="{00000000-0005-0000-0000-0000E0130000}"/>
    <cellStyle name="Normal 4 2 3 3 3 2 2 3" xfId="3734" xr:uid="{00000000-0005-0000-0000-0000E1130000}"/>
    <cellStyle name="Normal 4 2 3 3 3 2 2 3 2" xfId="6962" xr:uid="{00000000-0005-0000-0000-0000E2130000}"/>
    <cellStyle name="Normal 4 2 3 3 3 2 2 3 2 2" xfId="13323" xr:uid="{00000000-0005-0000-0000-0000E3130000}"/>
    <cellStyle name="Normal 4 2 3 3 3 2 2 3 3" xfId="10144" xr:uid="{00000000-0005-0000-0000-0000E4130000}"/>
    <cellStyle name="Normal 4 2 3 3 3 2 2 4" xfId="5378" xr:uid="{00000000-0005-0000-0000-0000E5130000}"/>
    <cellStyle name="Normal 4 2 3 3 3 2 2 4 2" xfId="11739" xr:uid="{00000000-0005-0000-0000-0000E6130000}"/>
    <cellStyle name="Normal 4 2 3 3 3 2 2 5" xfId="8560" xr:uid="{00000000-0005-0000-0000-0000E7130000}"/>
    <cellStyle name="Normal 4 2 3 3 3 2 3" xfId="2546" xr:uid="{00000000-0005-0000-0000-0000E8130000}"/>
    <cellStyle name="Normal 4 2 3 3 3 2 3 2" xfId="4130" xr:uid="{00000000-0005-0000-0000-0000E9130000}"/>
    <cellStyle name="Normal 4 2 3 3 3 2 3 2 2" xfId="7358" xr:uid="{00000000-0005-0000-0000-0000EA130000}"/>
    <cellStyle name="Normal 4 2 3 3 3 2 3 2 2 2" xfId="13719" xr:uid="{00000000-0005-0000-0000-0000EB130000}"/>
    <cellStyle name="Normal 4 2 3 3 3 2 3 2 3" xfId="10540" xr:uid="{00000000-0005-0000-0000-0000EC130000}"/>
    <cellStyle name="Normal 4 2 3 3 3 2 3 3" xfId="5774" xr:uid="{00000000-0005-0000-0000-0000ED130000}"/>
    <cellStyle name="Normal 4 2 3 3 3 2 3 3 2" xfId="12135" xr:uid="{00000000-0005-0000-0000-0000EE130000}"/>
    <cellStyle name="Normal 4 2 3 3 3 2 3 4" xfId="8956" xr:uid="{00000000-0005-0000-0000-0000EF130000}"/>
    <cellStyle name="Normal 4 2 3 3 3 2 4" xfId="3338" xr:uid="{00000000-0005-0000-0000-0000F0130000}"/>
    <cellStyle name="Normal 4 2 3 3 3 2 4 2" xfId="6566" xr:uid="{00000000-0005-0000-0000-0000F1130000}"/>
    <cellStyle name="Normal 4 2 3 3 3 2 4 2 2" xfId="12927" xr:uid="{00000000-0005-0000-0000-0000F2130000}"/>
    <cellStyle name="Normal 4 2 3 3 3 2 4 3" xfId="9748" xr:uid="{00000000-0005-0000-0000-0000F3130000}"/>
    <cellStyle name="Normal 4 2 3 3 3 2 5" xfId="4982" xr:uid="{00000000-0005-0000-0000-0000F4130000}"/>
    <cellStyle name="Normal 4 2 3 3 3 2 5 2" xfId="11343" xr:uid="{00000000-0005-0000-0000-0000F5130000}"/>
    <cellStyle name="Normal 4 2 3 3 3 2 6" xfId="8164" xr:uid="{00000000-0005-0000-0000-0000F6130000}"/>
    <cellStyle name="Normal 4 2 3 3 3 3" xfId="1952" xr:uid="{00000000-0005-0000-0000-0000F7130000}"/>
    <cellStyle name="Normal 4 2 3 3 3 3 2" xfId="2744" xr:uid="{00000000-0005-0000-0000-0000F8130000}"/>
    <cellStyle name="Normal 4 2 3 3 3 3 2 2" xfId="4328" xr:uid="{00000000-0005-0000-0000-0000F9130000}"/>
    <cellStyle name="Normal 4 2 3 3 3 3 2 2 2" xfId="7556" xr:uid="{00000000-0005-0000-0000-0000FA130000}"/>
    <cellStyle name="Normal 4 2 3 3 3 3 2 2 2 2" xfId="13917" xr:uid="{00000000-0005-0000-0000-0000FB130000}"/>
    <cellStyle name="Normal 4 2 3 3 3 3 2 2 3" xfId="10738" xr:uid="{00000000-0005-0000-0000-0000FC130000}"/>
    <cellStyle name="Normal 4 2 3 3 3 3 2 3" xfId="5972" xr:uid="{00000000-0005-0000-0000-0000FD130000}"/>
    <cellStyle name="Normal 4 2 3 3 3 3 2 3 2" xfId="12333" xr:uid="{00000000-0005-0000-0000-0000FE130000}"/>
    <cellStyle name="Normal 4 2 3 3 3 3 2 4" xfId="9154" xr:uid="{00000000-0005-0000-0000-0000FF130000}"/>
    <cellStyle name="Normal 4 2 3 3 3 3 3" xfId="3536" xr:uid="{00000000-0005-0000-0000-000000140000}"/>
    <cellStyle name="Normal 4 2 3 3 3 3 3 2" xfId="6764" xr:uid="{00000000-0005-0000-0000-000001140000}"/>
    <cellStyle name="Normal 4 2 3 3 3 3 3 2 2" xfId="13125" xr:uid="{00000000-0005-0000-0000-000002140000}"/>
    <cellStyle name="Normal 4 2 3 3 3 3 3 3" xfId="9946" xr:uid="{00000000-0005-0000-0000-000003140000}"/>
    <cellStyle name="Normal 4 2 3 3 3 3 4" xfId="5180" xr:uid="{00000000-0005-0000-0000-000004140000}"/>
    <cellStyle name="Normal 4 2 3 3 3 3 4 2" xfId="11541" xr:uid="{00000000-0005-0000-0000-000005140000}"/>
    <cellStyle name="Normal 4 2 3 3 3 3 5" xfId="8362" xr:uid="{00000000-0005-0000-0000-000006140000}"/>
    <cellStyle name="Normal 4 2 3 3 3 4" xfId="2348" xr:uid="{00000000-0005-0000-0000-000007140000}"/>
    <cellStyle name="Normal 4 2 3 3 3 4 2" xfId="3932" xr:uid="{00000000-0005-0000-0000-000008140000}"/>
    <cellStyle name="Normal 4 2 3 3 3 4 2 2" xfId="7160" xr:uid="{00000000-0005-0000-0000-000009140000}"/>
    <cellStyle name="Normal 4 2 3 3 3 4 2 2 2" xfId="13521" xr:uid="{00000000-0005-0000-0000-00000A140000}"/>
    <cellStyle name="Normal 4 2 3 3 3 4 2 3" xfId="10342" xr:uid="{00000000-0005-0000-0000-00000B140000}"/>
    <cellStyle name="Normal 4 2 3 3 3 4 3" xfId="5576" xr:uid="{00000000-0005-0000-0000-00000C140000}"/>
    <cellStyle name="Normal 4 2 3 3 3 4 3 2" xfId="11937" xr:uid="{00000000-0005-0000-0000-00000D140000}"/>
    <cellStyle name="Normal 4 2 3 3 3 4 4" xfId="8758" xr:uid="{00000000-0005-0000-0000-00000E140000}"/>
    <cellStyle name="Normal 4 2 3 3 3 5" xfId="3140" xr:uid="{00000000-0005-0000-0000-00000F140000}"/>
    <cellStyle name="Normal 4 2 3 3 3 5 2" xfId="6368" xr:uid="{00000000-0005-0000-0000-000010140000}"/>
    <cellStyle name="Normal 4 2 3 3 3 5 2 2" xfId="12729" xr:uid="{00000000-0005-0000-0000-000011140000}"/>
    <cellStyle name="Normal 4 2 3 3 3 5 3" xfId="9550" xr:uid="{00000000-0005-0000-0000-000012140000}"/>
    <cellStyle name="Normal 4 2 3 3 3 6" xfId="4784" xr:uid="{00000000-0005-0000-0000-000013140000}"/>
    <cellStyle name="Normal 4 2 3 3 3 6 2" xfId="11145" xr:uid="{00000000-0005-0000-0000-000014140000}"/>
    <cellStyle name="Normal 4 2 3 3 3 7" xfId="7966" xr:uid="{00000000-0005-0000-0000-000015140000}"/>
    <cellStyle name="Normal 4 2 3 3 4" xfId="1624" xr:uid="{00000000-0005-0000-0000-000016140000}"/>
    <cellStyle name="Normal 4 2 3 3 4 2" xfId="1822" xr:uid="{00000000-0005-0000-0000-000017140000}"/>
    <cellStyle name="Normal 4 2 3 3 4 2 2" xfId="2218" xr:uid="{00000000-0005-0000-0000-000018140000}"/>
    <cellStyle name="Normal 4 2 3 3 4 2 2 2" xfId="3010" xr:uid="{00000000-0005-0000-0000-000019140000}"/>
    <cellStyle name="Normal 4 2 3 3 4 2 2 2 2" xfId="4594" xr:uid="{00000000-0005-0000-0000-00001A140000}"/>
    <cellStyle name="Normal 4 2 3 3 4 2 2 2 2 2" xfId="7822" xr:uid="{00000000-0005-0000-0000-00001B140000}"/>
    <cellStyle name="Normal 4 2 3 3 4 2 2 2 2 2 2" xfId="14183" xr:uid="{00000000-0005-0000-0000-00001C140000}"/>
    <cellStyle name="Normal 4 2 3 3 4 2 2 2 2 3" xfId="11004" xr:uid="{00000000-0005-0000-0000-00001D140000}"/>
    <cellStyle name="Normal 4 2 3 3 4 2 2 2 3" xfId="6238" xr:uid="{00000000-0005-0000-0000-00001E140000}"/>
    <cellStyle name="Normal 4 2 3 3 4 2 2 2 3 2" xfId="12599" xr:uid="{00000000-0005-0000-0000-00001F140000}"/>
    <cellStyle name="Normal 4 2 3 3 4 2 2 2 4" xfId="9420" xr:uid="{00000000-0005-0000-0000-000020140000}"/>
    <cellStyle name="Normal 4 2 3 3 4 2 2 3" xfId="3802" xr:uid="{00000000-0005-0000-0000-000021140000}"/>
    <cellStyle name="Normal 4 2 3 3 4 2 2 3 2" xfId="7030" xr:uid="{00000000-0005-0000-0000-000022140000}"/>
    <cellStyle name="Normal 4 2 3 3 4 2 2 3 2 2" xfId="13391" xr:uid="{00000000-0005-0000-0000-000023140000}"/>
    <cellStyle name="Normal 4 2 3 3 4 2 2 3 3" xfId="10212" xr:uid="{00000000-0005-0000-0000-000024140000}"/>
    <cellStyle name="Normal 4 2 3 3 4 2 2 4" xfId="5446" xr:uid="{00000000-0005-0000-0000-000025140000}"/>
    <cellStyle name="Normal 4 2 3 3 4 2 2 4 2" xfId="11807" xr:uid="{00000000-0005-0000-0000-000026140000}"/>
    <cellStyle name="Normal 4 2 3 3 4 2 2 5" xfId="8628" xr:uid="{00000000-0005-0000-0000-000027140000}"/>
    <cellStyle name="Normal 4 2 3 3 4 2 3" xfId="2614" xr:uid="{00000000-0005-0000-0000-000028140000}"/>
    <cellStyle name="Normal 4 2 3 3 4 2 3 2" xfId="4198" xr:uid="{00000000-0005-0000-0000-000029140000}"/>
    <cellStyle name="Normal 4 2 3 3 4 2 3 2 2" xfId="7426" xr:uid="{00000000-0005-0000-0000-00002A140000}"/>
    <cellStyle name="Normal 4 2 3 3 4 2 3 2 2 2" xfId="13787" xr:uid="{00000000-0005-0000-0000-00002B140000}"/>
    <cellStyle name="Normal 4 2 3 3 4 2 3 2 3" xfId="10608" xr:uid="{00000000-0005-0000-0000-00002C140000}"/>
    <cellStyle name="Normal 4 2 3 3 4 2 3 3" xfId="5842" xr:uid="{00000000-0005-0000-0000-00002D140000}"/>
    <cellStyle name="Normal 4 2 3 3 4 2 3 3 2" xfId="12203" xr:uid="{00000000-0005-0000-0000-00002E140000}"/>
    <cellStyle name="Normal 4 2 3 3 4 2 3 4" xfId="9024" xr:uid="{00000000-0005-0000-0000-00002F140000}"/>
    <cellStyle name="Normal 4 2 3 3 4 2 4" xfId="3406" xr:uid="{00000000-0005-0000-0000-000030140000}"/>
    <cellStyle name="Normal 4 2 3 3 4 2 4 2" xfId="6634" xr:uid="{00000000-0005-0000-0000-000031140000}"/>
    <cellStyle name="Normal 4 2 3 3 4 2 4 2 2" xfId="12995" xr:uid="{00000000-0005-0000-0000-000032140000}"/>
    <cellStyle name="Normal 4 2 3 3 4 2 4 3" xfId="9816" xr:uid="{00000000-0005-0000-0000-000033140000}"/>
    <cellStyle name="Normal 4 2 3 3 4 2 5" xfId="5050" xr:uid="{00000000-0005-0000-0000-000034140000}"/>
    <cellStyle name="Normal 4 2 3 3 4 2 5 2" xfId="11411" xr:uid="{00000000-0005-0000-0000-000035140000}"/>
    <cellStyle name="Normal 4 2 3 3 4 2 6" xfId="8232" xr:uid="{00000000-0005-0000-0000-000036140000}"/>
    <cellStyle name="Normal 4 2 3 3 4 3" xfId="2020" xr:uid="{00000000-0005-0000-0000-000037140000}"/>
    <cellStyle name="Normal 4 2 3 3 4 3 2" xfId="2812" xr:uid="{00000000-0005-0000-0000-000038140000}"/>
    <cellStyle name="Normal 4 2 3 3 4 3 2 2" xfId="4396" xr:uid="{00000000-0005-0000-0000-000039140000}"/>
    <cellStyle name="Normal 4 2 3 3 4 3 2 2 2" xfId="7624" xr:uid="{00000000-0005-0000-0000-00003A140000}"/>
    <cellStyle name="Normal 4 2 3 3 4 3 2 2 2 2" xfId="13985" xr:uid="{00000000-0005-0000-0000-00003B140000}"/>
    <cellStyle name="Normal 4 2 3 3 4 3 2 2 3" xfId="10806" xr:uid="{00000000-0005-0000-0000-00003C140000}"/>
    <cellStyle name="Normal 4 2 3 3 4 3 2 3" xfId="6040" xr:uid="{00000000-0005-0000-0000-00003D140000}"/>
    <cellStyle name="Normal 4 2 3 3 4 3 2 3 2" xfId="12401" xr:uid="{00000000-0005-0000-0000-00003E140000}"/>
    <cellStyle name="Normal 4 2 3 3 4 3 2 4" xfId="9222" xr:uid="{00000000-0005-0000-0000-00003F140000}"/>
    <cellStyle name="Normal 4 2 3 3 4 3 3" xfId="3604" xr:uid="{00000000-0005-0000-0000-000040140000}"/>
    <cellStyle name="Normal 4 2 3 3 4 3 3 2" xfId="6832" xr:uid="{00000000-0005-0000-0000-000041140000}"/>
    <cellStyle name="Normal 4 2 3 3 4 3 3 2 2" xfId="13193" xr:uid="{00000000-0005-0000-0000-000042140000}"/>
    <cellStyle name="Normal 4 2 3 3 4 3 3 3" xfId="10014" xr:uid="{00000000-0005-0000-0000-000043140000}"/>
    <cellStyle name="Normal 4 2 3 3 4 3 4" xfId="5248" xr:uid="{00000000-0005-0000-0000-000044140000}"/>
    <cellStyle name="Normal 4 2 3 3 4 3 4 2" xfId="11609" xr:uid="{00000000-0005-0000-0000-000045140000}"/>
    <cellStyle name="Normal 4 2 3 3 4 3 5" xfId="8430" xr:uid="{00000000-0005-0000-0000-000046140000}"/>
    <cellStyle name="Normal 4 2 3 3 4 4" xfId="2416" xr:uid="{00000000-0005-0000-0000-000047140000}"/>
    <cellStyle name="Normal 4 2 3 3 4 4 2" xfId="4000" xr:uid="{00000000-0005-0000-0000-000048140000}"/>
    <cellStyle name="Normal 4 2 3 3 4 4 2 2" xfId="7228" xr:uid="{00000000-0005-0000-0000-000049140000}"/>
    <cellStyle name="Normal 4 2 3 3 4 4 2 2 2" xfId="13589" xr:uid="{00000000-0005-0000-0000-00004A140000}"/>
    <cellStyle name="Normal 4 2 3 3 4 4 2 3" xfId="10410" xr:uid="{00000000-0005-0000-0000-00004B140000}"/>
    <cellStyle name="Normal 4 2 3 3 4 4 3" xfId="5644" xr:uid="{00000000-0005-0000-0000-00004C140000}"/>
    <cellStyle name="Normal 4 2 3 3 4 4 3 2" xfId="12005" xr:uid="{00000000-0005-0000-0000-00004D140000}"/>
    <cellStyle name="Normal 4 2 3 3 4 4 4" xfId="8826" xr:uid="{00000000-0005-0000-0000-00004E140000}"/>
    <cellStyle name="Normal 4 2 3 3 4 5" xfId="3208" xr:uid="{00000000-0005-0000-0000-00004F140000}"/>
    <cellStyle name="Normal 4 2 3 3 4 5 2" xfId="6436" xr:uid="{00000000-0005-0000-0000-000050140000}"/>
    <cellStyle name="Normal 4 2 3 3 4 5 2 2" xfId="12797" xr:uid="{00000000-0005-0000-0000-000051140000}"/>
    <cellStyle name="Normal 4 2 3 3 4 5 3" xfId="9618" xr:uid="{00000000-0005-0000-0000-000052140000}"/>
    <cellStyle name="Normal 4 2 3 3 4 6" xfId="4852" xr:uid="{00000000-0005-0000-0000-000053140000}"/>
    <cellStyle name="Normal 4 2 3 3 4 6 2" xfId="11213" xr:uid="{00000000-0005-0000-0000-000054140000}"/>
    <cellStyle name="Normal 4 2 3 3 4 7" xfId="8034" xr:uid="{00000000-0005-0000-0000-000055140000}"/>
    <cellStyle name="Normal 4 2 3 3 5" xfId="1689" xr:uid="{00000000-0005-0000-0000-000056140000}"/>
    <cellStyle name="Normal 4 2 3 3 5 2" xfId="2085" xr:uid="{00000000-0005-0000-0000-000057140000}"/>
    <cellStyle name="Normal 4 2 3 3 5 2 2" xfId="2877" xr:uid="{00000000-0005-0000-0000-000058140000}"/>
    <cellStyle name="Normal 4 2 3 3 5 2 2 2" xfId="4461" xr:uid="{00000000-0005-0000-0000-000059140000}"/>
    <cellStyle name="Normal 4 2 3 3 5 2 2 2 2" xfId="7689" xr:uid="{00000000-0005-0000-0000-00005A140000}"/>
    <cellStyle name="Normal 4 2 3 3 5 2 2 2 2 2" xfId="14050" xr:uid="{00000000-0005-0000-0000-00005B140000}"/>
    <cellStyle name="Normal 4 2 3 3 5 2 2 2 3" xfId="10871" xr:uid="{00000000-0005-0000-0000-00005C140000}"/>
    <cellStyle name="Normal 4 2 3 3 5 2 2 3" xfId="6105" xr:uid="{00000000-0005-0000-0000-00005D140000}"/>
    <cellStyle name="Normal 4 2 3 3 5 2 2 3 2" xfId="12466" xr:uid="{00000000-0005-0000-0000-00005E140000}"/>
    <cellStyle name="Normal 4 2 3 3 5 2 2 4" xfId="9287" xr:uid="{00000000-0005-0000-0000-00005F140000}"/>
    <cellStyle name="Normal 4 2 3 3 5 2 3" xfId="3669" xr:uid="{00000000-0005-0000-0000-000060140000}"/>
    <cellStyle name="Normal 4 2 3 3 5 2 3 2" xfId="6897" xr:uid="{00000000-0005-0000-0000-000061140000}"/>
    <cellStyle name="Normal 4 2 3 3 5 2 3 2 2" xfId="13258" xr:uid="{00000000-0005-0000-0000-000062140000}"/>
    <cellStyle name="Normal 4 2 3 3 5 2 3 3" xfId="10079" xr:uid="{00000000-0005-0000-0000-000063140000}"/>
    <cellStyle name="Normal 4 2 3 3 5 2 4" xfId="5313" xr:uid="{00000000-0005-0000-0000-000064140000}"/>
    <cellStyle name="Normal 4 2 3 3 5 2 4 2" xfId="11674" xr:uid="{00000000-0005-0000-0000-000065140000}"/>
    <cellStyle name="Normal 4 2 3 3 5 2 5" xfId="8495" xr:uid="{00000000-0005-0000-0000-000066140000}"/>
    <cellStyle name="Normal 4 2 3 3 5 3" xfId="2481" xr:uid="{00000000-0005-0000-0000-000067140000}"/>
    <cellStyle name="Normal 4 2 3 3 5 3 2" xfId="4065" xr:uid="{00000000-0005-0000-0000-000068140000}"/>
    <cellStyle name="Normal 4 2 3 3 5 3 2 2" xfId="7293" xr:uid="{00000000-0005-0000-0000-000069140000}"/>
    <cellStyle name="Normal 4 2 3 3 5 3 2 2 2" xfId="13654" xr:uid="{00000000-0005-0000-0000-00006A140000}"/>
    <cellStyle name="Normal 4 2 3 3 5 3 2 3" xfId="10475" xr:uid="{00000000-0005-0000-0000-00006B140000}"/>
    <cellStyle name="Normal 4 2 3 3 5 3 3" xfId="5709" xr:uid="{00000000-0005-0000-0000-00006C140000}"/>
    <cellStyle name="Normal 4 2 3 3 5 3 3 2" xfId="12070" xr:uid="{00000000-0005-0000-0000-00006D140000}"/>
    <cellStyle name="Normal 4 2 3 3 5 3 4" xfId="8891" xr:uid="{00000000-0005-0000-0000-00006E140000}"/>
    <cellStyle name="Normal 4 2 3 3 5 4" xfId="3273" xr:uid="{00000000-0005-0000-0000-00006F140000}"/>
    <cellStyle name="Normal 4 2 3 3 5 4 2" xfId="6501" xr:uid="{00000000-0005-0000-0000-000070140000}"/>
    <cellStyle name="Normal 4 2 3 3 5 4 2 2" xfId="12862" xr:uid="{00000000-0005-0000-0000-000071140000}"/>
    <cellStyle name="Normal 4 2 3 3 5 4 3" xfId="9683" xr:uid="{00000000-0005-0000-0000-000072140000}"/>
    <cellStyle name="Normal 4 2 3 3 5 5" xfId="4917" xr:uid="{00000000-0005-0000-0000-000073140000}"/>
    <cellStyle name="Normal 4 2 3 3 5 5 2" xfId="11278" xr:uid="{00000000-0005-0000-0000-000074140000}"/>
    <cellStyle name="Normal 4 2 3 3 5 6" xfId="8099" xr:uid="{00000000-0005-0000-0000-000075140000}"/>
    <cellStyle name="Normal 4 2 3 3 6" xfId="1887" xr:uid="{00000000-0005-0000-0000-000076140000}"/>
    <cellStyle name="Normal 4 2 3 3 6 2" xfId="2679" xr:uid="{00000000-0005-0000-0000-000077140000}"/>
    <cellStyle name="Normal 4 2 3 3 6 2 2" xfId="4263" xr:uid="{00000000-0005-0000-0000-000078140000}"/>
    <cellStyle name="Normal 4 2 3 3 6 2 2 2" xfId="7491" xr:uid="{00000000-0005-0000-0000-000079140000}"/>
    <cellStyle name="Normal 4 2 3 3 6 2 2 2 2" xfId="13852" xr:uid="{00000000-0005-0000-0000-00007A140000}"/>
    <cellStyle name="Normal 4 2 3 3 6 2 2 3" xfId="10673" xr:uid="{00000000-0005-0000-0000-00007B140000}"/>
    <cellStyle name="Normal 4 2 3 3 6 2 3" xfId="5907" xr:uid="{00000000-0005-0000-0000-00007C140000}"/>
    <cellStyle name="Normal 4 2 3 3 6 2 3 2" xfId="12268" xr:uid="{00000000-0005-0000-0000-00007D140000}"/>
    <cellStyle name="Normal 4 2 3 3 6 2 4" xfId="9089" xr:uid="{00000000-0005-0000-0000-00007E140000}"/>
    <cellStyle name="Normal 4 2 3 3 6 3" xfId="3471" xr:uid="{00000000-0005-0000-0000-00007F140000}"/>
    <cellStyle name="Normal 4 2 3 3 6 3 2" xfId="6699" xr:uid="{00000000-0005-0000-0000-000080140000}"/>
    <cellStyle name="Normal 4 2 3 3 6 3 2 2" xfId="13060" xr:uid="{00000000-0005-0000-0000-000081140000}"/>
    <cellStyle name="Normal 4 2 3 3 6 3 3" xfId="9881" xr:uid="{00000000-0005-0000-0000-000082140000}"/>
    <cellStyle name="Normal 4 2 3 3 6 4" xfId="5115" xr:uid="{00000000-0005-0000-0000-000083140000}"/>
    <cellStyle name="Normal 4 2 3 3 6 4 2" xfId="11476" xr:uid="{00000000-0005-0000-0000-000084140000}"/>
    <cellStyle name="Normal 4 2 3 3 6 5" xfId="8297" xr:uid="{00000000-0005-0000-0000-000085140000}"/>
    <cellStyle name="Normal 4 2 3 3 7" xfId="2283" xr:uid="{00000000-0005-0000-0000-000086140000}"/>
    <cellStyle name="Normal 4 2 3 3 7 2" xfId="3867" xr:uid="{00000000-0005-0000-0000-000087140000}"/>
    <cellStyle name="Normal 4 2 3 3 7 2 2" xfId="7095" xr:uid="{00000000-0005-0000-0000-000088140000}"/>
    <cellStyle name="Normal 4 2 3 3 7 2 2 2" xfId="13456" xr:uid="{00000000-0005-0000-0000-000089140000}"/>
    <cellStyle name="Normal 4 2 3 3 7 2 3" xfId="10277" xr:uid="{00000000-0005-0000-0000-00008A140000}"/>
    <cellStyle name="Normal 4 2 3 3 7 3" xfId="5511" xr:uid="{00000000-0005-0000-0000-00008B140000}"/>
    <cellStyle name="Normal 4 2 3 3 7 3 2" xfId="11872" xr:uid="{00000000-0005-0000-0000-00008C140000}"/>
    <cellStyle name="Normal 4 2 3 3 7 4" xfId="8693" xr:uid="{00000000-0005-0000-0000-00008D140000}"/>
    <cellStyle name="Normal 4 2 3 3 8" xfId="3075" xr:uid="{00000000-0005-0000-0000-00008E140000}"/>
    <cellStyle name="Normal 4 2 3 3 8 2" xfId="6303" xr:uid="{00000000-0005-0000-0000-00008F140000}"/>
    <cellStyle name="Normal 4 2 3 3 8 2 2" xfId="12664" xr:uid="{00000000-0005-0000-0000-000090140000}"/>
    <cellStyle name="Normal 4 2 3 3 8 3" xfId="9485" xr:uid="{00000000-0005-0000-0000-000091140000}"/>
    <cellStyle name="Normal 4 2 3 3 9" xfId="4719" xr:uid="{00000000-0005-0000-0000-000092140000}"/>
    <cellStyle name="Normal 4 2 3 3 9 2" xfId="11080" xr:uid="{00000000-0005-0000-0000-000093140000}"/>
    <cellStyle name="Normal 4 2 3 4" xfId="1460" xr:uid="{00000000-0005-0000-0000-000094140000}"/>
    <cellStyle name="Normal 4 2 3 4 2" xfId="1572" xr:uid="{00000000-0005-0000-0000-000095140000}"/>
    <cellStyle name="Normal 4 2 3 4 2 2" xfId="1770" xr:uid="{00000000-0005-0000-0000-000096140000}"/>
    <cellStyle name="Normal 4 2 3 4 2 2 2" xfId="2166" xr:uid="{00000000-0005-0000-0000-000097140000}"/>
    <cellStyle name="Normal 4 2 3 4 2 2 2 2" xfId="2958" xr:uid="{00000000-0005-0000-0000-000098140000}"/>
    <cellStyle name="Normal 4 2 3 4 2 2 2 2 2" xfId="4542" xr:uid="{00000000-0005-0000-0000-000099140000}"/>
    <cellStyle name="Normal 4 2 3 4 2 2 2 2 2 2" xfId="7770" xr:uid="{00000000-0005-0000-0000-00009A140000}"/>
    <cellStyle name="Normal 4 2 3 4 2 2 2 2 2 2 2" xfId="14131" xr:uid="{00000000-0005-0000-0000-00009B140000}"/>
    <cellStyle name="Normal 4 2 3 4 2 2 2 2 2 3" xfId="10952" xr:uid="{00000000-0005-0000-0000-00009C140000}"/>
    <cellStyle name="Normal 4 2 3 4 2 2 2 2 3" xfId="6186" xr:uid="{00000000-0005-0000-0000-00009D140000}"/>
    <cellStyle name="Normal 4 2 3 4 2 2 2 2 3 2" xfId="12547" xr:uid="{00000000-0005-0000-0000-00009E140000}"/>
    <cellStyle name="Normal 4 2 3 4 2 2 2 2 4" xfId="9368" xr:uid="{00000000-0005-0000-0000-00009F140000}"/>
    <cellStyle name="Normal 4 2 3 4 2 2 2 3" xfId="3750" xr:uid="{00000000-0005-0000-0000-0000A0140000}"/>
    <cellStyle name="Normal 4 2 3 4 2 2 2 3 2" xfId="6978" xr:uid="{00000000-0005-0000-0000-0000A1140000}"/>
    <cellStyle name="Normal 4 2 3 4 2 2 2 3 2 2" xfId="13339" xr:uid="{00000000-0005-0000-0000-0000A2140000}"/>
    <cellStyle name="Normal 4 2 3 4 2 2 2 3 3" xfId="10160" xr:uid="{00000000-0005-0000-0000-0000A3140000}"/>
    <cellStyle name="Normal 4 2 3 4 2 2 2 4" xfId="5394" xr:uid="{00000000-0005-0000-0000-0000A4140000}"/>
    <cellStyle name="Normal 4 2 3 4 2 2 2 4 2" xfId="11755" xr:uid="{00000000-0005-0000-0000-0000A5140000}"/>
    <cellStyle name="Normal 4 2 3 4 2 2 2 5" xfId="8576" xr:uid="{00000000-0005-0000-0000-0000A6140000}"/>
    <cellStyle name="Normal 4 2 3 4 2 2 3" xfId="2562" xr:uid="{00000000-0005-0000-0000-0000A7140000}"/>
    <cellStyle name="Normal 4 2 3 4 2 2 3 2" xfId="4146" xr:uid="{00000000-0005-0000-0000-0000A8140000}"/>
    <cellStyle name="Normal 4 2 3 4 2 2 3 2 2" xfId="7374" xr:uid="{00000000-0005-0000-0000-0000A9140000}"/>
    <cellStyle name="Normal 4 2 3 4 2 2 3 2 2 2" xfId="13735" xr:uid="{00000000-0005-0000-0000-0000AA140000}"/>
    <cellStyle name="Normal 4 2 3 4 2 2 3 2 3" xfId="10556" xr:uid="{00000000-0005-0000-0000-0000AB140000}"/>
    <cellStyle name="Normal 4 2 3 4 2 2 3 3" xfId="5790" xr:uid="{00000000-0005-0000-0000-0000AC140000}"/>
    <cellStyle name="Normal 4 2 3 4 2 2 3 3 2" xfId="12151" xr:uid="{00000000-0005-0000-0000-0000AD140000}"/>
    <cellStyle name="Normal 4 2 3 4 2 2 3 4" xfId="8972" xr:uid="{00000000-0005-0000-0000-0000AE140000}"/>
    <cellStyle name="Normal 4 2 3 4 2 2 4" xfId="3354" xr:uid="{00000000-0005-0000-0000-0000AF140000}"/>
    <cellStyle name="Normal 4 2 3 4 2 2 4 2" xfId="6582" xr:uid="{00000000-0005-0000-0000-0000B0140000}"/>
    <cellStyle name="Normal 4 2 3 4 2 2 4 2 2" xfId="12943" xr:uid="{00000000-0005-0000-0000-0000B1140000}"/>
    <cellStyle name="Normal 4 2 3 4 2 2 4 3" xfId="9764" xr:uid="{00000000-0005-0000-0000-0000B2140000}"/>
    <cellStyle name="Normal 4 2 3 4 2 2 5" xfId="4998" xr:uid="{00000000-0005-0000-0000-0000B3140000}"/>
    <cellStyle name="Normal 4 2 3 4 2 2 5 2" xfId="11359" xr:uid="{00000000-0005-0000-0000-0000B4140000}"/>
    <cellStyle name="Normal 4 2 3 4 2 2 6" xfId="8180" xr:uid="{00000000-0005-0000-0000-0000B5140000}"/>
    <cellStyle name="Normal 4 2 3 4 2 3" xfId="1968" xr:uid="{00000000-0005-0000-0000-0000B6140000}"/>
    <cellStyle name="Normal 4 2 3 4 2 3 2" xfId="2760" xr:uid="{00000000-0005-0000-0000-0000B7140000}"/>
    <cellStyle name="Normal 4 2 3 4 2 3 2 2" xfId="4344" xr:uid="{00000000-0005-0000-0000-0000B8140000}"/>
    <cellStyle name="Normal 4 2 3 4 2 3 2 2 2" xfId="7572" xr:uid="{00000000-0005-0000-0000-0000B9140000}"/>
    <cellStyle name="Normal 4 2 3 4 2 3 2 2 2 2" xfId="13933" xr:uid="{00000000-0005-0000-0000-0000BA140000}"/>
    <cellStyle name="Normal 4 2 3 4 2 3 2 2 3" xfId="10754" xr:uid="{00000000-0005-0000-0000-0000BB140000}"/>
    <cellStyle name="Normal 4 2 3 4 2 3 2 3" xfId="5988" xr:uid="{00000000-0005-0000-0000-0000BC140000}"/>
    <cellStyle name="Normal 4 2 3 4 2 3 2 3 2" xfId="12349" xr:uid="{00000000-0005-0000-0000-0000BD140000}"/>
    <cellStyle name="Normal 4 2 3 4 2 3 2 4" xfId="9170" xr:uid="{00000000-0005-0000-0000-0000BE140000}"/>
    <cellStyle name="Normal 4 2 3 4 2 3 3" xfId="3552" xr:uid="{00000000-0005-0000-0000-0000BF140000}"/>
    <cellStyle name="Normal 4 2 3 4 2 3 3 2" xfId="6780" xr:uid="{00000000-0005-0000-0000-0000C0140000}"/>
    <cellStyle name="Normal 4 2 3 4 2 3 3 2 2" xfId="13141" xr:uid="{00000000-0005-0000-0000-0000C1140000}"/>
    <cellStyle name="Normal 4 2 3 4 2 3 3 3" xfId="9962" xr:uid="{00000000-0005-0000-0000-0000C2140000}"/>
    <cellStyle name="Normal 4 2 3 4 2 3 4" xfId="5196" xr:uid="{00000000-0005-0000-0000-0000C3140000}"/>
    <cellStyle name="Normal 4 2 3 4 2 3 4 2" xfId="11557" xr:uid="{00000000-0005-0000-0000-0000C4140000}"/>
    <cellStyle name="Normal 4 2 3 4 2 3 5" xfId="8378" xr:uid="{00000000-0005-0000-0000-0000C5140000}"/>
    <cellStyle name="Normal 4 2 3 4 2 4" xfId="2364" xr:uid="{00000000-0005-0000-0000-0000C6140000}"/>
    <cellStyle name="Normal 4 2 3 4 2 4 2" xfId="3948" xr:uid="{00000000-0005-0000-0000-0000C7140000}"/>
    <cellStyle name="Normal 4 2 3 4 2 4 2 2" xfId="7176" xr:uid="{00000000-0005-0000-0000-0000C8140000}"/>
    <cellStyle name="Normal 4 2 3 4 2 4 2 2 2" xfId="13537" xr:uid="{00000000-0005-0000-0000-0000C9140000}"/>
    <cellStyle name="Normal 4 2 3 4 2 4 2 3" xfId="10358" xr:uid="{00000000-0005-0000-0000-0000CA140000}"/>
    <cellStyle name="Normal 4 2 3 4 2 4 3" xfId="5592" xr:uid="{00000000-0005-0000-0000-0000CB140000}"/>
    <cellStyle name="Normal 4 2 3 4 2 4 3 2" xfId="11953" xr:uid="{00000000-0005-0000-0000-0000CC140000}"/>
    <cellStyle name="Normal 4 2 3 4 2 4 4" xfId="8774" xr:uid="{00000000-0005-0000-0000-0000CD140000}"/>
    <cellStyle name="Normal 4 2 3 4 2 5" xfId="3156" xr:uid="{00000000-0005-0000-0000-0000CE140000}"/>
    <cellStyle name="Normal 4 2 3 4 2 5 2" xfId="6384" xr:uid="{00000000-0005-0000-0000-0000CF140000}"/>
    <cellStyle name="Normal 4 2 3 4 2 5 2 2" xfId="12745" xr:uid="{00000000-0005-0000-0000-0000D0140000}"/>
    <cellStyle name="Normal 4 2 3 4 2 5 3" xfId="9566" xr:uid="{00000000-0005-0000-0000-0000D1140000}"/>
    <cellStyle name="Normal 4 2 3 4 2 6" xfId="4800" xr:uid="{00000000-0005-0000-0000-0000D2140000}"/>
    <cellStyle name="Normal 4 2 3 4 2 6 2" xfId="11161" xr:uid="{00000000-0005-0000-0000-0000D3140000}"/>
    <cellStyle name="Normal 4 2 3 4 2 7" xfId="7982" xr:uid="{00000000-0005-0000-0000-0000D4140000}"/>
    <cellStyle name="Normal 4 2 3 4 3" xfId="1640" xr:uid="{00000000-0005-0000-0000-0000D5140000}"/>
    <cellStyle name="Normal 4 2 3 4 3 2" xfId="1838" xr:uid="{00000000-0005-0000-0000-0000D6140000}"/>
    <cellStyle name="Normal 4 2 3 4 3 2 2" xfId="2234" xr:uid="{00000000-0005-0000-0000-0000D7140000}"/>
    <cellStyle name="Normal 4 2 3 4 3 2 2 2" xfId="3026" xr:uid="{00000000-0005-0000-0000-0000D8140000}"/>
    <cellStyle name="Normal 4 2 3 4 3 2 2 2 2" xfId="4610" xr:uid="{00000000-0005-0000-0000-0000D9140000}"/>
    <cellStyle name="Normal 4 2 3 4 3 2 2 2 2 2" xfId="7838" xr:uid="{00000000-0005-0000-0000-0000DA140000}"/>
    <cellStyle name="Normal 4 2 3 4 3 2 2 2 2 2 2" xfId="14199" xr:uid="{00000000-0005-0000-0000-0000DB140000}"/>
    <cellStyle name="Normal 4 2 3 4 3 2 2 2 2 3" xfId="11020" xr:uid="{00000000-0005-0000-0000-0000DC140000}"/>
    <cellStyle name="Normal 4 2 3 4 3 2 2 2 3" xfId="6254" xr:uid="{00000000-0005-0000-0000-0000DD140000}"/>
    <cellStyle name="Normal 4 2 3 4 3 2 2 2 3 2" xfId="12615" xr:uid="{00000000-0005-0000-0000-0000DE140000}"/>
    <cellStyle name="Normal 4 2 3 4 3 2 2 2 4" xfId="9436" xr:uid="{00000000-0005-0000-0000-0000DF140000}"/>
    <cellStyle name="Normal 4 2 3 4 3 2 2 3" xfId="3818" xr:uid="{00000000-0005-0000-0000-0000E0140000}"/>
    <cellStyle name="Normal 4 2 3 4 3 2 2 3 2" xfId="7046" xr:uid="{00000000-0005-0000-0000-0000E1140000}"/>
    <cellStyle name="Normal 4 2 3 4 3 2 2 3 2 2" xfId="13407" xr:uid="{00000000-0005-0000-0000-0000E2140000}"/>
    <cellStyle name="Normal 4 2 3 4 3 2 2 3 3" xfId="10228" xr:uid="{00000000-0005-0000-0000-0000E3140000}"/>
    <cellStyle name="Normal 4 2 3 4 3 2 2 4" xfId="5462" xr:uid="{00000000-0005-0000-0000-0000E4140000}"/>
    <cellStyle name="Normal 4 2 3 4 3 2 2 4 2" xfId="11823" xr:uid="{00000000-0005-0000-0000-0000E5140000}"/>
    <cellStyle name="Normal 4 2 3 4 3 2 2 5" xfId="8644" xr:uid="{00000000-0005-0000-0000-0000E6140000}"/>
    <cellStyle name="Normal 4 2 3 4 3 2 3" xfId="2630" xr:uid="{00000000-0005-0000-0000-0000E7140000}"/>
    <cellStyle name="Normal 4 2 3 4 3 2 3 2" xfId="4214" xr:uid="{00000000-0005-0000-0000-0000E8140000}"/>
    <cellStyle name="Normal 4 2 3 4 3 2 3 2 2" xfId="7442" xr:uid="{00000000-0005-0000-0000-0000E9140000}"/>
    <cellStyle name="Normal 4 2 3 4 3 2 3 2 2 2" xfId="13803" xr:uid="{00000000-0005-0000-0000-0000EA140000}"/>
    <cellStyle name="Normal 4 2 3 4 3 2 3 2 3" xfId="10624" xr:uid="{00000000-0005-0000-0000-0000EB140000}"/>
    <cellStyle name="Normal 4 2 3 4 3 2 3 3" xfId="5858" xr:uid="{00000000-0005-0000-0000-0000EC140000}"/>
    <cellStyle name="Normal 4 2 3 4 3 2 3 3 2" xfId="12219" xr:uid="{00000000-0005-0000-0000-0000ED140000}"/>
    <cellStyle name="Normal 4 2 3 4 3 2 3 4" xfId="9040" xr:uid="{00000000-0005-0000-0000-0000EE140000}"/>
    <cellStyle name="Normal 4 2 3 4 3 2 4" xfId="3422" xr:uid="{00000000-0005-0000-0000-0000EF140000}"/>
    <cellStyle name="Normal 4 2 3 4 3 2 4 2" xfId="6650" xr:uid="{00000000-0005-0000-0000-0000F0140000}"/>
    <cellStyle name="Normal 4 2 3 4 3 2 4 2 2" xfId="13011" xr:uid="{00000000-0005-0000-0000-0000F1140000}"/>
    <cellStyle name="Normal 4 2 3 4 3 2 4 3" xfId="9832" xr:uid="{00000000-0005-0000-0000-0000F2140000}"/>
    <cellStyle name="Normal 4 2 3 4 3 2 5" xfId="5066" xr:uid="{00000000-0005-0000-0000-0000F3140000}"/>
    <cellStyle name="Normal 4 2 3 4 3 2 5 2" xfId="11427" xr:uid="{00000000-0005-0000-0000-0000F4140000}"/>
    <cellStyle name="Normal 4 2 3 4 3 2 6" xfId="8248" xr:uid="{00000000-0005-0000-0000-0000F5140000}"/>
    <cellStyle name="Normal 4 2 3 4 3 3" xfId="2036" xr:uid="{00000000-0005-0000-0000-0000F6140000}"/>
    <cellStyle name="Normal 4 2 3 4 3 3 2" xfId="2828" xr:uid="{00000000-0005-0000-0000-0000F7140000}"/>
    <cellStyle name="Normal 4 2 3 4 3 3 2 2" xfId="4412" xr:uid="{00000000-0005-0000-0000-0000F8140000}"/>
    <cellStyle name="Normal 4 2 3 4 3 3 2 2 2" xfId="7640" xr:uid="{00000000-0005-0000-0000-0000F9140000}"/>
    <cellStyle name="Normal 4 2 3 4 3 3 2 2 2 2" xfId="14001" xr:uid="{00000000-0005-0000-0000-0000FA140000}"/>
    <cellStyle name="Normal 4 2 3 4 3 3 2 2 3" xfId="10822" xr:uid="{00000000-0005-0000-0000-0000FB140000}"/>
    <cellStyle name="Normal 4 2 3 4 3 3 2 3" xfId="6056" xr:uid="{00000000-0005-0000-0000-0000FC140000}"/>
    <cellStyle name="Normal 4 2 3 4 3 3 2 3 2" xfId="12417" xr:uid="{00000000-0005-0000-0000-0000FD140000}"/>
    <cellStyle name="Normal 4 2 3 4 3 3 2 4" xfId="9238" xr:uid="{00000000-0005-0000-0000-0000FE140000}"/>
    <cellStyle name="Normal 4 2 3 4 3 3 3" xfId="3620" xr:uid="{00000000-0005-0000-0000-0000FF140000}"/>
    <cellStyle name="Normal 4 2 3 4 3 3 3 2" xfId="6848" xr:uid="{00000000-0005-0000-0000-000000150000}"/>
    <cellStyle name="Normal 4 2 3 4 3 3 3 2 2" xfId="13209" xr:uid="{00000000-0005-0000-0000-000001150000}"/>
    <cellStyle name="Normal 4 2 3 4 3 3 3 3" xfId="10030" xr:uid="{00000000-0005-0000-0000-000002150000}"/>
    <cellStyle name="Normal 4 2 3 4 3 3 4" xfId="5264" xr:uid="{00000000-0005-0000-0000-000003150000}"/>
    <cellStyle name="Normal 4 2 3 4 3 3 4 2" xfId="11625" xr:uid="{00000000-0005-0000-0000-000004150000}"/>
    <cellStyle name="Normal 4 2 3 4 3 3 5" xfId="8446" xr:uid="{00000000-0005-0000-0000-000005150000}"/>
    <cellStyle name="Normal 4 2 3 4 3 4" xfId="2432" xr:uid="{00000000-0005-0000-0000-000006150000}"/>
    <cellStyle name="Normal 4 2 3 4 3 4 2" xfId="4016" xr:uid="{00000000-0005-0000-0000-000007150000}"/>
    <cellStyle name="Normal 4 2 3 4 3 4 2 2" xfId="7244" xr:uid="{00000000-0005-0000-0000-000008150000}"/>
    <cellStyle name="Normal 4 2 3 4 3 4 2 2 2" xfId="13605" xr:uid="{00000000-0005-0000-0000-000009150000}"/>
    <cellStyle name="Normal 4 2 3 4 3 4 2 3" xfId="10426" xr:uid="{00000000-0005-0000-0000-00000A150000}"/>
    <cellStyle name="Normal 4 2 3 4 3 4 3" xfId="5660" xr:uid="{00000000-0005-0000-0000-00000B150000}"/>
    <cellStyle name="Normal 4 2 3 4 3 4 3 2" xfId="12021" xr:uid="{00000000-0005-0000-0000-00000C150000}"/>
    <cellStyle name="Normal 4 2 3 4 3 4 4" xfId="8842" xr:uid="{00000000-0005-0000-0000-00000D150000}"/>
    <cellStyle name="Normal 4 2 3 4 3 5" xfId="3224" xr:uid="{00000000-0005-0000-0000-00000E150000}"/>
    <cellStyle name="Normal 4 2 3 4 3 5 2" xfId="6452" xr:uid="{00000000-0005-0000-0000-00000F150000}"/>
    <cellStyle name="Normal 4 2 3 4 3 5 2 2" xfId="12813" xr:uid="{00000000-0005-0000-0000-000010150000}"/>
    <cellStyle name="Normal 4 2 3 4 3 5 3" xfId="9634" xr:uid="{00000000-0005-0000-0000-000011150000}"/>
    <cellStyle name="Normal 4 2 3 4 3 6" xfId="4868" xr:uid="{00000000-0005-0000-0000-000012150000}"/>
    <cellStyle name="Normal 4 2 3 4 3 6 2" xfId="11229" xr:uid="{00000000-0005-0000-0000-000013150000}"/>
    <cellStyle name="Normal 4 2 3 4 3 7" xfId="8050" xr:uid="{00000000-0005-0000-0000-000014150000}"/>
    <cellStyle name="Normal 4 2 3 4 4" xfId="1705" xr:uid="{00000000-0005-0000-0000-000015150000}"/>
    <cellStyle name="Normal 4 2 3 4 4 2" xfId="2101" xr:uid="{00000000-0005-0000-0000-000016150000}"/>
    <cellStyle name="Normal 4 2 3 4 4 2 2" xfId="2893" xr:uid="{00000000-0005-0000-0000-000017150000}"/>
    <cellStyle name="Normal 4 2 3 4 4 2 2 2" xfId="4477" xr:uid="{00000000-0005-0000-0000-000018150000}"/>
    <cellStyle name="Normal 4 2 3 4 4 2 2 2 2" xfId="7705" xr:uid="{00000000-0005-0000-0000-000019150000}"/>
    <cellStyle name="Normal 4 2 3 4 4 2 2 2 2 2" xfId="14066" xr:uid="{00000000-0005-0000-0000-00001A150000}"/>
    <cellStyle name="Normal 4 2 3 4 4 2 2 2 3" xfId="10887" xr:uid="{00000000-0005-0000-0000-00001B150000}"/>
    <cellStyle name="Normal 4 2 3 4 4 2 2 3" xfId="6121" xr:uid="{00000000-0005-0000-0000-00001C150000}"/>
    <cellStyle name="Normal 4 2 3 4 4 2 2 3 2" xfId="12482" xr:uid="{00000000-0005-0000-0000-00001D150000}"/>
    <cellStyle name="Normal 4 2 3 4 4 2 2 4" xfId="9303" xr:uid="{00000000-0005-0000-0000-00001E150000}"/>
    <cellStyle name="Normal 4 2 3 4 4 2 3" xfId="3685" xr:uid="{00000000-0005-0000-0000-00001F150000}"/>
    <cellStyle name="Normal 4 2 3 4 4 2 3 2" xfId="6913" xr:uid="{00000000-0005-0000-0000-000020150000}"/>
    <cellStyle name="Normal 4 2 3 4 4 2 3 2 2" xfId="13274" xr:uid="{00000000-0005-0000-0000-000021150000}"/>
    <cellStyle name="Normal 4 2 3 4 4 2 3 3" xfId="10095" xr:uid="{00000000-0005-0000-0000-000022150000}"/>
    <cellStyle name="Normal 4 2 3 4 4 2 4" xfId="5329" xr:uid="{00000000-0005-0000-0000-000023150000}"/>
    <cellStyle name="Normal 4 2 3 4 4 2 4 2" xfId="11690" xr:uid="{00000000-0005-0000-0000-000024150000}"/>
    <cellStyle name="Normal 4 2 3 4 4 2 5" xfId="8511" xr:uid="{00000000-0005-0000-0000-000025150000}"/>
    <cellStyle name="Normal 4 2 3 4 4 3" xfId="2497" xr:uid="{00000000-0005-0000-0000-000026150000}"/>
    <cellStyle name="Normal 4 2 3 4 4 3 2" xfId="4081" xr:uid="{00000000-0005-0000-0000-000027150000}"/>
    <cellStyle name="Normal 4 2 3 4 4 3 2 2" xfId="7309" xr:uid="{00000000-0005-0000-0000-000028150000}"/>
    <cellStyle name="Normal 4 2 3 4 4 3 2 2 2" xfId="13670" xr:uid="{00000000-0005-0000-0000-000029150000}"/>
    <cellStyle name="Normal 4 2 3 4 4 3 2 3" xfId="10491" xr:uid="{00000000-0005-0000-0000-00002A150000}"/>
    <cellStyle name="Normal 4 2 3 4 4 3 3" xfId="5725" xr:uid="{00000000-0005-0000-0000-00002B150000}"/>
    <cellStyle name="Normal 4 2 3 4 4 3 3 2" xfId="12086" xr:uid="{00000000-0005-0000-0000-00002C150000}"/>
    <cellStyle name="Normal 4 2 3 4 4 3 4" xfId="8907" xr:uid="{00000000-0005-0000-0000-00002D150000}"/>
    <cellStyle name="Normal 4 2 3 4 4 4" xfId="3289" xr:uid="{00000000-0005-0000-0000-00002E150000}"/>
    <cellStyle name="Normal 4 2 3 4 4 4 2" xfId="6517" xr:uid="{00000000-0005-0000-0000-00002F150000}"/>
    <cellStyle name="Normal 4 2 3 4 4 4 2 2" xfId="12878" xr:uid="{00000000-0005-0000-0000-000030150000}"/>
    <cellStyle name="Normal 4 2 3 4 4 4 3" xfId="9699" xr:uid="{00000000-0005-0000-0000-000031150000}"/>
    <cellStyle name="Normal 4 2 3 4 4 5" xfId="4933" xr:uid="{00000000-0005-0000-0000-000032150000}"/>
    <cellStyle name="Normal 4 2 3 4 4 5 2" xfId="11294" xr:uid="{00000000-0005-0000-0000-000033150000}"/>
    <cellStyle name="Normal 4 2 3 4 4 6" xfId="8115" xr:uid="{00000000-0005-0000-0000-000034150000}"/>
    <cellStyle name="Normal 4 2 3 4 5" xfId="1903" xr:uid="{00000000-0005-0000-0000-000035150000}"/>
    <cellStyle name="Normal 4 2 3 4 5 2" xfId="2695" xr:uid="{00000000-0005-0000-0000-000036150000}"/>
    <cellStyle name="Normal 4 2 3 4 5 2 2" xfId="4279" xr:uid="{00000000-0005-0000-0000-000037150000}"/>
    <cellStyle name="Normal 4 2 3 4 5 2 2 2" xfId="7507" xr:uid="{00000000-0005-0000-0000-000038150000}"/>
    <cellStyle name="Normal 4 2 3 4 5 2 2 2 2" xfId="13868" xr:uid="{00000000-0005-0000-0000-000039150000}"/>
    <cellStyle name="Normal 4 2 3 4 5 2 2 3" xfId="10689" xr:uid="{00000000-0005-0000-0000-00003A150000}"/>
    <cellStyle name="Normal 4 2 3 4 5 2 3" xfId="5923" xr:uid="{00000000-0005-0000-0000-00003B150000}"/>
    <cellStyle name="Normal 4 2 3 4 5 2 3 2" xfId="12284" xr:uid="{00000000-0005-0000-0000-00003C150000}"/>
    <cellStyle name="Normal 4 2 3 4 5 2 4" xfId="9105" xr:uid="{00000000-0005-0000-0000-00003D150000}"/>
    <cellStyle name="Normal 4 2 3 4 5 3" xfId="3487" xr:uid="{00000000-0005-0000-0000-00003E150000}"/>
    <cellStyle name="Normal 4 2 3 4 5 3 2" xfId="6715" xr:uid="{00000000-0005-0000-0000-00003F150000}"/>
    <cellStyle name="Normal 4 2 3 4 5 3 2 2" xfId="13076" xr:uid="{00000000-0005-0000-0000-000040150000}"/>
    <cellStyle name="Normal 4 2 3 4 5 3 3" xfId="9897" xr:uid="{00000000-0005-0000-0000-000041150000}"/>
    <cellStyle name="Normal 4 2 3 4 5 4" xfId="5131" xr:uid="{00000000-0005-0000-0000-000042150000}"/>
    <cellStyle name="Normal 4 2 3 4 5 4 2" xfId="11492" xr:uid="{00000000-0005-0000-0000-000043150000}"/>
    <cellStyle name="Normal 4 2 3 4 5 5" xfId="8313" xr:uid="{00000000-0005-0000-0000-000044150000}"/>
    <cellStyle name="Normal 4 2 3 4 6" xfId="2299" xr:uid="{00000000-0005-0000-0000-000045150000}"/>
    <cellStyle name="Normal 4 2 3 4 6 2" xfId="3883" xr:uid="{00000000-0005-0000-0000-000046150000}"/>
    <cellStyle name="Normal 4 2 3 4 6 2 2" xfId="7111" xr:uid="{00000000-0005-0000-0000-000047150000}"/>
    <cellStyle name="Normal 4 2 3 4 6 2 2 2" xfId="13472" xr:uid="{00000000-0005-0000-0000-000048150000}"/>
    <cellStyle name="Normal 4 2 3 4 6 2 3" xfId="10293" xr:uid="{00000000-0005-0000-0000-000049150000}"/>
    <cellStyle name="Normal 4 2 3 4 6 3" xfId="5527" xr:uid="{00000000-0005-0000-0000-00004A150000}"/>
    <cellStyle name="Normal 4 2 3 4 6 3 2" xfId="11888" xr:uid="{00000000-0005-0000-0000-00004B150000}"/>
    <cellStyle name="Normal 4 2 3 4 6 4" xfId="8709" xr:uid="{00000000-0005-0000-0000-00004C150000}"/>
    <cellStyle name="Normal 4 2 3 4 7" xfId="3091" xr:uid="{00000000-0005-0000-0000-00004D150000}"/>
    <cellStyle name="Normal 4 2 3 4 7 2" xfId="6319" xr:uid="{00000000-0005-0000-0000-00004E150000}"/>
    <cellStyle name="Normal 4 2 3 4 7 2 2" xfId="12680" xr:uid="{00000000-0005-0000-0000-00004F150000}"/>
    <cellStyle name="Normal 4 2 3 4 7 3" xfId="9501" xr:uid="{00000000-0005-0000-0000-000050150000}"/>
    <cellStyle name="Normal 4 2 3 4 8" xfId="4735" xr:uid="{00000000-0005-0000-0000-000051150000}"/>
    <cellStyle name="Normal 4 2 3 4 8 2" xfId="11096" xr:uid="{00000000-0005-0000-0000-000052150000}"/>
    <cellStyle name="Normal 4 2 3 4 9" xfId="7917" xr:uid="{00000000-0005-0000-0000-000053150000}"/>
    <cellStyle name="Normal 4 2 3 5" xfId="1540" xr:uid="{00000000-0005-0000-0000-000054150000}"/>
    <cellStyle name="Normal 4 2 3 5 2" xfId="1738" xr:uid="{00000000-0005-0000-0000-000055150000}"/>
    <cellStyle name="Normal 4 2 3 5 2 2" xfId="2134" xr:uid="{00000000-0005-0000-0000-000056150000}"/>
    <cellStyle name="Normal 4 2 3 5 2 2 2" xfId="2926" xr:uid="{00000000-0005-0000-0000-000057150000}"/>
    <cellStyle name="Normal 4 2 3 5 2 2 2 2" xfId="4510" xr:uid="{00000000-0005-0000-0000-000058150000}"/>
    <cellStyle name="Normal 4 2 3 5 2 2 2 2 2" xfId="7738" xr:uid="{00000000-0005-0000-0000-000059150000}"/>
    <cellStyle name="Normal 4 2 3 5 2 2 2 2 2 2" xfId="14099" xr:uid="{00000000-0005-0000-0000-00005A150000}"/>
    <cellStyle name="Normal 4 2 3 5 2 2 2 2 3" xfId="10920" xr:uid="{00000000-0005-0000-0000-00005B150000}"/>
    <cellStyle name="Normal 4 2 3 5 2 2 2 3" xfId="6154" xr:uid="{00000000-0005-0000-0000-00005C150000}"/>
    <cellStyle name="Normal 4 2 3 5 2 2 2 3 2" xfId="12515" xr:uid="{00000000-0005-0000-0000-00005D150000}"/>
    <cellStyle name="Normal 4 2 3 5 2 2 2 4" xfId="9336" xr:uid="{00000000-0005-0000-0000-00005E150000}"/>
    <cellStyle name="Normal 4 2 3 5 2 2 3" xfId="3718" xr:uid="{00000000-0005-0000-0000-00005F150000}"/>
    <cellStyle name="Normal 4 2 3 5 2 2 3 2" xfId="6946" xr:uid="{00000000-0005-0000-0000-000060150000}"/>
    <cellStyle name="Normal 4 2 3 5 2 2 3 2 2" xfId="13307" xr:uid="{00000000-0005-0000-0000-000061150000}"/>
    <cellStyle name="Normal 4 2 3 5 2 2 3 3" xfId="10128" xr:uid="{00000000-0005-0000-0000-000062150000}"/>
    <cellStyle name="Normal 4 2 3 5 2 2 4" xfId="5362" xr:uid="{00000000-0005-0000-0000-000063150000}"/>
    <cellStyle name="Normal 4 2 3 5 2 2 4 2" xfId="11723" xr:uid="{00000000-0005-0000-0000-000064150000}"/>
    <cellStyle name="Normal 4 2 3 5 2 2 5" xfId="8544" xr:uid="{00000000-0005-0000-0000-000065150000}"/>
    <cellStyle name="Normal 4 2 3 5 2 3" xfId="2530" xr:uid="{00000000-0005-0000-0000-000066150000}"/>
    <cellStyle name="Normal 4 2 3 5 2 3 2" xfId="4114" xr:uid="{00000000-0005-0000-0000-000067150000}"/>
    <cellStyle name="Normal 4 2 3 5 2 3 2 2" xfId="7342" xr:uid="{00000000-0005-0000-0000-000068150000}"/>
    <cellStyle name="Normal 4 2 3 5 2 3 2 2 2" xfId="13703" xr:uid="{00000000-0005-0000-0000-000069150000}"/>
    <cellStyle name="Normal 4 2 3 5 2 3 2 3" xfId="10524" xr:uid="{00000000-0005-0000-0000-00006A150000}"/>
    <cellStyle name="Normal 4 2 3 5 2 3 3" xfId="5758" xr:uid="{00000000-0005-0000-0000-00006B150000}"/>
    <cellStyle name="Normal 4 2 3 5 2 3 3 2" xfId="12119" xr:uid="{00000000-0005-0000-0000-00006C150000}"/>
    <cellStyle name="Normal 4 2 3 5 2 3 4" xfId="8940" xr:uid="{00000000-0005-0000-0000-00006D150000}"/>
    <cellStyle name="Normal 4 2 3 5 2 4" xfId="3322" xr:uid="{00000000-0005-0000-0000-00006E150000}"/>
    <cellStyle name="Normal 4 2 3 5 2 4 2" xfId="6550" xr:uid="{00000000-0005-0000-0000-00006F150000}"/>
    <cellStyle name="Normal 4 2 3 5 2 4 2 2" xfId="12911" xr:uid="{00000000-0005-0000-0000-000070150000}"/>
    <cellStyle name="Normal 4 2 3 5 2 4 3" xfId="9732" xr:uid="{00000000-0005-0000-0000-000071150000}"/>
    <cellStyle name="Normal 4 2 3 5 2 5" xfId="4966" xr:uid="{00000000-0005-0000-0000-000072150000}"/>
    <cellStyle name="Normal 4 2 3 5 2 5 2" xfId="11327" xr:uid="{00000000-0005-0000-0000-000073150000}"/>
    <cellStyle name="Normal 4 2 3 5 2 6" xfId="8148" xr:uid="{00000000-0005-0000-0000-000074150000}"/>
    <cellStyle name="Normal 4 2 3 5 3" xfId="1936" xr:uid="{00000000-0005-0000-0000-000075150000}"/>
    <cellStyle name="Normal 4 2 3 5 3 2" xfId="2728" xr:uid="{00000000-0005-0000-0000-000076150000}"/>
    <cellStyle name="Normal 4 2 3 5 3 2 2" xfId="4312" xr:uid="{00000000-0005-0000-0000-000077150000}"/>
    <cellStyle name="Normal 4 2 3 5 3 2 2 2" xfId="7540" xr:uid="{00000000-0005-0000-0000-000078150000}"/>
    <cellStyle name="Normal 4 2 3 5 3 2 2 2 2" xfId="13901" xr:uid="{00000000-0005-0000-0000-000079150000}"/>
    <cellStyle name="Normal 4 2 3 5 3 2 2 3" xfId="10722" xr:uid="{00000000-0005-0000-0000-00007A150000}"/>
    <cellStyle name="Normal 4 2 3 5 3 2 3" xfId="5956" xr:uid="{00000000-0005-0000-0000-00007B150000}"/>
    <cellStyle name="Normal 4 2 3 5 3 2 3 2" xfId="12317" xr:uid="{00000000-0005-0000-0000-00007C150000}"/>
    <cellStyle name="Normal 4 2 3 5 3 2 4" xfId="9138" xr:uid="{00000000-0005-0000-0000-00007D150000}"/>
    <cellStyle name="Normal 4 2 3 5 3 3" xfId="3520" xr:uid="{00000000-0005-0000-0000-00007E150000}"/>
    <cellStyle name="Normal 4 2 3 5 3 3 2" xfId="6748" xr:uid="{00000000-0005-0000-0000-00007F150000}"/>
    <cellStyle name="Normal 4 2 3 5 3 3 2 2" xfId="13109" xr:uid="{00000000-0005-0000-0000-000080150000}"/>
    <cellStyle name="Normal 4 2 3 5 3 3 3" xfId="9930" xr:uid="{00000000-0005-0000-0000-000081150000}"/>
    <cellStyle name="Normal 4 2 3 5 3 4" xfId="5164" xr:uid="{00000000-0005-0000-0000-000082150000}"/>
    <cellStyle name="Normal 4 2 3 5 3 4 2" xfId="11525" xr:uid="{00000000-0005-0000-0000-000083150000}"/>
    <cellStyle name="Normal 4 2 3 5 3 5" xfId="8346" xr:uid="{00000000-0005-0000-0000-000084150000}"/>
    <cellStyle name="Normal 4 2 3 5 4" xfId="2332" xr:uid="{00000000-0005-0000-0000-000085150000}"/>
    <cellStyle name="Normal 4 2 3 5 4 2" xfId="3916" xr:uid="{00000000-0005-0000-0000-000086150000}"/>
    <cellStyle name="Normal 4 2 3 5 4 2 2" xfId="7144" xr:uid="{00000000-0005-0000-0000-000087150000}"/>
    <cellStyle name="Normal 4 2 3 5 4 2 2 2" xfId="13505" xr:uid="{00000000-0005-0000-0000-000088150000}"/>
    <cellStyle name="Normal 4 2 3 5 4 2 3" xfId="10326" xr:uid="{00000000-0005-0000-0000-000089150000}"/>
    <cellStyle name="Normal 4 2 3 5 4 3" xfId="5560" xr:uid="{00000000-0005-0000-0000-00008A150000}"/>
    <cellStyle name="Normal 4 2 3 5 4 3 2" xfId="11921" xr:uid="{00000000-0005-0000-0000-00008B150000}"/>
    <cellStyle name="Normal 4 2 3 5 4 4" xfId="8742" xr:uid="{00000000-0005-0000-0000-00008C150000}"/>
    <cellStyle name="Normal 4 2 3 5 5" xfId="3124" xr:uid="{00000000-0005-0000-0000-00008D150000}"/>
    <cellStyle name="Normal 4 2 3 5 5 2" xfId="6352" xr:uid="{00000000-0005-0000-0000-00008E150000}"/>
    <cellStyle name="Normal 4 2 3 5 5 2 2" xfId="12713" xr:uid="{00000000-0005-0000-0000-00008F150000}"/>
    <cellStyle name="Normal 4 2 3 5 5 3" xfId="9534" xr:uid="{00000000-0005-0000-0000-000090150000}"/>
    <cellStyle name="Normal 4 2 3 5 6" xfId="4768" xr:uid="{00000000-0005-0000-0000-000091150000}"/>
    <cellStyle name="Normal 4 2 3 5 6 2" xfId="11129" xr:uid="{00000000-0005-0000-0000-000092150000}"/>
    <cellStyle name="Normal 4 2 3 5 7" xfId="7950" xr:uid="{00000000-0005-0000-0000-000093150000}"/>
    <cellStyle name="Normal 4 2 3 6" xfId="1608" xr:uid="{00000000-0005-0000-0000-000094150000}"/>
    <cellStyle name="Normal 4 2 3 6 2" xfId="1806" xr:uid="{00000000-0005-0000-0000-000095150000}"/>
    <cellStyle name="Normal 4 2 3 6 2 2" xfId="2202" xr:uid="{00000000-0005-0000-0000-000096150000}"/>
    <cellStyle name="Normal 4 2 3 6 2 2 2" xfId="2994" xr:uid="{00000000-0005-0000-0000-000097150000}"/>
    <cellStyle name="Normal 4 2 3 6 2 2 2 2" xfId="4578" xr:uid="{00000000-0005-0000-0000-000098150000}"/>
    <cellStyle name="Normal 4 2 3 6 2 2 2 2 2" xfId="7806" xr:uid="{00000000-0005-0000-0000-000099150000}"/>
    <cellStyle name="Normal 4 2 3 6 2 2 2 2 2 2" xfId="14167" xr:uid="{00000000-0005-0000-0000-00009A150000}"/>
    <cellStyle name="Normal 4 2 3 6 2 2 2 2 3" xfId="10988" xr:uid="{00000000-0005-0000-0000-00009B150000}"/>
    <cellStyle name="Normal 4 2 3 6 2 2 2 3" xfId="6222" xr:uid="{00000000-0005-0000-0000-00009C150000}"/>
    <cellStyle name="Normal 4 2 3 6 2 2 2 3 2" xfId="12583" xr:uid="{00000000-0005-0000-0000-00009D150000}"/>
    <cellStyle name="Normal 4 2 3 6 2 2 2 4" xfId="9404" xr:uid="{00000000-0005-0000-0000-00009E150000}"/>
    <cellStyle name="Normal 4 2 3 6 2 2 3" xfId="3786" xr:uid="{00000000-0005-0000-0000-00009F150000}"/>
    <cellStyle name="Normal 4 2 3 6 2 2 3 2" xfId="7014" xr:uid="{00000000-0005-0000-0000-0000A0150000}"/>
    <cellStyle name="Normal 4 2 3 6 2 2 3 2 2" xfId="13375" xr:uid="{00000000-0005-0000-0000-0000A1150000}"/>
    <cellStyle name="Normal 4 2 3 6 2 2 3 3" xfId="10196" xr:uid="{00000000-0005-0000-0000-0000A2150000}"/>
    <cellStyle name="Normal 4 2 3 6 2 2 4" xfId="5430" xr:uid="{00000000-0005-0000-0000-0000A3150000}"/>
    <cellStyle name="Normal 4 2 3 6 2 2 4 2" xfId="11791" xr:uid="{00000000-0005-0000-0000-0000A4150000}"/>
    <cellStyle name="Normal 4 2 3 6 2 2 5" xfId="8612" xr:uid="{00000000-0005-0000-0000-0000A5150000}"/>
    <cellStyle name="Normal 4 2 3 6 2 3" xfId="2598" xr:uid="{00000000-0005-0000-0000-0000A6150000}"/>
    <cellStyle name="Normal 4 2 3 6 2 3 2" xfId="4182" xr:uid="{00000000-0005-0000-0000-0000A7150000}"/>
    <cellStyle name="Normal 4 2 3 6 2 3 2 2" xfId="7410" xr:uid="{00000000-0005-0000-0000-0000A8150000}"/>
    <cellStyle name="Normal 4 2 3 6 2 3 2 2 2" xfId="13771" xr:uid="{00000000-0005-0000-0000-0000A9150000}"/>
    <cellStyle name="Normal 4 2 3 6 2 3 2 3" xfId="10592" xr:uid="{00000000-0005-0000-0000-0000AA150000}"/>
    <cellStyle name="Normal 4 2 3 6 2 3 3" xfId="5826" xr:uid="{00000000-0005-0000-0000-0000AB150000}"/>
    <cellStyle name="Normal 4 2 3 6 2 3 3 2" xfId="12187" xr:uid="{00000000-0005-0000-0000-0000AC150000}"/>
    <cellStyle name="Normal 4 2 3 6 2 3 4" xfId="9008" xr:uid="{00000000-0005-0000-0000-0000AD150000}"/>
    <cellStyle name="Normal 4 2 3 6 2 4" xfId="3390" xr:uid="{00000000-0005-0000-0000-0000AE150000}"/>
    <cellStyle name="Normal 4 2 3 6 2 4 2" xfId="6618" xr:uid="{00000000-0005-0000-0000-0000AF150000}"/>
    <cellStyle name="Normal 4 2 3 6 2 4 2 2" xfId="12979" xr:uid="{00000000-0005-0000-0000-0000B0150000}"/>
    <cellStyle name="Normal 4 2 3 6 2 4 3" xfId="9800" xr:uid="{00000000-0005-0000-0000-0000B1150000}"/>
    <cellStyle name="Normal 4 2 3 6 2 5" xfId="5034" xr:uid="{00000000-0005-0000-0000-0000B2150000}"/>
    <cellStyle name="Normal 4 2 3 6 2 5 2" xfId="11395" xr:uid="{00000000-0005-0000-0000-0000B3150000}"/>
    <cellStyle name="Normal 4 2 3 6 2 6" xfId="8216" xr:uid="{00000000-0005-0000-0000-0000B4150000}"/>
    <cellStyle name="Normal 4 2 3 6 3" xfId="2004" xr:uid="{00000000-0005-0000-0000-0000B5150000}"/>
    <cellStyle name="Normal 4 2 3 6 3 2" xfId="2796" xr:uid="{00000000-0005-0000-0000-0000B6150000}"/>
    <cellStyle name="Normal 4 2 3 6 3 2 2" xfId="4380" xr:uid="{00000000-0005-0000-0000-0000B7150000}"/>
    <cellStyle name="Normal 4 2 3 6 3 2 2 2" xfId="7608" xr:uid="{00000000-0005-0000-0000-0000B8150000}"/>
    <cellStyle name="Normal 4 2 3 6 3 2 2 2 2" xfId="13969" xr:uid="{00000000-0005-0000-0000-0000B9150000}"/>
    <cellStyle name="Normal 4 2 3 6 3 2 2 3" xfId="10790" xr:uid="{00000000-0005-0000-0000-0000BA150000}"/>
    <cellStyle name="Normal 4 2 3 6 3 2 3" xfId="6024" xr:uid="{00000000-0005-0000-0000-0000BB150000}"/>
    <cellStyle name="Normal 4 2 3 6 3 2 3 2" xfId="12385" xr:uid="{00000000-0005-0000-0000-0000BC150000}"/>
    <cellStyle name="Normal 4 2 3 6 3 2 4" xfId="9206" xr:uid="{00000000-0005-0000-0000-0000BD150000}"/>
    <cellStyle name="Normal 4 2 3 6 3 3" xfId="3588" xr:uid="{00000000-0005-0000-0000-0000BE150000}"/>
    <cellStyle name="Normal 4 2 3 6 3 3 2" xfId="6816" xr:uid="{00000000-0005-0000-0000-0000BF150000}"/>
    <cellStyle name="Normal 4 2 3 6 3 3 2 2" xfId="13177" xr:uid="{00000000-0005-0000-0000-0000C0150000}"/>
    <cellStyle name="Normal 4 2 3 6 3 3 3" xfId="9998" xr:uid="{00000000-0005-0000-0000-0000C1150000}"/>
    <cellStyle name="Normal 4 2 3 6 3 4" xfId="5232" xr:uid="{00000000-0005-0000-0000-0000C2150000}"/>
    <cellStyle name="Normal 4 2 3 6 3 4 2" xfId="11593" xr:uid="{00000000-0005-0000-0000-0000C3150000}"/>
    <cellStyle name="Normal 4 2 3 6 3 5" xfId="8414" xr:uid="{00000000-0005-0000-0000-0000C4150000}"/>
    <cellStyle name="Normal 4 2 3 6 4" xfId="2400" xr:uid="{00000000-0005-0000-0000-0000C5150000}"/>
    <cellStyle name="Normal 4 2 3 6 4 2" xfId="3984" xr:uid="{00000000-0005-0000-0000-0000C6150000}"/>
    <cellStyle name="Normal 4 2 3 6 4 2 2" xfId="7212" xr:uid="{00000000-0005-0000-0000-0000C7150000}"/>
    <cellStyle name="Normal 4 2 3 6 4 2 2 2" xfId="13573" xr:uid="{00000000-0005-0000-0000-0000C8150000}"/>
    <cellStyle name="Normal 4 2 3 6 4 2 3" xfId="10394" xr:uid="{00000000-0005-0000-0000-0000C9150000}"/>
    <cellStyle name="Normal 4 2 3 6 4 3" xfId="5628" xr:uid="{00000000-0005-0000-0000-0000CA150000}"/>
    <cellStyle name="Normal 4 2 3 6 4 3 2" xfId="11989" xr:uid="{00000000-0005-0000-0000-0000CB150000}"/>
    <cellStyle name="Normal 4 2 3 6 4 4" xfId="8810" xr:uid="{00000000-0005-0000-0000-0000CC150000}"/>
    <cellStyle name="Normal 4 2 3 6 5" xfId="3192" xr:uid="{00000000-0005-0000-0000-0000CD150000}"/>
    <cellStyle name="Normal 4 2 3 6 5 2" xfId="6420" xr:uid="{00000000-0005-0000-0000-0000CE150000}"/>
    <cellStyle name="Normal 4 2 3 6 5 2 2" xfId="12781" xr:uid="{00000000-0005-0000-0000-0000CF150000}"/>
    <cellStyle name="Normal 4 2 3 6 5 3" xfId="9602" xr:uid="{00000000-0005-0000-0000-0000D0150000}"/>
    <cellStyle name="Normal 4 2 3 6 6" xfId="4836" xr:uid="{00000000-0005-0000-0000-0000D1150000}"/>
    <cellStyle name="Normal 4 2 3 6 6 2" xfId="11197" xr:uid="{00000000-0005-0000-0000-0000D2150000}"/>
    <cellStyle name="Normal 4 2 3 6 7" xfId="8018" xr:uid="{00000000-0005-0000-0000-0000D3150000}"/>
    <cellStyle name="Normal 4 2 3 7" xfId="1673" xr:uid="{00000000-0005-0000-0000-0000D4150000}"/>
    <cellStyle name="Normal 4 2 3 7 2" xfId="2069" xr:uid="{00000000-0005-0000-0000-0000D5150000}"/>
    <cellStyle name="Normal 4 2 3 7 2 2" xfId="2861" xr:uid="{00000000-0005-0000-0000-0000D6150000}"/>
    <cellStyle name="Normal 4 2 3 7 2 2 2" xfId="4445" xr:uid="{00000000-0005-0000-0000-0000D7150000}"/>
    <cellStyle name="Normal 4 2 3 7 2 2 2 2" xfId="7673" xr:uid="{00000000-0005-0000-0000-0000D8150000}"/>
    <cellStyle name="Normal 4 2 3 7 2 2 2 2 2" xfId="14034" xr:uid="{00000000-0005-0000-0000-0000D9150000}"/>
    <cellStyle name="Normal 4 2 3 7 2 2 2 3" xfId="10855" xr:uid="{00000000-0005-0000-0000-0000DA150000}"/>
    <cellStyle name="Normal 4 2 3 7 2 2 3" xfId="6089" xr:uid="{00000000-0005-0000-0000-0000DB150000}"/>
    <cellStyle name="Normal 4 2 3 7 2 2 3 2" xfId="12450" xr:uid="{00000000-0005-0000-0000-0000DC150000}"/>
    <cellStyle name="Normal 4 2 3 7 2 2 4" xfId="9271" xr:uid="{00000000-0005-0000-0000-0000DD150000}"/>
    <cellStyle name="Normal 4 2 3 7 2 3" xfId="3653" xr:uid="{00000000-0005-0000-0000-0000DE150000}"/>
    <cellStyle name="Normal 4 2 3 7 2 3 2" xfId="6881" xr:uid="{00000000-0005-0000-0000-0000DF150000}"/>
    <cellStyle name="Normal 4 2 3 7 2 3 2 2" xfId="13242" xr:uid="{00000000-0005-0000-0000-0000E0150000}"/>
    <cellStyle name="Normal 4 2 3 7 2 3 3" xfId="10063" xr:uid="{00000000-0005-0000-0000-0000E1150000}"/>
    <cellStyle name="Normal 4 2 3 7 2 4" xfId="5297" xr:uid="{00000000-0005-0000-0000-0000E2150000}"/>
    <cellStyle name="Normal 4 2 3 7 2 4 2" xfId="11658" xr:uid="{00000000-0005-0000-0000-0000E3150000}"/>
    <cellStyle name="Normal 4 2 3 7 2 5" xfId="8479" xr:uid="{00000000-0005-0000-0000-0000E4150000}"/>
    <cellStyle name="Normal 4 2 3 7 3" xfId="2465" xr:uid="{00000000-0005-0000-0000-0000E5150000}"/>
    <cellStyle name="Normal 4 2 3 7 3 2" xfId="4049" xr:uid="{00000000-0005-0000-0000-0000E6150000}"/>
    <cellStyle name="Normal 4 2 3 7 3 2 2" xfId="7277" xr:uid="{00000000-0005-0000-0000-0000E7150000}"/>
    <cellStyle name="Normal 4 2 3 7 3 2 2 2" xfId="13638" xr:uid="{00000000-0005-0000-0000-0000E8150000}"/>
    <cellStyle name="Normal 4 2 3 7 3 2 3" xfId="10459" xr:uid="{00000000-0005-0000-0000-0000E9150000}"/>
    <cellStyle name="Normal 4 2 3 7 3 3" xfId="5693" xr:uid="{00000000-0005-0000-0000-0000EA150000}"/>
    <cellStyle name="Normal 4 2 3 7 3 3 2" xfId="12054" xr:uid="{00000000-0005-0000-0000-0000EB150000}"/>
    <cellStyle name="Normal 4 2 3 7 3 4" xfId="8875" xr:uid="{00000000-0005-0000-0000-0000EC150000}"/>
    <cellStyle name="Normal 4 2 3 7 4" xfId="3257" xr:uid="{00000000-0005-0000-0000-0000ED150000}"/>
    <cellStyle name="Normal 4 2 3 7 4 2" xfId="6485" xr:uid="{00000000-0005-0000-0000-0000EE150000}"/>
    <cellStyle name="Normal 4 2 3 7 4 2 2" xfId="12846" xr:uid="{00000000-0005-0000-0000-0000EF150000}"/>
    <cellStyle name="Normal 4 2 3 7 4 3" xfId="9667" xr:uid="{00000000-0005-0000-0000-0000F0150000}"/>
    <cellStyle name="Normal 4 2 3 7 5" xfId="4901" xr:uid="{00000000-0005-0000-0000-0000F1150000}"/>
    <cellStyle name="Normal 4 2 3 7 5 2" xfId="11262" xr:uid="{00000000-0005-0000-0000-0000F2150000}"/>
    <cellStyle name="Normal 4 2 3 7 6" xfId="8083" xr:uid="{00000000-0005-0000-0000-0000F3150000}"/>
    <cellStyle name="Normal 4 2 3 8" xfId="1871" xr:uid="{00000000-0005-0000-0000-0000F4150000}"/>
    <cellStyle name="Normal 4 2 3 8 2" xfId="2663" xr:uid="{00000000-0005-0000-0000-0000F5150000}"/>
    <cellStyle name="Normal 4 2 3 8 2 2" xfId="4247" xr:uid="{00000000-0005-0000-0000-0000F6150000}"/>
    <cellStyle name="Normal 4 2 3 8 2 2 2" xfId="7475" xr:uid="{00000000-0005-0000-0000-0000F7150000}"/>
    <cellStyle name="Normal 4 2 3 8 2 2 2 2" xfId="13836" xr:uid="{00000000-0005-0000-0000-0000F8150000}"/>
    <cellStyle name="Normal 4 2 3 8 2 2 3" xfId="10657" xr:uid="{00000000-0005-0000-0000-0000F9150000}"/>
    <cellStyle name="Normal 4 2 3 8 2 3" xfId="5891" xr:uid="{00000000-0005-0000-0000-0000FA150000}"/>
    <cellStyle name="Normal 4 2 3 8 2 3 2" xfId="12252" xr:uid="{00000000-0005-0000-0000-0000FB150000}"/>
    <cellStyle name="Normal 4 2 3 8 2 4" xfId="9073" xr:uid="{00000000-0005-0000-0000-0000FC150000}"/>
    <cellStyle name="Normal 4 2 3 8 3" xfId="3455" xr:uid="{00000000-0005-0000-0000-0000FD150000}"/>
    <cellStyle name="Normal 4 2 3 8 3 2" xfId="6683" xr:uid="{00000000-0005-0000-0000-0000FE150000}"/>
    <cellStyle name="Normal 4 2 3 8 3 2 2" xfId="13044" xr:uid="{00000000-0005-0000-0000-0000FF150000}"/>
    <cellStyle name="Normal 4 2 3 8 3 3" xfId="9865" xr:uid="{00000000-0005-0000-0000-000000160000}"/>
    <cellStyle name="Normal 4 2 3 8 4" xfId="5099" xr:uid="{00000000-0005-0000-0000-000001160000}"/>
    <cellStyle name="Normal 4 2 3 8 4 2" xfId="11460" xr:uid="{00000000-0005-0000-0000-000002160000}"/>
    <cellStyle name="Normal 4 2 3 8 5" xfId="8281" xr:uid="{00000000-0005-0000-0000-000003160000}"/>
    <cellStyle name="Normal 4 2 3 9" xfId="2267" xr:uid="{00000000-0005-0000-0000-000004160000}"/>
    <cellStyle name="Normal 4 2 3 9 2" xfId="3851" xr:uid="{00000000-0005-0000-0000-000005160000}"/>
    <cellStyle name="Normal 4 2 3 9 2 2" xfId="7079" xr:uid="{00000000-0005-0000-0000-000006160000}"/>
    <cellStyle name="Normal 4 2 3 9 2 2 2" xfId="13440" xr:uid="{00000000-0005-0000-0000-000007160000}"/>
    <cellStyle name="Normal 4 2 3 9 2 3" xfId="10261" xr:uid="{00000000-0005-0000-0000-000008160000}"/>
    <cellStyle name="Normal 4 2 3 9 3" xfId="5495" xr:uid="{00000000-0005-0000-0000-000009160000}"/>
    <cellStyle name="Normal 4 2 3 9 3 2" xfId="11856" xr:uid="{00000000-0005-0000-0000-00000A160000}"/>
    <cellStyle name="Normal 4 2 3 9 4" xfId="8677" xr:uid="{00000000-0005-0000-0000-00000B160000}"/>
    <cellStyle name="Normal 4 2 4" xfId="1432" xr:uid="{00000000-0005-0000-0000-00000C160000}"/>
    <cellStyle name="Normal 4 2 4 10" xfId="4707" xr:uid="{00000000-0005-0000-0000-00000D160000}"/>
    <cellStyle name="Normal 4 2 4 10 2" xfId="11068" xr:uid="{00000000-0005-0000-0000-00000E160000}"/>
    <cellStyle name="Normal 4 2 4 11" xfId="7889" xr:uid="{00000000-0005-0000-0000-00000F160000}"/>
    <cellStyle name="Normal 4 2 4 2" xfId="1448" xr:uid="{00000000-0005-0000-0000-000010160000}"/>
    <cellStyle name="Normal 4 2 4 2 10" xfId="7905" xr:uid="{00000000-0005-0000-0000-000011160000}"/>
    <cellStyle name="Normal 4 2 4 2 2" xfId="1480" xr:uid="{00000000-0005-0000-0000-000012160000}"/>
    <cellStyle name="Normal 4 2 4 2 2 2" xfId="1592" xr:uid="{00000000-0005-0000-0000-000013160000}"/>
    <cellStyle name="Normal 4 2 4 2 2 2 2" xfId="1790" xr:uid="{00000000-0005-0000-0000-000014160000}"/>
    <cellStyle name="Normal 4 2 4 2 2 2 2 2" xfId="2186" xr:uid="{00000000-0005-0000-0000-000015160000}"/>
    <cellStyle name="Normal 4 2 4 2 2 2 2 2 2" xfId="2978" xr:uid="{00000000-0005-0000-0000-000016160000}"/>
    <cellStyle name="Normal 4 2 4 2 2 2 2 2 2 2" xfId="4562" xr:uid="{00000000-0005-0000-0000-000017160000}"/>
    <cellStyle name="Normal 4 2 4 2 2 2 2 2 2 2 2" xfId="7790" xr:uid="{00000000-0005-0000-0000-000018160000}"/>
    <cellStyle name="Normal 4 2 4 2 2 2 2 2 2 2 2 2" xfId="14151" xr:uid="{00000000-0005-0000-0000-000019160000}"/>
    <cellStyle name="Normal 4 2 4 2 2 2 2 2 2 2 3" xfId="10972" xr:uid="{00000000-0005-0000-0000-00001A160000}"/>
    <cellStyle name="Normal 4 2 4 2 2 2 2 2 2 3" xfId="6206" xr:uid="{00000000-0005-0000-0000-00001B160000}"/>
    <cellStyle name="Normal 4 2 4 2 2 2 2 2 2 3 2" xfId="12567" xr:uid="{00000000-0005-0000-0000-00001C160000}"/>
    <cellStyle name="Normal 4 2 4 2 2 2 2 2 2 4" xfId="9388" xr:uid="{00000000-0005-0000-0000-00001D160000}"/>
    <cellStyle name="Normal 4 2 4 2 2 2 2 2 3" xfId="3770" xr:uid="{00000000-0005-0000-0000-00001E160000}"/>
    <cellStyle name="Normal 4 2 4 2 2 2 2 2 3 2" xfId="6998" xr:uid="{00000000-0005-0000-0000-00001F160000}"/>
    <cellStyle name="Normal 4 2 4 2 2 2 2 2 3 2 2" xfId="13359" xr:uid="{00000000-0005-0000-0000-000020160000}"/>
    <cellStyle name="Normal 4 2 4 2 2 2 2 2 3 3" xfId="10180" xr:uid="{00000000-0005-0000-0000-000021160000}"/>
    <cellStyle name="Normal 4 2 4 2 2 2 2 2 4" xfId="5414" xr:uid="{00000000-0005-0000-0000-000022160000}"/>
    <cellStyle name="Normal 4 2 4 2 2 2 2 2 4 2" xfId="11775" xr:uid="{00000000-0005-0000-0000-000023160000}"/>
    <cellStyle name="Normal 4 2 4 2 2 2 2 2 5" xfId="8596" xr:uid="{00000000-0005-0000-0000-000024160000}"/>
    <cellStyle name="Normal 4 2 4 2 2 2 2 3" xfId="2582" xr:uid="{00000000-0005-0000-0000-000025160000}"/>
    <cellStyle name="Normal 4 2 4 2 2 2 2 3 2" xfId="4166" xr:uid="{00000000-0005-0000-0000-000026160000}"/>
    <cellStyle name="Normal 4 2 4 2 2 2 2 3 2 2" xfId="7394" xr:uid="{00000000-0005-0000-0000-000027160000}"/>
    <cellStyle name="Normal 4 2 4 2 2 2 2 3 2 2 2" xfId="13755" xr:uid="{00000000-0005-0000-0000-000028160000}"/>
    <cellStyle name="Normal 4 2 4 2 2 2 2 3 2 3" xfId="10576" xr:uid="{00000000-0005-0000-0000-000029160000}"/>
    <cellStyle name="Normal 4 2 4 2 2 2 2 3 3" xfId="5810" xr:uid="{00000000-0005-0000-0000-00002A160000}"/>
    <cellStyle name="Normal 4 2 4 2 2 2 2 3 3 2" xfId="12171" xr:uid="{00000000-0005-0000-0000-00002B160000}"/>
    <cellStyle name="Normal 4 2 4 2 2 2 2 3 4" xfId="8992" xr:uid="{00000000-0005-0000-0000-00002C160000}"/>
    <cellStyle name="Normal 4 2 4 2 2 2 2 4" xfId="3374" xr:uid="{00000000-0005-0000-0000-00002D160000}"/>
    <cellStyle name="Normal 4 2 4 2 2 2 2 4 2" xfId="6602" xr:uid="{00000000-0005-0000-0000-00002E160000}"/>
    <cellStyle name="Normal 4 2 4 2 2 2 2 4 2 2" xfId="12963" xr:uid="{00000000-0005-0000-0000-00002F160000}"/>
    <cellStyle name="Normal 4 2 4 2 2 2 2 4 3" xfId="9784" xr:uid="{00000000-0005-0000-0000-000030160000}"/>
    <cellStyle name="Normal 4 2 4 2 2 2 2 5" xfId="5018" xr:uid="{00000000-0005-0000-0000-000031160000}"/>
    <cellStyle name="Normal 4 2 4 2 2 2 2 5 2" xfId="11379" xr:uid="{00000000-0005-0000-0000-000032160000}"/>
    <cellStyle name="Normal 4 2 4 2 2 2 2 6" xfId="8200" xr:uid="{00000000-0005-0000-0000-000033160000}"/>
    <cellStyle name="Normal 4 2 4 2 2 2 3" xfId="1988" xr:uid="{00000000-0005-0000-0000-000034160000}"/>
    <cellStyle name="Normal 4 2 4 2 2 2 3 2" xfId="2780" xr:uid="{00000000-0005-0000-0000-000035160000}"/>
    <cellStyle name="Normal 4 2 4 2 2 2 3 2 2" xfId="4364" xr:uid="{00000000-0005-0000-0000-000036160000}"/>
    <cellStyle name="Normal 4 2 4 2 2 2 3 2 2 2" xfId="7592" xr:uid="{00000000-0005-0000-0000-000037160000}"/>
    <cellStyle name="Normal 4 2 4 2 2 2 3 2 2 2 2" xfId="13953" xr:uid="{00000000-0005-0000-0000-000038160000}"/>
    <cellStyle name="Normal 4 2 4 2 2 2 3 2 2 3" xfId="10774" xr:uid="{00000000-0005-0000-0000-000039160000}"/>
    <cellStyle name="Normal 4 2 4 2 2 2 3 2 3" xfId="6008" xr:uid="{00000000-0005-0000-0000-00003A160000}"/>
    <cellStyle name="Normal 4 2 4 2 2 2 3 2 3 2" xfId="12369" xr:uid="{00000000-0005-0000-0000-00003B160000}"/>
    <cellStyle name="Normal 4 2 4 2 2 2 3 2 4" xfId="9190" xr:uid="{00000000-0005-0000-0000-00003C160000}"/>
    <cellStyle name="Normal 4 2 4 2 2 2 3 3" xfId="3572" xr:uid="{00000000-0005-0000-0000-00003D160000}"/>
    <cellStyle name="Normal 4 2 4 2 2 2 3 3 2" xfId="6800" xr:uid="{00000000-0005-0000-0000-00003E160000}"/>
    <cellStyle name="Normal 4 2 4 2 2 2 3 3 2 2" xfId="13161" xr:uid="{00000000-0005-0000-0000-00003F160000}"/>
    <cellStyle name="Normal 4 2 4 2 2 2 3 3 3" xfId="9982" xr:uid="{00000000-0005-0000-0000-000040160000}"/>
    <cellStyle name="Normal 4 2 4 2 2 2 3 4" xfId="5216" xr:uid="{00000000-0005-0000-0000-000041160000}"/>
    <cellStyle name="Normal 4 2 4 2 2 2 3 4 2" xfId="11577" xr:uid="{00000000-0005-0000-0000-000042160000}"/>
    <cellStyle name="Normal 4 2 4 2 2 2 3 5" xfId="8398" xr:uid="{00000000-0005-0000-0000-000043160000}"/>
    <cellStyle name="Normal 4 2 4 2 2 2 4" xfId="2384" xr:uid="{00000000-0005-0000-0000-000044160000}"/>
    <cellStyle name="Normal 4 2 4 2 2 2 4 2" xfId="3968" xr:uid="{00000000-0005-0000-0000-000045160000}"/>
    <cellStyle name="Normal 4 2 4 2 2 2 4 2 2" xfId="7196" xr:uid="{00000000-0005-0000-0000-000046160000}"/>
    <cellStyle name="Normal 4 2 4 2 2 2 4 2 2 2" xfId="13557" xr:uid="{00000000-0005-0000-0000-000047160000}"/>
    <cellStyle name="Normal 4 2 4 2 2 2 4 2 3" xfId="10378" xr:uid="{00000000-0005-0000-0000-000048160000}"/>
    <cellStyle name="Normal 4 2 4 2 2 2 4 3" xfId="5612" xr:uid="{00000000-0005-0000-0000-000049160000}"/>
    <cellStyle name="Normal 4 2 4 2 2 2 4 3 2" xfId="11973" xr:uid="{00000000-0005-0000-0000-00004A160000}"/>
    <cellStyle name="Normal 4 2 4 2 2 2 4 4" xfId="8794" xr:uid="{00000000-0005-0000-0000-00004B160000}"/>
    <cellStyle name="Normal 4 2 4 2 2 2 5" xfId="3176" xr:uid="{00000000-0005-0000-0000-00004C160000}"/>
    <cellStyle name="Normal 4 2 4 2 2 2 5 2" xfId="6404" xr:uid="{00000000-0005-0000-0000-00004D160000}"/>
    <cellStyle name="Normal 4 2 4 2 2 2 5 2 2" xfId="12765" xr:uid="{00000000-0005-0000-0000-00004E160000}"/>
    <cellStyle name="Normal 4 2 4 2 2 2 5 3" xfId="9586" xr:uid="{00000000-0005-0000-0000-00004F160000}"/>
    <cellStyle name="Normal 4 2 4 2 2 2 6" xfId="4820" xr:uid="{00000000-0005-0000-0000-000050160000}"/>
    <cellStyle name="Normal 4 2 4 2 2 2 6 2" xfId="11181" xr:uid="{00000000-0005-0000-0000-000051160000}"/>
    <cellStyle name="Normal 4 2 4 2 2 2 7" xfId="8002" xr:uid="{00000000-0005-0000-0000-000052160000}"/>
    <cellStyle name="Normal 4 2 4 2 2 3" xfId="1660" xr:uid="{00000000-0005-0000-0000-000053160000}"/>
    <cellStyle name="Normal 4 2 4 2 2 3 2" xfId="1858" xr:uid="{00000000-0005-0000-0000-000054160000}"/>
    <cellStyle name="Normal 4 2 4 2 2 3 2 2" xfId="2254" xr:uid="{00000000-0005-0000-0000-000055160000}"/>
    <cellStyle name="Normal 4 2 4 2 2 3 2 2 2" xfId="3046" xr:uid="{00000000-0005-0000-0000-000056160000}"/>
    <cellStyle name="Normal 4 2 4 2 2 3 2 2 2 2" xfId="4630" xr:uid="{00000000-0005-0000-0000-000057160000}"/>
    <cellStyle name="Normal 4 2 4 2 2 3 2 2 2 2 2" xfId="7858" xr:uid="{00000000-0005-0000-0000-000058160000}"/>
    <cellStyle name="Normal 4 2 4 2 2 3 2 2 2 2 2 2" xfId="14219" xr:uid="{00000000-0005-0000-0000-000059160000}"/>
    <cellStyle name="Normal 4 2 4 2 2 3 2 2 2 2 3" xfId="11040" xr:uid="{00000000-0005-0000-0000-00005A160000}"/>
    <cellStyle name="Normal 4 2 4 2 2 3 2 2 2 3" xfId="6274" xr:uid="{00000000-0005-0000-0000-00005B160000}"/>
    <cellStyle name="Normal 4 2 4 2 2 3 2 2 2 3 2" xfId="12635" xr:uid="{00000000-0005-0000-0000-00005C160000}"/>
    <cellStyle name="Normal 4 2 4 2 2 3 2 2 2 4" xfId="9456" xr:uid="{00000000-0005-0000-0000-00005D160000}"/>
    <cellStyle name="Normal 4 2 4 2 2 3 2 2 3" xfId="3838" xr:uid="{00000000-0005-0000-0000-00005E160000}"/>
    <cellStyle name="Normal 4 2 4 2 2 3 2 2 3 2" xfId="7066" xr:uid="{00000000-0005-0000-0000-00005F160000}"/>
    <cellStyle name="Normal 4 2 4 2 2 3 2 2 3 2 2" xfId="13427" xr:uid="{00000000-0005-0000-0000-000060160000}"/>
    <cellStyle name="Normal 4 2 4 2 2 3 2 2 3 3" xfId="10248" xr:uid="{00000000-0005-0000-0000-000061160000}"/>
    <cellStyle name="Normal 4 2 4 2 2 3 2 2 4" xfId="5482" xr:uid="{00000000-0005-0000-0000-000062160000}"/>
    <cellStyle name="Normal 4 2 4 2 2 3 2 2 4 2" xfId="11843" xr:uid="{00000000-0005-0000-0000-000063160000}"/>
    <cellStyle name="Normal 4 2 4 2 2 3 2 2 5" xfId="8664" xr:uid="{00000000-0005-0000-0000-000064160000}"/>
    <cellStyle name="Normal 4 2 4 2 2 3 2 3" xfId="2650" xr:uid="{00000000-0005-0000-0000-000065160000}"/>
    <cellStyle name="Normal 4 2 4 2 2 3 2 3 2" xfId="4234" xr:uid="{00000000-0005-0000-0000-000066160000}"/>
    <cellStyle name="Normal 4 2 4 2 2 3 2 3 2 2" xfId="7462" xr:uid="{00000000-0005-0000-0000-000067160000}"/>
    <cellStyle name="Normal 4 2 4 2 2 3 2 3 2 2 2" xfId="13823" xr:uid="{00000000-0005-0000-0000-000068160000}"/>
    <cellStyle name="Normal 4 2 4 2 2 3 2 3 2 3" xfId="10644" xr:uid="{00000000-0005-0000-0000-000069160000}"/>
    <cellStyle name="Normal 4 2 4 2 2 3 2 3 3" xfId="5878" xr:uid="{00000000-0005-0000-0000-00006A160000}"/>
    <cellStyle name="Normal 4 2 4 2 2 3 2 3 3 2" xfId="12239" xr:uid="{00000000-0005-0000-0000-00006B160000}"/>
    <cellStyle name="Normal 4 2 4 2 2 3 2 3 4" xfId="9060" xr:uid="{00000000-0005-0000-0000-00006C160000}"/>
    <cellStyle name="Normal 4 2 4 2 2 3 2 4" xfId="3442" xr:uid="{00000000-0005-0000-0000-00006D160000}"/>
    <cellStyle name="Normal 4 2 4 2 2 3 2 4 2" xfId="6670" xr:uid="{00000000-0005-0000-0000-00006E160000}"/>
    <cellStyle name="Normal 4 2 4 2 2 3 2 4 2 2" xfId="13031" xr:uid="{00000000-0005-0000-0000-00006F160000}"/>
    <cellStyle name="Normal 4 2 4 2 2 3 2 4 3" xfId="9852" xr:uid="{00000000-0005-0000-0000-000070160000}"/>
    <cellStyle name="Normal 4 2 4 2 2 3 2 5" xfId="5086" xr:uid="{00000000-0005-0000-0000-000071160000}"/>
    <cellStyle name="Normal 4 2 4 2 2 3 2 5 2" xfId="11447" xr:uid="{00000000-0005-0000-0000-000072160000}"/>
    <cellStyle name="Normal 4 2 4 2 2 3 2 6" xfId="8268" xr:uid="{00000000-0005-0000-0000-000073160000}"/>
    <cellStyle name="Normal 4 2 4 2 2 3 3" xfId="2056" xr:uid="{00000000-0005-0000-0000-000074160000}"/>
    <cellStyle name="Normal 4 2 4 2 2 3 3 2" xfId="2848" xr:uid="{00000000-0005-0000-0000-000075160000}"/>
    <cellStyle name="Normal 4 2 4 2 2 3 3 2 2" xfId="4432" xr:uid="{00000000-0005-0000-0000-000076160000}"/>
    <cellStyle name="Normal 4 2 4 2 2 3 3 2 2 2" xfId="7660" xr:uid="{00000000-0005-0000-0000-000077160000}"/>
    <cellStyle name="Normal 4 2 4 2 2 3 3 2 2 2 2" xfId="14021" xr:uid="{00000000-0005-0000-0000-000078160000}"/>
    <cellStyle name="Normal 4 2 4 2 2 3 3 2 2 3" xfId="10842" xr:uid="{00000000-0005-0000-0000-000079160000}"/>
    <cellStyle name="Normal 4 2 4 2 2 3 3 2 3" xfId="6076" xr:uid="{00000000-0005-0000-0000-00007A160000}"/>
    <cellStyle name="Normal 4 2 4 2 2 3 3 2 3 2" xfId="12437" xr:uid="{00000000-0005-0000-0000-00007B160000}"/>
    <cellStyle name="Normal 4 2 4 2 2 3 3 2 4" xfId="9258" xr:uid="{00000000-0005-0000-0000-00007C160000}"/>
    <cellStyle name="Normal 4 2 4 2 2 3 3 3" xfId="3640" xr:uid="{00000000-0005-0000-0000-00007D160000}"/>
    <cellStyle name="Normal 4 2 4 2 2 3 3 3 2" xfId="6868" xr:uid="{00000000-0005-0000-0000-00007E160000}"/>
    <cellStyle name="Normal 4 2 4 2 2 3 3 3 2 2" xfId="13229" xr:uid="{00000000-0005-0000-0000-00007F160000}"/>
    <cellStyle name="Normal 4 2 4 2 2 3 3 3 3" xfId="10050" xr:uid="{00000000-0005-0000-0000-000080160000}"/>
    <cellStyle name="Normal 4 2 4 2 2 3 3 4" xfId="5284" xr:uid="{00000000-0005-0000-0000-000081160000}"/>
    <cellStyle name="Normal 4 2 4 2 2 3 3 4 2" xfId="11645" xr:uid="{00000000-0005-0000-0000-000082160000}"/>
    <cellStyle name="Normal 4 2 4 2 2 3 3 5" xfId="8466" xr:uid="{00000000-0005-0000-0000-000083160000}"/>
    <cellStyle name="Normal 4 2 4 2 2 3 4" xfId="2452" xr:uid="{00000000-0005-0000-0000-000084160000}"/>
    <cellStyle name="Normal 4 2 4 2 2 3 4 2" xfId="4036" xr:uid="{00000000-0005-0000-0000-000085160000}"/>
    <cellStyle name="Normal 4 2 4 2 2 3 4 2 2" xfId="7264" xr:uid="{00000000-0005-0000-0000-000086160000}"/>
    <cellStyle name="Normal 4 2 4 2 2 3 4 2 2 2" xfId="13625" xr:uid="{00000000-0005-0000-0000-000087160000}"/>
    <cellStyle name="Normal 4 2 4 2 2 3 4 2 3" xfId="10446" xr:uid="{00000000-0005-0000-0000-000088160000}"/>
    <cellStyle name="Normal 4 2 4 2 2 3 4 3" xfId="5680" xr:uid="{00000000-0005-0000-0000-000089160000}"/>
    <cellStyle name="Normal 4 2 4 2 2 3 4 3 2" xfId="12041" xr:uid="{00000000-0005-0000-0000-00008A160000}"/>
    <cellStyle name="Normal 4 2 4 2 2 3 4 4" xfId="8862" xr:uid="{00000000-0005-0000-0000-00008B160000}"/>
    <cellStyle name="Normal 4 2 4 2 2 3 5" xfId="3244" xr:uid="{00000000-0005-0000-0000-00008C160000}"/>
    <cellStyle name="Normal 4 2 4 2 2 3 5 2" xfId="6472" xr:uid="{00000000-0005-0000-0000-00008D160000}"/>
    <cellStyle name="Normal 4 2 4 2 2 3 5 2 2" xfId="12833" xr:uid="{00000000-0005-0000-0000-00008E160000}"/>
    <cellStyle name="Normal 4 2 4 2 2 3 5 3" xfId="9654" xr:uid="{00000000-0005-0000-0000-00008F160000}"/>
    <cellStyle name="Normal 4 2 4 2 2 3 6" xfId="4888" xr:uid="{00000000-0005-0000-0000-000090160000}"/>
    <cellStyle name="Normal 4 2 4 2 2 3 6 2" xfId="11249" xr:uid="{00000000-0005-0000-0000-000091160000}"/>
    <cellStyle name="Normal 4 2 4 2 2 3 7" xfId="8070" xr:uid="{00000000-0005-0000-0000-000092160000}"/>
    <cellStyle name="Normal 4 2 4 2 2 4" xfId="1725" xr:uid="{00000000-0005-0000-0000-000093160000}"/>
    <cellStyle name="Normal 4 2 4 2 2 4 2" xfId="2121" xr:uid="{00000000-0005-0000-0000-000094160000}"/>
    <cellStyle name="Normal 4 2 4 2 2 4 2 2" xfId="2913" xr:uid="{00000000-0005-0000-0000-000095160000}"/>
    <cellStyle name="Normal 4 2 4 2 2 4 2 2 2" xfId="4497" xr:uid="{00000000-0005-0000-0000-000096160000}"/>
    <cellStyle name="Normal 4 2 4 2 2 4 2 2 2 2" xfId="7725" xr:uid="{00000000-0005-0000-0000-000097160000}"/>
    <cellStyle name="Normal 4 2 4 2 2 4 2 2 2 2 2" xfId="14086" xr:uid="{00000000-0005-0000-0000-000098160000}"/>
    <cellStyle name="Normal 4 2 4 2 2 4 2 2 2 3" xfId="10907" xr:uid="{00000000-0005-0000-0000-000099160000}"/>
    <cellStyle name="Normal 4 2 4 2 2 4 2 2 3" xfId="6141" xr:uid="{00000000-0005-0000-0000-00009A160000}"/>
    <cellStyle name="Normal 4 2 4 2 2 4 2 2 3 2" xfId="12502" xr:uid="{00000000-0005-0000-0000-00009B160000}"/>
    <cellStyle name="Normal 4 2 4 2 2 4 2 2 4" xfId="9323" xr:uid="{00000000-0005-0000-0000-00009C160000}"/>
    <cellStyle name="Normal 4 2 4 2 2 4 2 3" xfId="3705" xr:uid="{00000000-0005-0000-0000-00009D160000}"/>
    <cellStyle name="Normal 4 2 4 2 2 4 2 3 2" xfId="6933" xr:uid="{00000000-0005-0000-0000-00009E160000}"/>
    <cellStyle name="Normal 4 2 4 2 2 4 2 3 2 2" xfId="13294" xr:uid="{00000000-0005-0000-0000-00009F160000}"/>
    <cellStyle name="Normal 4 2 4 2 2 4 2 3 3" xfId="10115" xr:uid="{00000000-0005-0000-0000-0000A0160000}"/>
    <cellStyle name="Normal 4 2 4 2 2 4 2 4" xfId="5349" xr:uid="{00000000-0005-0000-0000-0000A1160000}"/>
    <cellStyle name="Normal 4 2 4 2 2 4 2 4 2" xfId="11710" xr:uid="{00000000-0005-0000-0000-0000A2160000}"/>
    <cellStyle name="Normal 4 2 4 2 2 4 2 5" xfId="8531" xr:uid="{00000000-0005-0000-0000-0000A3160000}"/>
    <cellStyle name="Normal 4 2 4 2 2 4 3" xfId="2517" xr:uid="{00000000-0005-0000-0000-0000A4160000}"/>
    <cellStyle name="Normal 4 2 4 2 2 4 3 2" xfId="4101" xr:uid="{00000000-0005-0000-0000-0000A5160000}"/>
    <cellStyle name="Normal 4 2 4 2 2 4 3 2 2" xfId="7329" xr:uid="{00000000-0005-0000-0000-0000A6160000}"/>
    <cellStyle name="Normal 4 2 4 2 2 4 3 2 2 2" xfId="13690" xr:uid="{00000000-0005-0000-0000-0000A7160000}"/>
    <cellStyle name="Normal 4 2 4 2 2 4 3 2 3" xfId="10511" xr:uid="{00000000-0005-0000-0000-0000A8160000}"/>
    <cellStyle name="Normal 4 2 4 2 2 4 3 3" xfId="5745" xr:uid="{00000000-0005-0000-0000-0000A9160000}"/>
    <cellStyle name="Normal 4 2 4 2 2 4 3 3 2" xfId="12106" xr:uid="{00000000-0005-0000-0000-0000AA160000}"/>
    <cellStyle name="Normal 4 2 4 2 2 4 3 4" xfId="8927" xr:uid="{00000000-0005-0000-0000-0000AB160000}"/>
    <cellStyle name="Normal 4 2 4 2 2 4 4" xfId="3309" xr:uid="{00000000-0005-0000-0000-0000AC160000}"/>
    <cellStyle name="Normal 4 2 4 2 2 4 4 2" xfId="6537" xr:uid="{00000000-0005-0000-0000-0000AD160000}"/>
    <cellStyle name="Normal 4 2 4 2 2 4 4 2 2" xfId="12898" xr:uid="{00000000-0005-0000-0000-0000AE160000}"/>
    <cellStyle name="Normal 4 2 4 2 2 4 4 3" xfId="9719" xr:uid="{00000000-0005-0000-0000-0000AF160000}"/>
    <cellStyle name="Normal 4 2 4 2 2 4 5" xfId="4953" xr:uid="{00000000-0005-0000-0000-0000B0160000}"/>
    <cellStyle name="Normal 4 2 4 2 2 4 5 2" xfId="11314" xr:uid="{00000000-0005-0000-0000-0000B1160000}"/>
    <cellStyle name="Normal 4 2 4 2 2 4 6" xfId="8135" xr:uid="{00000000-0005-0000-0000-0000B2160000}"/>
    <cellStyle name="Normal 4 2 4 2 2 5" xfId="1923" xr:uid="{00000000-0005-0000-0000-0000B3160000}"/>
    <cellStyle name="Normal 4 2 4 2 2 5 2" xfId="2715" xr:uid="{00000000-0005-0000-0000-0000B4160000}"/>
    <cellStyle name="Normal 4 2 4 2 2 5 2 2" xfId="4299" xr:uid="{00000000-0005-0000-0000-0000B5160000}"/>
    <cellStyle name="Normal 4 2 4 2 2 5 2 2 2" xfId="7527" xr:uid="{00000000-0005-0000-0000-0000B6160000}"/>
    <cellStyle name="Normal 4 2 4 2 2 5 2 2 2 2" xfId="13888" xr:uid="{00000000-0005-0000-0000-0000B7160000}"/>
    <cellStyle name="Normal 4 2 4 2 2 5 2 2 3" xfId="10709" xr:uid="{00000000-0005-0000-0000-0000B8160000}"/>
    <cellStyle name="Normal 4 2 4 2 2 5 2 3" xfId="5943" xr:uid="{00000000-0005-0000-0000-0000B9160000}"/>
    <cellStyle name="Normal 4 2 4 2 2 5 2 3 2" xfId="12304" xr:uid="{00000000-0005-0000-0000-0000BA160000}"/>
    <cellStyle name="Normal 4 2 4 2 2 5 2 4" xfId="9125" xr:uid="{00000000-0005-0000-0000-0000BB160000}"/>
    <cellStyle name="Normal 4 2 4 2 2 5 3" xfId="3507" xr:uid="{00000000-0005-0000-0000-0000BC160000}"/>
    <cellStyle name="Normal 4 2 4 2 2 5 3 2" xfId="6735" xr:uid="{00000000-0005-0000-0000-0000BD160000}"/>
    <cellStyle name="Normal 4 2 4 2 2 5 3 2 2" xfId="13096" xr:uid="{00000000-0005-0000-0000-0000BE160000}"/>
    <cellStyle name="Normal 4 2 4 2 2 5 3 3" xfId="9917" xr:uid="{00000000-0005-0000-0000-0000BF160000}"/>
    <cellStyle name="Normal 4 2 4 2 2 5 4" xfId="5151" xr:uid="{00000000-0005-0000-0000-0000C0160000}"/>
    <cellStyle name="Normal 4 2 4 2 2 5 4 2" xfId="11512" xr:uid="{00000000-0005-0000-0000-0000C1160000}"/>
    <cellStyle name="Normal 4 2 4 2 2 5 5" xfId="8333" xr:uid="{00000000-0005-0000-0000-0000C2160000}"/>
    <cellStyle name="Normal 4 2 4 2 2 6" xfId="2319" xr:uid="{00000000-0005-0000-0000-0000C3160000}"/>
    <cellStyle name="Normal 4 2 4 2 2 6 2" xfId="3903" xr:uid="{00000000-0005-0000-0000-0000C4160000}"/>
    <cellStyle name="Normal 4 2 4 2 2 6 2 2" xfId="7131" xr:uid="{00000000-0005-0000-0000-0000C5160000}"/>
    <cellStyle name="Normal 4 2 4 2 2 6 2 2 2" xfId="13492" xr:uid="{00000000-0005-0000-0000-0000C6160000}"/>
    <cellStyle name="Normal 4 2 4 2 2 6 2 3" xfId="10313" xr:uid="{00000000-0005-0000-0000-0000C7160000}"/>
    <cellStyle name="Normal 4 2 4 2 2 6 3" xfId="5547" xr:uid="{00000000-0005-0000-0000-0000C8160000}"/>
    <cellStyle name="Normal 4 2 4 2 2 6 3 2" xfId="11908" xr:uid="{00000000-0005-0000-0000-0000C9160000}"/>
    <cellStyle name="Normal 4 2 4 2 2 6 4" xfId="8729" xr:uid="{00000000-0005-0000-0000-0000CA160000}"/>
    <cellStyle name="Normal 4 2 4 2 2 7" xfId="3111" xr:uid="{00000000-0005-0000-0000-0000CB160000}"/>
    <cellStyle name="Normal 4 2 4 2 2 7 2" xfId="6339" xr:uid="{00000000-0005-0000-0000-0000CC160000}"/>
    <cellStyle name="Normal 4 2 4 2 2 7 2 2" xfId="12700" xr:uid="{00000000-0005-0000-0000-0000CD160000}"/>
    <cellStyle name="Normal 4 2 4 2 2 7 3" xfId="9521" xr:uid="{00000000-0005-0000-0000-0000CE160000}"/>
    <cellStyle name="Normal 4 2 4 2 2 8" xfId="4755" xr:uid="{00000000-0005-0000-0000-0000CF160000}"/>
    <cellStyle name="Normal 4 2 4 2 2 8 2" xfId="11116" xr:uid="{00000000-0005-0000-0000-0000D0160000}"/>
    <cellStyle name="Normal 4 2 4 2 2 9" xfId="7937" xr:uid="{00000000-0005-0000-0000-0000D1160000}"/>
    <cellStyle name="Normal 4 2 4 2 3" xfId="1560" xr:uid="{00000000-0005-0000-0000-0000D2160000}"/>
    <cellStyle name="Normal 4 2 4 2 3 2" xfId="1758" xr:uid="{00000000-0005-0000-0000-0000D3160000}"/>
    <cellStyle name="Normal 4 2 4 2 3 2 2" xfId="2154" xr:uid="{00000000-0005-0000-0000-0000D4160000}"/>
    <cellStyle name="Normal 4 2 4 2 3 2 2 2" xfId="2946" xr:uid="{00000000-0005-0000-0000-0000D5160000}"/>
    <cellStyle name="Normal 4 2 4 2 3 2 2 2 2" xfId="4530" xr:uid="{00000000-0005-0000-0000-0000D6160000}"/>
    <cellStyle name="Normal 4 2 4 2 3 2 2 2 2 2" xfId="7758" xr:uid="{00000000-0005-0000-0000-0000D7160000}"/>
    <cellStyle name="Normal 4 2 4 2 3 2 2 2 2 2 2" xfId="14119" xr:uid="{00000000-0005-0000-0000-0000D8160000}"/>
    <cellStyle name="Normal 4 2 4 2 3 2 2 2 2 3" xfId="10940" xr:uid="{00000000-0005-0000-0000-0000D9160000}"/>
    <cellStyle name="Normal 4 2 4 2 3 2 2 2 3" xfId="6174" xr:uid="{00000000-0005-0000-0000-0000DA160000}"/>
    <cellStyle name="Normal 4 2 4 2 3 2 2 2 3 2" xfId="12535" xr:uid="{00000000-0005-0000-0000-0000DB160000}"/>
    <cellStyle name="Normal 4 2 4 2 3 2 2 2 4" xfId="9356" xr:uid="{00000000-0005-0000-0000-0000DC160000}"/>
    <cellStyle name="Normal 4 2 4 2 3 2 2 3" xfId="3738" xr:uid="{00000000-0005-0000-0000-0000DD160000}"/>
    <cellStyle name="Normal 4 2 4 2 3 2 2 3 2" xfId="6966" xr:uid="{00000000-0005-0000-0000-0000DE160000}"/>
    <cellStyle name="Normal 4 2 4 2 3 2 2 3 2 2" xfId="13327" xr:uid="{00000000-0005-0000-0000-0000DF160000}"/>
    <cellStyle name="Normal 4 2 4 2 3 2 2 3 3" xfId="10148" xr:uid="{00000000-0005-0000-0000-0000E0160000}"/>
    <cellStyle name="Normal 4 2 4 2 3 2 2 4" xfId="5382" xr:uid="{00000000-0005-0000-0000-0000E1160000}"/>
    <cellStyle name="Normal 4 2 4 2 3 2 2 4 2" xfId="11743" xr:uid="{00000000-0005-0000-0000-0000E2160000}"/>
    <cellStyle name="Normal 4 2 4 2 3 2 2 5" xfId="8564" xr:uid="{00000000-0005-0000-0000-0000E3160000}"/>
    <cellStyle name="Normal 4 2 4 2 3 2 3" xfId="2550" xr:uid="{00000000-0005-0000-0000-0000E4160000}"/>
    <cellStyle name="Normal 4 2 4 2 3 2 3 2" xfId="4134" xr:uid="{00000000-0005-0000-0000-0000E5160000}"/>
    <cellStyle name="Normal 4 2 4 2 3 2 3 2 2" xfId="7362" xr:uid="{00000000-0005-0000-0000-0000E6160000}"/>
    <cellStyle name="Normal 4 2 4 2 3 2 3 2 2 2" xfId="13723" xr:uid="{00000000-0005-0000-0000-0000E7160000}"/>
    <cellStyle name="Normal 4 2 4 2 3 2 3 2 3" xfId="10544" xr:uid="{00000000-0005-0000-0000-0000E8160000}"/>
    <cellStyle name="Normal 4 2 4 2 3 2 3 3" xfId="5778" xr:uid="{00000000-0005-0000-0000-0000E9160000}"/>
    <cellStyle name="Normal 4 2 4 2 3 2 3 3 2" xfId="12139" xr:uid="{00000000-0005-0000-0000-0000EA160000}"/>
    <cellStyle name="Normal 4 2 4 2 3 2 3 4" xfId="8960" xr:uid="{00000000-0005-0000-0000-0000EB160000}"/>
    <cellStyle name="Normal 4 2 4 2 3 2 4" xfId="3342" xr:uid="{00000000-0005-0000-0000-0000EC160000}"/>
    <cellStyle name="Normal 4 2 4 2 3 2 4 2" xfId="6570" xr:uid="{00000000-0005-0000-0000-0000ED160000}"/>
    <cellStyle name="Normal 4 2 4 2 3 2 4 2 2" xfId="12931" xr:uid="{00000000-0005-0000-0000-0000EE160000}"/>
    <cellStyle name="Normal 4 2 4 2 3 2 4 3" xfId="9752" xr:uid="{00000000-0005-0000-0000-0000EF160000}"/>
    <cellStyle name="Normal 4 2 4 2 3 2 5" xfId="4986" xr:uid="{00000000-0005-0000-0000-0000F0160000}"/>
    <cellStyle name="Normal 4 2 4 2 3 2 5 2" xfId="11347" xr:uid="{00000000-0005-0000-0000-0000F1160000}"/>
    <cellStyle name="Normal 4 2 4 2 3 2 6" xfId="8168" xr:uid="{00000000-0005-0000-0000-0000F2160000}"/>
    <cellStyle name="Normal 4 2 4 2 3 3" xfId="1956" xr:uid="{00000000-0005-0000-0000-0000F3160000}"/>
    <cellStyle name="Normal 4 2 4 2 3 3 2" xfId="2748" xr:uid="{00000000-0005-0000-0000-0000F4160000}"/>
    <cellStyle name="Normal 4 2 4 2 3 3 2 2" xfId="4332" xr:uid="{00000000-0005-0000-0000-0000F5160000}"/>
    <cellStyle name="Normal 4 2 4 2 3 3 2 2 2" xfId="7560" xr:uid="{00000000-0005-0000-0000-0000F6160000}"/>
    <cellStyle name="Normal 4 2 4 2 3 3 2 2 2 2" xfId="13921" xr:uid="{00000000-0005-0000-0000-0000F7160000}"/>
    <cellStyle name="Normal 4 2 4 2 3 3 2 2 3" xfId="10742" xr:uid="{00000000-0005-0000-0000-0000F8160000}"/>
    <cellStyle name="Normal 4 2 4 2 3 3 2 3" xfId="5976" xr:uid="{00000000-0005-0000-0000-0000F9160000}"/>
    <cellStyle name="Normal 4 2 4 2 3 3 2 3 2" xfId="12337" xr:uid="{00000000-0005-0000-0000-0000FA160000}"/>
    <cellStyle name="Normal 4 2 4 2 3 3 2 4" xfId="9158" xr:uid="{00000000-0005-0000-0000-0000FB160000}"/>
    <cellStyle name="Normal 4 2 4 2 3 3 3" xfId="3540" xr:uid="{00000000-0005-0000-0000-0000FC160000}"/>
    <cellStyle name="Normal 4 2 4 2 3 3 3 2" xfId="6768" xr:uid="{00000000-0005-0000-0000-0000FD160000}"/>
    <cellStyle name="Normal 4 2 4 2 3 3 3 2 2" xfId="13129" xr:uid="{00000000-0005-0000-0000-0000FE160000}"/>
    <cellStyle name="Normal 4 2 4 2 3 3 3 3" xfId="9950" xr:uid="{00000000-0005-0000-0000-0000FF160000}"/>
    <cellStyle name="Normal 4 2 4 2 3 3 4" xfId="5184" xr:uid="{00000000-0005-0000-0000-000000170000}"/>
    <cellStyle name="Normal 4 2 4 2 3 3 4 2" xfId="11545" xr:uid="{00000000-0005-0000-0000-000001170000}"/>
    <cellStyle name="Normal 4 2 4 2 3 3 5" xfId="8366" xr:uid="{00000000-0005-0000-0000-000002170000}"/>
    <cellStyle name="Normal 4 2 4 2 3 4" xfId="2352" xr:uid="{00000000-0005-0000-0000-000003170000}"/>
    <cellStyle name="Normal 4 2 4 2 3 4 2" xfId="3936" xr:uid="{00000000-0005-0000-0000-000004170000}"/>
    <cellStyle name="Normal 4 2 4 2 3 4 2 2" xfId="7164" xr:uid="{00000000-0005-0000-0000-000005170000}"/>
    <cellStyle name="Normal 4 2 4 2 3 4 2 2 2" xfId="13525" xr:uid="{00000000-0005-0000-0000-000006170000}"/>
    <cellStyle name="Normal 4 2 4 2 3 4 2 3" xfId="10346" xr:uid="{00000000-0005-0000-0000-000007170000}"/>
    <cellStyle name="Normal 4 2 4 2 3 4 3" xfId="5580" xr:uid="{00000000-0005-0000-0000-000008170000}"/>
    <cellStyle name="Normal 4 2 4 2 3 4 3 2" xfId="11941" xr:uid="{00000000-0005-0000-0000-000009170000}"/>
    <cellStyle name="Normal 4 2 4 2 3 4 4" xfId="8762" xr:uid="{00000000-0005-0000-0000-00000A170000}"/>
    <cellStyle name="Normal 4 2 4 2 3 5" xfId="3144" xr:uid="{00000000-0005-0000-0000-00000B170000}"/>
    <cellStyle name="Normal 4 2 4 2 3 5 2" xfId="6372" xr:uid="{00000000-0005-0000-0000-00000C170000}"/>
    <cellStyle name="Normal 4 2 4 2 3 5 2 2" xfId="12733" xr:uid="{00000000-0005-0000-0000-00000D170000}"/>
    <cellStyle name="Normal 4 2 4 2 3 5 3" xfId="9554" xr:uid="{00000000-0005-0000-0000-00000E170000}"/>
    <cellStyle name="Normal 4 2 4 2 3 6" xfId="4788" xr:uid="{00000000-0005-0000-0000-00000F170000}"/>
    <cellStyle name="Normal 4 2 4 2 3 6 2" xfId="11149" xr:uid="{00000000-0005-0000-0000-000010170000}"/>
    <cellStyle name="Normal 4 2 4 2 3 7" xfId="7970" xr:uid="{00000000-0005-0000-0000-000011170000}"/>
    <cellStyle name="Normal 4 2 4 2 4" xfId="1628" xr:uid="{00000000-0005-0000-0000-000012170000}"/>
    <cellStyle name="Normal 4 2 4 2 4 2" xfId="1826" xr:uid="{00000000-0005-0000-0000-000013170000}"/>
    <cellStyle name="Normal 4 2 4 2 4 2 2" xfId="2222" xr:uid="{00000000-0005-0000-0000-000014170000}"/>
    <cellStyle name="Normal 4 2 4 2 4 2 2 2" xfId="3014" xr:uid="{00000000-0005-0000-0000-000015170000}"/>
    <cellStyle name="Normal 4 2 4 2 4 2 2 2 2" xfId="4598" xr:uid="{00000000-0005-0000-0000-000016170000}"/>
    <cellStyle name="Normal 4 2 4 2 4 2 2 2 2 2" xfId="7826" xr:uid="{00000000-0005-0000-0000-000017170000}"/>
    <cellStyle name="Normal 4 2 4 2 4 2 2 2 2 2 2" xfId="14187" xr:uid="{00000000-0005-0000-0000-000018170000}"/>
    <cellStyle name="Normal 4 2 4 2 4 2 2 2 2 3" xfId="11008" xr:uid="{00000000-0005-0000-0000-000019170000}"/>
    <cellStyle name="Normal 4 2 4 2 4 2 2 2 3" xfId="6242" xr:uid="{00000000-0005-0000-0000-00001A170000}"/>
    <cellStyle name="Normal 4 2 4 2 4 2 2 2 3 2" xfId="12603" xr:uid="{00000000-0005-0000-0000-00001B170000}"/>
    <cellStyle name="Normal 4 2 4 2 4 2 2 2 4" xfId="9424" xr:uid="{00000000-0005-0000-0000-00001C170000}"/>
    <cellStyle name="Normal 4 2 4 2 4 2 2 3" xfId="3806" xr:uid="{00000000-0005-0000-0000-00001D170000}"/>
    <cellStyle name="Normal 4 2 4 2 4 2 2 3 2" xfId="7034" xr:uid="{00000000-0005-0000-0000-00001E170000}"/>
    <cellStyle name="Normal 4 2 4 2 4 2 2 3 2 2" xfId="13395" xr:uid="{00000000-0005-0000-0000-00001F170000}"/>
    <cellStyle name="Normal 4 2 4 2 4 2 2 3 3" xfId="10216" xr:uid="{00000000-0005-0000-0000-000020170000}"/>
    <cellStyle name="Normal 4 2 4 2 4 2 2 4" xfId="5450" xr:uid="{00000000-0005-0000-0000-000021170000}"/>
    <cellStyle name="Normal 4 2 4 2 4 2 2 4 2" xfId="11811" xr:uid="{00000000-0005-0000-0000-000022170000}"/>
    <cellStyle name="Normal 4 2 4 2 4 2 2 5" xfId="8632" xr:uid="{00000000-0005-0000-0000-000023170000}"/>
    <cellStyle name="Normal 4 2 4 2 4 2 3" xfId="2618" xr:uid="{00000000-0005-0000-0000-000024170000}"/>
    <cellStyle name="Normal 4 2 4 2 4 2 3 2" xfId="4202" xr:uid="{00000000-0005-0000-0000-000025170000}"/>
    <cellStyle name="Normal 4 2 4 2 4 2 3 2 2" xfId="7430" xr:uid="{00000000-0005-0000-0000-000026170000}"/>
    <cellStyle name="Normal 4 2 4 2 4 2 3 2 2 2" xfId="13791" xr:uid="{00000000-0005-0000-0000-000027170000}"/>
    <cellStyle name="Normal 4 2 4 2 4 2 3 2 3" xfId="10612" xr:uid="{00000000-0005-0000-0000-000028170000}"/>
    <cellStyle name="Normal 4 2 4 2 4 2 3 3" xfId="5846" xr:uid="{00000000-0005-0000-0000-000029170000}"/>
    <cellStyle name="Normal 4 2 4 2 4 2 3 3 2" xfId="12207" xr:uid="{00000000-0005-0000-0000-00002A170000}"/>
    <cellStyle name="Normal 4 2 4 2 4 2 3 4" xfId="9028" xr:uid="{00000000-0005-0000-0000-00002B170000}"/>
    <cellStyle name="Normal 4 2 4 2 4 2 4" xfId="3410" xr:uid="{00000000-0005-0000-0000-00002C170000}"/>
    <cellStyle name="Normal 4 2 4 2 4 2 4 2" xfId="6638" xr:uid="{00000000-0005-0000-0000-00002D170000}"/>
    <cellStyle name="Normal 4 2 4 2 4 2 4 2 2" xfId="12999" xr:uid="{00000000-0005-0000-0000-00002E170000}"/>
    <cellStyle name="Normal 4 2 4 2 4 2 4 3" xfId="9820" xr:uid="{00000000-0005-0000-0000-00002F170000}"/>
    <cellStyle name="Normal 4 2 4 2 4 2 5" xfId="5054" xr:uid="{00000000-0005-0000-0000-000030170000}"/>
    <cellStyle name="Normal 4 2 4 2 4 2 5 2" xfId="11415" xr:uid="{00000000-0005-0000-0000-000031170000}"/>
    <cellStyle name="Normal 4 2 4 2 4 2 6" xfId="8236" xr:uid="{00000000-0005-0000-0000-000032170000}"/>
    <cellStyle name="Normal 4 2 4 2 4 3" xfId="2024" xr:uid="{00000000-0005-0000-0000-000033170000}"/>
    <cellStyle name="Normal 4 2 4 2 4 3 2" xfId="2816" xr:uid="{00000000-0005-0000-0000-000034170000}"/>
    <cellStyle name="Normal 4 2 4 2 4 3 2 2" xfId="4400" xr:uid="{00000000-0005-0000-0000-000035170000}"/>
    <cellStyle name="Normal 4 2 4 2 4 3 2 2 2" xfId="7628" xr:uid="{00000000-0005-0000-0000-000036170000}"/>
    <cellStyle name="Normal 4 2 4 2 4 3 2 2 2 2" xfId="13989" xr:uid="{00000000-0005-0000-0000-000037170000}"/>
    <cellStyle name="Normal 4 2 4 2 4 3 2 2 3" xfId="10810" xr:uid="{00000000-0005-0000-0000-000038170000}"/>
    <cellStyle name="Normal 4 2 4 2 4 3 2 3" xfId="6044" xr:uid="{00000000-0005-0000-0000-000039170000}"/>
    <cellStyle name="Normal 4 2 4 2 4 3 2 3 2" xfId="12405" xr:uid="{00000000-0005-0000-0000-00003A170000}"/>
    <cellStyle name="Normal 4 2 4 2 4 3 2 4" xfId="9226" xr:uid="{00000000-0005-0000-0000-00003B170000}"/>
    <cellStyle name="Normal 4 2 4 2 4 3 3" xfId="3608" xr:uid="{00000000-0005-0000-0000-00003C170000}"/>
    <cellStyle name="Normal 4 2 4 2 4 3 3 2" xfId="6836" xr:uid="{00000000-0005-0000-0000-00003D170000}"/>
    <cellStyle name="Normal 4 2 4 2 4 3 3 2 2" xfId="13197" xr:uid="{00000000-0005-0000-0000-00003E170000}"/>
    <cellStyle name="Normal 4 2 4 2 4 3 3 3" xfId="10018" xr:uid="{00000000-0005-0000-0000-00003F170000}"/>
    <cellStyle name="Normal 4 2 4 2 4 3 4" xfId="5252" xr:uid="{00000000-0005-0000-0000-000040170000}"/>
    <cellStyle name="Normal 4 2 4 2 4 3 4 2" xfId="11613" xr:uid="{00000000-0005-0000-0000-000041170000}"/>
    <cellStyle name="Normal 4 2 4 2 4 3 5" xfId="8434" xr:uid="{00000000-0005-0000-0000-000042170000}"/>
    <cellStyle name="Normal 4 2 4 2 4 4" xfId="2420" xr:uid="{00000000-0005-0000-0000-000043170000}"/>
    <cellStyle name="Normal 4 2 4 2 4 4 2" xfId="4004" xr:uid="{00000000-0005-0000-0000-000044170000}"/>
    <cellStyle name="Normal 4 2 4 2 4 4 2 2" xfId="7232" xr:uid="{00000000-0005-0000-0000-000045170000}"/>
    <cellStyle name="Normal 4 2 4 2 4 4 2 2 2" xfId="13593" xr:uid="{00000000-0005-0000-0000-000046170000}"/>
    <cellStyle name="Normal 4 2 4 2 4 4 2 3" xfId="10414" xr:uid="{00000000-0005-0000-0000-000047170000}"/>
    <cellStyle name="Normal 4 2 4 2 4 4 3" xfId="5648" xr:uid="{00000000-0005-0000-0000-000048170000}"/>
    <cellStyle name="Normal 4 2 4 2 4 4 3 2" xfId="12009" xr:uid="{00000000-0005-0000-0000-000049170000}"/>
    <cellStyle name="Normal 4 2 4 2 4 4 4" xfId="8830" xr:uid="{00000000-0005-0000-0000-00004A170000}"/>
    <cellStyle name="Normal 4 2 4 2 4 5" xfId="3212" xr:uid="{00000000-0005-0000-0000-00004B170000}"/>
    <cellStyle name="Normal 4 2 4 2 4 5 2" xfId="6440" xr:uid="{00000000-0005-0000-0000-00004C170000}"/>
    <cellStyle name="Normal 4 2 4 2 4 5 2 2" xfId="12801" xr:uid="{00000000-0005-0000-0000-00004D170000}"/>
    <cellStyle name="Normal 4 2 4 2 4 5 3" xfId="9622" xr:uid="{00000000-0005-0000-0000-00004E170000}"/>
    <cellStyle name="Normal 4 2 4 2 4 6" xfId="4856" xr:uid="{00000000-0005-0000-0000-00004F170000}"/>
    <cellStyle name="Normal 4 2 4 2 4 6 2" xfId="11217" xr:uid="{00000000-0005-0000-0000-000050170000}"/>
    <cellStyle name="Normal 4 2 4 2 4 7" xfId="8038" xr:uid="{00000000-0005-0000-0000-000051170000}"/>
    <cellStyle name="Normal 4 2 4 2 5" xfId="1693" xr:uid="{00000000-0005-0000-0000-000052170000}"/>
    <cellStyle name="Normal 4 2 4 2 5 2" xfId="2089" xr:uid="{00000000-0005-0000-0000-000053170000}"/>
    <cellStyle name="Normal 4 2 4 2 5 2 2" xfId="2881" xr:uid="{00000000-0005-0000-0000-000054170000}"/>
    <cellStyle name="Normal 4 2 4 2 5 2 2 2" xfId="4465" xr:uid="{00000000-0005-0000-0000-000055170000}"/>
    <cellStyle name="Normal 4 2 4 2 5 2 2 2 2" xfId="7693" xr:uid="{00000000-0005-0000-0000-000056170000}"/>
    <cellStyle name="Normal 4 2 4 2 5 2 2 2 2 2" xfId="14054" xr:uid="{00000000-0005-0000-0000-000057170000}"/>
    <cellStyle name="Normal 4 2 4 2 5 2 2 2 3" xfId="10875" xr:uid="{00000000-0005-0000-0000-000058170000}"/>
    <cellStyle name="Normal 4 2 4 2 5 2 2 3" xfId="6109" xr:uid="{00000000-0005-0000-0000-000059170000}"/>
    <cellStyle name="Normal 4 2 4 2 5 2 2 3 2" xfId="12470" xr:uid="{00000000-0005-0000-0000-00005A170000}"/>
    <cellStyle name="Normal 4 2 4 2 5 2 2 4" xfId="9291" xr:uid="{00000000-0005-0000-0000-00005B170000}"/>
    <cellStyle name="Normal 4 2 4 2 5 2 3" xfId="3673" xr:uid="{00000000-0005-0000-0000-00005C170000}"/>
    <cellStyle name="Normal 4 2 4 2 5 2 3 2" xfId="6901" xr:uid="{00000000-0005-0000-0000-00005D170000}"/>
    <cellStyle name="Normal 4 2 4 2 5 2 3 2 2" xfId="13262" xr:uid="{00000000-0005-0000-0000-00005E170000}"/>
    <cellStyle name="Normal 4 2 4 2 5 2 3 3" xfId="10083" xr:uid="{00000000-0005-0000-0000-00005F170000}"/>
    <cellStyle name="Normal 4 2 4 2 5 2 4" xfId="5317" xr:uid="{00000000-0005-0000-0000-000060170000}"/>
    <cellStyle name="Normal 4 2 4 2 5 2 4 2" xfId="11678" xr:uid="{00000000-0005-0000-0000-000061170000}"/>
    <cellStyle name="Normal 4 2 4 2 5 2 5" xfId="8499" xr:uid="{00000000-0005-0000-0000-000062170000}"/>
    <cellStyle name="Normal 4 2 4 2 5 3" xfId="2485" xr:uid="{00000000-0005-0000-0000-000063170000}"/>
    <cellStyle name="Normal 4 2 4 2 5 3 2" xfId="4069" xr:uid="{00000000-0005-0000-0000-000064170000}"/>
    <cellStyle name="Normal 4 2 4 2 5 3 2 2" xfId="7297" xr:uid="{00000000-0005-0000-0000-000065170000}"/>
    <cellStyle name="Normal 4 2 4 2 5 3 2 2 2" xfId="13658" xr:uid="{00000000-0005-0000-0000-000066170000}"/>
    <cellStyle name="Normal 4 2 4 2 5 3 2 3" xfId="10479" xr:uid="{00000000-0005-0000-0000-000067170000}"/>
    <cellStyle name="Normal 4 2 4 2 5 3 3" xfId="5713" xr:uid="{00000000-0005-0000-0000-000068170000}"/>
    <cellStyle name="Normal 4 2 4 2 5 3 3 2" xfId="12074" xr:uid="{00000000-0005-0000-0000-000069170000}"/>
    <cellStyle name="Normal 4 2 4 2 5 3 4" xfId="8895" xr:uid="{00000000-0005-0000-0000-00006A170000}"/>
    <cellStyle name="Normal 4 2 4 2 5 4" xfId="3277" xr:uid="{00000000-0005-0000-0000-00006B170000}"/>
    <cellStyle name="Normal 4 2 4 2 5 4 2" xfId="6505" xr:uid="{00000000-0005-0000-0000-00006C170000}"/>
    <cellStyle name="Normal 4 2 4 2 5 4 2 2" xfId="12866" xr:uid="{00000000-0005-0000-0000-00006D170000}"/>
    <cellStyle name="Normal 4 2 4 2 5 4 3" xfId="9687" xr:uid="{00000000-0005-0000-0000-00006E170000}"/>
    <cellStyle name="Normal 4 2 4 2 5 5" xfId="4921" xr:uid="{00000000-0005-0000-0000-00006F170000}"/>
    <cellStyle name="Normal 4 2 4 2 5 5 2" xfId="11282" xr:uid="{00000000-0005-0000-0000-000070170000}"/>
    <cellStyle name="Normal 4 2 4 2 5 6" xfId="8103" xr:uid="{00000000-0005-0000-0000-000071170000}"/>
    <cellStyle name="Normal 4 2 4 2 6" xfId="1891" xr:uid="{00000000-0005-0000-0000-000072170000}"/>
    <cellStyle name="Normal 4 2 4 2 6 2" xfId="2683" xr:uid="{00000000-0005-0000-0000-000073170000}"/>
    <cellStyle name="Normal 4 2 4 2 6 2 2" xfId="4267" xr:uid="{00000000-0005-0000-0000-000074170000}"/>
    <cellStyle name="Normal 4 2 4 2 6 2 2 2" xfId="7495" xr:uid="{00000000-0005-0000-0000-000075170000}"/>
    <cellStyle name="Normal 4 2 4 2 6 2 2 2 2" xfId="13856" xr:uid="{00000000-0005-0000-0000-000076170000}"/>
    <cellStyle name="Normal 4 2 4 2 6 2 2 3" xfId="10677" xr:uid="{00000000-0005-0000-0000-000077170000}"/>
    <cellStyle name="Normal 4 2 4 2 6 2 3" xfId="5911" xr:uid="{00000000-0005-0000-0000-000078170000}"/>
    <cellStyle name="Normal 4 2 4 2 6 2 3 2" xfId="12272" xr:uid="{00000000-0005-0000-0000-000079170000}"/>
    <cellStyle name="Normal 4 2 4 2 6 2 4" xfId="9093" xr:uid="{00000000-0005-0000-0000-00007A170000}"/>
    <cellStyle name="Normal 4 2 4 2 6 3" xfId="3475" xr:uid="{00000000-0005-0000-0000-00007B170000}"/>
    <cellStyle name="Normal 4 2 4 2 6 3 2" xfId="6703" xr:uid="{00000000-0005-0000-0000-00007C170000}"/>
    <cellStyle name="Normal 4 2 4 2 6 3 2 2" xfId="13064" xr:uid="{00000000-0005-0000-0000-00007D170000}"/>
    <cellStyle name="Normal 4 2 4 2 6 3 3" xfId="9885" xr:uid="{00000000-0005-0000-0000-00007E170000}"/>
    <cellStyle name="Normal 4 2 4 2 6 4" xfId="5119" xr:uid="{00000000-0005-0000-0000-00007F170000}"/>
    <cellStyle name="Normal 4 2 4 2 6 4 2" xfId="11480" xr:uid="{00000000-0005-0000-0000-000080170000}"/>
    <cellStyle name="Normal 4 2 4 2 6 5" xfId="8301" xr:uid="{00000000-0005-0000-0000-000081170000}"/>
    <cellStyle name="Normal 4 2 4 2 7" xfId="2287" xr:uid="{00000000-0005-0000-0000-000082170000}"/>
    <cellStyle name="Normal 4 2 4 2 7 2" xfId="3871" xr:uid="{00000000-0005-0000-0000-000083170000}"/>
    <cellStyle name="Normal 4 2 4 2 7 2 2" xfId="7099" xr:uid="{00000000-0005-0000-0000-000084170000}"/>
    <cellStyle name="Normal 4 2 4 2 7 2 2 2" xfId="13460" xr:uid="{00000000-0005-0000-0000-000085170000}"/>
    <cellStyle name="Normal 4 2 4 2 7 2 3" xfId="10281" xr:uid="{00000000-0005-0000-0000-000086170000}"/>
    <cellStyle name="Normal 4 2 4 2 7 3" xfId="5515" xr:uid="{00000000-0005-0000-0000-000087170000}"/>
    <cellStyle name="Normal 4 2 4 2 7 3 2" xfId="11876" xr:uid="{00000000-0005-0000-0000-000088170000}"/>
    <cellStyle name="Normal 4 2 4 2 7 4" xfId="8697" xr:uid="{00000000-0005-0000-0000-000089170000}"/>
    <cellStyle name="Normal 4 2 4 2 8" xfId="3079" xr:uid="{00000000-0005-0000-0000-00008A170000}"/>
    <cellStyle name="Normal 4 2 4 2 8 2" xfId="6307" xr:uid="{00000000-0005-0000-0000-00008B170000}"/>
    <cellStyle name="Normal 4 2 4 2 8 2 2" xfId="12668" xr:uid="{00000000-0005-0000-0000-00008C170000}"/>
    <cellStyle name="Normal 4 2 4 2 8 3" xfId="9489" xr:uid="{00000000-0005-0000-0000-00008D170000}"/>
    <cellStyle name="Normal 4 2 4 2 9" xfId="4723" xr:uid="{00000000-0005-0000-0000-00008E170000}"/>
    <cellStyle name="Normal 4 2 4 2 9 2" xfId="11084" xr:uid="{00000000-0005-0000-0000-00008F170000}"/>
    <cellStyle name="Normal 4 2 4 3" xfId="1464" xr:uid="{00000000-0005-0000-0000-000090170000}"/>
    <cellStyle name="Normal 4 2 4 3 2" xfId="1576" xr:uid="{00000000-0005-0000-0000-000091170000}"/>
    <cellStyle name="Normal 4 2 4 3 2 2" xfId="1774" xr:uid="{00000000-0005-0000-0000-000092170000}"/>
    <cellStyle name="Normal 4 2 4 3 2 2 2" xfId="2170" xr:uid="{00000000-0005-0000-0000-000093170000}"/>
    <cellStyle name="Normal 4 2 4 3 2 2 2 2" xfId="2962" xr:uid="{00000000-0005-0000-0000-000094170000}"/>
    <cellStyle name="Normal 4 2 4 3 2 2 2 2 2" xfId="4546" xr:uid="{00000000-0005-0000-0000-000095170000}"/>
    <cellStyle name="Normal 4 2 4 3 2 2 2 2 2 2" xfId="7774" xr:uid="{00000000-0005-0000-0000-000096170000}"/>
    <cellStyle name="Normal 4 2 4 3 2 2 2 2 2 2 2" xfId="14135" xr:uid="{00000000-0005-0000-0000-000097170000}"/>
    <cellStyle name="Normal 4 2 4 3 2 2 2 2 2 3" xfId="10956" xr:uid="{00000000-0005-0000-0000-000098170000}"/>
    <cellStyle name="Normal 4 2 4 3 2 2 2 2 3" xfId="6190" xr:uid="{00000000-0005-0000-0000-000099170000}"/>
    <cellStyle name="Normal 4 2 4 3 2 2 2 2 3 2" xfId="12551" xr:uid="{00000000-0005-0000-0000-00009A170000}"/>
    <cellStyle name="Normal 4 2 4 3 2 2 2 2 4" xfId="9372" xr:uid="{00000000-0005-0000-0000-00009B170000}"/>
    <cellStyle name="Normal 4 2 4 3 2 2 2 3" xfId="3754" xr:uid="{00000000-0005-0000-0000-00009C170000}"/>
    <cellStyle name="Normal 4 2 4 3 2 2 2 3 2" xfId="6982" xr:uid="{00000000-0005-0000-0000-00009D170000}"/>
    <cellStyle name="Normal 4 2 4 3 2 2 2 3 2 2" xfId="13343" xr:uid="{00000000-0005-0000-0000-00009E170000}"/>
    <cellStyle name="Normal 4 2 4 3 2 2 2 3 3" xfId="10164" xr:uid="{00000000-0005-0000-0000-00009F170000}"/>
    <cellStyle name="Normal 4 2 4 3 2 2 2 4" xfId="5398" xr:uid="{00000000-0005-0000-0000-0000A0170000}"/>
    <cellStyle name="Normal 4 2 4 3 2 2 2 4 2" xfId="11759" xr:uid="{00000000-0005-0000-0000-0000A1170000}"/>
    <cellStyle name="Normal 4 2 4 3 2 2 2 5" xfId="8580" xr:uid="{00000000-0005-0000-0000-0000A2170000}"/>
    <cellStyle name="Normal 4 2 4 3 2 2 3" xfId="2566" xr:uid="{00000000-0005-0000-0000-0000A3170000}"/>
    <cellStyle name="Normal 4 2 4 3 2 2 3 2" xfId="4150" xr:uid="{00000000-0005-0000-0000-0000A4170000}"/>
    <cellStyle name="Normal 4 2 4 3 2 2 3 2 2" xfId="7378" xr:uid="{00000000-0005-0000-0000-0000A5170000}"/>
    <cellStyle name="Normal 4 2 4 3 2 2 3 2 2 2" xfId="13739" xr:uid="{00000000-0005-0000-0000-0000A6170000}"/>
    <cellStyle name="Normal 4 2 4 3 2 2 3 2 3" xfId="10560" xr:uid="{00000000-0005-0000-0000-0000A7170000}"/>
    <cellStyle name="Normal 4 2 4 3 2 2 3 3" xfId="5794" xr:uid="{00000000-0005-0000-0000-0000A8170000}"/>
    <cellStyle name="Normal 4 2 4 3 2 2 3 3 2" xfId="12155" xr:uid="{00000000-0005-0000-0000-0000A9170000}"/>
    <cellStyle name="Normal 4 2 4 3 2 2 3 4" xfId="8976" xr:uid="{00000000-0005-0000-0000-0000AA170000}"/>
    <cellStyle name="Normal 4 2 4 3 2 2 4" xfId="3358" xr:uid="{00000000-0005-0000-0000-0000AB170000}"/>
    <cellStyle name="Normal 4 2 4 3 2 2 4 2" xfId="6586" xr:uid="{00000000-0005-0000-0000-0000AC170000}"/>
    <cellStyle name="Normal 4 2 4 3 2 2 4 2 2" xfId="12947" xr:uid="{00000000-0005-0000-0000-0000AD170000}"/>
    <cellStyle name="Normal 4 2 4 3 2 2 4 3" xfId="9768" xr:uid="{00000000-0005-0000-0000-0000AE170000}"/>
    <cellStyle name="Normal 4 2 4 3 2 2 5" xfId="5002" xr:uid="{00000000-0005-0000-0000-0000AF170000}"/>
    <cellStyle name="Normal 4 2 4 3 2 2 5 2" xfId="11363" xr:uid="{00000000-0005-0000-0000-0000B0170000}"/>
    <cellStyle name="Normal 4 2 4 3 2 2 6" xfId="8184" xr:uid="{00000000-0005-0000-0000-0000B1170000}"/>
    <cellStyle name="Normal 4 2 4 3 2 3" xfId="1972" xr:uid="{00000000-0005-0000-0000-0000B2170000}"/>
    <cellStyle name="Normal 4 2 4 3 2 3 2" xfId="2764" xr:uid="{00000000-0005-0000-0000-0000B3170000}"/>
    <cellStyle name="Normal 4 2 4 3 2 3 2 2" xfId="4348" xr:uid="{00000000-0005-0000-0000-0000B4170000}"/>
    <cellStyle name="Normal 4 2 4 3 2 3 2 2 2" xfId="7576" xr:uid="{00000000-0005-0000-0000-0000B5170000}"/>
    <cellStyle name="Normal 4 2 4 3 2 3 2 2 2 2" xfId="13937" xr:uid="{00000000-0005-0000-0000-0000B6170000}"/>
    <cellStyle name="Normal 4 2 4 3 2 3 2 2 3" xfId="10758" xr:uid="{00000000-0005-0000-0000-0000B7170000}"/>
    <cellStyle name="Normal 4 2 4 3 2 3 2 3" xfId="5992" xr:uid="{00000000-0005-0000-0000-0000B8170000}"/>
    <cellStyle name="Normal 4 2 4 3 2 3 2 3 2" xfId="12353" xr:uid="{00000000-0005-0000-0000-0000B9170000}"/>
    <cellStyle name="Normal 4 2 4 3 2 3 2 4" xfId="9174" xr:uid="{00000000-0005-0000-0000-0000BA170000}"/>
    <cellStyle name="Normal 4 2 4 3 2 3 3" xfId="3556" xr:uid="{00000000-0005-0000-0000-0000BB170000}"/>
    <cellStyle name="Normal 4 2 4 3 2 3 3 2" xfId="6784" xr:uid="{00000000-0005-0000-0000-0000BC170000}"/>
    <cellStyle name="Normal 4 2 4 3 2 3 3 2 2" xfId="13145" xr:uid="{00000000-0005-0000-0000-0000BD170000}"/>
    <cellStyle name="Normal 4 2 4 3 2 3 3 3" xfId="9966" xr:uid="{00000000-0005-0000-0000-0000BE170000}"/>
    <cellStyle name="Normal 4 2 4 3 2 3 4" xfId="5200" xr:uid="{00000000-0005-0000-0000-0000BF170000}"/>
    <cellStyle name="Normal 4 2 4 3 2 3 4 2" xfId="11561" xr:uid="{00000000-0005-0000-0000-0000C0170000}"/>
    <cellStyle name="Normal 4 2 4 3 2 3 5" xfId="8382" xr:uid="{00000000-0005-0000-0000-0000C1170000}"/>
    <cellStyle name="Normal 4 2 4 3 2 4" xfId="2368" xr:uid="{00000000-0005-0000-0000-0000C2170000}"/>
    <cellStyle name="Normal 4 2 4 3 2 4 2" xfId="3952" xr:uid="{00000000-0005-0000-0000-0000C3170000}"/>
    <cellStyle name="Normal 4 2 4 3 2 4 2 2" xfId="7180" xr:uid="{00000000-0005-0000-0000-0000C4170000}"/>
    <cellStyle name="Normal 4 2 4 3 2 4 2 2 2" xfId="13541" xr:uid="{00000000-0005-0000-0000-0000C5170000}"/>
    <cellStyle name="Normal 4 2 4 3 2 4 2 3" xfId="10362" xr:uid="{00000000-0005-0000-0000-0000C6170000}"/>
    <cellStyle name="Normal 4 2 4 3 2 4 3" xfId="5596" xr:uid="{00000000-0005-0000-0000-0000C7170000}"/>
    <cellStyle name="Normal 4 2 4 3 2 4 3 2" xfId="11957" xr:uid="{00000000-0005-0000-0000-0000C8170000}"/>
    <cellStyle name="Normal 4 2 4 3 2 4 4" xfId="8778" xr:uid="{00000000-0005-0000-0000-0000C9170000}"/>
    <cellStyle name="Normal 4 2 4 3 2 5" xfId="3160" xr:uid="{00000000-0005-0000-0000-0000CA170000}"/>
    <cellStyle name="Normal 4 2 4 3 2 5 2" xfId="6388" xr:uid="{00000000-0005-0000-0000-0000CB170000}"/>
    <cellStyle name="Normal 4 2 4 3 2 5 2 2" xfId="12749" xr:uid="{00000000-0005-0000-0000-0000CC170000}"/>
    <cellStyle name="Normal 4 2 4 3 2 5 3" xfId="9570" xr:uid="{00000000-0005-0000-0000-0000CD170000}"/>
    <cellStyle name="Normal 4 2 4 3 2 6" xfId="4804" xr:uid="{00000000-0005-0000-0000-0000CE170000}"/>
    <cellStyle name="Normal 4 2 4 3 2 6 2" xfId="11165" xr:uid="{00000000-0005-0000-0000-0000CF170000}"/>
    <cellStyle name="Normal 4 2 4 3 2 7" xfId="7986" xr:uid="{00000000-0005-0000-0000-0000D0170000}"/>
    <cellStyle name="Normal 4 2 4 3 3" xfId="1644" xr:uid="{00000000-0005-0000-0000-0000D1170000}"/>
    <cellStyle name="Normal 4 2 4 3 3 2" xfId="1842" xr:uid="{00000000-0005-0000-0000-0000D2170000}"/>
    <cellStyle name="Normal 4 2 4 3 3 2 2" xfId="2238" xr:uid="{00000000-0005-0000-0000-0000D3170000}"/>
    <cellStyle name="Normal 4 2 4 3 3 2 2 2" xfId="3030" xr:uid="{00000000-0005-0000-0000-0000D4170000}"/>
    <cellStyle name="Normal 4 2 4 3 3 2 2 2 2" xfId="4614" xr:uid="{00000000-0005-0000-0000-0000D5170000}"/>
    <cellStyle name="Normal 4 2 4 3 3 2 2 2 2 2" xfId="7842" xr:uid="{00000000-0005-0000-0000-0000D6170000}"/>
    <cellStyle name="Normal 4 2 4 3 3 2 2 2 2 2 2" xfId="14203" xr:uid="{00000000-0005-0000-0000-0000D7170000}"/>
    <cellStyle name="Normal 4 2 4 3 3 2 2 2 2 3" xfId="11024" xr:uid="{00000000-0005-0000-0000-0000D8170000}"/>
    <cellStyle name="Normal 4 2 4 3 3 2 2 2 3" xfId="6258" xr:uid="{00000000-0005-0000-0000-0000D9170000}"/>
    <cellStyle name="Normal 4 2 4 3 3 2 2 2 3 2" xfId="12619" xr:uid="{00000000-0005-0000-0000-0000DA170000}"/>
    <cellStyle name="Normal 4 2 4 3 3 2 2 2 4" xfId="9440" xr:uid="{00000000-0005-0000-0000-0000DB170000}"/>
    <cellStyle name="Normal 4 2 4 3 3 2 2 3" xfId="3822" xr:uid="{00000000-0005-0000-0000-0000DC170000}"/>
    <cellStyle name="Normal 4 2 4 3 3 2 2 3 2" xfId="7050" xr:uid="{00000000-0005-0000-0000-0000DD170000}"/>
    <cellStyle name="Normal 4 2 4 3 3 2 2 3 2 2" xfId="13411" xr:uid="{00000000-0005-0000-0000-0000DE170000}"/>
    <cellStyle name="Normal 4 2 4 3 3 2 2 3 3" xfId="10232" xr:uid="{00000000-0005-0000-0000-0000DF170000}"/>
    <cellStyle name="Normal 4 2 4 3 3 2 2 4" xfId="5466" xr:uid="{00000000-0005-0000-0000-0000E0170000}"/>
    <cellStyle name="Normal 4 2 4 3 3 2 2 4 2" xfId="11827" xr:uid="{00000000-0005-0000-0000-0000E1170000}"/>
    <cellStyle name="Normal 4 2 4 3 3 2 2 5" xfId="8648" xr:uid="{00000000-0005-0000-0000-0000E2170000}"/>
    <cellStyle name="Normal 4 2 4 3 3 2 3" xfId="2634" xr:uid="{00000000-0005-0000-0000-0000E3170000}"/>
    <cellStyle name="Normal 4 2 4 3 3 2 3 2" xfId="4218" xr:uid="{00000000-0005-0000-0000-0000E4170000}"/>
    <cellStyle name="Normal 4 2 4 3 3 2 3 2 2" xfId="7446" xr:uid="{00000000-0005-0000-0000-0000E5170000}"/>
    <cellStyle name="Normal 4 2 4 3 3 2 3 2 2 2" xfId="13807" xr:uid="{00000000-0005-0000-0000-0000E6170000}"/>
    <cellStyle name="Normal 4 2 4 3 3 2 3 2 3" xfId="10628" xr:uid="{00000000-0005-0000-0000-0000E7170000}"/>
    <cellStyle name="Normal 4 2 4 3 3 2 3 3" xfId="5862" xr:uid="{00000000-0005-0000-0000-0000E8170000}"/>
    <cellStyle name="Normal 4 2 4 3 3 2 3 3 2" xfId="12223" xr:uid="{00000000-0005-0000-0000-0000E9170000}"/>
    <cellStyle name="Normal 4 2 4 3 3 2 3 4" xfId="9044" xr:uid="{00000000-0005-0000-0000-0000EA170000}"/>
    <cellStyle name="Normal 4 2 4 3 3 2 4" xfId="3426" xr:uid="{00000000-0005-0000-0000-0000EB170000}"/>
    <cellStyle name="Normal 4 2 4 3 3 2 4 2" xfId="6654" xr:uid="{00000000-0005-0000-0000-0000EC170000}"/>
    <cellStyle name="Normal 4 2 4 3 3 2 4 2 2" xfId="13015" xr:uid="{00000000-0005-0000-0000-0000ED170000}"/>
    <cellStyle name="Normal 4 2 4 3 3 2 4 3" xfId="9836" xr:uid="{00000000-0005-0000-0000-0000EE170000}"/>
    <cellStyle name="Normal 4 2 4 3 3 2 5" xfId="5070" xr:uid="{00000000-0005-0000-0000-0000EF170000}"/>
    <cellStyle name="Normal 4 2 4 3 3 2 5 2" xfId="11431" xr:uid="{00000000-0005-0000-0000-0000F0170000}"/>
    <cellStyle name="Normal 4 2 4 3 3 2 6" xfId="8252" xr:uid="{00000000-0005-0000-0000-0000F1170000}"/>
    <cellStyle name="Normal 4 2 4 3 3 3" xfId="2040" xr:uid="{00000000-0005-0000-0000-0000F2170000}"/>
    <cellStyle name="Normal 4 2 4 3 3 3 2" xfId="2832" xr:uid="{00000000-0005-0000-0000-0000F3170000}"/>
    <cellStyle name="Normal 4 2 4 3 3 3 2 2" xfId="4416" xr:uid="{00000000-0005-0000-0000-0000F4170000}"/>
    <cellStyle name="Normal 4 2 4 3 3 3 2 2 2" xfId="7644" xr:uid="{00000000-0005-0000-0000-0000F5170000}"/>
    <cellStyle name="Normal 4 2 4 3 3 3 2 2 2 2" xfId="14005" xr:uid="{00000000-0005-0000-0000-0000F6170000}"/>
    <cellStyle name="Normal 4 2 4 3 3 3 2 2 3" xfId="10826" xr:uid="{00000000-0005-0000-0000-0000F7170000}"/>
    <cellStyle name="Normal 4 2 4 3 3 3 2 3" xfId="6060" xr:uid="{00000000-0005-0000-0000-0000F8170000}"/>
    <cellStyle name="Normal 4 2 4 3 3 3 2 3 2" xfId="12421" xr:uid="{00000000-0005-0000-0000-0000F9170000}"/>
    <cellStyle name="Normal 4 2 4 3 3 3 2 4" xfId="9242" xr:uid="{00000000-0005-0000-0000-0000FA170000}"/>
    <cellStyle name="Normal 4 2 4 3 3 3 3" xfId="3624" xr:uid="{00000000-0005-0000-0000-0000FB170000}"/>
    <cellStyle name="Normal 4 2 4 3 3 3 3 2" xfId="6852" xr:uid="{00000000-0005-0000-0000-0000FC170000}"/>
    <cellStyle name="Normal 4 2 4 3 3 3 3 2 2" xfId="13213" xr:uid="{00000000-0005-0000-0000-0000FD170000}"/>
    <cellStyle name="Normal 4 2 4 3 3 3 3 3" xfId="10034" xr:uid="{00000000-0005-0000-0000-0000FE170000}"/>
    <cellStyle name="Normal 4 2 4 3 3 3 4" xfId="5268" xr:uid="{00000000-0005-0000-0000-0000FF170000}"/>
    <cellStyle name="Normal 4 2 4 3 3 3 4 2" xfId="11629" xr:uid="{00000000-0005-0000-0000-000000180000}"/>
    <cellStyle name="Normal 4 2 4 3 3 3 5" xfId="8450" xr:uid="{00000000-0005-0000-0000-000001180000}"/>
    <cellStyle name="Normal 4 2 4 3 3 4" xfId="2436" xr:uid="{00000000-0005-0000-0000-000002180000}"/>
    <cellStyle name="Normal 4 2 4 3 3 4 2" xfId="4020" xr:uid="{00000000-0005-0000-0000-000003180000}"/>
    <cellStyle name="Normal 4 2 4 3 3 4 2 2" xfId="7248" xr:uid="{00000000-0005-0000-0000-000004180000}"/>
    <cellStyle name="Normal 4 2 4 3 3 4 2 2 2" xfId="13609" xr:uid="{00000000-0005-0000-0000-000005180000}"/>
    <cellStyle name="Normal 4 2 4 3 3 4 2 3" xfId="10430" xr:uid="{00000000-0005-0000-0000-000006180000}"/>
    <cellStyle name="Normal 4 2 4 3 3 4 3" xfId="5664" xr:uid="{00000000-0005-0000-0000-000007180000}"/>
    <cellStyle name="Normal 4 2 4 3 3 4 3 2" xfId="12025" xr:uid="{00000000-0005-0000-0000-000008180000}"/>
    <cellStyle name="Normal 4 2 4 3 3 4 4" xfId="8846" xr:uid="{00000000-0005-0000-0000-000009180000}"/>
    <cellStyle name="Normal 4 2 4 3 3 5" xfId="3228" xr:uid="{00000000-0005-0000-0000-00000A180000}"/>
    <cellStyle name="Normal 4 2 4 3 3 5 2" xfId="6456" xr:uid="{00000000-0005-0000-0000-00000B180000}"/>
    <cellStyle name="Normal 4 2 4 3 3 5 2 2" xfId="12817" xr:uid="{00000000-0005-0000-0000-00000C180000}"/>
    <cellStyle name="Normal 4 2 4 3 3 5 3" xfId="9638" xr:uid="{00000000-0005-0000-0000-00000D180000}"/>
    <cellStyle name="Normal 4 2 4 3 3 6" xfId="4872" xr:uid="{00000000-0005-0000-0000-00000E180000}"/>
    <cellStyle name="Normal 4 2 4 3 3 6 2" xfId="11233" xr:uid="{00000000-0005-0000-0000-00000F180000}"/>
    <cellStyle name="Normal 4 2 4 3 3 7" xfId="8054" xr:uid="{00000000-0005-0000-0000-000010180000}"/>
    <cellStyle name="Normal 4 2 4 3 4" xfId="1709" xr:uid="{00000000-0005-0000-0000-000011180000}"/>
    <cellStyle name="Normal 4 2 4 3 4 2" xfId="2105" xr:uid="{00000000-0005-0000-0000-000012180000}"/>
    <cellStyle name="Normal 4 2 4 3 4 2 2" xfId="2897" xr:uid="{00000000-0005-0000-0000-000013180000}"/>
    <cellStyle name="Normal 4 2 4 3 4 2 2 2" xfId="4481" xr:uid="{00000000-0005-0000-0000-000014180000}"/>
    <cellStyle name="Normal 4 2 4 3 4 2 2 2 2" xfId="7709" xr:uid="{00000000-0005-0000-0000-000015180000}"/>
    <cellStyle name="Normal 4 2 4 3 4 2 2 2 2 2" xfId="14070" xr:uid="{00000000-0005-0000-0000-000016180000}"/>
    <cellStyle name="Normal 4 2 4 3 4 2 2 2 3" xfId="10891" xr:uid="{00000000-0005-0000-0000-000017180000}"/>
    <cellStyle name="Normal 4 2 4 3 4 2 2 3" xfId="6125" xr:uid="{00000000-0005-0000-0000-000018180000}"/>
    <cellStyle name="Normal 4 2 4 3 4 2 2 3 2" xfId="12486" xr:uid="{00000000-0005-0000-0000-000019180000}"/>
    <cellStyle name="Normal 4 2 4 3 4 2 2 4" xfId="9307" xr:uid="{00000000-0005-0000-0000-00001A180000}"/>
    <cellStyle name="Normal 4 2 4 3 4 2 3" xfId="3689" xr:uid="{00000000-0005-0000-0000-00001B180000}"/>
    <cellStyle name="Normal 4 2 4 3 4 2 3 2" xfId="6917" xr:uid="{00000000-0005-0000-0000-00001C180000}"/>
    <cellStyle name="Normal 4 2 4 3 4 2 3 2 2" xfId="13278" xr:uid="{00000000-0005-0000-0000-00001D180000}"/>
    <cellStyle name="Normal 4 2 4 3 4 2 3 3" xfId="10099" xr:uid="{00000000-0005-0000-0000-00001E180000}"/>
    <cellStyle name="Normal 4 2 4 3 4 2 4" xfId="5333" xr:uid="{00000000-0005-0000-0000-00001F180000}"/>
    <cellStyle name="Normal 4 2 4 3 4 2 4 2" xfId="11694" xr:uid="{00000000-0005-0000-0000-000020180000}"/>
    <cellStyle name="Normal 4 2 4 3 4 2 5" xfId="8515" xr:uid="{00000000-0005-0000-0000-000021180000}"/>
    <cellStyle name="Normal 4 2 4 3 4 3" xfId="2501" xr:uid="{00000000-0005-0000-0000-000022180000}"/>
    <cellStyle name="Normal 4 2 4 3 4 3 2" xfId="4085" xr:uid="{00000000-0005-0000-0000-000023180000}"/>
    <cellStyle name="Normal 4 2 4 3 4 3 2 2" xfId="7313" xr:uid="{00000000-0005-0000-0000-000024180000}"/>
    <cellStyle name="Normal 4 2 4 3 4 3 2 2 2" xfId="13674" xr:uid="{00000000-0005-0000-0000-000025180000}"/>
    <cellStyle name="Normal 4 2 4 3 4 3 2 3" xfId="10495" xr:uid="{00000000-0005-0000-0000-000026180000}"/>
    <cellStyle name="Normal 4 2 4 3 4 3 3" xfId="5729" xr:uid="{00000000-0005-0000-0000-000027180000}"/>
    <cellStyle name="Normal 4 2 4 3 4 3 3 2" xfId="12090" xr:uid="{00000000-0005-0000-0000-000028180000}"/>
    <cellStyle name="Normal 4 2 4 3 4 3 4" xfId="8911" xr:uid="{00000000-0005-0000-0000-000029180000}"/>
    <cellStyle name="Normal 4 2 4 3 4 4" xfId="3293" xr:uid="{00000000-0005-0000-0000-00002A180000}"/>
    <cellStyle name="Normal 4 2 4 3 4 4 2" xfId="6521" xr:uid="{00000000-0005-0000-0000-00002B180000}"/>
    <cellStyle name="Normal 4 2 4 3 4 4 2 2" xfId="12882" xr:uid="{00000000-0005-0000-0000-00002C180000}"/>
    <cellStyle name="Normal 4 2 4 3 4 4 3" xfId="9703" xr:uid="{00000000-0005-0000-0000-00002D180000}"/>
    <cellStyle name="Normal 4 2 4 3 4 5" xfId="4937" xr:uid="{00000000-0005-0000-0000-00002E180000}"/>
    <cellStyle name="Normal 4 2 4 3 4 5 2" xfId="11298" xr:uid="{00000000-0005-0000-0000-00002F180000}"/>
    <cellStyle name="Normal 4 2 4 3 4 6" xfId="8119" xr:uid="{00000000-0005-0000-0000-000030180000}"/>
    <cellStyle name="Normal 4 2 4 3 5" xfId="1907" xr:uid="{00000000-0005-0000-0000-000031180000}"/>
    <cellStyle name="Normal 4 2 4 3 5 2" xfId="2699" xr:uid="{00000000-0005-0000-0000-000032180000}"/>
    <cellStyle name="Normal 4 2 4 3 5 2 2" xfId="4283" xr:uid="{00000000-0005-0000-0000-000033180000}"/>
    <cellStyle name="Normal 4 2 4 3 5 2 2 2" xfId="7511" xr:uid="{00000000-0005-0000-0000-000034180000}"/>
    <cellStyle name="Normal 4 2 4 3 5 2 2 2 2" xfId="13872" xr:uid="{00000000-0005-0000-0000-000035180000}"/>
    <cellStyle name="Normal 4 2 4 3 5 2 2 3" xfId="10693" xr:uid="{00000000-0005-0000-0000-000036180000}"/>
    <cellStyle name="Normal 4 2 4 3 5 2 3" xfId="5927" xr:uid="{00000000-0005-0000-0000-000037180000}"/>
    <cellStyle name="Normal 4 2 4 3 5 2 3 2" xfId="12288" xr:uid="{00000000-0005-0000-0000-000038180000}"/>
    <cellStyle name="Normal 4 2 4 3 5 2 4" xfId="9109" xr:uid="{00000000-0005-0000-0000-000039180000}"/>
    <cellStyle name="Normal 4 2 4 3 5 3" xfId="3491" xr:uid="{00000000-0005-0000-0000-00003A180000}"/>
    <cellStyle name="Normal 4 2 4 3 5 3 2" xfId="6719" xr:uid="{00000000-0005-0000-0000-00003B180000}"/>
    <cellStyle name="Normal 4 2 4 3 5 3 2 2" xfId="13080" xr:uid="{00000000-0005-0000-0000-00003C180000}"/>
    <cellStyle name="Normal 4 2 4 3 5 3 3" xfId="9901" xr:uid="{00000000-0005-0000-0000-00003D180000}"/>
    <cellStyle name="Normal 4 2 4 3 5 4" xfId="5135" xr:uid="{00000000-0005-0000-0000-00003E180000}"/>
    <cellStyle name="Normal 4 2 4 3 5 4 2" xfId="11496" xr:uid="{00000000-0005-0000-0000-00003F180000}"/>
    <cellStyle name="Normal 4 2 4 3 5 5" xfId="8317" xr:uid="{00000000-0005-0000-0000-000040180000}"/>
    <cellStyle name="Normal 4 2 4 3 6" xfId="2303" xr:uid="{00000000-0005-0000-0000-000041180000}"/>
    <cellStyle name="Normal 4 2 4 3 6 2" xfId="3887" xr:uid="{00000000-0005-0000-0000-000042180000}"/>
    <cellStyle name="Normal 4 2 4 3 6 2 2" xfId="7115" xr:uid="{00000000-0005-0000-0000-000043180000}"/>
    <cellStyle name="Normal 4 2 4 3 6 2 2 2" xfId="13476" xr:uid="{00000000-0005-0000-0000-000044180000}"/>
    <cellStyle name="Normal 4 2 4 3 6 2 3" xfId="10297" xr:uid="{00000000-0005-0000-0000-000045180000}"/>
    <cellStyle name="Normal 4 2 4 3 6 3" xfId="5531" xr:uid="{00000000-0005-0000-0000-000046180000}"/>
    <cellStyle name="Normal 4 2 4 3 6 3 2" xfId="11892" xr:uid="{00000000-0005-0000-0000-000047180000}"/>
    <cellStyle name="Normal 4 2 4 3 6 4" xfId="8713" xr:uid="{00000000-0005-0000-0000-000048180000}"/>
    <cellStyle name="Normal 4 2 4 3 7" xfId="3095" xr:uid="{00000000-0005-0000-0000-000049180000}"/>
    <cellStyle name="Normal 4 2 4 3 7 2" xfId="6323" xr:uid="{00000000-0005-0000-0000-00004A180000}"/>
    <cellStyle name="Normal 4 2 4 3 7 2 2" xfId="12684" xr:uid="{00000000-0005-0000-0000-00004B180000}"/>
    <cellStyle name="Normal 4 2 4 3 7 3" xfId="9505" xr:uid="{00000000-0005-0000-0000-00004C180000}"/>
    <cellStyle name="Normal 4 2 4 3 8" xfId="4739" xr:uid="{00000000-0005-0000-0000-00004D180000}"/>
    <cellStyle name="Normal 4 2 4 3 8 2" xfId="11100" xr:uid="{00000000-0005-0000-0000-00004E180000}"/>
    <cellStyle name="Normal 4 2 4 3 9" xfId="7921" xr:uid="{00000000-0005-0000-0000-00004F180000}"/>
    <cellStyle name="Normal 4 2 4 4" xfId="1544" xr:uid="{00000000-0005-0000-0000-000050180000}"/>
    <cellStyle name="Normal 4 2 4 4 2" xfId="1742" xr:uid="{00000000-0005-0000-0000-000051180000}"/>
    <cellStyle name="Normal 4 2 4 4 2 2" xfId="2138" xr:uid="{00000000-0005-0000-0000-000052180000}"/>
    <cellStyle name="Normal 4 2 4 4 2 2 2" xfId="2930" xr:uid="{00000000-0005-0000-0000-000053180000}"/>
    <cellStyle name="Normal 4 2 4 4 2 2 2 2" xfId="4514" xr:uid="{00000000-0005-0000-0000-000054180000}"/>
    <cellStyle name="Normal 4 2 4 4 2 2 2 2 2" xfId="7742" xr:uid="{00000000-0005-0000-0000-000055180000}"/>
    <cellStyle name="Normal 4 2 4 4 2 2 2 2 2 2" xfId="14103" xr:uid="{00000000-0005-0000-0000-000056180000}"/>
    <cellStyle name="Normal 4 2 4 4 2 2 2 2 3" xfId="10924" xr:uid="{00000000-0005-0000-0000-000057180000}"/>
    <cellStyle name="Normal 4 2 4 4 2 2 2 3" xfId="6158" xr:uid="{00000000-0005-0000-0000-000058180000}"/>
    <cellStyle name="Normal 4 2 4 4 2 2 2 3 2" xfId="12519" xr:uid="{00000000-0005-0000-0000-000059180000}"/>
    <cellStyle name="Normal 4 2 4 4 2 2 2 4" xfId="9340" xr:uid="{00000000-0005-0000-0000-00005A180000}"/>
    <cellStyle name="Normal 4 2 4 4 2 2 3" xfId="3722" xr:uid="{00000000-0005-0000-0000-00005B180000}"/>
    <cellStyle name="Normal 4 2 4 4 2 2 3 2" xfId="6950" xr:uid="{00000000-0005-0000-0000-00005C180000}"/>
    <cellStyle name="Normal 4 2 4 4 2 2 3 2 2" xfId="13311" xr:uid="{00000000-0005-0000-0000-00005D180000}"/>
    <cellStyle name="Normal 4 2 4 4 2 2 3 3" xfId="10132" xr:uid="{00000000-0005-0000-0000-00005E180000}"/>
    <cellStyle name="Normal 4 2 4 4 2 2 4" xfId="5366" xr:uid="{00000000-0005-0000-0000-00005F180000}"/>
    <cellStyle name="Normal 4 2 4 4 2 2 4 2" xfId="11727" xr:uid="{00000000-0005-0000-0000-000060180000}"/>
    <cellStyle name="Normal 4 2 4 4 2 2 5" xfId="8548" xr:uid="{00000000-0005-0000-0000-000061180000}"/>
    <cellStyle name="Normal 4 2 4 4 2 3" xfId="2534" xr:uid="{00000000-0005-0000-0000-000062180000}"/>
    <cellStyle name="Normal 4 2 4 4 2 3 2" xfId="4118" xr:uid="{00000000-0005-0000-0000-000063180000}"/>
    <cellStyle name="Normal 4 2 4 4 2 3 2 2" xfId="7346" xr:uid="{00000000-0005-0000-0000-000064180000}"/>
    <cellStyle name="Normal 4 2 4 4 2 3 2 2 2" xfId="13707" xr:uid="{00000000-0005-0000-0000-000065180000}"/>
    <cellStyle name="Normal 4 2 4 4 2 3 2 3" xfId="10528" xr:uid="{00000000-0005-0000-0000-000066180000}"/>
    <cellStyle name="Normal 4 2 4 4 2 3 3" xfId="5762" xr:uid="{00000000-0005-0000-0000-000067180000}"/>
    <cellStyle name="Normal 4 2 4 4 2 3 3 2" xfId="12123" xr:uid="{00000000-0005-0000-0000-000068180000}"/>
    <cellStyle name="Normal 4 2 4 4 2 3 4" xfId="8944" xr:uid="{00000000-0005-0000-0000-000069180000}"/>
    <cellStyle name="Normal 4 2 4 4 2 4" xfId="3326" xr:uid="{00000000-0005-0000-0000-00006A180000}"/>
    <cellStyle name="Normal 4 2 4 4 2 4 2" xfId="6554" xr:uid="{00000000-0005-0000-0000-00006B180000}"/>
    <cellStyle name="Normal 4 2 4 4 2 4 2 2" xfId="12915" xr:uid="{00000000-0005-0000-0000-00006C180000}"/>
    <cellStyle name="Normal 4 2 4 4 2 4 3" xfId="9736" xr:uid="{00000000-0005-0000-0000-00006D180000}"/>
    <cellStyle name="Normal 4 2 4 4 2 5" xfId="4970" xr:uid="{00000000-0005-0000-0000-00006E180000}"/>
    <cellStyle name="Normal 4 2 4 4 2 5 2" xfId="11331" xr:uid="{00000000-0005-0000-0000-00006F180000}"/>
    <cellStyle name="Normal 4 2 4 4 2 6" xfId="8152" xr:uid="{00000000-0005-0000-0000-000070180000}"/>
    <cellStyle name="Normal 4 2 4 4 3" xfId="1940" xr:uid="{00000000-0005-0000-0000-000071180000}"/>
    <cellStyle name="Normal 4 2 4 4 3 2" xfId="2732" xr:uid="{00000000-0005-0000-0000-000072180000}"/>
    <cellStyle name="Normal 4 2 4 4 3 2 2" xfId="4316" xr:uid="{00000000-0005-0000-0000-000073180000}"/>
    <cellStyle name="Normal 4 2 4 4 3 2 2 2" xfId="7544" xr:uid="{00000000-0005-0000-0000-000074180000}"/>
    <cellStyle name="Normal 4 2 4 4 3 2 2 2 2" xfId="13905" xr:uid="{00000000-0005-0000-0000-000075180000}"/>
    <cellStyle name="Normal 4 2 4 4 3 2 2 3" xfId="10726" xr:uid="{00000000-0005-0000-0000-000076180000}"/>
    <cellStyle name="Normal 4 2 4 4 3 2 3" xfId="5960" xr:uid="{00000000-0005-0000-0000-000077180000}"/>
    <cellStyle name="Normal 4 2 4 4 3 2 3 2" xfId="12321" xr:uid="{00000000-0005-0000-0000-000078180000}"/>
    <cellStyle name="Normal 4 2 4 4 3 2 4" xfId="9142" xr:uid="{00000000-0005-0000-0000-000079180000}"/>
    <cellStyle name="Normal 4 2 4 4 3 3" xfId="3524" xr:uid="{00000000-0005-0000-0000-00007A180000}"/>
    <cellStyle name="Normal 4 2 4 4 3 3 2" xfId="6752" xr:uid="{00000000-0005-0000-0000-00007B180000}"/>
    <cellStyle name="Normal 4 2 4 4 3 3 2 2" xfId="13113" xr:uid="{00000000-0005-0000-0000-00007C180000}"/>
    <cellStyle name="Normal 4 2 4 4 3 3 3" xfId="9934" xr:uid="{00000000-0005-0000-0000-00007D180000}"/>
    <cellStyle name="Normal 4 2 4 4 3 4" xfId="5168" xr:uid="{00000000-0005-0000-0000-00007E180000}"/>
    <cellStyle name="Normal 4 2 4 4 3 4 2" xfId="11529" xr:uid="{00000000-0005-0000-0000-00007F180000}"/>
    <cellStyle name="Normal 4 2 4 4 3 5" xfId="8350" xr:uid="{00000000-0005-0000-0000-000080180000}"/>
    <cellStyle name="Normal 4 2 4 4 4" xfId="2336" xr:uid="{00000000-0005-0000-0000-000081180000}"/>
    <cellStyle name="Normal 4 2 4 4 4 2" xfId="3920" xr:uid="{00000000-0005-0000-0000-000082180000}"/>
    <cellStyle name="Normal 4 2 4 4 4 2 2" xfId="7148" xr:uid="{00000000-0005-0000-0000-000083180000}"/>
    <cellStyle name="Normal 4 2 4 4 4 2 2 2" xfId="13509" xr:uid="{00000000-0005-0000-0000-000084180000}"/>
    <cellStyle name="Normal 4 2 4 4 4 2 3" xfId="10330" xr:uid="{00000000-0005-0000-0000-000085180000}"/>
    <cellStyle name="Normal 4 2 4 4 4 3" xfId="5564" xr:uid="{00000000-0005-0000-0000-000086180000}"/>
    <cellStyle name="Normal 4 2 4 4 4 3 2" xfId="11925" xr:uid="{00000000-0005-0000-0000-000087180000}"/>
    <cellStyle name="Normal 4 2 4 4 4 4" xfId="8746" xr:uid="{00000000-0005-0000-0000-000088180000}"/>
    <cellStyle name="Normal 4 2 4 4 5" xfId="3128" xr:uid="{00000000-0005-0000-0000-000089180000}"/>
    <cellStyle name="Normal 4 2 4 4 5 2" xfId="6356" xr:uid="{00000000-0005-0000-0000-00008A180000}"/>
    <cellStyle name="Normal 4 2 4 4 5 2 2" xfId="12717" xr:uid="{00000000-0005-0000-0000-00008B180000}"/>
    <cellStyle name="Normal 4 2 4 4 5 3" xfId="9538" xr:uid="{00000000-0005-0000-0000-00008C180000}"/>
    <cellStyle name="Normal 4 2 4 4 6" xfId="4772" xr:uid="{00000000-0005-0000-0000-00008D180000}"/>
    <cellStyle name="Normal 4 2 4 4 6 2" xfId="11133" xr:uid="{00000000-0005-0000-0000-00008E180000}"/>
    <cellStyle name="Normal 4 2 4 4 7" xfId="7954" xr:uid="{00000000-0005-0000-0000-00008F180000}"/>
    <cellStyle name="Normal 4 2 4 5" xfId="1612" xr:uid="{00000000-0005-0000-0000-000090180000}"/>
    <cellStyle name="Normal 4 2 4 5 2" xfId="1810" xr:uid="{00000000-0005-0000-0000-000091180000}"/>
    <cellStyle name="Normal 4 2 4 5 2 2" xfId="2206" xr:uid="{00000000-0005-0000-0000-000092180000}"/>
    <cellStyle name="Normal 4 2 4 5 2 2 2" xfId="2998" xr:uid="{00000000-0005-0000-0000-000093180000}"/>
    <cellStyle name="Normal 4 2 4 5 2 2 2 2" xfId="4582" xr:uid="{00000000-0005-0000-0000-000094180000}"/>
    <cellStyle name="Normal 4 2 4 5 2 2 2 2 2" xfId="7810" xr:uid="{00000000-0005-0000-0000-000095180000}"/>
    <cellStyle name="Normal 4 2 4 5 2 2 2 2 2 2" xfId="14171" xr:uid="{00000000-0005-0000-0000-000096180000}"/>
    <cellStyle name="Normal 4 2 4 5 2 2 2 2 3" xfId="10992" xr:uid="{00000000-0005-0000-0000-000097180000}"/>
    <cellStyle name="Normal 4 2 4 5 2 2 2 3" xfId="6226" xr:uid="{00000000-0005-0000-0000-000098180000}"/>
    <cellStyle name="Normal 4 2 4 5 2 2 2 3 2" xfId="12587" xr:uid="{00000000-0005-0000-0000-000099180000}"/>
    <cellStyle name="Normal 4 2 4 5 2 2 2 4" xfId="9408" xr:uid="{00000000-0005-0000-0000-00009A180000}"/>
    <cellStyle name="Normal 4 2 4 5 2 2 3" xfId="3790" xr:uid="{00000000-0005-0000-0000-00009B180000}"/>
    <cellStyle name="Normal 4 2 4 5 2 2 3 2" xfId="7018" xr:uid="{00000000-0005-0000-0000-00009C180000}"/>
    <cellStyle name="Normal 4 2 4 5 2 2 3 2 2" xfId="13379" xr:uid="{00000000-0005-0000-0000-00009D180000}"/>
    <cellStyle name="Normal 4 2 4 5 2 2 3 3" xfId="10200" xr:uid="{00000000-0005-0000-0000-00009E180000}"/>
    <cellStyle name="Normal 4 2 4 5 2 2 4" xfId="5434" xr:uid="{00000000-0005-0000-0000-00009F180000}"/>
    <cellStyle name="Normal 4 2 4 5 2 2 4 2" xfId="11795" xr:uid="{00000000-0005-0000-0000-0000A0180000}"/>
    <cellStyle name="Normal 4 2 4 5 2 2 5" xfId="8616" xr:uid="{00000000-0005-0000-0000-0000A1180000}"/>
    <cellStyle name="Normal 4 2 4 5 2 3" xfId="2602" xr:uid="{00000000-0005-0000-0000-0000A2180000}"/>
    <cellStyle name="Normal 4 2 4 5 2 3 2" xfId="4186" xr:uid="{00000000-0005-0000-0000-0000A3180000}"/>
    <cellStyle name="Normal 4 2 4 5 2 3 2 2" xfId="7414" xr:uid="{00000000-0005-0000-0000-0000A4180000}"/>
    <cellStyle name="Normal 4 2 4 5 2 3 2 2 2" xfId="13775" xr:uid="{00000000-0005-0000-0000-0000A5180000}"/>
    <cellStyle name="Normal 4 2 4 5 2 3 2 3" xfId="10596" xr:uid="{00000000-0005-0000-0000-0000A6180000}"/>
    <cellStyle name="Normal 4 2 4 5 2 3 3" xfId="5830" xr:uid="{00000000-0005-0000-0000-0000A7180000}"/>
    <cellStyle name="Normal 4 2 4 5 2 3 3 2" xfId="12191" xr:uid="{00000000-0005-0000-0000-0000A8180000}"/>
    <cellStyle name="Normal 4 2 4 5 2 3 4" xfId="9012" xr:uid="{00000000-0005-0000-0000-0000A9180000}"/>
    <cellStyle name="Normal 4 2 4 5 2 4" xfId="3394" xr:uid="{00000000-0005-0000-0000-0000AA180000}"/>
    <cellStyle name="Normal 4 2 4 5 2 4 2" xfId="6622" xr:uid="{00000000-0005-0000-0000-0000AB180000}"/>
    <cellStyle name="Normal 4 2 4 5 2 4 2 2" xfId="12983" xr:uid="{00000000-0005-0000-0000-0000AC180000}"/>
    <cellStyle name="Normal 4 2 4 5 2 4 3" xfId="9804" xr:uid="{00000000-0005-0000-0000-0000AD180000}"/>
    <cellStyle name="Normal 4 2 4 5 2 5" xfId="5038" xr:uid="{00000000-0005-0000-0000-0000AE180000}"/>
    <cellStyle name="Normal 4 2 4 5 2 5 2" xfId="11399" xr:uid="{00000000-0005-0000-0000-0000AF180000}"/>
    <cellStyle name="Normal 4 2 4 5 2 6" xfId="8220" xr:uid="{00000000-0005-0000-0000-0000B0180000}"/>
    <cellStyle name="Normal 4 2 4 5 3" xfId="2008" xr:uid="{00000000-0005-0000-0000-0000B1180000}"/>
    <cellStyle name="Normal 4 2 4 5 3 2" xfId="2800" xr:uid="{00000000-0005-0000-0000-0000B2180000}"/>
    <cellStyle name="Normal 4 2 4 5 3 2 2" xfId="4384" xr:uid="{00000000-0005-0000-0000-0000B3180000}"/>
    <cellStyle name="Normal 4 2 4 5 3 2 2 2" xfId="7612" xr:uid="{00000000-0005-0000-0000-0000B4180000}"/>
    <cellStyle name="Normal 4 2 4 5 3 2 2 2 2" xfId="13973" xr:uid="{00000000-0005-0000-0000-0000B5180000}"/>
    <cellStyle name="Normal 4 2 4 5 3 2 2 3" xfId="10794" xr:uid="{00000000-0005-0000-0000-0000B6180000}"/>
    <cellStyle name="Normal 4 2 4 5 3 2 3" xfId="6028" xr:uid="{00000000-0005-0000-0000-0000B7180000}"/>
    <cellStyle name="Normal 4 2 4 5 3 2 3 2" xfId="12389" xr:uid="{00000000-0005-0000-0000-0000B8180000}"/>
    <cellStyle name="Normal 4 2 4 5 3 2 4" xfId="9210" xr:uid="{00000000-0005-0000-0000-0000B9180000}"/>
    <cellStyle name="Normal 4 2 4 5 3 3" xfId="3592" xr:uid="{00000000-0005-0000-0000-0000BA180000}"/>
    <cellStyle name="Normal 4 2 4 5 3 3 2" xfId="6820" xr:uid="{00000000-0005-0000-0000-0000BB180000}"/>
    <cellStyle name="Normal 4 2 4 5 3 3 2 2" xfId="13181" xr:uid="{00000000-0005-0000-0000-0000BC180000}"/>
    <cellStyle name="Normal 4 2 4 5 3 3 3" xfId="10002" xr:uid="{00000000-0005-0000-0000-0000BD180000}"/>
    <cellStyle name="Normal 4 2 4 5 3 4" xfId="5236" xr:uid="{00000000-0005-0000-0000-0000BE180000}"/>
    <cellStyle name="Normal 4 2 4 5 3 4 2" xfId="11597" xr:uid="{00000000-0005-0000-0000-0000BF180000}"/>
    <cellStyle name="Normal 4 2 4 5 3 5" xfId="8418" xr:uid="{00000000-0005-0000-0000-0000C0180000}"/>
    <cellStyle name="Normal 4 2 4 5 4" xfId="2404" xr:uid="{00000000-0005-0000-0000-0000C1180000}"/>
    <cellStyle name="Normal 4 2 4 5 4 2" xfId="3988" xr:uid="{00000000-0005-0000-0000-0000C2180000}"/>
    <cellStyle name="Normal 4 2 4 5 4 2 2" xfId="7216" xr:uid="{00000000-0005-0000-0000-0000C3180000}"/>
    <cellStyle name="Normal 4 2 4 5 4 2 2 2" xfId="13577" xr:uid="{00000000-0005-0000-0000-0000C4180000}"/>
    <cellStyle name="Normal 4 2 4 5 4 2 3" xfId="10398" xr:uid="{00000000-0005-0000-0000-0000C5180000}"/>
    <cellStyle name="Normal 4 2 4 5 4 3" xfId="5632" xr:uid="{00000000-0005-0000-0000-0000C6180000}"/>
    <cellStyle name="Normal 4 2 4 5 4 3 2" xfId="11993" xr:uid="{00000000-0005-0000-0000-0000C7180000}"/>
    <cellStyle name="Normal 4 2 4 5 4 4" xfId="8814" xr:uid="{00000000-0005-0000-0000-0000C8180000}"/>
    <cellStyle name="Normal 4 2 4 5 5" xfId="3196" xr:uid="{00000000-0005-0000-0000-0000C9180000}"/>
    <cellStyle name="Normal 4 2 4 5 5 2" xfId="6424" xr:uid="{00000000-0005-0000-0000-0000CA180000}"/>
    <cellStyle name="Normal 4 2 4 5 5 2 2" xfId="12785" xr:uid="{00000000-0005-0000-0000-0000CB180000}"/>
    <cellStyle name="Normal 4 2 4 5 5 3" xfId="9606" xr:uid="{00000000-0005-0000-0000-0000CC180000}"/>
    <cellStyle name="Normal 4 2 4 5 6" xfId="4840" xr:uid="{00000000-0005-0000-0000-0000CD180000}"/>
    <cellStyle name="Normal 4 2 4 5 6 2" xfId="11201" xr:uid="{00000000-0005-0000-0000-0000CE180000}"/>
    <cellStyle name="Normal 4 2 4 5 7" xfId="8022" xr:uid="{00000000-0005-0000-0000-0000CF180000}"/>
    <cellStyle name="Normal 4 2 4 6" xfId="1677" xr:uid="{00000000-0005-0000-0000-0000D0180000}"/>
    <cellStyle name="Normal 4 2 4 6 2" xfId="2073" xr:uid="{00000000-0005-0000-0000-0000D1180000}"/>
    <cellStyle name="Normal 4 2 4 6 2 2" xfId="2865" xr:uid="{00000000-0005-0000-0000-0000D2180000}"/>
    <cellStyle name="Normal 4 2 4 6 2 2 2" xfId="4449" xr:uid="{00000000-0005-0000-0000-0000D3180000}"/>
    <cellStyle name="Normal 4 2 4 6 2 2 2 2" xfId="7677" xr:uid="{00000000-0005-0000-0000-0000D4180000}"/>
    <cellStyle name="Normal 4 2 4 6 2 2 2 2 2" xfId="14038" xr:uid="{00000000-0005-0000-0000-0000D5180000}"/>
    <cellStyle name="Normal 4 2 4 6 2 2 2 3" xfId="10859" xr:uid="{00000000-0005-0000-0000-0000D6180000}"/>
    <cellStyle name="Normal 4 2 4 6 2 2 3" xfId="6093" xr:uid="{00000000-0005-0000-0000-0000D7180000}"/>
    <cellStyle name="Normal 4 2 4 6 2 2 3 2" xfId="12454" xr:uid="{00000000-0005-0000-0000-0000D8180000}"/>
    <cellStyle name="Normal 4 2 4 6 2 2 4" xfId="9275" xr:uid="{00000000-0005-0000-0000-0000D9180000}"/>
    <cellStyle name="Normal 4 2 4 6 2 3" xfId="3657" xr:uid="{00000000-0005-0000-0000-0000DA180000}"/>
    <cellStyle name="Normal 4 2 4 6 2 3 2" xfId="6885" xr:uid="{00000000-0005-0000-0000-0000DB180000}"/>
    <cellStyle name="Normal 4 2 4 6 2 3 2 2" xfId="13246" xr:uid="{00000000-0005-0000-0000-0000DC180000}"/>
    <cellStyle name="Normal 4 2 4 6 2 3 3" xfId="10067" xr:uid="{00000000-0005-0000-0000-0000DD180000}"/>
    <cellStyle name="Normal 4 2 4 6 2 4" xfId="5301" xr:uid="{00000000-0005-0000-0000-0000DE180000}"/>
    <cellStyle name="Normal 4 2 4 6 2 4 2" xfId="11662" xr:uid="{00000000-0005-0000-0000-0000DF180000}"/>
    <cellStyle name="Normal 4 2 4 6 2 5" xfId="8483" xr:uid="{00000000-0005-0000-0000-0000E0180000}"/>
    <cellStyle name="Normal 4 2 4 6 3" xfId="2469" xr:uid="{00000000-0005-0000-0000-0000E1180000}"/>
    <cellStyle name="Normal 4 2 4 6 3 2" xfId="4053" xr:uid="{00000000-0005-0000-0000-0000E2180000}"/>
    <cellStyle name="Normal 4 2 4 6 3 2 2" xfId="7281" xr:uid="{00000000-0005-0000-0000-0000E3180000}"/>
    <cellStyle name="Normal 4 2 4 6 3 2 2 2" xfId="13642" xr:uid="{00000000-0005-0000-0000-0000E4180000}"/>
    <cellStyle name="Normal 4 2 4 6 3 2 3" xfId="10463" xr:uid="{00000000-0005-0000-0000-0000E5180000}"/>
    <cellStyle name="Normal 4 2 4 6 3 3" xfId="5697" xr:uid="{00000000-0005-0000-0000-0000E6180000}"/>
    <cellStyle name="Normal 4 2 4 6 3 3 2" xfId="12058" xr:uid="{00000000-0005-0000-0000-0000E7180000}"/>
    <cellStyle name="Normal 4 2 4 6 3 4" xfId="8879" xr:uid="{00000000-0005-0000-0000-0000E8180000}"/>
    <cellStyle name="Normal 4 2 4 6 4" xfId="3261" xr:uid="{00000000-0005-0000-0000-0000E9180000}"/>
    <cellStyle name="Normal 4 2 4 6 4 2" xfId="6489" xr:uid="{00000000-0005-0000-0000-0000EA180000}"/>
    <cellStyle name="Normal 4 2 4 6 4 2 2" xfId="12850" xr:uid="{00000000-0005-0000-0000-0000EB180000}"/>
    <cellStyle name="Normal 4 2 4 6 4 3" xfId="9671" xr:uid="{00000000-0005-0000-0000-0000EC180000}"/>
    <cellStyle name="Normal 4 2 4 6 5" xfId="4905" xr:uid="{00000000-0005-0000-0000-0000ED180000}"/>
    <cellStyle name="Normal 4 2 4 6 5 2" xfId="11266" xr:uid="{00000000-0005-0000-0000-0000EE180000}"/>
    <cellStyle name="Normal 4 2 4 6 6" xfId="8087" xr:uid="{00000000-0005-0000-0000-0000EF180000}"/>
    <cellStyle name="Normal 4 2 4 7" xfId="1875" xr:uid="{00000000-0005-0000-0000-0000F0180000}"/>
    <cellStyle name="Normal 4 2 4 7 2" xfId="2667" xr:uid="{00000000-0005-0000-0000-0000F1180000}"/>
    <cellStyle name="Normal 4 2 4 7 2 2" xfId="4251" xr:uid="{00000000-0005-0000-0000-0000F2180000}"/>
    <cellStyle name="Normal 4 2 4 7 2 2 2" xfId="7479" xr:uid="{00000000-0005-0000-0000-0000F3180000}"/>
    <cellStyle name="Normal 4 2 4 7 2 2 2 2" xfId="13840" xr:uid="{00000000-0005-0000-0000-0000F4180000}"/>
    <cellStyle name="Normal 4 2 4 7 2 2 3" xfId="10661" xr:uid="{00000000-0005-0000-0000-0000F5180000}"/>
    <cellStyle name="Normal 4 2 4 7 2 3" xfId="5895" xr:uid="{00000000-0005-0000-0000-0000F6180000}"/>
    <cellStyle name="Normal 4 2 4 7 2 3 2" xfId="12256" xr:uid="{00000000-0005-0000-0000-0000F7180000}"/>
    <cellStyle name="Normal 4 2 4 7 2 4" xfId="9077" xr:uid="{00000000-0005-0000-0000-0000F8180000}"/>
    <cellStyle name="Normal 4 2 4 7 3" xfId="3459" xr:uid="{00000000-0005-0000-0000-0000F9180000}"/>
    <cellStyle name="Normal 4 2 4 7 3 2" xfId="6687" xr:uid="{00000000-0005-0000-0000-0000FA180000}"/>
    <cellStyle name="Normal 4 2 4 7 3 2 2" xfId="13048" xr:uid="{00000000-0005-0000-0000-0000FB180000}"/>
    <cellStyle name="Normal 4 2 4 7 3 3" xfId="9869" xr:uid="{00000000-0005-0000-0000-0000FC180000}"/>
    <cellStyle name="Normal 4 2 4 7 4" xfId="5103" xr:uid="{00000000-0005-0000-0000-0000FD180000}"/>
    <cellStyle name="Normal 4 2 4 7 4 2" xfId="11464" xr:uid="{00000000-0005-0000-0000-0000FE180000}"/>
    <cellStyle name="Normal 4 2 4 7 5" xfId="8285" xr:uid="{00000000-0005-0000-0000-0000FF180000}"/>
    <cellStyle name="Normal 4 2 4 8" xfId="2271" xr:uid="{00000000-0005-0000-0000-000000190000}"/>
    <cellStyle name="Normal 4 2 4 8 2" xfId="3855" xr:uid="{00000000-0005-0000-0000-000001190000}"/>
    <cellStyle name="Normal 4 2 4 8 2 2" xfId="7083" xr:uid="{00000000-0005-0000-0000-000002190000}"/>
    <cellStyle name="Normal 4 2 4 8 2 2 2" xfId="13444" xr:uid="{00000000-0005-0000-0000-000003190000}"/>
    <cellStyle name="Normal 4 2 4 8 2 3" xfId="10265" xr:uid="{00000000-0005-0000-0000-000004190000}"/>
    <cellStyle name="Normal 4 2 4 8 3" xfId="5499" xr:uid="{00000000-0005-0000-0000-000005190000}"/>
    <cellStyle name="Normal 4 2 4 8 3 2" xfId="11860" xr:uid="{00000000-0005-0000-0000-000006190000}"/>
    <cellStyle name="Normal 4 2 4 8 4" xfId="8681" xr:uid="{00000000-0005-0000-0000-000007190000}"/>
    <cellStyle name="Normal 4 2 4 9" xfId="3063" xr:uid="{00000000-0005-0000-0000-000008190000}"/>
    <cellStyle name="Normal 4 2 4 9 2" xfId="6291" xr:uid="{00000000-0005-0000-0000-000009190000}"/>
    <cellStyle name="Normal 4 2 4 9 2 2" xfId="12652" xr:uid="{00000000-0005-0000-0000-00000A190000}"/>
    <cellStyle name="Normal 4 2 4 9 3" xfId="9473" xr:uid="{00000000-0005-0000-0000-00000B190000}"/>
    <cellStyle name="Normal 4 2 5" xfId="1440" xr:uid="{00000000-0005-0000-0000-00000C190000}"/>
    <cellStyle name="Normal 4 2 5 10" xfId="7897" xr:uid="{00000000-0005-0000-0000-00000D190000}"/>
    <cellStyle name="Normal 4 2 5 2" xfId="1472" xr:uid="{00000000-0005-0000-0000-00000E190000}"/>
    <cellStyle name="Normal 4 2 5 2 2" xfId="1584" xr:uid="{00000000-0005-0000-0000-00000F190000}"/>
    <cellStyle name="Normal 4 2 5 2 2 2" xfId="1782" xr:uid="{00000000-0005-0000-0000-000010190000}"/>
    <cellStyle name="Normal 4 2 5 2 2 2 2" xfId="2178" xr:uid="{00000000-0005-0000-0000-000011190000}"/>
    <cellStyle name="Normal 4 2 5 2 2 2 2 2" xfId="2970" xr:uid="{00000000-0005-0000-0000-000012190000}"/>
    <cellStyle name="Normal 4 2 5 2 2 2 2 2 2" xfId="4554" xr:uid="{00000000-0005-0000-0000-000013190000}"/>
    <cellStyle name="Normal 4 2 5 2 2 2 2 2 2 2" xfId="7782" xr:uid="{00000000-0005-0000-0000-000014190000}"/>
    <cellStyle name="Normal 4 2 5 2 2 2 2 2 2 2 2" xfId="14143" xr:uid="{00000000-0005-0000-0000-000015190000}"/>
    <cellStyle name="Normal 4 2 5 2 2 2 2 2 2 3" xfId="10964" xr:uid="{00000000-0005-0000-0000-000016190000}"/>
    <cellStyle name="Normal 4 2 5 2 2 2 2 2 3" xfId="6198" xr:uid="{00000000-0005-0000-0000-000017190000}"/>
    <cellStyle name="Normal 4 2 5 2 2 2 2 2 3 2" xfId="12559" xr:uid="{00000000-0005-0000-0000-000018190000}"/>
    <cellStyle name="Normal 4 2 5 2 2 2 2 2 4" xfId="9380" xr:uid="{00000000-0005-0000-0000-000019190000}"/>
    <cellStyle name="Normal 4 2 5 2 2 2 2 3" xfId="3762" xr:uid="{00000000-0005-0000-0000-00001A190000}"/>
    <cellStyle name="Normal 4 2 5 2 2 2 2 3 2" xfId="6990" xr:uid="{00000000-0005-0000-0000-00001B190000}"/>
    <cellStyle name="Normal 4 2 5 2 2 2 2 3 2 2" xfId="13351" xr:uid="{00000000-0005-0000-0000-00001C190000}"/>
    <cellStyle name="Normal 4 2 5 2 2 2 2 3 3" xfId="10172" xr:uid="{00000000-0005-0000-0000-00001D190000}"/>
    <cellStyle name="Normal 4 2 5 2 2 2 2 4" xfId="5406" xr:uid="{00000000-0005-0000-0000-00001E190000}"/>
    <cellStyle name="Normal 4 2 5 2 2 2 2 4 2" xfId="11767" xr:uid="{00000000-0005-0000-0000-00001F190000}"/>
    <cellStyle name="Normal 4 2 5 2 2 2 2 5" xfId="8588" xr:uid="{00000000-0005-0000-0000-000020190000}"/>
    <cellStyle name="Normal 4 2 5 2 2 2 3" xfId="2574" xr:uid="{00000000-0005-0000-0000-000021190000}"/>
    <cellStyle name="Normal 4 2 5 2 2 2 3 2" xfId="4158" xr:uid="{00000000-0005-0000-0000-000022190000}"/>
    <cellStyle name="Normal 4 2 5 2 2 2 3 2 2" xfId="7386" xr:uid="{00000000-0005-0000-0000-000023190000}"/>
    <cellStyle name="Normal 4 2 5 2 2 2 3 2 2 2" xfId="13747" xr:uid="{00000000-0005-0000-0000-000024190000}"/>
    <cellStyle name="Normal 4 2 5 2 2 2 3 2 3" xfId="10568" xr:uid="{00000000-0005-0000-0000-000025190000}"/>
    <cellStyle name="Normal 4 2 5 2 2 2 3 3" xfId="5802" xr:uid="{00000000-0005-0000-0000-000026190000}"/>
    <cellStyle name="Normal 4 2 5 2 2 2 3 3 2" xfId="12163" xr:uid="{00000000-0005-0000-0000-000027190000}"/>
    <cellStyle name="Normal 4 2 5 2 2 2 3 4" xfId="8984" xr:uid="{00000000-0005-0000-0000-000028190000}"/>
    <cellStyle name="Normal 4 2 5 2 2 2 4" xfId="3366" xr:uid="{00000000-0005-0000-0000-000029190000}"/>
    <cellStyle name="Normal 4 2 5 2 2 2 4 2" xfId="6594" xr:uid="{00000000-0005-0000-0000-00002A190000}"/>
    <cellStyle name="Normal 4 2 5 2 2 2 4 2 2" xfId="12955" xr:uid="{00000000-0005-0000-0000-00002B190000}"/>
    <cellStyle name="Normal 4 2 5 2 2 2 4 3" xfId="9776" xr:uid="{00000000-0005-0000-0000-00002C190000}"/>
    <cellStyle name="Normal 4 2 5 2 2 2 5" xfId="5010" xr:uid="{00000000-0005-0000-0000-00002D190000}"/>
    <cellStyle name="Normal 4 2 5 2 2 2 5 2" xfId="11371" xr:uid="{00000000-0005-0000-0000-00002E190000}"/>
    <cellStyle name="Normal 4 2 5 2 2 2 6" xfId="8192" xr:uid="{00000000-0005-0000-0000-00002F190000}"/>
    <cellStyle name="Normal 4 2 5 2 2 3" xfId="1980" xr:uid="{00000000-0005-0000-0000-000030190000}"/>
    <cellStyle name="Normal 4 2 5 2 2 3 2" xfId="2772" xr:uid="{00000000-0005-0000-0000-000031190000}"/>
    <cellStyle name="Normal 4 2 5 2 2 3 2 2" xfId="4356" xr:uid="{00000000-0005-0000-0000-000032190000}"/>
    <cellStyle name="Normal 4 2 5 2 2 3 2 2 2" xfId="7584" xr:uid="{00000000-0005-0000-0000-000033190000}"/>
    <cellStyle name="Normal 4 2 5 2 2 3 2 2 2 2" xfId="13945" xr:uid="{00000000-0005-0000-0000-000034190000}"/>
    <cellStyle name="Normal 4 2 5 2 2 3 2 2 3" xfId="10766" xr:uid="{00000000-0005-0000-0000-000035190000}"/>
    <cellStyle name="Normal 4 2 5 2 2 3 2 3" xfId="6000" xr:uid="{00000000-0005-0000-0000-000036190000}"/>
    <cellStyle name="Normal 4 2 5 2 2 3 2 3 2" xfId="12361" xr:uid="{00000000-0005-0000-0000-000037190000}"/>
    <cellStyle name="Normal 4 2 5 2 2 3 2 4" xfId="9182" xr:uid="{00000000-0005-0000-0000-000038190000}"/>
    <cellStyle name="Normal 4 2 5 2 2 3 3" xfId="3564" xr:uid="{00000000-0005-0000-0000-000039190000}"/>
    <cellStyle name="Normal 4 2 5 2 2 3 3 2" xfId="6792" xr:uid="{00000000-0005-0000-0000-00003A190000}"/>
    <cellStyle name="Normal 4 2 5 2 2 3 3 2 2" xfId="13153" xr:uid="{00000000-0005-0000-0000-00003B190000}"/>
    <cellStyle name="Normal 4 2 5 2 2 3 3 3" xfId="9974" xr:uid="{00000000-0005-0000-0000-00003C190000}"/>
    <cellStyle name="Normal 4 2 5 2 2 3 4" xfId="5208" xr:uid="{00000000-0005-0000-0000-00003D190000}"/>
    <cellStyle name="Normal 4 2 5 2 2 3 4 2" xfId="11569" xr:uid="{00000000-0005-0000-0000-00003E190000}"/>
    <cellStyle name="Normal 4 2 5 2 2 3 5" xfId="8390" xr:uid="{00000000-0005-0000-0000-00003F190000}"/>
    <cellStyle name="Normal 4 2 5 2 2 4" xfId="2376" xr:uid="{00000000-0005-0000-0000-000040190000}"/>
    <cellStyle name="Normal 4 2 5 2 2 4 2" xfId="3960" xr:uid="{00000000-0005-0000-0000-000041190000}"/>
    <cellStyle name="Normal 4 2 5 2 2 4 2 2" xfId="7188" xr:uid="{00000000-0005-0000-0000-000042190000}"/>
    <cellStyle name="Normal 4 2 5 2 2 4 2 2 2" xfId="13549" xr:uid="{00000000-0005-0000-0000-000043190000}"/>
    <cellStyle name="Normal 4 2 5 2 2 4 2 3" xfId="10370" xr:uid="{00000000-0005-0000-0000-000044190000}"/>
    <cellStyle name="Normal 4 2 5 2 2 4 3" xfId="5604" xr:uid="{00000000-0005-0000-0000-000045190000}"/>
    <cellStyle name="Normal 4 2 5 2 2 4 3 2" xfId="11965" xr:uid="{00000000-0005-0000-0000-000046190000}"/>
    <cellStyle name="Normal 4 2 5 2 2 4 4" xfId="8786" xr:uid="{00000000-0005-0000-0000-000047190000}"/>
    <cellStyle name="Normal 4 2 5 2 2 5" xfId="3168" xr:uid="{00000000-0005-0000-0000-000048190000}"/>
    <cellStyle name="Normal 4 2 5 2 2 5 2" xfId="6396" xr:uid="{00000000-0005-0000-0000-000049190000}"/>
    <cellStyle name="Normal 4 2 5 2 2 5 2 2" xfId="12757" xr:uid="{00000000-0005-0000-0000-00004A190000}"/>
    <cellStyle name="Normal 4 2 5 2 2 5 3" xfId="9578" xr:uid="{00000000-0005-0000-0000-00004B190000}"/>
    <cellStyle name="Normal 4 2 5 2 2 6" xfId="4812" xr:uid="{00000000-0005-0000-0000-00004C190000}"/>
    <cellStyle name="Normal 4 2 5 2 2 6 2" xfId="11173" xr:uid="{00000000-0005-0000-0000-00004D190000}"/>
    <cellStyle name="Normal 4 2 5 2 2 7" xfId="7994" xr:uid="{00000000-0005-0000-0000-00004E190000}"/>
    <cellStyle name="Normal 4 2 5 2 3" xfId="1652" xr:uid="{00000000-0005-0000-0000-00004F190000}"/>
    <cellStyle name="Normal 4 2 5 2 3 2" xfId="1850" xr:uid="{00000000-0005-0000-0000-000050190000}"/>
    <cellStyle name="Normal 4 2 5 2 3 2 2" xfId="2246" xr:uid="{00000000-0005-0000-0000-000051190000}"/>
    <cellStyle name="Normal 4 2 5 2 3 2 2 2" xfId="3038" xr:uid="{00000000-0005-0000-0000-000052190000}"/>
    <cellStyle name="Normal 4 2 5 2 3 2 2 2 2" xfId="4622" xr:uid="{00000000-0005-0000-0000-000053190000}"/>
    <cellStyle name="Normal 4 2 5 2 3 2 2 2 2 2" xfId="7850" xr:uid="{00000000-0005-0000-0000-000054190000}"/>
    <cellStyle name="Normal 4 2 5 2 3 2 2 2 2 2 2" xfId="14211" xr:uid="{00000000-0005-0000-0000-000055190000}"/>
    <cellStyle name="Normal 4 2 5 2 3 2 2 2 2 3" xfId="11032" xr:uid="{00000000-0005-0000-0000-000056190000}"/>
    <cellStyle name="Normal 4 2 5 2 3 2 2 2 3" xfId="6266" xr:uid="{00000000-0005-0000-0000-000057190000}"/>
    <cellStyle name="Normal 4 2 5 2 3 2 2 2 3 2" xfId="12627" xr:uid="{00000000-0005-0000-0000-000058190000}"/>
    <cellStyle name="Normal 4 2 5 2 3 2 2 2 4" xfId="9448" xr:uid="{00000000-0005-0000-0000-000059190000}"/>
    <cellStyle name="Normal 4 2 5 2 3 2 2 3" xfId="3830" xr:uid="{00000000-0005-0000-0000-00005A190000}"/>
    <cellStyle name="Normal 4 2 5 2 3 2 2 3 2" xfId="7058" xr:uid="{00000000-0005-0000-0000-00005B190000}"/>
    <cellStyle name="Normal 4 2 5 2 3 2 2 3 2 2" xfId="13419" xr:uid="{00000000-0005-0000-0000-00005C190000}"/>
    <cellStyle name="Normal 4 2 5 2 3 2 2 3 3" xfId="10240" xr:uid="{00000000-0005-0000-0000-00005D190000}"/>
    <cellStyle name="Normal 4 2 5 2 3 2 2 4" xfId="5474" xr:uid="{00000000-0005-0000-0000-00005E190000}"/>
    <cellStyle name="Normal 4 2 5 2 3 2 2 4 2" xfId="11835" xr:uid="{00000000-0005-0000-0000-00005F190000}"/>
    <cellStyle name="Normal 4 2 5 2 3 2 2 5" xfId="8656" xr:uid="{00000000-0005-0000-0000-000060190000}"/>
    <cellStyle name="Normal 4 2 5 2 3 2 3" xfId="2642" xr:uid="{00000000-0005-0000-0000-000061190000}"/>
    <cellStyle name="Normal 4 2 5 2 3 2 3 2" xfId="4226" xr:uid="{00000000-0005-0000-0000-000062190000}"/>
    <cellStyle name="Normal 4 2 5 2 3 2 3 2 2" xfId="7454" xr:uid="{00000000-0005-0000-0000-000063190000}"/>
    <cellStyle name="Normal 4 2 5 2 3 2 3 2 2 2" xfId="13815" xr:uid="{00000000-0005-0000-0000-000064190000}"/>
    <cellStyle name="Normal 4 2 5 2 3 2 3 2 3" xfId="10636" xr:uid="{00000000-0005-0000-0000-000065190000}"/>
    <cellStyle name="Normal 4 2 5 2 3 2 3 3" xfId="5870" xr:uid="{00000000-0005-0000-0000-000066190000}"/>
    <cellStyle name="Normal 4 2 5 2 3 2 3 3 2" xfId="12231" xr:uid="{00000000-0005-0000-0000-000067190000}"/>
    <cellStyle name="Normal 4 2 5 2 3 2 3 4" xfId="9052" xr:uid="{00000000-0005-0000-0000-000068190000}"/>
    <cellStyle name="Normal 4 2 5 2 3 2 4" xfId="3434" xr:uid="{00000000-0005-0000-0000-000069190000}"/>
    <cellStyle name="Normal 4 2 5 2 3 2 4 2" xfId="6662" xr:uid="{00000000-0005-0000-0000-00006A190000}"/>
    <cellStyle name="Normal 4 2 5 2 3 2 4 2 2" xfId="13023" xr:uid="{00000000-0005-0000-0000-00006B190000}"/>
    <cellStyle name="Normal 4 2 5 2 3 2 4 3" xfId="9844" xr:uid="{00000000-0005-0000-0000-00006C190000}"/>
    <cellStyle name="Normal 4 2 5 2 3 2 5" xfId="5078" xr:uid="{00000000-0005-0000-0000-00006D190000}"/>
    <cellStyle name="Normal 4 2 5 2 3 2 5 2" xfId="11439" xr:uid="{00000000-0005-0000-0000-00006E190000}"/>
    <cellStyle name="Normal 4 2 5 2 3 2 6" xfId="8260" xr:uid="{00000000-0005-0000-0000-00006F190000}"/>
    <cellStyle name="Normal 4 2 5 2 3 3" xfId="2048" xr:uid="{00000000-0005-0000-0000-000070190000}"/>
    <cellStyle name="Normal 4 2 5 2 3 3 2" xfId="2840" xr:uid="{00000000-0005-0000-0000-000071190000}"/>
    <cellStyle name="Normal 4 2 5 2 3 3 2 2" xfId="4424" xr:uid="{00000000-0005-0000-0000-000072190000}"/>
    <cellStyle name="Normal 4 2 5 2 3 3 2 2 2" xfId="7652" xr:uid="{00000000-0005-0000-0000-000073190000}"/>
    <cellStyle name="Normal 4 2 5 2 3 3 2 2 2 2" xfId="14013" xr:uid="{00000000-0005-0000-0000-000074190000}"/>
    <cellStyle name="Normal 4 2 5 2 3 3 2 2 3" xfId="10834" xr:uid="{00000000-0005-0000-0000-000075190000}"/>
    <cellStyle name="Normal 4 2 5 2 3 3 2 3" xfId="6068" xr:uid="{00000000-0005-0000-0000-000076190000}"/>
    <cellStyle name="Normal 4 2 5 2 3 3 2 3 2" xfId="12429" xr:uid="{00000000-0005-0000-0000-000077190000}"/>
    <cellStyle name="Normal 4 2 5 2 3 3 2 4" xfId="9250" xr:uid="{00000000-0005-0000-0000-000078190000}"/>
    <cellStyle name="Normal 4 2 5 2 3 3 3" xfId="3632" xr:uid="{00000000-0005-0000-0000-000079190000}"/>
    <cellStyle name="Normal 4 2 5 2 3 3 3 2" xfId="6860" xr:uid="{00000000-0005-0000-0000-00007A190000}"/>
    <cellStyle name="Normal 4 2 5 2 3 3 3 2 2" xfId="13221" xr:uid="{00000000-0005-0000-0000-00007B190000}"/>
    <cellStyle name="Normal 4 2 5 2 3 3 3 3" xfId="10042" xr:uid="{00000000-0005-0000-0000-00007C190000}"/>
    <cellStyle name="Normal 4 2 5 2 3 3 4" xfId="5276" xr:uid="{00000000-0005-0000-0000-00007D190000}"/>
    <cellStyle name="Normal 4 2 5 2 3 3 4 2" xfId="11637" xr:uid="{00000000-0005-0000-0000-00007E190000}"/>
    <cellStyle name="Normal 4 2 5 2 3 3 5" xfId="8458" xr:uid="{00000000-0005-0000-0000-00007F190000}"/>
    <cellStyle name="Normal 4 2 5 2 3 4" xfId="2444" xr:uid="{00000000-0005-0000-0000-000080190000}"/>
    <cellStyle name="Normal 4 2 5 2 3 4 2" xfId="4028" xr:uid="{00000000-0005-0000-0000-000081190000}"/>
    <cellStyle name="Normal 4 2 5 2 3 4 2 2" xfId="7256" xr:uid="{00000000-0005-0000-0000-000082190000}"/>
    <cellStyle name="Normal 4 2 5 2 3 4 2 2 2" xfId="13617" xr:uid="{00000000-0005-0000-0000-000083190000}"/>
    <cellStyle name="Normal 4 2 5 2 3 4 2 3" xfId="10438" xr:uid="{00000000-0005-0000-0000-000084190000}"/>
    <cellStyle name="Normal 4 2 5 2 3 4 3" xfId="5672" xr:uid="{00000000-0005-0000-0000-000085190000}"/>
    <cellStyle name="Normal 4 2 5 2 3 4 3 2" xfId="12033" xr:uid="{00000000-0005-0000-0000-000086190000}"/>
    <cellStyle name="Normal 4 2 5 2 3 4 4" xfId="8854" xr:uid="{00000000-0005-0000-0000-000087190000}"/>
    <cellStyle name="Normal 4 2 5 2 3 5" xfId="3236" xr:uid="{00000000-0005-0000-0000-000088190000}"/>
    <cellStyle name="Normal 4 2 5 2 3 5 2" xfId="6464" xr:uid="{00000000-0005-0000-0000-000089190000}"/>
    <cellStyle name="Normal 4 2 5 2 3 5 2 2" xfId="12825" xr:uid="{00000000-0005-0000-0000-00008A190000}"/>
    <cellStyle name="Normal 4 2 5 2 3 5 3" xfId="9646" xr:uid="{00000000-0005-0000-0000-00008B190000}"/>
    <cellStyle name="Normal 4 2 5 2 3 6" xfId="4880" xr:uid="{00000000-0005-0000-0000-00008C190000}"/>
    <cellStyle name="Normal 4 2 5 2 3 6 2" xfId="11241" xr:uid="{00000000-0005-0000-0000-00008D190000}"/>
    <cellStyle name="Normal 4 2 5 2 3 7" xfId="8062" xr:uid="{00000000-0005-0000-0000-00008E190000}"/>
    <cellStyle name="Normal 4 2 5 2 4" xfId="1717" xr:uid="{00000000-0005-0000-0000-00008F190000}"/>
    <cellStyle name="Normal 4 2 5 2 4 2" xfId="2113" xr:uid="{00000000-0005-0000-0000-000090190000}"/>
    <cellStyle name="Normal 4 2 5 2 4 2 2" xfId="2905" xr:uid="{00000000-0005-0000-0000-000091190000}"/>
    <cellStyle name="Normal 4 2 5 2 4 2 2 2" xfId="4489" xr:uid="{00000000-0005-0000-0000-000092190000}"/>
    <cellStyle name="Normal 4 2 5 2 4 2 2 2 2" xfId="7717" xr:uid="{00000000-0005-0000-0000-000093190000}"/>
    <cellStyle name="Normal 4 2 5 2 4 2 2 2 2 2" xfId="14078" xr:uid="{00000000-0005-0000-0000-000094190000}"/>
    <cellStyle name="Normal 4 2 5 2 4 2 2 2 3" xfId="10899" xr:uid="{00000000-0005-0000-0000-000095190000}"/>
    <cellStyle name="Normal 4 2 5 2 4 2 2 3" xfId="6133" xr:uid="{00000000-0005-0000-0000-000096190000}"/>
    <cellStyle name="Normal 4 2 5 2 4 2 2 3 2" xfId="12494" xr:uid="{00000000-0005-0000-0000-000097190000}"/>
    <cellStyle name="Normal 4 2 5 2 4 2 2 4" xfId="9315" xr:uid="{00000000-0005-0000-0000-000098190000}"/>
    <cellStyle name="Normal 4 2 5 2 4 2 3" xfId="3697" xr:uid="{00000000-0005-0000-0000-000099190000}"/>
    <cellStyle name="Normal 4 2 5 2 4 2 3 2" xfId="6925" xr:uid="{00000000-0005-0000-0000-00009A190000}"/>
    <cellStyle name="Normal 4 2 5 2 4 2 3 2 2" xfId="13286" xr:uid="{00000000-0005-0000-0000-00009B190000}"/>
    <cellStyle name="Normal 4 2 5 2 4 2 3 3" xfId="10107" xr:uid="{00000000-0005-0000-0000-00009C190000}"/>
    <cellStyle name="Normal 4 2 5 2 4 2 4" xfId="5341" xr:uid="{00000000-0005-0000-0000-00009D190000}"/>
    <cellStyle name="Normal 4 2 5 2 4 2 4 2" xfId="11702" xr:uid="{00000000-0005-0000-0000-00009E190000}"/>
    <cellStyle name="Normal 4 2 5 2 4 2 5" xfId="8523" xr:uid="{00000000-0005-0000-0000-00009F190000}"/>
    <cellStyle name="Normal 4 2 5 2 4 3" xfId="2509" xr:uid="{00000000-0005-0000-0000-0000A0190000}"/>
    <cellStyle name="Normal 4 2 5 2 4 3 2" xfId="4093" xr:uid="{00000000-0005-0000-0000-0000A1190000}"/>
    <cellStyle name="Normal 4 2 5 2 4 3 2 2" xfId="7321" xr:uid="{00000000-0005-0000-0000-0000A2190000}"/>
    <cellStyle name="Normal 4 2 5 2 4 3 2 2 2" xfId="13682" xr:uid="{00000000-0005-0000-0000-0000A3190000}"/>
    <cellStyle name="Normal 4 2 5 2 4 3 2 3" xfId="10503" xr:uid="{00000000-0005-0000-0000-0000A4190000}"/>
    <cellStyle name="Normal 4 2 5 2 4 3 3" xfId="5737" xr:uid="{00000000-0005-0000-0000-0000A5190000}"/>
    <cellStyle name="Normal 4 2 5 2 4 3 3 2" xfId="12098" xr:uid="{00000000-0005-0000-0000-0000A6190000}"/>
    <cellStyle name="Normal 4 2 5 2 4 3 4" xfId="8919" xr:uid="{00000000-0005-0000-0000-0000A7190000}"/>
    <cellStyle name="Normal 4 2 5 2 4 4" xfId="3301" xr:uid="{00000000-0005-0000-0000-0000A8190000}"/>
    <cellStyle name="Normal 4 2 5 2 4 4 2" xfId="6529" xr:uid="{00000000-0005-0000-0000-0000A9190000}"/>
    <cellStyle name="Normal 4 2 5 2 4 4 2 2" xfId="12890" xr:uid="{00000000-0005-0000-0000-0000AA190000}"/>
    <cellStyle name="Normal 4 2 5 2 4 4 3" xfId="9711" xr:uid="{00000000-0005-0000-0000-0000AB190000}"/>
    <cellStyle name="Normal 4 2 5 2 4 5" xfId="4945" xr:uid="{00000000-0005-0000-0000-0000AC190000}"/>
    <cellStyle name="Normal 4 2 5 2 4 5 2" xfId="11306" xr:uid="{00000000-0005-0000-0000-0000AD190000}"/>
    <cellStyle name="Normal 4 2 5 2 4 6" xfId="8127" xr:uid="{00000000-0005-0000-0000-0000AE190000}"/>
    <cellStyle name="Normal 4 2 5 2 5" xfId="1915" xr:uid="{00000000-0005-0000-0000-0000AF190000}"/>
    <cellStyle name="Normal 4 2 5 2 5 2" xfId="2707" xr:uid="{00000000-0005-0000-0000-0000B0190000}"/>
    <cellStyle name="Normal 4 2 5 2 5 2 2" xfId="4291" xr:uid="{00000000-0005-0000-0000-0000B1190000}"/>
    <cellStyle name="Normal 4 2 5 2 5 2 2 2" xfId="7519" xr:uid="{00000000-0005-0000-0000-0000B2190000}"/>
    <cellStyle name="Normal 4 2 5 2 5 2 2 2 2" xfId="13880" xr:uid="{00000000-0005-0000-0000-0000B3190000}"/>
    <cellStyle name="Normal 4 2 5 2 5 2 2 3" xfId="10701" xr:uid="{00000000-0005-0000-0000-0000B4190000}"/>
    <cellStyle name="Normal 4 2 5 2 5 2 3" xfId="5935" xr:uid="{00000000-0005-0000-0000-0000B5190000}"/>
    <cellStyle name="Normal 4 2 5 2 5 2 3 2" xfId="12296" xr:uid="{00000000-0005-0000-0000-0000B6190000}"/>
    <cellStyle name="Normal 4 2 5 2 5 2 4" xfId="9117" xr:uid="{00000000-0005-0000-0000-0000B7190000}"/>
    <cellStyle name="Normal 4 2 5 2 5 3" xfId="3499" xr:uid="{00000000-0005-0000-0000-0000B8190000}"/>
    <cellStyle name="Normal 4 2 5 2 5 3 2" xfId="6727" xr:uid="{00000000-0005-0000-0000-0000B9190000}"/>
    <cellStyle name="Normal 4 2 5 2 5 3 2 2" xfId="13088" xr:uid="{00000000-0005-0000-0000-0000BA190000}"/>
    <cellStyle name="Normal 4 2 5 2 5 3 3" xfId="9909" xr:uid="{00000000-0005-0000-0000-0000BB190000}"/>
    <cellStyle name="Normal 4 2 5 2 5 4" xfId="5143" xr:uid="{00000000-0005-0000-0000-0000BC190000}"/>
    <cellStyle name="Normal 4 2 5 2 5 4 2" xfId="11504" xr:uid="{00000000-0005-0000-0000-0000BD190000}"/>
    <cellStyle name="Normal 4 2 5 2 5 5" xfId="8325" xr:uid="{00000000-0005-0000-0000-0000BE190000}"/>
    <cellStyle name="Normal 4 2 5 2 6" xfId="2311" xr:uid="{00000000-0005-0000-0000-0000BF190000}"/>
    <cellStyle name="Normal 4 2 5 2 6 2" xfId="3895" xr:uid="{00000000-0005-0000-0000-0000C0190000}"/>
    <cellStyle name="Normal 4 2 5 2 6 2 2" xfId="7123" xr:uid="{00000000-0005-0000-0000-0000C1190000}"/>
    <cellStyle name="Normal 4 2 5 2 6 2 2 2" xfId="13484" xr:uid="{00000000-0005-0000-0000-0000C2190000}"/>
    <cellStyle name="Normal 4 2 5 2 6 2 3" xfId="10305" xr:uid="{00000000-0005-0000-0000-0000C3190000}"/>
    <cellStyle name="Normal 4 2 5 2 6 3" xfId="5539" xr:uid="{00000000-0005-0000-0000-0000C4190000}"/>
    <cellStyle name="Normal 4 2 5 2 6 3 2" xfId="11900" xr:uid="{00000000-0005-0000-0000-0000C5190000}"/>
    <cellStyle name="Normal 4 2 5 2 6 4" xfId="8721" xr:uid="{00000000-0005-0000-0000-0000C6190000}"/>
    <cellStyle name="Normal 4 2 5 2 7" xfId="3103" xr:uid="{00000000-0005-0000-0000-0000C7190000}"/>
    <cellStyle name="Normal 4 2 5 2 7 2" xfId="6331" xr:uid="{00000000-0005-0000-0000-0000C8190000}"/>
    <cellStyle name="Normal 4 2 5 2 7 2 2" xfId="12692" xr:uid="{00000000-0005-0000-0000-0000C9190000}"/>
    <cellStyle name="Normal 4 2 5 2 7 3" xfId="9513" xr:uid="{00000000-0005-0000-0000-0000CA190000}"/>
    <cellStyle name="Normal 4 2 5 2 8" xfId="4747" xr:uid="{00000000-0005-0000-0000-0000CB190000}"/>
    <cellStyle name="Normal 4 2 5 2 8 2" xfId="11108" xr:uid="{00000000-0005-0000-0000-0000CC190000}"/>
    <cellStyle name="Normal 4 2 5 2 9" xfId="7929" xr:uid="{00000000-0005-0000-0000-0000CD190000}"/>
    <cellStyle name="Normal 4 2 5 3" xfId="1552" xr:uid="{00000000-0005-0000-0000-0000CE190000}"/>
    <cellStyle name="Normal 4 2 5 3 2" xfId="1750" xr:uid="{00000000-0005-0000-0000-0000CF190000}"/>
    <cellStyle name="Normal 4 2 5 3 2 2" xfId="2146" xr:uid="{00000000-0005-0000-0000-0000D0190000}"/>
    <cellStyle name="Normal 4 2 5 3 2 2 2" xfId="2938" xr:uid="{00000000-0005-0000-0000-0000D1190000}"/>
    <cellStyle name="Normal 4 2 5 3 2 2 2 2" xfId="4522" xr:uid="{00000000-0005-0000-0000-0000D2190000}"/>
    <cellStyle name="Normal 4 2 5 3 2 2 2 2 2" xfId="7750" xr:uid="{00000000-0005-0000-0000-0000D3190000}"/>
    <cellStyle name="Normal 4 2 5 3 2 2 2 2 2 2" xfId="14111" xr:uid="{00000000-0005-0000-0000-0000D4190000}"/>
    <cellStyle name="Normal 4 2 5 3 2 2 2 2 3" xfId="10932" xr:uid="{00000000-0005-0000-0000-0000D5190000}"/>
    <cellStyle name="Normal 4 2 5 3 2 2 2 3" xfId="6166" xr:uid="{00000000-0005-0000-0000-0000D6190000}"/>
    <cellStyle name="Normal 4 2 5 3 2 2 2 3 2" xfId="12527" xr:uid="{00000000-0005-0000-0000-0000D7190000}"/>
    <cellStyle name="Normal 4 2 5 3 2 2 2 4" xfId="9348" xr:uid="{00000000-0005-0000-0000-0000D8190000}"/>
    <cellStyle name="Normal 4 2 5 3 2 2 3" xfId="3730" xr:uid="{00000000-0005-0000-0000-0000D9190000}"/>
    <cellStyle name="Normal 4 2 5 3 2 2 3 2" xfId="6958" xr:uid="{00000000-0005-0000-0000-0000DA190000}"/>
    <cellStyle name="Normal 4 2 5 3 2 2 3 2 2" xfId="13319" xr:uid="{00000000-0005-0000-0000-0000DB190000}"/>
    <cellStyle name="Normal 4 2 5 3 2 2 3 3" xfId="10140" xr:uid="{00000000-0005-0000-0000-0000DC190000}"/>
    <cellStyle name="Normal 4 2 5 3 2 2 4" xfId="5374" xr:uid="{00000000-0005-0000-0000-0000DD190000}"/>
    <cellStyle name="Normal 4 2 5 3 2 2 4 2" xfId="11735" xr:uid="{00000000-0005-0000-0000-0000DE190000}"/>
    <cellStyle name="Normal 4 2 5 3 2 2 5" xfId="8556" xr:uid="{00000000-0005-0000-0000-0000DF190000}"/>
    <cellStyle name="Normal 4 2 5 3 2 3" xfId="2542" xr:uid="{00000000-0005-0000-0000-0000E0190000}"/>
    <cellStyle name="Normal 4 2 5 3 2 3 2" xfId="4126" xr:uid="{00000000-0005-0000-0000-0000E1190000}"/>
    <cellStyle name="Normal 4 2 5 3 2 3 2 2" xfId="7354" xr:uid="{00000000-0005-0000-0000-0000E2190000}"/>
    <cellStyle name="Normal 4 2 5 3 2 3 2 2 2" xfId="13715" xr:uid="{00000000-0005-0000-0000-0000E3190000}"/>
    <cellStyle name="Normal 4 2 5 3 2 3 2 3" xfId="10536" xr:uid="{00000000-0005-0000-0000-0000E4190000}"/>
    <cellStyle name="Normal 4 2 5 3 2 3 3" xfId="5770" xr:uid="{00000000-0005-0000-0000-0000E5190000}"/>
    <cellStyle name="Normal 4 2 5 3 2 3 3 2" xfId="12131" xr:uid="{00000000-0005-0000-0000-0000E6190000}"/>
    <cellStyle name="Normal 4 2 5 3 2 3 4" xfId="8952" xr:uid="{00000000-0005-0000-0000-0000E7190000}"/>
    <cellStyle name="Normal 4 2 5 3 2 4" xfId="3334" xr:uid="{00000000-0005-0000-0000-0000E8190000}"/>
    <cellStyle name="Normal 4 2 5 3 2 4 2" xfId="6562" xr:uid="{00000000-0005-0000-0000-0000E9190000}"/>
    <cellStyle name="Normal 4 2 5 3 2 4 2 2" xfId="12923" xr:uid="{00000000-0005-0000-0000-0000EA190000}"/>
    <cellStyle name="Normal 4 2 5 3 2 4 3" xfId="9744" xr:uid="{00000000-0005-0000-0000-0000EB190000}"/>
    <cellStyle name="Normal 4 2 5 3 2 5" xfId="4978" xr:uid="{00000000-0005-0000-0000-0000EC190000}"/>
    <cellStyle name="Normal 4 2 5 3 2 5 2" xfId="11339" xr:uid="{00000000-0005-0000-0000-0000ED190000}"/>
    <cellStyle name="Normal 4 2 5 3 2 6" xfId="8160" xr:uid="{00000000-0005-0000-0000-0000EE190000}"/>
    <cellStyle name="Normal 4 2 5 3 3" xfId="1948" xr:uid="{00000000-0005-0000-0000-0000EF190000}"/>
    <cellStyle name="Normal 4 2 5 3 3 2" xfId="2740" xr:uid="{00000000-0005-0000-0000-0000F0190000}"/>
    <cellStyle name="Normal 4 2 5 3 3 2 2" xfId="4324" xr:uid="{00000000-0005-0000-0000-0000F1190000}"/>
    <cellStyle name="Normal 4 2 5 3 3 2 2 2" xfId="7552" xr:uid="{00000000-0005-0000-0000-0000F2190000}"/>
    <cellStyle name="Normal 4 2 5 3 3 2 2 2 2" xfId="13913" xr:uid="{00000000-0005-0000-0000-0000F3190000}"/>
    <cellStyle name="Normal 4 2 5 3 3 2 2 3" xfId="10734" xr:uid="{00000000-0005-0000-0000-0000F4190000}"/>
    <cellStyle name="Normal 4 2 5 3 3 2 3" xfId="5968" xr:uid="{00000000-0005-0000-0000-0000F5190000}"/>
    <cellStyle name="Normal 4 2 5 3 3 2 3 2" xfId="12329" xr:uid="{00000000-0005-0000-0000-0000F6190000}"/>
    <cellStyle name="Normal 4 2 5 3 3 2 4" xfId="9150" xr:uid="{00000000-0005-0000-0000-0000F7190000}"/>
    <cellStyle name="Normal 4 2 5 3 3 3" xfId="3532" xr:uid="{00000000-0005-0000-0000-0000F8190000}"/>
    <cellStyle name="Normal 4 2 5 3 3 3 2" xfId="6760" xr:uid="{00000000-0005-0000-0000-0000F9190000}"/>
    <cellStyle name="Normal 4 2 5 3 3 3 2 2" xfId="13121" xr:uid="{00000000-0005-0000-0000-0000FA190000}"/>
    <cellStyle name="Normal 4 2 5 3 3 3 3" xfId="9942" xr:uid="{00000000-0005-0000-0000-0000FB190000}"/>
    <cellStyle name="Normal 4 2 5 3 3 4" xfId="5176" xr:uid="{00000000-0005-0000-0000-0000FC190000}"/>
    <cellStyle name="Normal 4 2 5 3 3 4 2" xfId="11537" xr:uid="{00000000-0005-0000-0000-0000FD190000}"/>
    <cellStyle name="Normal 4 2 5 3 3 5" xfId="8358" xr:uid="{00000000-0005-0000-0000-0000FE190000}"/>
    <cellStyle name="Normal 4 2 5 3 4" xfId="2344" xr:uid="{00000000-0005-0000-0000-0000FF190000}"/>
    <cellStyle name="Normal 4 2 5 3 4 2" xfId="3928" xr:uid="{00000000-0005-0000-0000-0000001A0000}"/>
    <cellStyle name="Normal 4 2 5 3 4 2 2" xfId="7156" xr:uid="{00000000-0005-0000-0000-0000011A0000}"/>
    <cellStyle name="Normal 4 2 5 3 4 2 2 2" xfId="13517" xr:uid="{00000000-0005-0000-0000-0000021A0000}"/>
    <cellStyle name="Normal 4 2 5 3 4 2 3" xfId="10338" xr:uid="{00000000-0005-0000-0000-0000031A0000}"/>
    <cellStyle name="Normal 4 2 5 3 4 3" xfId="5572" xr:uid="{00000000-0005-0000-0000-0000041A0000}"/>
    <cellStyle name="Normal 4 2 5 3 4 3 2" xfId="11933" xr:uid="{00000000-0005-0000-0000-0000051A0000}"/>
    <cellStyle name="Normal 4 2 5 3 4 4" xfId="8754" xr:uid="{00000000-0005-0000-0000-0000061A0000}"/>
    <cellStyle name="Normal 4 2 5 3 5" xfId="3136" xr:uid="{00000000-0005-0000-0000-0000071A0000}"/>
    <cellStyle name="Normal 4 2 5 3 5 2" xfId="6364" xr:uid="{00000000-0005-0000-0000-0000081A0000}"/>
    <cellStyle name="Normal 4 2 5 3 5 2 2" xfId="12725" xr:uid="{00000000-0005-0000-0000-0000091A0000}"/>
    <cellStyle name="Normal 4 2 5 3 5 3" xfId="9546" xr:uid="{00000000-0005-0000-0000-00000A1A0000}"/>
    <cellStyle name="Normal 4 2 5 3 6" xfId="4780" xr:uid="{00000000-0005-0000-0000-00000B1A0000}"/>
    <cellStyle name="Normal 4 2 5 3 6 2" xfId="11141" xr:uid="{00000000-0005-0000-0000-00000C1A0000}"/>
    <cellStyle name="Normal 4 2 5 3 7" xfId="7962" xr:uid="{00000000-0005-0000-0000-00000D1A0000}"/>
    <cellStyle name="Normal 4 2 5 4" xfId="1620" xr:uid="{00000000-0005-0000-0000-00000E1A0000}"/>
    <cellStyle name="Normal 4 2 5 4 2" xfId="1818" xr:uid="{00000000-0005-0000-0000-00000F1A0000}"/>
    <cellStyle name="Normal 4 2 5 4 2 2" xfId="2214" xr:uid="{00000000-0005-0000-0000-0000101A0000}"/>
    <cellStyle name="Normal 4 2 5 4 2 2 2" xfId="3006" xr:uid="{00000000-0005-0000-0000-0000111A0000}"/>
    <cellStyle name="Normal 4 2 5 4 2 2 2 2" xfId="4590" xr:uid="{00000000-0005-0000-0000-0000121A0000}"/>
    <cellStyle name="Normal 4 2 5 4 2 2 2 2 2" xfId="7818" xr:uid="{00000000-0005-0000-0000-0000131A0000}"/>
    <cellStyle name="Normal 4 2 5 4 2 2 2 2 2 2" xfId="14179" xr:uid="{00000000-0005-0000-0000-0000141A0000}"/>
    <cellStyle name="Normal 4 2 5 4 2 2 2 2 3" xfId="11000" xr:uid="{00000000-0005-0000-0000-0000151A0000}"/>
    <cellStyle name="Normal 4 2 5 4 2 2 2 3" xfId="6234" xr:uid="{00000000-0005-0000-0000-0000161A0000}"/>
    <cellStyle name="Normal 4 2 5 4 2 2 2 3 2" xfId="12595" xr:uid="{00000000-0005-0000-0000-0000171A0000}"/>
    <cellStyle name="Normal 4 2 5 4 2 2 2 4" xfId="9416" xr:uid="{00000000-0005-0000-0000-0000181A0000}"/>
    <cellStyle name="Normal 4 2 5 4 2 2 3" xfId="3798" xr:uid="{00000000-0005-0000-0000-0000191A0000}"/>
    <cellStyle name="Normal 4 2 5 4 2 2 3 2" xfId="7026" xr:uid="{00000000-0005-0000-0000-00001A1A0000}"/>
    <cellStyle name="Normal 4 2 5 4 2 2 3 2 2" xfId="13387" xr:uid="{00000000-0005-0000-0000-00001B1A0000}"/>
    <cellStyle name="Normal 4 2 5 4 2 2 3 3" xfId="10208" xr:uid="{00000000-0005-0000-0000-00001C1A0000}"/>
    <cellStyle name="Normal 4 2 5 4 2 2 4" xfId="5442" xr:uid="{00000000-0005-0000-0000-00001D1A0000}"/>
    <cellStyle name="Normal 4 2 5 4 2 2 4 2" xfId="11803" xr:uid="{00000000-0005-0000-0000-00001E1A0000}"/>
    <cellStyle name="Normal 4 2 5 4 2 2 5" xfId="8624" xr:uid="{00000000-0005-0000-0000-00001F1A0000}"/>
    <cellStyle name="Normal 4 2 5 4 2 3" xfId="2610" xr:uid="{00000000-0005-0000-0000-0000201A0000}"/>
    <cellStyle name="Normal 4 2 5 4 2 3 2" xfId="4194" xr:uid="{00000000-0005-0000-0000-0000211A0000}"/>
    <cellStyle name="Normal 4 2 5 4 2 3 2 2" xfId="7422" xr:uid="{00000000-0005-0000-0000-0000221A0000}"/>
    <cellStyle name="Normal 4 2 5 4 2 3 2 2 2" xfId="13783" xr:uid="{00000000-0005-0000-0000-0000231A0000}"/>
    <cellStyle name="Normal 4 2 5 4 2 3 2 3" xfId="10604" xr:uid="{00000000-0005-0000-0000-0000241A0000}"/>
    <cellStyle name="Normal 4 2 5 4 2 3 3" xfId="5838" xr:uid="{00000000-0005-0000-0000-0000251A0000}"/>
    <cellStyle name="Normal 4 2 5 4 2 3 3 2" xfId="12199" xr:uid="{00000000-0005-0000-0000-0000261A0000}"/>
    <cellStyle name="Normal 4 2 5 4 2 3 4" xfId="9020" xr:uid="{00000000-0005-0000-0000-0000271A0000}"/>
    <cellStyle name="Normal 4 2 5 4 2 4" xfId="3402" xr:uid="{00000000-0005-0000-0000-0000281A0000}"/>
    <cellStyle name="Normal 4 2 5 4 2 4 2" xfId="6630" xr:uid="{00000000-0005-0000-0000-0000291A0000}"/>
    <cellStyle name="Normal 4 2 5 4 2 4 2 2" xfId="12991" xr:uid="{00000000-0005-0000-0000-00002A1A0000}"/>
    <cellStyle name="Normal 4 2 5 4 2 4 3" xfId="9812" xr:uid="{00000000-0005-0000-0000-00002B1A0000}"/>
    <cellStyle name="Normal 4 2 5 4 2 5" xfId="5046" xr:uid="{00000000-0005-0000-0000-00002C1A0000}"/>
    <cellStyle name="Normal 4 2 5 4 2 5 2" xfId="11407" xr:uid="{00000000-0005-0000-0000-00002D1A0000}"/>
    <cellStyle name="Normal 4 2 5 4 2 6" xfId="8228" xr:uid="{00000000-0005-0000-0000-00002E1A0000}"/>
    <cellStyle name="Normal 4 2 5 4 3" xfId="2016" xr:uid="{00000000-0005-0000-0000-00002F1A0000}"/>
    <cellStyle name="Normal 4 2 5 4 3 2" xfId="2808" xr:uid="{00000000-0005-0000-0000-0000301A0000}"/>
    <cellStyle name="Normal 4 2 5 4 3 2 2" xfId="4392" xr:uid="{00000000-0005-0000-0000-0000311A0000}"/>
    <cellStyle name="Normal 4 2 5 4 3 2 2 2" xfId="7620" xr:uid="{00000000-0005-0000-0000-0000321A0000}"/>
    <cellStyle name="Normal 4 2 5 4 3 2 2 2 2" xfId="13981" xr:uid="{00000000-0005-0000-0000-0000331A0000}"/>
    <cellStyle name="Normal 4 2 5 4 3 2 2 3" xfId="10802" xr:uid="{00000000-0005-0000-0000-0000341A0000}"/>
    <cellStyle name="Normal 4 2 5 4 3 2 3" xfId="6036" xr:uid="{00000000-0005-0000-0000-0000351A0000}"/>
    <cellStyle name="Normal 4 2 5 4 3 2 3 2" xfId="12397" xr:uid="{00000000-0005-0000-0000-0000361A0000}"/>
    <cellStyle name="Normal 4 2 5 4 3 2 4" xfId="9218" xr:uid="{00000000-0005-0000-0000-0000371A0000}"/>
    <cellStyle name="Normal 4 2 5 4 3 3" xfId="3600" xr:uid="{00000000-0005-0000-0000-0000381A0000}"/>
    <cellStyle name="Normal 4 2 5 4 3 3 2" xfId="6828" xr:uid="{00000000-0005-0000-0000-0000391A0000}"/>
    <cellStyle name="Normal 4 2 5 4 3 3 2 2" xfId="13189" xr:uid="{00000000-0005-0000-0000-00003A1A0000}"/>
    <cellStyle name="Normal 4 2 5 4 3 3 3" xfId="10010" xr:uid="{00000000-0005-0000-0000-00003B1A0000}"/>
    <cellStyle name="Normal 4 2 5 4 3 4" xfId="5244" xr:uid="{00000000-0005-0000-0000-00003C1A0000}"/>
    <cellStyle name="Normal 4 2 5 4 3 4 2" xfId="11605" xr:uid="{00000000-0005-0000-0000-00003D1A0000}"/>
    <cellStyle name="Normal 4 2 5 4 3 5" xfId="8426" xr:uid="{00000000-0005-0000-0000-00003E1A0000}"/>
    <cellStyle name="Normal 4 2 5 4 4" xfId="2412" xr:uid="{00000000-0005-0000-0000-00003F1A0000}"/>
    <cellStyle name="Normal 4 2 5 4 4 2" xfId="3996" xr:uid="{00000000-0005-0000-0000-0000401A0000}"/>
    <cellStyle name="Normal 4 2 5 4 4 2 2" xfId="7224" xr:uid="{00000000-0005-0000-0000-0000411A0000}"/>
    <cellStyle name="Normal 4 2 5 4 4 2 2 2" xfId="13585" xr:uid="{00000000-0005-0000-0000-0000421A0000}"/>
    <cellStyle name="Normal 4 2 5 4 4 2 3" xfId="10406" xr:uid="{00000000-0005-0000-0000-0000431A0000}"/>
    <cellStyle name="Normal 4 2 5 4 4 3" xfId="5640" xr:uid="{00000000-0005-0000-0000-0000441A0000}"/>
    <cellStyle name="Normal 4 2 5 4 4 3 2" xfId="12001" xr:uid="{00000000-0005-0000-0000-0000451A0000}"/>
    <cellStyle name="Normal 4 2 5 4 4 4" xfId="8822" xr:uid="{00000000-0005-0000-0000-0000461A0000}"/>
    <cellStyle name="Normal 4 2 5 4 5" xfId="3204" xr:uid="{00000000-0005-0000-0000-0000471A0000}"/>
    <cellStyle name="Normal 4 2 5 4 5 2" xfId="6432" xr:uid="{00000000-0005-0000-0000-0000481A0000}"/>
    <cellStyle name="Normal 4 2 5 4 5 2 2" xfId="12793" xr:uid="{00000000-0005-0000-0000-0000491A0000}"/>
    <cellStyle name="Normal 4 2 5 4 5 3" xfId="9614" xr:uid="{00000000-0005-0000-0000-00004A1A0000}"/>
    <cellStyle name="Normal 4 2 5 4 6" xfId="4848" xr:uid="{00000000-0005-0000-0000-00004B1A0000}"/>
    <cellStyle name="Normal 4 2 5 4 6 2" xfId="11209" xr:uid="{00000000-0005-0000-0000-00004C1A0000}"/>
    <cellStyle name="Normal 4 2 5 4 7" xfId="8030" xr:uid="{00000000-0005-0000-0000-00004D1A0000}"/>
    <cellStyle name="Normal 4 2 5 5" xfId="1685" xr:uid="{00000000-0005-0000-0000-00004E1A0000}"/>
    <cellStyle name="Normal 4 2 5 5 2" xfId="2081" xr:uid="{00000000-0005-0000-0000-00004F1A0000}"/>
    <cellStyle name="Normal 4 2 5 5 2 2" xfId="2873" xr:uid="{00000000-0005-0000-0000-0000501A0000}"/>
    <cellStyle name="Normal 4 2 5 5 2 2 2" xfId="4457" xr:uid="{00000000-0005-0000-0000-0000511A0000}"/>
    <cellStyle name="Normal 4 2 5 5 2 2 2 2" xfId="7685" xr:uid="{00000000-0005-0000-0000-0000521A0000}"/>
    <cellStyle name="Normal 4 2 5 5 2 2 2 2 2" xfId="14046" xr:uid="{00000000-0005-0000-0000-0000531A0000}"/>
    <cellStyle name="Normal 4 2 5 5 2 2 2 3" xfId="10867" xr:uid="{00000000-0005-0000-0000-0000541A0000}"/>
    <cellStyle name="Normal 4 2 5 5 2 2 3" xfId="6101" xr:uid="{00000000-0005-0000-0000-0000551A0000}"/>
    <cellStyle name="Normal 4 2 5 5 2 2 3 2" xfId="12462" xr:uid="{00000000-0005-0000-0000-0000561A0000}"/>
    <cellStyle name="Normal 4 2 5 5 2 2 4" xfId="9283" xr:uid="{00000000-0005-0000-0000-0000571A0000}"/>
    <cellStyle name="Normal 4 2 5 5 2 3" xfId="3665" xr:uid="{00000000-0005-0000-0000-0000581A0000}"/>
    <cellStyle name="Normal 4 2 5 5 2 3 2" xfId="6893" xr:uid="{00000000-0005-0000-0000-0000591A0000}"/>
    <cellStyle name="Normal 4 2 5 5 2 3 2 2" xfId="13254" xr:uid="{00000000-0005-0000-0000-00005A1A0000}"/>
    <cellStyle name="Normal 4 2 5 5 2 3 3" xfId="10075" xr:uid="{00000000-0005-0000-0000-00005B1A0000}"/>
    <cellStyle name="Normal 4 2 5 5 2 4" xfId="5309" xr:uid="{00000000-0005-0000-0000-00005C1A0000}"/>
    <cellStyle name="Normal 4 2 5 5 2 4 2" xfId="11670" xr:uid="{00000000-0005-0000-0000-00005D1A0000}"/>
    <cellStyle name="Normal 4 2 5 5 2 5" xfId="8491" xr:uid="{00000000-0005-0000-0000-00005E1A0000}"/>
    <cellStyle name="Normal 4 2 5 5 3" xfId="2477" xr:uid="{00000000-0005-0000-0000-00005F1A0000}"/>
    <cellStyle name="Normal 4 2 5 5 3 2" xfId="4061" xr:uid="{00000000-0005-0000-0000-0000601A0000}"/>
    <cellStyle name="Normal 4 2 5 5 3 2 2" xfId="7289" xr:uid="{00000000-0005-0000-0000-0000611A0000}"/>
    <cellStyle name="Normal 4 2 5 5 3 2 2 2" xfId="13650" xr:uid="{00000000-0005-0000-0000-0000621A0000}"/>
    <cellStyle name="Normal 4 2 5 5 3 2 3" xfId="10471" xr:uid="{00000000-0005-0000-0000-0000631A0000}"/>
    <cellStyle name="Normal 4 2 5 5 3 3" xfId="5705" xr:uid="{00000000-0005-0000-0000-0000641A0000}"/>
    <cellStyle name="Normal 4 2 5 5 3 3 2" xfId="12066" xr:uid="{00000000-0005-0000-0000-0000651A0000}"/>
    <cellStyle name="Normal 4 2 5 5 3 4" xfId="8887" xr:uid="{00000000-0005-0000-0000-0000661A0000}"/>
    <cellStyle name="Normal 4 2 5 5 4" xfId="3269" xr:uid="{00000000-0005-0000-0000-0000671A0000}"/>
    <cellStyle name="Normal 4 2 5 5 4 2" xfId="6497" xr:uid="{00000000-0005-0000-0000-0000681A0000}"/>
    <cellStyle name="Normal 4 2 5 5 4 2 2" xfId="12858" xr:uid="{00000000-0005-0000-0000-0000691A0000}"/>
    <cellStyle name="Normal 4 2 5 5 4 3" xfId="9679" xr:uid="{00000000-0005-0000-0000-00006A1A0000}"/>
    <cellStyle name="Normal 4 2 5 5 5" xfId="4913" xr:uid="{00000000-0005-0000-0000-00006B1A0000}"/>
    <cellStyle name="Normal 4 2 5 5 5 2" xfId="11274" xr:uid="{00000000-0005-0000-0000-00006C1A0000}"/>
    <cellStyle name="Normal 4 2 5 5 6" xfId="8095" xr:uid="{00000000-0005-0000-0000-00006D1A0000}"/>
    <cellStyle name="Normal 4 2 5 6" xfId="1883" xr:uid="{00000000-0005-0000-0000-00006E1A0000}"/>
    <cellStyle name="Normal 4 2 5 6 2" xfId="2675" xr:uid="{00000000-0005-0000-0000-00006F1A0000}"/>
    <cellStyle name="Normal 4 2 5 6 2 2" xfId="4259" xr:uid="{00000000-0005-0000-0000-0000701A0000}"/>
    <cellStyle name="Normal 4 2 5 6 2 2 2" xfId="7487" xr:uid="{00000000-0005-0000-0000-0000711A0000}"/>
    <cellStyle name="Normal 4 2 5 6 2 2 2 2" xfId="13848" xr:uid="{00000000-0005-0000-0000-0000721A0000}"/>
    <cellStyle name="Normal 4 2 5 6 2 2 3" xfId="10669" xr:uid="{00000000-0005-0000-0000-0000731A0000}"/>
    <cellStyle name="Normal 4 2 5 6 2 3" xfId="5903" xr:uid="{00000000-0005-0000-0000-0000741A0000}"/>
    <cellStyle name="Normal 4 2 5 6 2 3 2" xfId="12264" xr:uid="{00000000-0005-0000-0000-0000751A0000}"/>
    <cellStyle name="Normal 4 2 5 6 2 4" xfId="9085" xr:uid="{00000000-0005-0000-0000-0000761A0000}"/>
    <cellStyle name="Normal 4 2 5 6 3" xfId="3467" xr:uid="{00000000-0005-0000-0000-0000771A0000}"/>
    <cellStyle name="Normal 4 2 5 6 3 2" xfId="6695" xr:uid="{00000000-0005-0000-0000-0000781A0000}"/>
    <cellStyle name="Normal 4 2 5 6 3 2 2" xfId="13056" xr:uid="{00000000-0005-0000-0000-0000791A0000}"/>
    <cellStyle name="Normal 4 2 5 6 3 3" xfId="9877" xr:uid="{00000000-0005-0000-0000-00007A1A0000}"/>
    <cellStyle name="Normal 4 2 5 6 4" xfId="5111" xr:uid="{00000000-0005-0000-0000-00007B1A0000}"/>
    <cellStyle name="Normal 4 2 5 6 4 2" xfId="11472" xr:uid="{00000000-0005-0000-0000-00007C1A0000}"/>
    <cellStyle name="Normal 4 2 5 6 5" xfId="8293" xr:uid="{00000000-0005-0000-0000-00007D1A0000}"/>
    <cellStyle name="Normal 4 2 5 7" xfId="2279" xr:uid="{00000000-0005-0000-0000-00007E1A0000}"/>
    <cellStyle name="Normal 4 2 5 7 2" xfId="3863" xr:uid="{00000000-0005-0000-0000-00007F1A0000}"/>
    <cellStyle name="Normal 4 2 5 7 2 2" xfId="7091" xr:uid="{00000000-0005-0000-0000-0000801A0000}"/>
    <cellStyle name="Normal 4 2 5 7 2 2 2" xfId="13452" xr:uid="{00000000-0005-0000-0000-0000811A0000}"/>
    <cellStyle name="Normal 4 2 5 7 2 3" xfId="10273" xr:uid="{00000000-0005-0000-0000-0000821A0000}"/>
    <cellStyle name="Normal 4 2 5 7 3" xfId="5507" xr:uid="{00000000-0005-0000-0000-0000831A0000}"/>
    <cellStyle name="Normal 4 2 5 7 3 2" xfId="11868" xr:uid="{00000000-0005-0000-0000-0000841A0000}"/>
    <cellStyle name="Normal 4 2 5 7 4" xfId="8689" xr:uid="{00000000-0005-0000-0000-0000851A0000}"/>
    <cellStyle name="Normal 4 2 5 8" xfId="3071" xr:uid="{00000000-0005-0000-0000-0000861A0000}"/>
    <cellStyle name="Normal 4 2 5 8 2" xfId="6299" xr:uid="{00000000-0005-0000-0000-0000871A0000}"/>
    <cellStyle name="Normal 4 2 5 8 2 2" xfId="12660" xr:uid="{00000000-0005-0000-0000-0000881A0000}"/>
    <cellStyle name="Normal 4 2 5 8 3" xfId="9481" xr:uid="{00000000-0005-0000-0000-0000891A0000}"/>
    <cellStyle name="Normal 4 2 5 9" xfId="4715" xr:uid="{00000000-0005-0000-0000-00008A1A0000}"/>
    <cellStyle name="Normal 4 2 5 9 2" xfId="11076" xr:uid="{00000000-0005-0000-0000-00008B1A0000}"/>
    <cellStyle name="Normal 4 2 6" xfId="1456" xr:uid="{00000000-0005-0000-0000-00008C1A0000}"/>
    <cellStyle name="Normal 4 2 6 2" xfId="1568" xr:uid="{00000000-0005-0000-0000-00008D1A0000}"/>
    <cellStyle name="Normal 4 2 6 2 2" xfId="1766" xr:uid="{00000000-0005-0000-0000-00008E1A0000}"/>
    <cellStyle name="Normal 4 2 6 2 2 2" xfId="2162" xr:uid="{00000000-0005-0000-0000-00008F1A0000}"/>
    <cellStyle name="Normal 4 2 6 2 2 2 2" xfId="2954" xr:uid="{00000000-0005-0000-0000-0000901A0000}"/>
    <cellStyle name="Normal 4 2 6 2 2 2 2 2" xfId="4538" xr:uid="{00000000-0005-0000-0000-0000911A0000}"/>
    <cellStyle name="Normal 4 2 6 2 2 2 2 2 2" xfId="7766" xr:uid="{00000000-0005-0000-0000-0000921A0000}"/>
    <cellStyle name="Normal 4 2 6 2 2 2 2 2 2 2" xfId="14127" xr:uid="{00000000-0005-0000-0000-0000931A0000}"/>
    <cellStyle name="Normal 4 2 6 2 2 2 2 2 3" xfId="10948" xr:uid="{00000000-0005-0000-0000-0000941A0000}"/>
    <cellStyle name="Normal 4 2 6 2 2 2 2 3" xfId="6182" xr:uid="{00000000-0005-0000-0000-0000951A0000}"/>
    <cellStyle name="Normal 4 2 6 2 2 2 2 3 2" xfId="12543" xr:uid="{00000000-0005-0000-0000-0000961A0000}"/>
    <cellStyle name="Normal 4 2 6 2 2 2 2 4" xfId="9364" xr:uid="{00000000-0005-0000-0000-0000971A0000}"/>
    <cellStyle name="Normal 4 2 6 2 2 2 3" xfId="3746" xr:uid="{00000000-0005-0000-0000-0000981A0000}"/>
    <cellStyle name="Normal 4 2 6 2 2 2 3 2" xfId="6974" xr:uid="{00000000-0005-0000-0000-0000991A0000}"/>
    <cellStyle name="Normal 4 2 6 2 2 2 3 2 2" xfId="13335" xr:uid="{00000000-0005-0000-0000-00009A1A0000}"/>
    <cellStyle name="Normal 4 2 6 2 2 2 3 3" xfId="10156" xr:uid="{00000000-0005-0000-0000-00009B1A0000}"/>
    <cellStyle name="Normal 4 2 6 2 2 2 4" xfId="5390" xr:uid="{00000000-0005-0000-0000-00009C1A0000}"/>
    <cellStyle name="Normal 4 2 6 2 2 2 4 2" xfId="11751" xr:uid="{00000000-0005-0000-0000-00009D1A0000}"/>
    <cellStyle name="Normal 4 2 6 2 2 2 5" xfId="8572" xr:uid="{00000000-0005-0000-0000-00009E1A0000}"/>
    <cellStyle name="Normal 4 2 6 2 2 3" xfId="2558" xr:uid="{00000000-0005-0000-0000-00009F1A0000}"/>
    <cellStyle name="Normal 4 2 6 2 2 3 2" xfId="4142" xr:uid="{00000000-0005-0000-0000-0000A01A0000}"/>
    <cellStyle name="Normal 4 2 6 2 2 3 2 2" xfId="7370" xr:uid="{00000000-0005-0000-0000-0000A11A0000}"/>
    <cellStyle name="Normal 4 2 6 2 2 3 2 2 2" xfId="13731" xr:uid="{00000000-0005-0000-0000-0000A21A0000}"/>
    <cellStyle name="Normal 4 2 6 2 2 3 2 3" xfId="10552" xr:uid="{00000000-0005-0000-0000-0000A31A0000}"/>
    <cellStyle name="Normal 4 2 6 2 2 3 3" xfId="5786" xr:uid="{00000000-0005-0000-0000-0000A41A0000}"/>
    <cellStyle name="Normal 4 2 6 2 2 3 3 2" xfId="12147" xr:uid="{00000000-0005-0000-0000-0000A51A0000}"/>
    <cellStyle name="Normal 4 2 6 2 2 3 4" xfId="8968" xr:uid="{00000000-0005-0000-0000-0000A61A0000}"/>
    <cellStyle name="Normal 4 2 6 2 2 4" xfId="3350" xr:uid="{00000000-0005-0000-0000-0000A71A0000}"/>
    <cellStyle name="Normal 4 2 6 2 2 4 2" xfId="6578" xr:uid="{00000000-0005-0000-0000-0000A81A0000}"/>
    <cellStyle name="Normal 4 2 6 2 2 4 2 2" xfId="12939" xr:uid="{00000000-0005-0000-0000-0000A91A0000}"/>
    <cellStyle name="Normal 4 2 6 2 2 4 3" xfId="9760" xr:uid="{00000000-0005-0000-0000-0000AA1A0000}"/>
    <cellStyle name="Normal 4 2 6 2 2 5" xfId="4994" xr:uid="{00000000-0005-0000-0000-0000AB1A0000}"/>
    <cellStyle name="Normal 4 2 6 2 2 5 2" xfId="11355" xr:uid="{00000000-0005-0000-0000-0000AC1A0000}"/>
    <cellStyle name="Normal 4 2 6 2 2 6" xfId="8176" xr:uid="{00000000-0005-0000-0000-0000AD1A0000}"/>
    <cellStyle name="Normal 4 2 6 2 3" xfId="1964" xr:uid="{00000000-0005-0000-0000-0000AE1A0000}"/>
    <cellStyle name="Normal 4 2 6 2 3 2" xfId="2756" xr:uid="{00000000-0005-0000-0000-0000AF1A0000}"/>
    <cellStyle name="Normal 4 2 6 2 3 2 2" xfId="4340" xr:uid="{00000000-0005-0000-0000-0000B01A0000}"/>
    <cellStyle name="Normal 4 2 6 2 3 2 2 2" xfId="7568" xr:uid="{00000000-0005-0000-0000-0000B11A0000}"/>
    <cellStyle name="Normal 4 2 6 2 3 2 2 2 2" xfId="13929" xr:uid="{00000000-0005-0000-0000-0000B21A0000}"/>
    <cellStyle name="Normal 4 2 6 2 3 2 2 3" xfId="10750" xr:uid="{00000000-0005-0000-0000-0000B31A0000}"/>
    <cellStyle name="Normal 4 2 6 2 3 2 3" xfId="5984" xr:uid="{00000000-0005-0000-0000-0000B41A0000}"/>
    <cellStyle name="Normal 4 2 6 2 3 2 3 2" xfId="12345" xr:uid="{00000000-0005-0000-0000-0000B51A0000}"/>
    <cellStyle name="Normal 4 2 6 2 3 2 4" xfId="9166" xr:uid="{00000000-0005-0000-0000-0000B61A0000}"/>
    <cellStyle name="Normal 4 2 6 2 3 3" xfId="3548" xr:uid="{00000000-0005-0000-0000-0000B71A0000}"/>
    <cellStyle name="Normal 4 2 6 2 3 3 2" xfId="6776" xr:uid="{00000000-0005-0000-0000-0000B81A0000}"/>
    <cellStyle name="Normal 4 2 6 2 3 3 2 2" xfId="13137" xr:uid="{00000000-0005-0000-0000-0000B91A0000}"/>
    <cellStyle name="Normal 4 2 6 2 3 3 3" xfId="9958" xr:uid="{00000000-0005-0000-0000-0000BA1A0000}"/>
    <cellStyle name="Normal 4 2 6 2 3 4" xfId="5192" xr:uid="{00000000-0005-0000-0000-0000BB1A0000}"/>
    <cellStyle name="Normal 4 2 6 2 3 4 2" xfId="11553" xr:uid="{00000000-0005-0000-0000-0000BC1A0000}"/>
    <cellStyle name="Normal 4 2 6 2 3 5" xfId="8374" xr:uid="{00000000-0005-0000-0000-0000BD1A0000}"/>
    <cellStyle name="Normal 4 2 6 2 4" xfId="2360" xr:uid="{00000000-0005-0000-0000-0000BE1A0000}"/>
    <cellStyle name="Normal 4 2 6 2 4 2" xfId="3944" xr:uid="{00000000-0005-0000-0000-0000BF1A0000}"/>
    <cellStyle name="Normal 4 2 6 2 4 2 2" xfId="7172" xr:uid="{00000000-0005-0000-0000-0000C01A0000}"/>
    <cellStyle name="Normal 4 2 6 2 4 2 2 2" xfId="13533" xr:uid="{00000000-0005-0000-0000-0000C11A0000}"/>
    <cellStyle name="Normal 4 2 6 2 4 2 3" xfId="10354" xr:uid="{00000000-0005-0000-0000-0000C21A0000}"/>
    <cellStyle name="Normal 4 2 6 2 4 3" xfId="5588" xr:uid="{00000000-0005-0000-0000-0000C31A0000}"/>
    <cellStyle name="Normal 4 2 6 2 4 3 2" xfId="11949" xr:uid="{00000000-0005-0000-0000-0000C41A0000}"/>
    <cellStyle name="Normal 4 2 6 2 4 4" xfId="8770" xr:uid="{00000000-0005-0000-0000-0000C51A0000}"/>
    <cellStyle name="Normal 4 2 6 2 5" xfId="3152" xr:uid="{00000000-0005-0000-0000-0000C61A0000}"/>
    <cellStyle name="Normal 4 2 6 2 5 2" xfId="6380" xr:uid="{00000000-0005-0000-0000-0000C71A0000}"/>
    <cellStyle name="Normal 4 2 6 2 5 2 2" xfId="12741" xr:uid="{00000000-0005-0000-0000-0000C81A0000}"/>
    <cellStyle name="Normal 4 2 6 2 5 3" xfId="9562" xr:uid="{00000000-0005-0000-0000-0000C91A0000}"/>
    <cellStyle name="Normal 4 2 6 2 6" xfId="4796" xr:uid="{00000000-0005-0000-0000-0000CA1A0000}"/>
    <cellStyle name="Normal 4 2 6 2 6 2" xfId="11157" xr:uid="{00000000-0005-0000-0000-0000CB1A0000}"/>
    <cellStyle name="Normal 4 2 6 2 7" xfId="7978" xr:uid="{00000000-0005-0000-0000-0000CC1A0000}"/>
    <cellStyle name="Normal 4 2 6 3" xfId="1636" xr:uid="{00000000-0005-0000-0000-0000CD1A0000}"/>
    <cellStyle name="Normal 4 2 6 3 2" xfId="1834" xr:uid="{00000000-0005-0000-0000-0000CE1A0000}"/>
    <cellStyle name="Normal 4 2 6 3 2 2" xfId="2230" xr:uid="{00000000-0005-0000-0000-0000CF1A0000}"/>
    <cellStyle name="Normal 4 2 6 3 2 2 2" xfId="3022" xr:uid="{00000000-0005-0000-0000-0000D01A0000}"/>
    <cellStyle name="Normal 4 2 6 3 2 2 2 2" xfId="4606" xr:uid="{00000000-0005-0000-0000-0000D11A0000}"/>
    <cellStyle name="Normal 4 2 6 3 2 2 2 2 2" xfId="7834" xr:uid="{00000000-0005-0000-0000-0000D21A0000}"/>
    <cellStyle name="Normal 4 2 6 3 2 2 2 2 2 2" xfId="14195" xr:uid="{00000000-0005-0000-0000-0000D31A0000}"/>
    <cellStyle name="Normal 4 2 6 3 2 2 2 2 3" xfId="11016" xr:uid="{00000000-0005-0000-0000-0000D41A0000}"/>
    <cellStyle name="Normal 4 2 6 3 2 2 2 3" xfId="6250" xr:uid="{00000000-0005-0000-0000-0000D51A0000}"/>
    <cellStyle name="Normal 4 2 6 3 2 2 2 3 2" xfId="12611" xr:uid="{00000000-0005-0000-0000-0000D61A0000}"/>
    <cellStyle name="Normal 4 2 6 3 2 2 2 4" xfId="9432" xr:uid="{00000000-0005-0000-0000-0000D71A0000}"/>
    <cellStyle name="Normal 4 2 6 3 2 2 3" xfId="3814" xr:uid="{00000000-0005-0000-0000-0000D81A0000}"/>
    <cellStyle name="Normal 4 2 6 3 2 2 3 2" xfId="7042" xr:uid="{00000000-0005-0000-0000-0000D91A0000}"/>
    <cellStyle name="Normal 4 2 6 3 2 2 3 2 2" xfId="13403" xr:uid="{00000000-0005-0000-0000-0000DA1A0000}"/>
    <cellStyle name="Normal 4 2 6 3 2 2 3 3" xfId="10224" xr:uid="{00000000-0005-0000-0000-0000DB1A0000}"/>
    <cellStyle name="Normal 4 2 6 3 2 2 4" xfId="5458" xr:uid="{00000000-0005-0000-0000-0000DC1A0000}"/>
    <cellStyle name="Normal 4 2 6 3 2 2 4 2" xfId="11819" xr:uid="{00000000-0005-0000-0000-0000DD1A0000}"/>
    <cellStyle name="Normal 4 2 6 3 2 2 5" xfId="8640" xr:uid="{00000000-0005-0000-0000-0000DE1A0000}"/>
    <cellStyle name="Normal 4 2 6 3 2 3" xfId="2626" xr:uid="{00000000-0005-0000-0000-0000DF1A0000}"/>
    <cellStyle name="Normal 4 2 6 3 2 3 2" xfId="4210" xr:uid="{00000000-0005-0000-0000-0000E01A0000}"/>
    <cellStyle name="Normal 4 2 6 3 2 3 2 2" xfId="7438" xr:uid="{00000000-0005-0000-0000-0000E11A0000}"/>
    <cellStyle name="Normal 4 2 6 3 2 3 2 2 2" xfId="13799" xr:uid="{00000000-0005-0000-0000-0000E21A0000}"/>
    <cellStyle name="Normal 4 2 6 3 2 3 2 3" xfId="10620" xr:uid="{00000000-0005-0000-0000-0000E31A0000}"/>
    <cellStyle name="Normal 4 2 6 3 2 3 3" xfId="5854" xr:uid="{00000000-0005-0000-0000-0000E41A0000}"/>
    <cellStyle name="Normal 4 2 6 3 2 3 3 2" xfId="12215" xr:uid="{00000000-0005-0000-0000-0000E51A0000}"/>
    <cellStyle name="Normal 4 2 6 3 2 3 4" xfId="9036" xr:uid="{00000000-0005-0000-0000-0000E61A0000}"/>
    <cellStyle name="Normal 4 2 6 3 2 4" xfId="3418" xr:uid="{00000000-0005-0000-0000-0000E71A0000}"/>
    <cellStyle name="Normal 4 2 6 3 2 4 2" xfId="6646" xr:uid="{00000000-0005-0000-0000-0000E81A0000}"/>
    <cellStyle name="Normal 4 2 6 3 2 4 2 2" xfId="13007" xr:uid="{00000000-0005-0000-0000-0000E91A0000}"/>
    <cellStyle name="Normal 4 2 6 3 2 4 3" xfId="9828" xr:uid="{00000000-0005-0000-0000-0000EA1A0000}"/>
    <cellStyle name="Normal 4 2 6 3 2 5" xfId="5062" xr:uid="{00000000-0005-0000-0000-0000EB1A0000}"/>
    <cellStyle name="Normal 4 2 6 3 2 5 2" xfId="11423" xr:uid="{00000000-0005-0000-0000-0000EC1A0000}"/>
    <cellStyle name="Normal 4 2 6 3 2 6" xfId="8244" xr:uid="{00000000-0005-0000-0000-0000ED1A0000}"/>
    <cellStyle name="Normal 4 2 6 3 3" xfId="2032" xr:uid="{00000000-0005-0000-0000-0000EE1A0000}"/>
    <cellStyle name="Normal 4 2 6 3 3 2" xfId="2824" xr:uid="{00000000-0005-0000-0000-0000EF1A0000}"/>
    <cellStyle name="Normal 4 2 6 3 3 2 2" xfId="4408" xr:uid="{00000000-0005-0000-0000-0000F01A0000}"/>
    <cellStyle name="Normal 4 2 6 3 3 2 2 2" xfId="7636" xr:uid="{00000000-0005-0000-0000-0000F11A0000}"/>
    <cellStyle name="Normal 4 2 6 3 3 2 2 2 2" xfId="13997" xr:uid="{00000000-0005-0000-0000-0000F21A0000}"/>
    <cellStyle name="Normal 4 2 6 3 3 2 2 3" xfId="10818" xr:uid="{00000000-0005-0000-0000-0000F31A0000}"/>
    <cellStyle name="Normal 4 2 6 3 3 2 3" xfId="6052" xr:uid="{00000000-0005-0000-0000-0000F41A0000}"/>
    <cellStyle name="Normal 4 2 6 3 3 2 3 2" xfId="12413" xr:uid="{00000000-0005-0000-0000-0000F51A0000}"/>
    <cellStyle name="Normal 4 2 6 3 3 2 4" xfId="9234" xr:uid="{00000000-0005-0000-0000-0000F61A0000}"/>
    <cellStyle name="Normal 4 2 6 3 3 3" xfId="3616" xr:uid="{00000000-0005-0000-0000-0000F71A0000}"/>
    <cellStyle name="Normal 4 2 6 3 3 3 2" xfId="6844" xr:uid="{00000000-0005-0000-0000-0000F81A0000}"/>
    <cellStyle name="Normal 4 2 6 3 3 3 2 2" xfId="13205" xr:uid="{00000000-0005-0000-0000-0000F91A0000}"/>
    <cellStyle name="Normal 4 2 6 3 3 3 3" xfId="10026" xr:uid="{00000000-0005-0000-0000-0000FA1A0000}"/>
    <cellStyle name="Normal 4 2 6 3 3 4" xfId="5260" xr:uid="{00000000-0005-0000-0000-0000FB1A0000}"/>
    <cellStyle name="Normal 4 2 6 3 3 4 2" xfId="11621" xr:uid="{00000000-0005-0000-0000-0000FC1A0000}"/>
    <cellStyle name="Normal 4 2 6 3 3 5" xfId="8442" xr:uid="{00000000-0005-0000-0000-0000FD1A0000}"/>
    <cellStyle name="Normal 4 2 6 3 4" xfId="2428" xr:uid="{00000000-0005-0000-0000-0000FE1A0000}"/>
    <cellStyle name="Normal 4 2 6 3 4 2" xfId="4012" xr:uid="{00000000-0005-0000-0000-0000FF1A0000}"/>
    <cellStyle name="Normal 4 2 6 3 4 2 2" xfId="7240" xr:uid="{00000000-0005-0000-0000-0000001B0000}"/>
    <cellStyle name="Normal 4 2 6 3 4 2 2 2" xfId="13601" xr:uid="{00000000-0005-0000-0000-0000011B0000}"/>
    <cellStyle name="Normal 4 2 6 3 4 2 3" xfId="10422" xr:uid="{00000000-0005-0000-0000-0000021B0000}"/>
    <cellStyle name="Normal 4 2 6 3 4 3" xfId="5656" xr:uid="{00000000-0005-0000-0000-0000031B0000}"/>
    <cellStyle name="Normal 4 2 6 3 4 3 2" xfId="12017" xr:uid="{00000000-0005-0000-0000-0000041B0000}"/>
    <cellStyle name="Normal 4 2 6 3 4 4" xfId="8838" xr:uid="{00000000-0005-0000-0000-0000051B0000}"/>
    <cellStyle name="Normal 4 2 6 3 5" xfId="3220" xr:uid="{00000000-0005-0000-0000-0000061B0000}"/>
    <cellStyle name="Normal 4 2 6 3 5 2" xfId="6448" xr:uid="{00000000-0005-0000-0000-0000071B0000}"/>
    <cellStyle name="Normal 4 2 6 3 5 2 2" xfId="12809" xr:uid="{00000000-0005-0000-0000-0000081B0000}"/>
    <cellStyle name="Normal 4 2 6 3 5 3" xfId="9630" xr:uid="{00000000-0005-0000-0000-0000091B0000}"/>
    <cellStyle name="Normal 4 2 6 3 6" xfId="4864" xr:uid="{00000000-0005-0000-0000-00000A1B0000}"/>
    <cellStyle name="Normal 4 2 6 3 6 2" xfId="11225" xr:uid="{00000000-0005-0000-0000-00000B1B0000}"/>
    <cellStyle name="Normal 4 2 6 3 7" xfId="8046" xr:uid="{00000000-0005-0000-0000-00000C1B0000}"/>
    <cellStyle name="Normal 4 2 6 4" xfId="1701" xr:uid="{00000000-0005-0000-0000-00000D1B0000}"/>
    <cellStyle name="Normal 4 2 6 4 2" xfId="2097" xr:uid="{00000000-0005-0000-0000-00000E1B0000}"/>
    <cellStyle name="Normal 4 2 6 4 2 2" xfId="2889" xr:uid="{00000000-0005-0000-0000-00000F1B0000}"/>
    <cellStyle name="Normal 4 2 6 4 2 2 2" xfId="4473" xr:uid="{00000000-0005-0000-0000-0000101B0000}"/>
    <cellStyle name="Normal 4 2 6 4 2 2 2 2" xfId="7701" xr:uid="{00000000-0005-0000-0000-0000111B0000}"/>
    <cellStyle name="Normal 4 2 6 4 2 2 2 2 2" xfId="14062" xr:uid="{00000000-0005-0000-0000-0000121B0000}"/>
    <cellStyle name="Normal 4 2 6 4 2 2 2 3" xfId="10883" xr:uid="{00000000-0005-0000-0000-0000131B0000}"/>
    <cellStyle name="Normal 4 2 6 4 2 2 3" xfId="6117" xr:uid="{00000000-0005-0000-0000-0000141B0000}"/>
    <cellStyle name="Normal 4 2 6 4 2 2 3 2" xfId="12478" xr:uid="{00000000-0005-0000-0000-0000151B0000}"/>
    <cellStyle name="Normal 4 2 6 4 2 2 4" xfId="9299" xr:uid="{00000000-0005-0000-0000-0000161B0000}"/>
    <cellStyle name="Normal 4 2 6 4 2 3" xfId="3681" xr:uid="{00000000-0005-0000-0000-0000171B0000}"/>
    <cellStyle name="Normal 4 2 6 4 2 3 2" xfId="6909" xr:uid="{00000000-0005-0000-0000-0000181B0000}"/>
    <cellStyle name="Normal 4 2 6 4 2 3 2 2" xfId="13270" xr:uid="{00000000-0005-0000-0000-0000191B0000}"/>
    <cellStyle name="Normal 4 2 6 4 2 3 3" xfId="10091" xr:uid="{00000000-0005-0000-0000-00001A1B0000}"/>
    <cellStyle name="Normal 4 2 6 4 2 4" xfId="5325" xr:uid="{00000000-0005-0000-0000-00001B1B0000}"/>
    <cellStyle name="Normal 4 2 6 4 2 4 2" xfId="11686" xr:uid="{00000000-0005-0000-0000-00001C1B0000}"/>
    <cellStyle name="Normal 4 2 6 4 2 5" xfId="8507" xr:uid="{00000000-0005-0000-0000-00001D1B0000}"/>
    <cellStyle name="Normal 4 2 6 4 3" xfId="2493" xr:uid="{00000000-0005-0000-0000-00001E1B0000}"/>
    <cellStyle name="Normal 4 2 6 4 3 2" xfId="4077" xr:uid="{00000000-0005-0000-0000-00001F1B0000}"/>
    <cellStyle name="Normal 4 2 6 4 3 2 2" xfId="7305" xr:uid="{00000000-0005-0000-0000-0000201B0000}"/>
    <cellStyle name="Normal 4 2 6 4 3 2 2 2" xfId="13666" xr:uid="{00000000-0005-0000-0000-0000211B0000}"/>
    <cellStyle name="Normal 4 2 6 4 3 2 3" xfId="10487" xr:uid="{00000000-0005-0000-0000-0000221B0000}"/>
    <cellStyle name="Normal 4 2 6 4 3 3" xfId="5721" xr:uid="{00000000-0005-0000-0000-0000231B0000}"/>
    <cellStyle name="Normal 4 2 6 4 3 3 2" xfId="12082" xr:uid="{00000000-0005-0000-0000-0000241B0000}"/>
    <cellStyle name="Normal 4 2 6 4 3 4" xfId="8903" xr:uid="{00000000-0005-0000-0000-0000251B0000}"/>
    <cellStyle name="Normal 4 2 6 4 4" xfId="3285" xr:uid="{00000000-0005-0000-0000-0000261B0000}"/>
    <cellStyle name="Normal 4 2 6 4 4 2" xfId="6513" xr:uid="{00000000-0005-0000-0000-0000271B0000}"/>
    <cellStyle name="Normal 4 2 6 4 4 2 2" xfId="12874" xr:uid="{00000000-0005-0000-0000-0000281B0000}"/>
    <cellStyle name="Normal 4 2 6 4 4 3" xfId="9695" xr:uid="{00000000-0005-0000-0000-0000291B0000}"/>
    <cellStyle name="Normal 4 2 6 4 5" xfId="4929" xr:uid="{00000000-0005-0000-0000-00002A1B0000}"/>
    <cellStyle name="Normal 4 2 6 4 5 2" xfId="11290" xr:uid="{00000000-0005-0000-0000-00002B1B0000}"/>
    <cellStyle name="Normal 4 2 6 4 6" xfId="8111" xr:uid="{00000000-0005-0000-0000-00002C1B0000}"/>
    <cellStyle name="Normal 4 2 6 5" xfId="1899" xr:uid="{00000000-0005-0000-0000-00002D1B0000}"/>
    <cellStyle name="Normal 4 2 6 5 2" xfId="2691" xr:uid="{00000000-0005-0000-0000-00002E1B0000}"/>
    <cellStyle name="Normal 4 2 6 5 2 2" xfId="4275" xr:uid="{00000000-0005-0000-0000-00002F1B0000}"/>
    <cellStyle name="Normal 4 2 6 5 2 2 2" xfId="7503" xr:uid="{00000000-0005-0000-0000-0000301B0000}"/>
    <cellStyle name="Normal 4 2 6 5 2 2 2 2" xfId="13864" xr:uid="{00000000-0005-0000-0000-0000311B0000}"/>
    <cellStyle name="Normal 4 2 6 5 2 2 3" xfId="10685" xr:uid="{00000000-0005-0000-0000-0000321B0000}"/>
    <cellStyle name="Normal 4 2 6 5 2 3" xfId="5919" xr:uid="{00000000-0005-0000-0000-0000331B0000}"/>
    <cellStyle name="Normal 4 2 6 5 2 3 2" xfId="12280" xr:uid="{00000000-0005-0000-0000-0000341B0000}"/>
    <cellStyle name="Normal 4 2 6 5 2 4" xfId="9101" xr:uid="{00000000-0005-0000-0000-0000351B0000}"/>
    <cellStyle name="Normal 4 2 6 5 3" xfId="3483" xr:uid="{00000000-0005-0000-0000-0000361B0000}"/>
    <cellStyle name="Normal 4 2 6 5 3 2" xfId="6711" xr:uid="{00000000-0005-0000-0000-0000371B0000}"/>
    <cellStyle name="Normal 4 2 6 5 3 2 2" xfId="13072" xr:uid="{00000000-0005-0000-0000-0000381B0000}"/>
    <cellStyle name="Normal 4 2 6 5 3 3" xfId="9893" xr:uid="{00000000-0005-0000-0000-0000391B0000}"/>
    <cellStyle name="Normal 4 2 6 5 4" xfId="5127" xr:uid="{00000000-0005-0000-0000-00003A1B0000}"/>
    <cellStyle name="Normal 4 2 6 5 4 2" xfId="11488" xr:uid="{00000000-0005-0000-0000-00003B1B0000}"/>
    <cellStyle name="Normal 4 2 6 5 5" xfId="8309" xr:uid="{00000000-0005-0000-0000-00003C1B0000}"/>
    <cellStyle name="Normal 4 2 6 6" xfId="2295" xr:uid="{00000000-0005-0000-0000-00003D1B0000}"/>
    <cellStyle name="Normal 4 2 6 6 2" xfId="3879" xr:uid="{00000000-0005-0000-0000-00003E1B0000}"/>
    <cellStyle name="Normal 4 2 6 6 2 2" xfId="7107" xr:uid="{00000000-0005-0000-0000-00003F1B0000}"/>
    <cellStyle name="Normal 4 2 6 6 2 2 2" xfId="13468" xr:uid="{00000000-0005-0000-0000-0000401B0000}"/>
    <cellStyle name="Normal 4 2 6 6 2 3" xfId="10289" xr:uid="{00000000-0005-0000-0000-0000411B0000}"/>
    <cellStyle name="Normal 4 2 6 6 3" xfId="5523" xr:uid="{00000000-0005-0000-0000-0000421B0000}"/>
    <cellStyle name="Normal 4 2 6 6 3 2" xfId="11884" xr:uid="{00000000-0005-0000-0000-0000431B0000}"/>
    <cellStyle name="Normal 4 2 6 6 4" xfId="8705" xr:uid="{00000000-0005-0000-0000-0000441B0000}"/>
    <cellStyle name="Normal 4 2 6 7" xfId="3087" xr:uid="{00000000-0005-0000-0000-0000451B0000}"/>
    <cellStyle name="Normal 4 2 6 7 2" xfId="6315" xr:uid="{00000000-0005-0000-0000-0000461B0000}"/>
    <cellStyle name="Normal 4 2 6 7 2 2" xfId="12676" xr:uid="{00000000-0005-0000-0000-0000471B0000}"/>
    <cellStyle name="Normal 4 2 6 7 3" xfId="9497" xr:uid="{00000000-0005-0000-0000-0000481B0000}"/>
    <cellStyle name="Normal 4 2 6 8" xfId="4731" xr:uid="{00000000-0005-0000-0000-0000491B0000}"/>
    <cellStyle name="Normal 4 2 6 8 2" xfId="11092" xr:uid="{00000000-0005-0000-0000-00004A1B0000}"/>
    <cellStyle name="Normal 4 2 6 9" xfId="7913" xr:uid="{00000000-0005-0000-0000-00004B1B0000}"/>
    <cellStyle name="Normal 4 2 7" xfId="1536" xr:uid="{00000000-0005-0000-0000-00004C1B0000}"/>
    <cellStyle name="Normal 4 2 7 2" xfId="1734" xr:uid="{00000000-0005-0000-0000-00004D1B0000}"/>
    <cellStyle name="Normal 4 2 7 2 2" xfId="2130" xr:uid="{00000000-0005-0000-0000-00004E1B0000}"/>
    <cellStyle name="Normal 4 2 7 2 2 2" xfId="2922" xr:uid="{00000000-0005-0000-0000-00004F1B0000}"/>
    <cellStyle name="Normal 4 2 7 2 2 2 2" xfId="4506" xr:uid="{00000000-0005-0000-0000-0000501B0000}"/>
    <cellStyle name="Normal 4 2 7 2 2 2 2 2" xfId="7734" xr:uid="{00000000-0005-0000-0000-0000511B0000}"/>
    <cellStyle name="Normal 4 2 7 2 2 2 2 2 2" xfId="14095" xr:uid="{00000000-0005-0000-0000-0000521B0000}"/>
    <cellStyle name="Normal 4 2 7 2 2 2 2 3" xfId="10916" xr:uid="{00000000-0005-0000-0000-0000531B0000}"/>
    <cellStyle name="Normal 4 2 7 2 2 2 3" xfId="6150" xr:uid="{00000000-0005-0000-0000-0000541B0000}"/>
    <cellStyle name="Normal 4 2 7 2 2 2 3 2" xfId="12511" xr:uid="{00000000-0005-0000-0000-0000551B0000}"/>
    <cellStyle name="Normal 4 2 7 2 2 2 4" xfId="9332" xr:uid="{00000000-0005-0000-0000-0000561B0000}"/>
    <cellStyle name="Normal 4 2 7 2 2 3" xfId="3714" xr:uid="{00000000-0005-0000-0000-0000571B0000}"/>
    <cellStyle name="Normal 4 2 7 2 2 3 2" xfId="6942" xr:uid="{00000000-0005-0000-0000-0000581B0000}"/>
    <cellStyle name="Normal 4 2 7 2 2 3 2 2" xfId="13303" xr:uid="{00000000-0005-0000-0000-0000591B0000}"/>
    <cellStyle name="Normal 4 2 7 2 2 3 3" xfId="10124" xr:uid="{00000000-0005-0000-0000-00005A1B0000}"/>
    <cellStyle name="Normal 4 2 7 2 2 4" xfId="5358" xr:uid="{00000000-0005-0000-0000-00005B1B0000}"/>
    <cellStyle name="Normal 4 2 7 2 2 4 2" xfId="11719" xr:uid="{00000000-0005-0000-0000-00005C1B0000}"/>
    <cellStyle name="Normal 4 2 7 2 2 5" xfId="8540" xr:uid="{00000000-0005-0000-0000-00005D1B0000}"/>
    <cellStyle name="Normal 4 2 7 2 3" xfId="2526" xr:uid="{00000000-0005-0000-0000-00005E1B0000}"/>
    <cellStyle name="Normal 4 2 7 2 3 2" xfId="4110" xr:uid="{00000000-0005-0000-0000-00005F1B0000}"/>
    <cellStyle name="Normal 4 2 7 2 3 2 2" xfId="7338" xr:uid="{00000000-0005-0000-0000-0000601B0000}"/>
    <cellStyle name="Normal 4 2 7 2 3 2 2 2" xfId="13699" xr:uid="{00000000-0005-0000-0000-0000611B0000}"/>
    <cellStyle name="Normal 4 2 7 2 3 2 3" xfId="10520" xr:uid="{00000000-0005-0000-0000-0000621B0000}"/>
    <cellStyle name="Normal 4 2 7 2 3 3" xfId="5754" xr:uid="{00000000-0005-0000-0000-0000631B0000}"/>
    <cellStyle name="Normal 4 2 7 2 3 3 2" xfId="12115" xr:uid="{00000000-0005-0000-0000-0000641B0000}"/>
    <cellStyle name="Normal 4 2 7 2 3 4" xfId="8936" xr:uid="{00000000-0005-0000-0000-0000651B0000}"/>
    <cellStyle name="Normal 4 2 7 2 4" xfId="3318" xr:uid="{00000000-0005-0000-0000-0000661B0000}"/>
    <cellStyle name="Normal 4 2 7 2 4 2" xfId="6546" xr:uid="{00000000-0005-0000-0000-0000671B0000}"/>
    <cellStyle name="Normal 4 2 7 2 4 2 2" xfId="12907" xr:uid="{00000000-0005-0000-0000-0000681B0000}"/>
    <cellStyle name="Normal 4 2 7 2 4 3" xfId="9728" xr:uid="{00000000-0005-0000-0000-0000691B0000}"/>
    <cellStyle name="Normal 4 2 7 2 5" xfId="4962" xr:uid="{00000000-0005-0000-0000-00006A1B0000}"/>
    <cellStyle name="Normal 4 2 7 2 5 2" xfId="11323" xr:uid="{00000000-0005-0000-0000-00006B1B0000}"/>
    <cellStyle name="Normal 4 2 7 2 6" xfId="8144" xr:uid="{00000000-0005-0000-0000-00006C1B0000}"/>
    <cellStyle name="Normal 4 2 7 3" xfId="1932" xr:uid="{00000000-0005-0000-0000-00006D1B0000}"/>
    <cellStyle name="Normal 4 2 7 3 2" xfId="2724" xr:uid="{00000000-0005-0000-0000-00006E1B0000}"/>
    <cellStyle name="Normal 4 2 7 3 2 2" xfId="4308" xr:uid="{00000000-0005-0000-0000-00006F1B0000}"/>
    <cellStyle name="Normal 4 2 7 3 2 2 2" xfId="7536" xr:uid="{00000000-0005-0000-0000-0000701B0000}"/>
    <cellStyle name="Normal 4 2 7 3 2 2 2 2" xfId="13897" xr:uid="{00000000-0005-0000-0000-0000711B0000}"/>
    <cellStyle name="Normal 4 2 7 3 2 2 3" xfId="10718" xr:uid="{00000000-0005-0000-0000-0000721B0000}"/>
    <cellStyle name="Normal 4 2 7 3 2 3" xfId="5952" xr:uid="{00000000-0005-0000-0000-0000731B0000}"/>
    <cellStyle name="Normal 4 2 7 3 2 3 2" xfId="12313" xr:uid="{00000000-0005-0000-0000-0000741B0000}"/>
    <cellStyle name="Normal 4 2 7 3 2 4" xfId="9134" xr:uid="{00000000-0005-0000-0000-0000751B0000}"/>
    <cellStyle name="Normal 4 2 7 3 3" xfId="3516" xr:uid="{00000000-0005-0000-0000-0000761B0000}"/>
    <cellStyle name="Normal 4 2 7 3 3 2" xfId="6744" xr:uid="{00000000-0005-0000-0000-0000771B0000}"/>
    <cellStyle name="Normal 4 2 7 3 3 2 2" xfId="13105" xr:uid="{00000000-0005-0000-0000-0000781B0000}"/>
    <cellStyle name="Normal 4 2 7 3 3 3" xfId="9926" xr:uid="{00000000-0005-0000-0000-0000791B0000}"/>
    <cellStyle name="Normal 4 2 7 3 4" xfId="5160" xr:uid="{00000000-0005-0000-0000-00007A1B0000}"/>
    <cellStyle name="Normal 4 2 7 3 4 2" xfId="11521" xr:uid="{00000000-0005-0000-0000-00007B1B0000}"/>
    <cellStyle name="Normal 4 2 7 3 5" xfId="8342" xr:uid="{00000000-0005-0000-0000-00007C1B0000}"/>
    <cellStyle name="Normal 4 2 7 4" xfId="2328" xr:uid="{00000000-0005-0000-0000-00007D1B0000}"/>
    <cellStyle name="Normal 4 2 7 4 2" xfId="3912" xr:uid="{00000000-0005-0000-0000-00007E1B0000}"/>
    <cellStyle name="Normal 4 2 7 4 2 2" xfId="7140" xr:uid="{00000000-0005-0000-0000-00007F1B0000}"/>
    <cellStyle name="Normal 4 2 7 4 2 2 2" xfId="13501" xr:uid="{00000000-0005-0000-0000-0000801B0000}"/>
    <cellStyle name="Normal 4 2 7 4 2 3" xfId="10322" xr:uid="{00000000-0005-0000-0000-0000811B0000}"/>
    <cellStyle name="Normal 4 2 7 4 3" xfId="5556" xr:uid="{00000000-0005-0000-0000-0000821B0000}"/>
    <cellStyle name="Normal 4 2 7 4 3 2" xfId="11917" xr:uid="{00000000-0005-0000-0000-0000831B0000}"/>
    <cellStyle name="Normal 4 2 7 4 4" xfId="8738" xr:uid="{00000000-0005-0000-0000-0000841B0000}"/>
    <cellStyle name="Normal 4 2 7 5" xfId="3120" xr:uid="{00000000-0005-0000-0000-0000851B0000}"/>
    <cellStyle name="Normal 4 2 7 5 2" xfId="6348" xr:uid="{00000000-0005-0000-0000-0000861B0000}"/>
    <cellStyle name="Normal 4 2 7 5 2 2" xfId="12709" xr:uid="{00000000-0005-0000-0000-0000871B0000}"/>
    <cellStyle name="Normal 4 2 7 5 3" xfId="9530" xr:uid="{00000000-0005-0000-0000-0000881B0000}"/>
    <cellStyle name="Normal 4 2 7 6" xfId="4764" xr:uid="{00000000-0005-0000-0000-0000891B0000}"/>
    <cellStyle name="Normal 4 2 7 6 2" xfId="11125" xr:uid="{00000000-0005-0000-0000-00008A1B0000}"/>
    <cellStyle name="Normal 4 2 7 7" xfId="7946" xr:uid="{00000000-0005-0000-0000-00008B1B0000}"/>
    <cellStyle name="Normal 4 2 8" xfId="1604" xr:uid="{00000000-0005-0000-0000-00008C1B0000}"/>
    <cellStyle name="Normal 4 2 8 2" xfId="1802" xr:uid="{00000000-0005-0000-0000-00008D1B0000}"/>
    <cellStyle name="Normal 4 2 8 2 2" xfId="2198" xr:uid="{00000000-0005-0000-0000-00008E1B0000}"/>
    <cellStyle name="Normal 4 2 8 2 2 2" xfId="2990" xr:uid="{00000000-0005-0000-0000-00008F1B0000}"/>
    <cellStyle name="Normal 4 2 8 2 2 2 2" xfId="4574" xr:uid="{00000000-0005-0000-0000-0000901B0000}"/>
    <cellStyle name="Normal 4 2 8 2 2 2 2 2" xfId="7802" xr:uid="{00000000-0005-0000-0000-0000911B0000}"/>
    <cellStyle name="Normal 4 2 8 2 2 2 2 2 2" xfId="14163" xr:uid="{00000000-0005-0000-0000-0000921B0000}"/>
    <cellStyle name="Normal 4 2 8 2 2 2 2 3" xfId="10984" xr:uid="{00000000-0005-0000-0000-0000931B0000}"/>
    <cellStyle name="Normal 4 2 8 2 2 2 3" xfId="6218" xr:uid="{00000000-0005-0000-0000-0000941B0000}"/>
    <cellStyle name="Normal 4 2 8 2 2 2 3 2" xfId="12579" xr:uid="{00000000-0005-0000-0000-0000951B0000}"/>
    <cellStyle name="Normal 4 2 8 2 2 2 4" xfId="9400" xr:uid="{00000000-0005-0000-0000-0000961B0000}"/>
    <cellStyle name="Normal 4 2 8 2 2 3" xfId="3782" xr:uid="{00000000-0005-0000-0000-0000971B0000}"/>
    <cellStyle name="Normal 4 2 8 2 2 3 2" xfId="7010" xr:uid="{00000000-0005-0000-0000-0000981B0000}"/>
    <cellStyle name="Normal 4 2 8 2 2 3 2 2" xfId="13371" xr:uid="{00000000-0005-0000-0000-0000991B0000}"/>
    <cellStyle name="Normal 4 2 8 2 2 3 3" xfId="10192" xr:uid="{00000000-0005-0000-0000-00009A1B0000}"/>
    <cellStyle name="Normal 4 2 8 2 2 4" xfId="5426" xr:uid="{00000000-0005-0000-0000-00009B1B0000}"/>
    <cellStyle name="Normal 4 2 8 2 2 4 2" xfId="11787" xr:uid="{00000000-0005-0000-0000-00009C1B0000}"/>
    <cellStyle name="Normal 4 2 8 2 2 5" xfId="8608" xr:uid="{00000000-0005-0000-0000-00009D1B0000}"/>
    <cellStyle name="Normal 4 2 8 2 3" xfId="2594" xr:uid="{00000000-0005-0000-0000-00009E1B0000}"/>
    <cellStyle name="Normal 4 2 8 2 3 2" xfId="4178" xr:uid="{00000000-0005-0000-0000-00009F1B0000}"/>
    <cellStyle name="Normal 4 2 8 2 3 2 2" xfId="7406" xr:uid="{00000000-0005-0000-0000-0000A01B0000}"/>
    <cellStyle name="Normal 4 2 8 2 3 2 2 2" xfId="13767" xr:uid="{00000000-0005-0000-0000-0000A11B0000}"/>
    <cellStyle name="Normal 4 2 8 2 3 2 3" xfId="10588" xr:uid="{00000000-0005-0000-0000-0000A21B0000}"/>
    <cellStyle name="Normal 4 2 8 2 3 3" xfId="5822" xr:uid="{00000000-0005-0000-0000-0000A31B0000}"/>
    <cellStyle name="Normal 4 2 8 2 3 3 2" xfId="12183" xr:uid="{00000000-0005-0000-0000-0000A41B0000}"/>
    <cellStyle name="Normal 4 2 8 2 3 4" xfId="9004" xr:uid="{00000000-0005-0000-0000-0000A51B0000}"/>
    <cellStyle name="Normal 4 2 8 2 4" xfId="3386" xr:uid="{00000000-0005-0000-0000-0000A61B0000}"/>
    <cellStyle name="Normal 4 2 8 2 4 2" xfId="6614" xr:uid="{00000000-0005-0000-0000-0000A71B0000}"/>
    <cellStyle name="Normal 4 2 8 2 4 2 2" xfId="12975" xr:uid="{00000000-0005-0000-0000-0000A81B0000}"/>
    <cellStyle name="Normal 4 2 8 2 4 3" xfId="9796" xr:uid="{00000000-0005-0000-0000-0000A91B0000}"/>
    <cellStyle name="Normal 4 2 8 2 5" xfId="5030" xr:uid="{00000000-0005-0000-0000-0000AA1B0000}"/>
    <cellStyle name="Normal 4 2 8 2 5 2" xfId="11391" xr:uid="{00000000-0005-0000-0000-0000AB1B0000}"/>
    <cellStyle name="Normal 4 2 8 2 6" xfId="8212" xr:uid="{00000000-0005-0000-0000-0000AC1B0000}"/>
    <cellStyle name="Normal 4 2 8 3" xfId="2000" xr:uid="{00000000-0005-0000-0000-0000AD1B0000}"/>
    <cellStyle name="Normal 4 2 8 3 2" xfId="2792" xr:uid="{00000000-0005-0000-0000-0000AE1B0000}"/>
    <cellStyle name="Normal 4 2 8 3 2 2" xfId="4376" xr:uid="{00000000-0005-0000-0000-0000AF1B0000}"/>
    <cellStyle name="Normal 4 2 8 3 2 2 2" xfId="7604" xr:uid="{00000000-0005-0000-0000-0000B01B0000}"/>
    <cellStyle name="Normal 4 2 8 3 2 2 2 2" xfId="13965" xr:uid="{00000000-0005-0000-0000-0000B11B0000}"/>
    <cellStyle name="Normal 4 2 8 3 2 2 3" xfId="10786" xr:uid="{00000000-0005-0000-0000-0000B21B0000}"/>
    <cellStyle name="Normal 4 2 8 3 2 3" xfId="6020" xr:uid="{00000000-0005-0000-0000-0000B31B0000}"/>
    <cellStyle name="Normal 4 2 8 3 2 3 2" xfId="12381" xr:uid="{00000000-0005-0000-0000-0000B41B0000}"/>
    <cellStyle name="Normal 4 2 8 3 2 4" xfId="9202" xr:uid="{00000000-0005-0000-0000-0000B51B0000}"/>
    <cellStyle name="Normal 4 2 8 3 3" xfId="3584" xr:uid="{00000000-0005-0000-0000-0000B61B0000}"/>
    <cellStyle name="Normal 4 2 8 3 3 2" xfId="6812" xr:uid="{00000000-0005-0000-0000-0000B71B0000}"/>
    <cellStyle name="Normal 4 2 8 3 3 2 2" xfId="13173" xr:uid="{00000000-0005-0000-0000-0000B81B0000}"/>
    <cellStyle name="Normal 4 2 8 3 3 3" xfId="9994" xr:uid="{00000000-0005-0000-0000-0000B91B0000}"/>
    <cellStyle name="Normal 4 2 8 3 4" xfId="5228" xr:uid="{00000000-0005-0000-0000-0000BA1B0000}"/>
    <cellStyle name="Normal 4 2 8 3 4 2" xfId="11589" xr:uid="{00000000-0005-0000-0000-0000BB1B0000}"/>
    <cellStyle name="Normal 4 2 8 3 5" xfId="8410" xr:uid="{00000000-0005-0000-0000-0000BC1B0000}"/>
    <cellStyle name="Normal 4 2 8 4" xfId="2396" xr:uid="{00000000-0005-0000-0000-0000BD1B0000}"/>
    <cellStyle name="Normal 4 2 8 4 2" xfId="3980" xr:uid="{00000000-0005-0000-0000-0000BE1B0000}"/>
    <cellStyle name="Normal 4 2 8 4 2 2" xfId="7208" xr:uid="{00000000-0005-0000-0000-0000BF1B0000}"/>
    <cellStyle name="Normal 4 2 8 4 2 2 2" xfId="13569" xr:uid="{00000000-0005-0000-0000-0000C01B0000}"/>
    <cellStyle name="Normal 4 2 8 4 2 3" xfId="10390" xr:uid="{00000000-0005-0000-0000-0000C11B0000}"/>
    <cellStyle name="Normal 4 2 8 4 3" xfId="5624" xr:uid="{00000000-0005-0000-0000-0000C21B0000}"/>
    <cellStyle name="Normal 4 2 8 4 3 2" xfId="11985" xr:uid="{00000000-0005-0000-0000-0000C31B0000}"/>
    <cellStyle name="Normal 4 2 8 4 4" xfId="8806" xr:uid="{00000000-0005-0000-0000-0000C41B0000}"/>
    <cellStyle name="Normal 4 2 8 5" xfId="3188" xr:uid="{00000000-0005-0000-0000-0000C51B0000}"/>
    <cellStyle name="Normal 4 2 8 5 2" xfId="6416" xr:uid="{00000000-0005-0000-0000-0000C61B0000}"/>
    <cellStyle name="Normal 4 2 8 5 2 2" xfId="12777" xr:uid="{00000000-0005-0000-0000-0000C71B0000}"/>
    <cellStyle name="Normal 4 2 8 5 3" xfId="9598" xr:uid="{00000000-0005-0000-0000-0000C81B0000}"/>
    <cellStyle name="Normal 4 2 8 6" xfId="4832" xr:uid="{00000000-0005-0000-0000-0000C91B0000}"/>
    <cellStyle name="Normal 4 2 8 6 2" xfId="11193" xr:uid="{00000000-0005-0000-0000-0000CA1B0000}"/>
    <cellStyle name="Normal 4 2 8 7" xfId="8014" xr:uid="{00000000-0005-0000-0000-0000CB1B0000}"/>
    <cellStyle name="Normal 4 2 9" xfId="1669" xr:uid="{00000000-0005-0000-0000-0000CC1B0000}"/>
    <cellStyle name="Normal 4 2 9 2" xfId="2065" xr:uid="{00000000-0005-0000-0000-0000CD1B0000}"/>
    <cellStyle name="Normal 4 2 9 2 2" xfId="2857" xr:uid="{00000000-0005-0000-0000-0000CE1B0000}"/>
    <cellStyle name="Normal 4 2 9 2 2 2" xfId="4441" xr:uid="{00000000-0005-0000-0000-0000CF1B0000}"/>
    <cellStyle name="Normal 4 2 9 2 2 2 2" xfId="7669" xr:uid="{00000000-0005-0000-0000-0000D01B0000}"/>
    <cellStyle name="Normal 4 2 9 2 2 2 2 2" xfId="14030" xr:uid="{00000000-0005-0000-0000-0000D11B0000}"/>
    <cellStyle name="Normal 4 2 9 2 2 2 3" xfId="10851" xr:uid="{00000000-0005-0000-0000-0000D21B0000}"/>
    <cellStyle name="Normal 4 2 9 2 2 3" xfId="6085" xr:uid="{00000000-0005-0000-0000-0000D31B0000}"/>
    <cellStyle name="Normal 4 2 9 2 2 3 2" xfId="12446" xr:uid="{00000000-0005-0000-0000-0000D41B0000}"/>
    <cellStyle name="Normal 4 2 9 2 2 4" xfId="9267" xr:uid="{00000000-0005-0000-0000-0000D51B0000}"/>
    <cellStyle name="Normal 4 2 9 2 3" xfId="3649" xr:uid="{00000000-0005-0000-0000-0000D61B0000}"/>
    <cellStyle name="Normal 4 2 9 2 3 2" xfId="6877" xr:uid="{00000000-0005-0000-0000-0000D71B0000}"/>
    <cellStyle name="Normal 4 2 9 2 3 2 2" xfId="13238" xr:uid="{00000000-0005-0000-0000-0000D81B0000}"/>
    <cellStyle name="Normal 4 2 9 2 3 3" xfId="10059" xr:uid="{00000000-0005-0000-0000-0000D91B0000}"/>
    <cellStyle name="Normal 4 2 9 2 4" xfId="5293" xr:uid="{00000000-0005-0000-0000-0000DA1B0000}"/>
    <cellStyle name="Normal 4 2 9 2 4 2" xfId="11654" xr:uid="{00000000-0005-0000-0000-0000DB1B0000}"/>
    <cellStyle name="Normal 4 2 9 2 5" xfId="8475" xr:uid="{00000000-0005-0000-0000-0000DC1B0000}"/>
    <cellStyle name="Normal 4 2 9 3" xfId="2461" xr:uid="{00000000-0005-0000-0000-0000DD1B0000}"/>
    <cellStyle name="Normal 4 2 9 3 2" xfId="4045" xr:uid="{00000000-0005-0000-0000-0000DE1B0000}"/>
    <cellStyle name="Normal 4 2 9 3 2 2" xfId="7273" xr:uid="{00000000-0005-0000-0000-0000DF1B0000}"/>
    <cellStyle name="Normal 4 2 9 3 2 2 2" xfId="13634" xr:uid="{00000000-0005-0000-0000-0000E01B0000}"/>
    <cellStyle name="Normal 4 2 9 3 2 3" xfId="10455" xr:uid="{00000000-0005-0000-0000-0000E11B0000}"/>
    <cellStyle name="Normal 4 2 9 3 3" xfId="5689" xr:uid="{00000000-0005-0000-0000-0000E21B0000}"/>
    <cellStyle name="Normal 4 2 9 3 3 2" xfId="12050" xr:uid="{00000000-0005-0000-0000-0000E31B0000}"/>
    <cellStyle name="Normal 4 2 9 3 4" xfId="8871" xr:uid="{00000000-0005-0000-0000-0000E41B0000}"/>
    <cellStyle name="Normal 4 2 9 4" xfId="3253" xr:uid="{00000000-0005-0000-0000-0000E51B0000}"/>
    <cellStyle name="Normal 4 2 9 4 2" xfId="6481" xr:uid="{00000000-0005-0000-0000-0000E61B0000}"/>
    <cellStyle name="Normal 4 2 9 4 2 2" xfId="12842" xr:uid="{00000000-0005-0000-0000-0000E71B0000}"/>
    <cellStyle name="Normal 4 2 9 4 3" xfId="9663" xr:uid="{00000000-0005-0000-0000-0000E81B0000}"/>
    <cellStyle name="Normal 4 2 9 5" xfId="4897" xr:uid="{00000000-0005-0000-0000-0000E91B0000}"/>
    <cellStyle name="Normal 4 2 9 5 2" xfId="11258" xr:uid="{00000000-0005-0000-0000-0000EA1B0000}"/>
    <cellStyle name="Normal 4 2 9 6" xfId="8079" xr:uid="{00000000-0005-0000-0000-0000EB1B0000}"/>
    <cellStyle name="Normal 4 3" xfId="1425" xr:uid="{00000000-0005-0000-0000-0000EC1B0000}"/>
    <cellStyle name="Normal 4 3 10" xfId="2264" xr:uid="{00000000-0005-0000-0000-0000ED1B0000}"/>
    <cellStyle name="Normal 4 3 10 2" xfId="3848" xr:uid="{00000000-0005-0000-0000-0000EE1B0000}"/>
    <cellStyle name="Normal 4 3 10 2 2" xfId="7076" xr:uid="{00000000-0005-0000-0000-0000EF1B0000}"/>
    <cellStyle name="Normal 4 3 10 2 2 2" xfId="13437" xr:uid="{00000000-0005-0000-0000-0000F01B0000}"/>
    <cellStyle name="Normal 4 3 10 2 3" xfId="10258" xr:uid="{00000000-0005-0000-0000-0000F11B0000}"/>
    <cellStyle name="Normal 4 3 10 3" xfId="5492" xr:uid="{00000000-0005-0000-0000-0000F21B0000}"/>
    <cellStyle name="Normal 4 3 10 3 2" xfId="11853" xr:uid="{00000000-0005-0000-0000-0000F31B0000}"/>
    <cellStyle name="Normal 4 3 10 4" xfId="8674" xr:uid="{00000000-0005-0000-0000-0000F41B0000}"/>
    <cellStyle name="Normal 4 3 11" xfId="3056" xr:uid="{00000000-0005-0000-0000-0000F51B0000}"/>
    <cellStyle name="Normal 4 3 11 2" xfId="6284" xr:uid="{00000000-0005-0000-0000-0000F61B0000}"/>
    <cellStyle name="Normal 4 3 11 2 2" xfId="12645" xr:uid="{00000000-0005-0000-0000-0000F71B0000}"/>
    <cellStyle name="Normal 4 3 11 3" xfId="9466" xr:uid="{00000000-0005-0000-0000-0000F81B0000}"/>
    <cellStyle name="Normal 4 3 12" xfId="4700" xr:uid="{00000000-0005-0000-0000-0000F91B0000}"/>
    <cellStyle name="Normal 4 3 12 2" xfId="11061" xr:uid="{00000000-0005-0000-0000-0000FA1B0000}"/>
    <cellStyle name="Normal 4 3 13" xfId="7882" xr:uid="{00000000-0005-0000-0000-0000FB1B0000}"/>
    <cellStyle name="Normal 4 3 2" xfId="1429" xr:uid="{00000000-0005-0000-0000-0000FC1B0000}"/>
    <cellStyle name="Normal 4 3 2 10" xfId="3060" xr:uid="{00000000-0005-0000-0000-0000FD1B0000}"/>
    <cellStyle name="Normal 4 3 2 10 2" xfId="6288" xr:uid="{00000000-0005-0000-0000-0000FE1B0000}"/>
    <cellStyle name="Normal 4 3 2 10 2 2" xfId="12649" xr:uid="{00000000-0005-0000-0000-0000FF1B0000}"/>
    <cellStyle name="Normal 4 3 2 10 3" xfId="9470" xr:uid="{00000000-0005-0000-0000-0000001C0000}"/>
    <cellStyle name="Normal 4 3 2 11" xfId="4704" xr:uid="{00000000-0005-0000-0000-0000011C0000}"/>
    <cellStyle name="Normal 4 3 2 11 2" xfId="11065" xr:uid="{00000000-0005-0000-0000-0000021C0000}"/>
    <cellStyle name="Normal 4 3 2 12" xfId="7886" xr:uid="{00000000-0005-0000-0000-0000031C0000}"/>
    <cellStyle name="Normal 4 3 2 2" xfId="1437" xr:uid="{00000000-0005-0000-0000-0000041C0000}"/>
    <cellStyle name="Normal 4 3 2 2 10" xfId="4712" xr:uid="{00000000-0005-0000-0000-0000051C0000}"/>
    <cellStyle name="Normal 4 3 2 2 10 2" xfId="11073" xr:uid="{00000000-0005-0000-0000-0000061C0000}"/>
    <cellStyle name="Normal 4 3 2 2 11" xfId="7894" xr:uid="{00000000-0005-0000-0000-0000071C0000}"/>
    <cellStyle name="Normal 4 3 2 2 2" xfId="1453" xr:uid="{00000000-0005-0000-0000-0000081C0000}"/>
    <cellStyle name="Normal 4 3 2 2 2 10" xfId="7910" xr:uid="{00000000-0005-0000-0000-0000091C0000}"/>
    <cellStyle name="Normal 4 3 2 2 2 2" xfId="1485" xr:uid="{00000000-0005-0000-0000-00000A1C0000}"/>
    <cellStyle name="Normal 4 3 2 2 2 2 2" xfId="1597" xr:uid="{00000000-0005-0000-0000-00000B1C0000}"/>
    <cellStyle name="Normal 4 3 2 2 2 2 2 2" xfId="1795" xr:uid="{00000000-0005-0000-0000-00000C1C0000}"/>
    <cellStyle name="Normal 4 3 2 2 2 2 2 2 2" xfId="2191" xr:uid="{00000000-0005-0000-0000-00000D1C0000}"/>
    <cellStyle name="Normal 4 3 2 2 2 2 2 2 2 2" xfId="2983" xr:uid="{00000000-0005-0000-0000-00000E1C0000}"/>
    <cellStyle name="Normal 4 3 2 2 2 2 2 2 2 2 2" xfId="4567" xr:uid="{00000000-0005-0000-0000-00000F1C0000}"/>
    <cellStyle name="Normal 4 3 2 2 2 2 2 2 2 2 2 2" xfId="7795" xr:uid="{00000000-0005-0000-0000-0000101C0000}"/>
    <cellStyle name="Normal 4 3 2 2 2 2 2 2 2 2 2 2 2" xfId="14156" xr:uid="{00000000-0005-0000-0000-0000111C0000}"/>
    <cellStyle name="Normal 4 3 2 2 2 2 2 2 2 2 2 3" xfId="10977" xr:uid="{00000000-0005-0000-0000-0000121C0000}"/>
    <cellStyle name="Normal 4 3 2 2 2 2 2 2 2 2 3" xfId="6211" xr:uid="{00000000-0005-0000-0000-0000131C0000}"/>
    <cellStyle name="Normal 4 3 2 2 2 2 2 2 2 2 3 2" xfId="12572" xr:uid="{00000000-0005-0000-0000-0000141C0000}"/>
    <cellStyle name="Normal 4 3 2 2 2 2 2 2 2 2 4" xfId="9393" xr:uid="{00000000-0005-0000-0000-0000151C0000}"/>
    <cellStyle name="Normal 4 3 2 2 2 2 2 2 2 3" xfId="3775" xr:uid="{00000000-0005-0000-0000-0000161C0000}"/>
    <cellStyle name="Normal 4 3 2 2 2 2 2 2 2 3 2" xfId="7003" xr:uid="{00000000-0005-0000-0000-0000171C0000}"/>
    <cellStyle name="Normal 4 3 2 2 2 2 2 2 2 3 2 2" xfId="13364" xr:uid="{00000000-0005-0000-0000-0000181C0000}"/>
    <cellStyle name="Normal 4 3 2 2 2 2 2 2 2 3 3" xfId="10185" xr:uid="{00000000-0005-0000-0000-0000191C0000}"/>
    <cellStyle name="Normal 4 3 2 2 2 2 2 2 2 4" xfId="5419" xr:uid="{00000000-0005-0000-0000-00001A1C0000}"/>
    <cellStyle name="Normal 4 3 2 2 2 2 2 2 2 4 2" xfId="11780" xr:uid="{00000000-0005-0000-0000-00001B1C0000}"/>
    <cellStyle name="Normal 4 3 2 2 2 2 2 2 2 5" xfId="8601" xr:uid="{00000000-0005-0000-0000-00001C1C0000}"/>
    <cellStyle name="Normal 4 3 2 2 2 2 2 2 3" xfId="2587" xr:uid="{00000000-0005-0000-0000-00001D1C0000}"/>
    <cellStyle name="Normal 4 3 2 2 2 2 2 2 3 2" xfId="4171" xr:uid="{00000000-0005-0000-0000-00001E1C0000}"/>
    <cellStyle name="Normal 4 3 2 2 2 2 2 2 3 2 2" xfId="7399" xr:uid="{00000000-0005-0000-0000-00001F1C0000}"/>
    <cellStyle name="Normal 4 3 2 2 2 2 2 2 3 2 2 2" xfId="13760" xr:uid="{00000000-0005-0000-0000-0000201C0000}"/>
    <cellStyle name="Normal 4 3 2 2 2 2 2 2 3 2 3" xfId="10581" xr:uid="{00000000-0005-0000-0000-0000211C0000}"/>
    <cellStyle name="Normal 4 3 2 2 2 2 2 2 3 3" xfId="5815" xr:uid="{00000000-0005-0000-0000-0000221C0000}"/>
    <cellStyle name="Normal 4 3 2 2 2 2 2 2 3 3 2" xfId="12176" xr:uid="{00000000-0005-0000-0000-0000231C0000}"/>
    <cellStyle name="Normal 4 3 2 2 2 2 2 2 3 4" xfId="8997" xr:uid="{00000000-0005-0000-0000-0000241C0000}"/>
    <cellStyle name="Normal 4 3 2 2 2 2 2 2 4" xfId="3379" xr:uid="{00000000-0005-0000-0000-0000251C0000}"/>
    <cellStyle name="Normal 4 3 2 2 2 2 2 2 4 2" xfId="6607" xr:uid="{00000000-0005-0000-0000-0000261C0000}"/>
    <cellStyle name="Normal 4 3 2 2 2 2 2 2 4 2 2" xfId="12968" xr:uid="{00000000-0005-0000-0000-0000271C0000}"/>
    <cellStyle name="Normal 4 3 2 2 2 2 2 2 4 3" xfId="9789" xr:uid="{00000000-0005-0000-0000-0000281C0000}"/>
    <cellStyle name="Normal 4 3 2 2 2 2 2 2 5" xfId="5023" xr:uid="{00000000-0005-0000-0000-0000291C0000}"/>
    <cellStyle name="Normal 4 3 2 2 2 2 2 2 5 2" xfId="11384" xr:uid="{00000000-0005-0000-0000-00002A1C0000}"/>
    <cellStyle name="Normal 4 3 2 2 2 2 2 2 6" xfId="8205" xr:uid="{00000000-0005-0000-0000-00002B1C0000}"/>
    <cellStyle name="Normal 4 3 2 2 2 2 2 3" xfId="1993" xr:uid="{00000000-0005-0000-0000-00002C1C0000}"/>
    <cellStyle name="Normal 4 3 2 2 2 2 2 3 2" xfId="2785" xr:uid="{00000000-0005-0000-0000-00002D1C0000}"/>
    <cellStyle name="Normal 4 3 2 2 2 2 2 3 2 2" xfId="4369" xr:uid="{00000000-0005-0000-0000-00002E1C0000}"/>
    <cellStyle name="Normal 4 3 2 2 2 2 2 3 2 2 2" xfId="7597" xr:uid="{00000000-0005-0000-0000-00002F1C0000}"/>
    <cellStyle name="Normal 4 3 2 2 2 2 2 3 2 2 2 2" xfId="13958" xr:uid="{00000000-0005-0000-0000-0000301C0000}"/>
    <cellStyle name="Normal 4 3 2 2 2 2 2 3 2 2 3" xfId="10779" xr:uid="{00000000-0005-0000-0000-0000311C0000}"/>
    <cellStyle name="Normal 4 3 2 2 2 2 2 3 2 3" xfId="6013" xr:uid="{00000000-0005-0000-0000-0000321C0000}"/>
    <cellStyle name="Normal 4 3 2 2 2 2 2 3 2 3 2" xfId="12374" xr:uid="{00000000-0005-0000-0000-0000331C0000}"/>
    <cellStyle name="Normal 4 3 2 2 2 2 2 3 2 4" xfId="9195" xr:uid="{00000000-0005-0000-0000-0000341C0000}"/>
    <cellStyle name="Normal 4 3 2 2 2 2 2 3 3" xfId="3577" xr:uid="{00000000-0005-0000-0000-0000351C0000}"/>
    <cellStyle name="Normal 4 3 2 2 2 2 2 3 3 2" xfId="6805" xr:uid="{00000000-0005-0000-0000-0000361C0000}"/>
    <cellStyle name="Normal 4 3 2 2 2 2 2 3 3 2 2" xfId="13166" xr:uid="{00000000-0005-0000-0000-0000371C0000}"/>
    <cellStyle name="Normal 4 3 2 2 2 2 2 3 3 3" xfId="9987" xr:uid="{00000000-0005-0000-0000-0000381C0000}"/>
    <cellStyle name="Normal 4 3 2 2 2 2 2 3 4" xfId="5221" xr:uid="{00000000-0005-0000-0000-0000391C0000}"/>
    <cellStyle name="Normal 4 3 2 2 2 2 2 3 4 2" xfId="11582" xr:uid="{00000000-0005-0000-0000-00003A1C0000}"/>
    <cellStyle name="Normal 4 3 2 2 2 2 2 3 5" xfId="8403" xr:uid="{00000000-0005-0000-0000-00003B1C0000}"/>
    <cellStyle name="Normal 4 3 2 2 2 2 2 4" xfId="2389" xr:uid="{00000000-0005-0000-0000-00003C1C0000}"/>
    <cellStyle name="Normal 4 3 2 2 2 2 2 4 2" xfId="3973" xr:uid="{00000000-0005-0000-0000-00003D1C0000}"/>
    <cellStyle name="Normal 4 3 2 2 2 2 2 4 2 2" xfId="7201" xr:uid="{00000000-0005-0000-0000-00003E1C0000}"/>
    <cellStyle name="Normal 4 3 2 2 2 2 2 4 2 2 2" xfId="13562" xr:uid="{00000000-0005-0000-0000-00003F1C0000}"/>
    <cellStyle name="Normal 4 3 2 2 2 2 2 4 2 3" xfId="10383" xr:uid="{00000000-0005-0000-0000-0000401C0000}"/>
    <cellStyle name="Normal 4 3 2 2 2 2 2 4 3" xfId="5617" xr:uid="{00000000-0005-0000-0000-0000411C0000}"/>
    <cellStyle name="Normal 4 3 2 2 2 2 2 4 3 2" xfId="11978" xr:uid="{00000000-0005-0000-0000-0000421C0000}"/>
    <cellStyle name="Normal 4 3 2 2 2 2 2 4 4" xfId="8799" xr:uid="{00000000-0005-0000-0000-0000431C0000}"/>
    <cellStyle name="Normal 4 3 2 2 2 2 2 5" xfId="3181" xr:uid="{00000000-0005-0000-0000-0000441C0000}"/>
    <cellStyle name="Normal 4 3 2 2 2 2 2 5 2" xfId="6409" xr:uid="{00000000-0005-0000-0000-0000451C0000}"/>
    <cellStyle name="Normal 4 3 2 2 2 2 2 5 2 2" xfId="12770" xr:uid="{00000000-0005-0000-0000-0000461C0000}"/>
    <cellStyle name="Normal 4 3 2 2 2 2 2 5 3" xfId="9591" xr:uid="{00000000-0005-0000-0000-0000471C0000}"/>
    <cellStyle name="Normal 4 3 2 2 2 2 2 6" xfId="4825" xr:uid="{00000000-0005-0000-0000-0000481C0000}"/>
    <cellStyle name="Normal 4 3 2 2 2 2 2 6 2" xfId="11186" xr:uid="{00000000-0005-0000-0000-0000491C0000}"/>
    <cellStyle name="Normal 4 3 2 2 2 2 2 7" xfId="8007" xr:uid="{00000000-0005-0000-0000-00004A1C0000}"/>
    <cellStyle name="Normal 4 3 2 2 2 2 3" xfId="1665" xr:uid="{00000000-0005-0000-0000-00004B1C0000}"/>
    <cellStyle name="Normal 4 3 2 2 2 2 3 2" xfId="1863" xr:uid="{00000000-0005-0000-0000-00004C1C0000}"/>
    <cellStyle name="Normal 4 3 2 2 2 2 3 2 2" xfId="2259" xr:uid="{00000000-0005-0000-0000-00004D1C0000}"/>
    <cellStyle name="Normal 4 3 2 2 2 2 3 2 2 2" xfId="3051" xr:uid="{00000000-0005-0000-0000-00004E1C0000}"/>
    <cellStyle name="Normal 4 3 2 2 2 2 3 2 2 2 2" xfId="4635" xr:uid="{00000000-0005-0000-0000-00004F1C0000}"/>
    <cellStyle name="Normal 4 3 2 2 2 2 3 2 2 2 2 2" xfId="7863" xr:uid="{00000000-0005-0000-0000-0000501C0000}"/>
    <cellStyle name="Normal 4 3 2 2 2 2 3 2 2 2 2 2 2" xfId="14224" xr:uid="{00000000-0005-0000-0000-0000511C0000}"/>
    <cellStyle name="Normal 4 3 2 2 2 2 3 2 2 2 2 3" xfId="11045" xr:uid="{00000000-0005-0000-0000-0000521C0000}"/>
    <cellStyle name="Normal 4 3 2 2 2 2 3 2 2 2 3" xfId="6279" xr:uid="{00000000-0005-0000-0000-0000531C0000}"/>
    <cellStyle name="Normal 4 3 2 2 2 2 3 2 2 2 3 2" xfId="12640" xr:uid="{00000000-0005-0000-0000-0000541C0000}"/>
    <cellStyle name="Normal 4 3 2 2 2 2 3 2 2 2 4" xfId="9461" xr:uid="{00000000-0005-0000-0000-0000551C0000}"/>
    <cellStyle name="Normal 4 3 2 2 2 2 3 2 2 3" xfId="3843" xr:uid="{00000000-0005-0000-0000-0000561C0000}"/>
    <cellStyle name="Normal 4 3 2 2 2 2 3 2 2 3 2" xfId="7071" xr:uid="{00000000-0005-0000-0000-0000571C0000}"/>
    <cellStyle name="Normal 4 3 2 2 2 2 3 2 2 3 2 2" xfId="13432" xr:uid="{00000000-0005-0000-0000-0000581C0000}"/>
    <cellStyle name="Normal 4 3 2 2 2 2 3 2 2 3 3" xfId="10253" xr:uid="{00000000-0005-0000-0000-0000591C0000}"/>
    <cellStyle name="Normal 4 3 2 2 2 2 3 2 2 4" xfId="5487" xr:uid="{00000000-0005-0000-0000-00005A1C0000}"/>
    <cellStyle name="Normal 4 3 2 2 2 2 3 2 2 4 2" xfId="11848" xr:uid="{00000000-0005-0000-0000-00005B1C0000}"/>
    <cellStyle name="Normal 4 3 2 2 2 2 3 2 2 5" xfId="8669" xr:uid="{00000000-0005-0000-0000-00005C1C0000}"/>
    <cellStyle name="Normal 4 3 2 2 2 2 3 2 3" xfId="2655" xr:uid="{00000000-0005-0000-0000-00005D1C0000}"/>
    <cellStyle name="Normal 4 3 2 2 2 2 3 2 3 2" xfId="4239" xr:uid="{00000000-0005-0000-0000-00005E1C0000}"/>
    <cellStyle name="Normal 4 3 2 2 2 2 3 2 3 2 2" xfId="7467" xr:uid="{00000000-0005-0000-0000-00005F1C0000}"/>
    <cellStyle name="Normal 4 3 2 2 2 2 3 2 3 2 2 2" xfId="13828" xr:uid="{00000000-0005-0000-0000-0000601C0000}"/>
    <cellStyle name="Normal 4 3 2 2 2 2 3 2 3 2 3" xfId="10649" xr:uid="{00000000-0005-0000-0000-0000611C0000}"/>
    <cellStyle name="Normal 4 3 2 2 2 2 3 2 3 3" xfId="5883" xr:uid="{00000000-0005-0000-0000-0000621C0000}"/>
    <cellStyle name="Normal 4 3 2 2 2 2 3 2 3 3 2" xfId="12244" xr:uid="{00000000-0005-0000-0000-0000631C0000}"/>
    <cellStyle name="Normal 4 3 2 2 2 2 3 2 3 4" xfId="9065" xr:uid="{00000000-0005-0000-0000-0000641C0000}"/>
    <cellStyle name="Normal 4 3 2 2 2 2 3 2 4" xfId="3447" xr:uid="{00000000-0005-0000-0000-0000651C0000}"/>
    <cellStyle name="Normal 4 3 2 2 2 2 3 2 4 2" xfId="6675" xr:uid="{00000000-0005-0000-0000-0000661C0000}"/>
    <cellStyle name="Normal 4 3 2 2 2 2 3 2 4 2 2" xfId="13036" xr:uid="{00000000-0005-0000-0000-0000671C0000}"/>
    <cellStyle name="Normal 4 3 2 2 2 2 3 2 4 3" xfId="9857" xr:uid="{00000000-0005-0000-0000-0000681C0000}"/>
    <cellStyle name="Normal 4 3 2 2 2 2 3 2 5" xfId="5091" xr:uid="{00000000-0005-0000-0000-0000691C0000}"/>
    <cellStyle name="Normal 4 3 2 2 2 2 3 2 5 2" xfId="11452" xr:uid="{00000000-0005-0000-0000-00006A1C0000}"/>
    <cellStyle name="Normal 4 3 2 2 2 2 3 2 6" xfId="8273" xr:uid="{00000000-0005-0000-0000-00006B1C0000}"/>
    <cellStyle name="Normal 4 3 2 2 2 2 3 3" xfId="2061" xr:uid="{00000000-0005-0000-0000-00006C1C0000}"/>
    <cellStyle name="Normal 4 3 2 2 2 2 3 3 2" xfId="2853" xr:uid="{00000000-0005-0000-0000-00006D1C0000}"/>
    <cellStyle name="Normal 4 3 2 2 2 2 3 3 2 2" xfId="4437" xr:uid="{00000000-0005-0000-0000-00006E1C0000}"/>
    <cellStyle name="Normal 4 3 2 2 2 2 3 3 2 2 2" xfId="7665" xr:uid="{00000000-0005-0000-0000-00006F1C0000}"/>
    <cellStyle name="Normal 4 3 2 2 2 2 3 3 2 2 2 2" xfId="14026" xr:uid="{00000000-0005-0000-0000-0000701C0000}"/>
    <cellStyle name="Normal 4 3 2 2 2 2 3 3 2 2 3" xfId="10847" xr:uid="{00000000-0005-0000-0000-0000711C0000}"/>
    <cellStyle name="Normal 4 3 2 2 2 2 3 3 2 3" xfId="6081" xr:uid="{00000000-0005-0000-0000-0000721C0000}"/>
    <cellStyle name="Normal 4 3 2 2 2 2 3 3 2 3 2" xfId="12442" xr:uid="{00000000-0005-0000-0000-0000731C0000}"/>
    <cellStyle name="Normal 4 3 2 2 2 2 3 3 2 4" xfId="9263" xr:uid="{00000000-0005-0000-0000-0000741C0000}"/>
    <cellStyle name="Normal 4 3 2 2 2 2 3 3 3" xfId="3645" xr:uid="{00000000-0005-0000-0000-0000751C0000}"/>
    <cellStyle name="Normal 4 3 2 2 2 2 3 3 3 2" xfId="6873" xr:uid="{00000000-0005-0000-0000-0000761C0000}"/>
    <cellStyle name="Normal 4 3 2 2 2 2 3 3 3 2 2" xfId="13234" xr:uid="{00000000-0005-0000-0000-0000771C0000}"/>
    <cellStyle name="Normal 4 3 2 2 2 2 3 3 3 3" xfId="10055" xr:uid="{00000000-0005-0000-0000-0000781C0000}"/>
    <cellStyle name="Normal 4 3 2 2 2 2 3 3 4" xfId="5289" xr:uid="{00000000-0005-0000-0000-0000791C0000}"/>
    <cellStyle name="Normal 4 3 2 2 2 2 3 3 4 2" xfId="11650" xr:uid="{00000000-0005-0000-0000-00007A1C0000}"/>
    <cellStyle name="Normal 4 3 2 2 2 2 3 3 5" xfId="8471" xr:uid="{00000000-0005-0000-0000-00007B1C0000}"/>
    <cellStyle name="Normal 4 3 2 2 2 2 3 4" xfId="2457" xr:uid="{00000000-0005-0000-0000-00007C1C0000}"/>
    <cellStyle name="Normal 4 3 2 2 2 2 3 4 2" xfId="4041" xr:uid="{00000000-0005-0000-0000-00007D1C0000}"/>
    <cellStyle name="Normal 4 3 2 2 2 2 3 4 2 2" xfId="7269" xr:uid="{00000000-0005-0000-0000-00007E1C0000}"/>
    <cellStyle name="Normal 4 3 2 2 2 2 3 4 2 2 2" xfId="13630" xr:uid="{00000000-0005-0000-0000-00007F1C0000}"/>
    <cellStyle name="Normal 4 3 2 2 2 2 3 4 2 3" xfId="10451" xr:uid="{00000000-0005-0000-0000-0000801C0000}"/>
    <cellStyle name="Normal 4 3 2 2 2 2 3 4 3" xfId="5685" xr:uid="{00000000-0005-0000-0000-0000811C0000}"/>
    <cellStyle name="Normal 4 3 2 2 2 2 3 4 3 2" xfId="12046" xr:uid="{00000000-0005-0000-0000-0000821C0000}"/>
    <cellStyle name="Normal 4 3 2 2 2 2 3 4 4" xfId="8867" xr:uid="{00000000-0005-0000-0000-0000831C0000}"/>
    <cellStyle name="Normal 4 3 2 2 2 2 3 5" xfId="3249" xr:uid="{00000000-0005-0000-0000-0000841C0000}"/>
    <cellStyle name="Normal 4 3 2 2 2 2 3 5 2" xfId="6477" xr:uid="{00000000-0005-0000-0000-0000851C0000}"/>
    <cellStyle name="Normal 4 3 2 2 2 2 3 5 2 2" xfId="12838" xr:uid="{00000000-0005-0000-0000-0000861C0000}"/>
    <cellStyle name="Normal 4 3 2 2 2 2 3 5 3" xfId="9659" xr:uid="{00000000-0005-0000-0000-0000871C0000}"/>
    <cellStyle name="Normal 4 3 2 2 2 2 3 6" xfId="4893" xr:uid="{00000000-0005-0000-0000-0000881C0000}"/>
    <cellStyle name="Normal 4 3 2 2 2 2 3 6 2" xfId="11254" xr:uid="{00000000-0005-0000-0000-0000891C0000}"/>
    <cellStyle name="Normal 4 3 2 2 2 2 3 7" xfId="8075" xr:uid="{00000000-0005-0000-0000-00008A1C0000}"/>
    <cellStyle name="Normal 4 3 2 2 2 2 4" xfId="1730" xr:uid="{00000000-0005-0000-0000-00008B1C0000}"/>
    <cellStyle name="Normal 4 3 2 2 2 2 4 2" xfId="2126" xr:uid="{00000000-0005-0000-0000-00008C1C0000}"/>
    <cellStyle name="Normal 4 3 2 2 2 2 4 2 2" xfId="2918" xr:uid="{00000000-0005-0000-0000-00008D1C0000}"/>
    <cellStyle name="Normal 4 3 2 2 2 2 4 2 2 2" xfId="4502" xr:uid="{00000000-0005-0000-0000-00008E1C0000}"/>
    <cellStyle name="Normal 4 3 2 2 2 2 4 2 2 2 2" xfId="7730" xr:uid="{00000000-0005-0000-0000-00008F1C0000}"/>
    <cellStyle name="Normal 4 3 2 2 2 2 4 2 2 2 2 2" xfId="14091" xr:uid="{00000000-0005-0000-0000-0000901C0000}"/>
    <cellStyle name="Normal 4 3 2 2 2 2 4 2 2 2 3" xfId="10912" xr:uid="{00000000-0005-0000-0000-0000911C0000}"/>
    <cellStyle name="Normal 4 3 2 2 2 2 4 2 2 3" xfId="6146" xr:uid="{00000000-0005-0000-0000-0000921C0000}"/>
    <cellStyle name="Normal 4 3 2 2 2 2 4 2 2 3 2" xfId="12507" xr:uid="{00000000-0005-0000-0000-0000931C0000}"/>
    <cellStyle name="Normal 4 3 2 2 2 2 4 2 2 4" xfId="9328" xr:uid="{00000000-0005-0000-0000-0000941C0000}"/>
    <cellStyle name="Normal 4 3 2 2 2 2 4 2 3" xfId="3710" xr:uid="{00000000-0005-0000-0000-0000951C0000}"/>
    <cellStyle name="Normal 4 3 2 2 2 2 4 2 3 2" xfId="6938" xr:uid="{00000000-0005-0000-0000-0000961C0000}"/>
    <cellStyle name="Normal 4 3 2 2 2 2 4 2 3 2 2" xfId="13299" xr:uid="{00000000-0005-0000-0000-0000971C0000}"/>
    <cellStyle name="Normal 4 3 2 2 2 2 4 2 3 3" xfId="10120" xr:uid="{00000000-0005-0000-0000-0000981C0000}"/>
    <cellStyle name="Normal 4 3 2 2 2 2 4 2 4" xfId="5354" xr:uid="{00000000-0005-0000-0000-0000991C0000}"/>
    <cellStyle name="Normal 4 3 2 2 2 2 4 2 4 2" xfId="11715" xr:uid="{00000000-0005-0000-0000-00009A1C0000}"/>
    <cellStyle name="Normal 4 3 2 2 2 2 4 2 5" xfId="8536" xr:uid="{00000000-0005-0000-0000-00009B1C0000}"/>
    <cellStyle name="Normal 4 3 2 2 2 2 4 3" xfId="2522" xr:uid="{00000000-0005-0000-0000-00009C1C0000}"/>
    <cellStyle name="Normal 4 3 2 2 2 2 4 3 2" xfId="4106" xr:uid="{00000000-0005-0000-0000-00009D1C0000}"/>
    <cellStyle name="Normal 4 3 2 2 2 2 4 3 2 2" xfId="7334" xr:uid="{00000000-0005-0000-0000-00009E1C0000}"/>
    <cellStyle name="Normal 4 3 2 2 2 2 4 3 2 2 2" xfId="13695" xr:uid="{00000000-0005-0000-0000-00009F1C0000}"/>
    <cellStyle name="Normal 4 3 2 2 2 2 4 3 2 3" xfId="10516" xr:uid="{00000000-0005-0000-0000-0000A01C0000}"/>
    <cellStyle name="Normal 4 3 2 2 2 2 4 3 3" xfId="5750" xr:uid="{00000000-0005-0000-0000-0000A11C0000}"/>
    <cellStyle name="Normal 4 3 2 2 2 2 4 3 3 2" xfId="12111" xr:uid="{00000000-0005-0000-0000-0000A21C0000}"/>
    <cellStyle name="Normal 4 3 2 2 2 2 4 3 4" xfId="8932" xr:uid="{00000000-0005-0000-0000-0000A31C0000}"/>
    <cellStyle name="Normal 4 3 2 2 2 2 4 4" xfId="3314" xr:uid="{00000000-0005-0000-0000-0000A41C0000}"/>
    <cellStyle name="Normal 4 3 2 2 2 2 4 4 2" xfId="6542" xr:uid="{00000000-0005-0000-0000-0000A51C0000}"/>
    <cellStyle name="Normal 4 3 2 2 2 2 4 4 2 2" xfId="12903" xr:uid="{00000000-0005-0000-0000-0000A61C0000}"/>
    <cellStyle name="Normal 4 3 2 2 2 2 4 4 3" xfId="9724" xr:uid="{00000000-0005-0000-0000-0000A71C0000}"/>
    <cellStyle name="Normal 4 3 2 2 2 2 4 5" xfId="4958" xr:uid="{00000000-0005-0000-0000-0000A81C0000}"/>
    <cellStyle name="Normal 4 3 2 2 2 2 4 5 2" xfId="11319" xr:uid="{00000000-0005-0000-0000-0000A91C0000}"/>
    <cellStyle name="Normal 4 3 2 2 2 2 4 6" xfId="8140" xr:uid="{00000000-0005-0000-0000-0000AA1C0000}"/>
    <cellStyle name="Normal 4 3 2 2 2 2 5" xfId="1928" xr:uid="{00000000-0005-0000-0000-0000AB1C0000}"/>
    <cellStyle name="Normal 4 3 2 2 2 2 5 2" xfId="2720" xr:uid="{00000000-0005-0000-0000-0000AC1C0000}"/>
    <cellStyle name="Normal 4 3 2 2 2 2 5 2 2" xfId="4304" xr:uid="{00000000-0005-0000-0000-0000AD1C0000}"/>
    <cellStyle name="Normal 4 3 2 2 2 2 5 2 2 2" xfId="7532" xr:uid="{00000000-0005-0000-0000-0000AE1C0000}"/>
    <cellStyle name="Normal 4 3 2 2 2 2 5 2 2 2 2" xfId="13893" xr:uid="{00000000-0005-0000-0000-0000AF1C0000}"/>
    <cellStyle name="Normal 4 3 2 2 2 2 5 2 2 3" xfId="10714" xr:uid="{00000000-0005-0000-0000-0000B01C0000}"/>
    <cellStyle name="Normal 4 3 2 2 2 2 5 2 3" xfId="5948" xr:uid="{00000000-0005-0000-0000-0000B11C0000}"/>
    <cellStyle name="Normal 4 3 2 2 2 2 5 2 3 2" xfId="12309" xr:uid="{00000000-0005-0000-0000-0000B21C0000}"/>
    <cellStyle name="Normal 4 3 2 2 2 2 5 2 4" xfId="9130" xr:uid="{00000000-0005-0000-0000-0000B31C0000}"/>
    <cellStyle name="Normal 4 3 2 2 2 2 5 3" xfId="3512" xr:uid="{00000000-0005-0000-0000-0000B41C0000}"/>
    <cellStyle name="Normal 4 3 2 2 2 2 5 3 2" xfId="6740" xr:uid="{00000000-0005-0000-0000-0000B51C0000}"/>
    <cellStyle name="Normal 4 3 2 2 2 2 5 3 2 2" xfId="13101" xr:uid="{00000000-0005-0000-0000-0000B61C0000}"/>
    <cellStyle name="Normal 4 3 2 2 2 2 5 3 3" xfId="9922" xr:uid="{00000000-0005-0000-0000-0000B71C0000}"/>
    <cellStyle name="Normal 4 3 2 2 2 2 5 4" xfId="5156" xr:uid="{00000000-0005-0000-0000-0000B81C0000}"/>
    <cellStyle name="Normal 4 3 2 2 2 2 5 4 2" xfId="11517" xr:uid="{00000000-0005-0000-0000-0000B91C0000}"/>
    <cellStyle name="Normal 4 3 2 2 2 2 5 5" xfId="8338" xr:uid="{00000000-0005-0000-0000-0000BA1C0000}"/>
    <cellStyle name="Normal 4 3 2 2 2 2 6" xfId="2324" xr:uid="{00000000-0005-0000-0000-0000BB1C0000}"/>
    <cellStyle name="Normal 4 3 2 2 2 2 6 2" xfId="3908" xr:uid="{00000000-0005-0000-0000-0000BC1C0000}"/>
    <cellStyle name="Normal 4 3 2 2 2 2 6 2 2" xfId="7136" xr:uid="{00000000-0005-0000-0000-0000BD1C0000}"/>
    <cellStyle name="Normal 4 3 2 2 2 2 6 2 2 2" xfId="13497" xr:uid="{00000000-0005-0000-0000-0000BE1C0000}"/>
    <cellStyle name="Normal 4 3 2 2 2 2 6 2 3" xfId="10318" xr:uid="{00000000-0005-0000-0000-0000BF1C0000}"/>
    <cellStyle name="Normal 4 3 2 2 2 2 6 3" xfId="5552" xr:uid="{00000000-0005-0000-0000-0000C01C0000}"/>
    <cellStyle name="Normal 4 3 2 2 2 2 6 3 2" xfId="11913" xr:uid="{00000000-0005-0000-0000-0000C11C0000}"/>
    <cellStyle name="Normal 4 3 2 2 2 2 6 4" xfId="8734" xr:uid="{00000000-0005-0000-0000-0000C21C0000}"/>
    <cellStyle name="Normal 4 3 2 2 2 2 7" xfId="3116" xr:uid="{00000000-0005-0000-0000-0000C31C0000}"/>
    <cellStyle name="Normal 4 3 2 2 2 2 7 2" xfId="6344" xr:uid="{00000000-0005-0000-0000-0000C41C0000}"/>
    <cellStyle name="Normal 4 3 2 2 2 2 7 2 2" xfId="12705" xr:uid="{00000000-0005-0000-0000-0000C51C0000}"/>
    <cellStyle name="Normal 4 3 2 2 2 2 7 3" xfId="9526" xr:uid="{00000000-0005-0000-0000-0000C61C0000}"/>
    <cellStyle name="Normal 4 3 2 2 2 2 8" xfId="4760" xr:uid="{00000000-0005-0000-0000-0000C71C0000}"/>
    <cellStyle name="Normal 4 3 2 2 2 2 8 2" xfId="11121" xr:uid="{00000000-0005-0000-0000-0000C81C0000}"/>
    <cellStyle name="Normal 4 3 2 2 2 2 9" xfId="7942" xr:uid="{00000000-0005-0000-0000-0000C91C0000}"/>
    <cellStyle name="Normal 4 3 2 2 2 3" xfId="1565" xr:uid="{00000000-0005-0000-0000-0000CA1C0000}"/>
    <cellStyle name="Normal 4 3 2 2 2 3 2" xfId="1763" xr:uid="{00000000-0005-0000-0000-0000CB1C0000}"/>
    <cellStyle name="Normal 4 3 2 2 2 3 2 2" xfId="2159" xr:uid="{00000000-0005-0000-0000-0000CC1C0000}"/>
    <cellStyle name="Normal 4 3 2 2 2 3 2 2 2" xfId="2951" xr:uid="{00000000-0005-0000-0000-0000CD1C0000}"/>
    <cellStyle name="Normal 4 3 2 2 2 3 2 2 2 2" xfId="4535" xr:uid="{00000000-0005-0000-0000-0000CE1C0000}"/>
    <cellStyle name="Normal 4 3 2 2 2 3 2 2 2 2 2" xfId="7763" xr:uid="{00000000-0005-0000-0000-0000CF1C0000}"/>
    <cellStyle name="Normal 4 3 2 2 2 3 2 2 2 2 2 2" xfId="14124" xr:uid="{00000000-0005-0000-0000-0000D01C0000}"/>
    <cellStyle name="Normal 4 3 2 2 2 3 2 2 2 2 3" xfId="10945" xr:uid="{00000000-0005-0000-0000-0000D11C0000}"/>
    <cellStyle name="Normal 4 3 2 2 2 3 2 2 2 3" xfId="6179" xr:uid="{00000000-0005-0000-0000-0000D21C0000}"/>
    <cellStyle name="Normal 4 3 2 2 2 3 2 2 2 3 2" xfId="12540" xr:uid="{00000000-0005-0000-0000-0000D31C0000}"/>
    <cellStyle name="Normal 4 3 2 2 2 3 2 2 2 4" xfId="9361" xr:uid="{00000000-0005-0000-0000-0000D41C0000}"/>
    <cellStyle name="Normal 4 3 2 2 2 3 2 2 3" xfId="3743" xr:uid="{00000000-0005-0000-0000-0000D51C0000}"/>
    <cellStyle name="Normal 4 3 2 2 2 3 2 2 3 2" xfId="6971" xr:uid="{00000000-0005-0000-0000-0000D61C0000}"/>
    <cellStyle name="Normal 4 3 2 2 2 3 2 2 3 2 2" xfId="13332" xr:uid="{00000000-0005-0000-0000-0000D71C0000}"/>
    <cellStyle name="Normal 4 3 2 2 2 3 2 2 3 3" xfId="10153" xr:uid="{00000000-0005-0000-0000-0000D81C0000}"/>
    <cellStyle name="Normal 4 3 2 2 2 3 2 2 4" xfId="5387" xr:uid="{00000000-0005-0000-0000-0000D91C0000}"/>
    <cellStyle name="Normal 4 3 2 2 2 3 2 2 4 2" xfId="11748" xr:uid="{00000000-0005-0000-0000-0000DA1C0000}"/>
    <cellStyle name="Normal 4 3 2 2 2 3 2 2 5" xfId="8569" xr:uid="{00000000-0005-0000-0000-0000DB1C0000}"/>
    <cellStyle name="Normal 4 3 2 2 2 3 2 3" xfId="2555" xr:uid="{00000000-0005-0000-0000-0000DC1C0000}"/>
    <cellStyle name="Normal 4 3 2 2 2 3 2 3 2" xfId="4139" xr:uid="{00000000-0005-0000-0000-0000DD1C0000}"/>
    <cellStyle name="Normal 4 3 2 2 2 3 2 3 2 2" xfId="7367" xr:uid="{00000000-0005-0000-0000-0000DE1C0000}"/>
    <cellStyle name="Normal 4 3 2 2 2 3 2 3 2 2 2" xfId="13728" xr:uid="{00000000-0005-0000-0000-0000DF1C0000}"/>
    <cellStyle name="Normal 4 3 2 2 2 3 2 3 2 3" xfId="10549" xr:uid="{00000000-0005-0000-0000-0000E01C0000}"/>
    <cellStyle name="Normal 4 3 2 2 2 3 2 3 3" xfId="5783" xr:uid="{00000000-0005-0000-0000-0000E11C0000}"/>
    <cellStyle name="Normal 4 3 2 2 2 3 2 3 3 2" xfId="12144" xr:uid="{00000000-0005-0000-0000-0000E21C0000}"/>
    <cellStyle name="Normal 4 3 2 2 2 3 2 3 4" xfId="8965" xr:uid="{00000000-0005-0000-0000-0000E31C0000}"/>
    <cellStyle name="Normal 4 3 2 2 2 3 2 4" xfId="3347" xr:uid="{00000000-0005-0000-0000-0000E41C0000}"/>
    <cellStyle name="Normal 4 3 2 2 2 3 2 4 2" xfId="6575" xr:uid="{00000000-0005-0000-0000-0000E51C0000}"/>
    <cellStyle name="Normal 4 3 2 2 2 3 2 4 2 2" xfId="12936" xr:uid="{00000000-0005-0000-0000-0000E61C0000}"/>
    <cellStyle name="Normal 4 3 2 2 2 3 2 4 3" xfId="9757" xr:uid="{00000000-0005-0000-0000-0000E71C0000}"/>
    <cellStyle name="Normal 4 3 2 2 2 3 2 5" xfId="4991" xr:uid="{00000000-0005-0000-0000-0000E81C0000}"/>
    <cellStyle name="Normal 4 3 2 2 2 3 2 5 2" xfId="11352" xr:uid="{00000000-0005-0000-0000-0000E91C0000}"/>
    <cellStyle name="Normal 4 3 2 2 2 3 2 6" xfId="8173" xr:uid="{00000000-0005-0000-0000-0000EA1C0000}"/>
    <cellStyle name="Normal 4 3 2 2 2 3 3" xfId="1961" xr:uid="{00000000-0005-0000-0000-0000EB1C0000}"/>
    <cellStyle name="Normal 4 3 2 2 2 3 3 2" xfId="2753" xr:uid="{00000000-0005-0000-0000-0000EC1C0000}"/>
    <cellStyle name="Normal 4 3 2 2 2 3 3 2 2" xfId="4337" xr:uid="{00000000-0005-0000-0000-0000ED1C0000}"/>
    <cellStyle name="Normal 4 3 2 2 2 3 3 2 2 2" xfId="7565" xr:uid="{00000000-0005-0000-0000-0000EE1C0000}"/>
    <cellStyle name="Normal 4 3 2 2 2 3 3 2 2 2 2" xfId="13926" xr:uid="{00000000-0005-0000-0000-0000EF1C0000}"/>
    <cellStyle name="Normal 4 3 2 2 2 3 3 2 2 3" xfId="10747" xr:uid="{00000000-0005-0000-0000-0000F01C0000}"/>
    <cellStyle name="Normal 4 3 2 2 2 3 3 2 3" xfId="5981" xr:uid="{00000000-0005-0000-0000-0000F11C0000}"/>
    <cellStyle name="Normal 4 3 2 2 2 3 3 2 3 2" xfId="12342" xr:uid="{00000000-0005-0000-0000-0000F21C0000}"/>
    <cellStyle name="Normal 4 3 2 2 2 3 3 2 4" xfId="9163" xr:uid="{00000000-0005-0000-0000-0000F31C0000}"/>
    <cellStyle name="Normal 4 3 2 2 2 3 3 3" xfId="3545" xr:uid="{00000000-0005-0000-0000-0000F41C0000}"/>
    <cellStyle name="Normal 4 3 2 2 2 3 3 3 2" xfId="6773" xr:uid="{00000000-0005-0000-0000-0000F51C0000}"/>
    <cellStyle name="Normal 4 3 2 2 2 3 3 3 2 2" xfId="13134" xr:uid="{00000000-0005-0000-0000-0000F61C0000}"/>
    <cellStyle name="Normal 4 3 2 2 2 3 3 3 3" xfId="9955" xr:uid="{00000000-0005-0000-0000-0000F71C0000}"/>
    <cellStyle name="Normal 4 3 2 2 2 3 3 4" xfId="5189" xr:uid="{00000000-0005-0000-0000-0000F81C0000}"/>
    <cellStyle name="Normal 4 3 2 2 2 3 3 4 2" xfId="11550" xr:uid="{00000000-0005-0000-0000-0000F91C0000}"/>
    <cellStyle name="Normal 4 3 2 2 2 3 3 5" xfId="8371" xr:uid="{00000000-0005-0000-0000-0000FA1C0000}"/>
    <cellStyle name="Normal 4 3 2 2 2 3 4" xfId="2357" xr:uid="{00000000-0005-0000-0000-0000FB1C0000}"/>
    <cellStyle name="Normal 4 3 2 2 2 3 4 2" xfId="3941" xr:uid="{00000000-0005-0000-0000-0000FC1C0000}"/>
    <cellStyle name="Normal 4 3 2 2 2 3 4 2 2" xfId="7169" xr:uid="{00000000-0005-0000-0000-0000FD1C0000}"/>
    <cellStyle name="Normal 4 3 2 2 2 3 4 2 2 2" xfId="13530" xr:uid="{00000000-0005-0000-0000-0000FE1C0000}"/>
    <cellStyle name="Normal 4 3 2 2 2 3 4 2 3" xfId="10351" xr:uid="{00000000-0005-0000-0000-0000FF1C0000}"/>
    <cellStyle name="Normal 4 3 2 2 2 3 4 3" xfId="5585" xr:uid="{00000000-0005-0000-0000-0000001D0000}"/>
    <cellStyle name="Normal 4 3 2 2 2 3 4 3 2" xfId="11946" xr:uid="{00000000-0005-0000-0000-0000011D0000}"/>
    <cellStyle name="Normal 4 3 2 2 2 3 4 4" xfId="8767" xr:uid="{00000000-0005-0000-0000-0000021D0000}"/>
    <cellStyle name="Normal 4 3 2 2 2 3 5" xfId="3149" xr:uid="{00000000-0005-0000-0000-0000031D0000}"/>
    <cellStyle name="Normal 4 3 2 2 2 3 5 2" xfId="6377" xr:uid="{00000000-0005-0000-0000-0000041D0000}"/>
    <cellStyle name="Normal 4 3 2 2 2 3 5 2 2" xfId="12738" xr:uid="{00000000-0005-0000-0000-0000051D0000}"/>
    <cellStyle name="Normal 4 3 2 2 2 3 5 3" xfId="9559" xr:uid="{00000000-0005-0000-0000-0000061D0000}"/>
    <cellStyle name="Normal 4 3 2 2 2 3 6" xfId="4793" xr:uid="{00000000-0005-0000-0000-0000071D0000}"/>
    <cellStyle name="Normal 4 3 2 2 2 3 6 2" xfId="11154" xr:uid="{00000000-0005-0000-0000-0000081D0000}"/>
    <cellStyle name="Normal 4 3 2 2 2 3 7" xfId="7975" xr:uid="{00000000-0005-0000-0000-0000091D0000}"/>
    <cellStyle name="Normal 4 3 2 2 2 4" xfId="1633" xr:uid="{00000000-0005-0000-0000-00000A1D0000}"/>
    <cellStyle name="Normal 4 3 2 2 2 4 2" xfId="1831" xr:uid="{00000000-0005-0000-0000-00000B1D0000}"/>
    <cellStyle name="Normal 4 3 2 2 2 4 2 2" xfId="2227" xr:uid="{00000000-0005-0000-0000-00000C1D0000}"/>
    <cellStyle name="Normal 4 3 2 2 2 4 2 2 2" xfId="3019" xr:uid="{00000000-0005-0000-0000-00000D1D0000}"/>
    <cellStyle name="Normal 4 3 2 2 2 4 2 2 2 2" xfId="4603" xr:uid="{00000000-0005-0000-0000-00000E1D0000}"/>
    <cellStyle name="Normal 4 3 2 2 2 4 2 2 2 2 2" xfId="7831" xr:uid="{00000000-0005-0000-0000-00000F1D0000}"/>
    <cellStyle name="Normal 4 3 2 2 2 4 2 2 2 2 2 2" xfId="14192" xr:uid="{00000000-0005-0000-0000-0000101D0000}"/>
    <cellStyle name="Normal 4 3 2 2 2 4 2 2 2 2 3" xfId="11013" xr:uid="{00000000-0005-0000-0000-0000111D0000}"/>
    <cellStyle name="Normal 4 3 2 2 2 4 2 2 2 3" xfId="6247" xr:uid="{00000000-0005-0000-0000-0000121D0000}"/>
    <cellStyle name="Normal 4 3 2 2 2 4 2 2 2 3 2" xfId="12608" xr:uid="{00000000-0005-0000-0000-0000131D0000}"/>
    <cellStyle name="Normal 4 3 2 2 2 4 2 2 2 4" xfId="9429" xr:uid="{00000000-0005-0000-0000-0000141D0000}"/>
    <cellStyle name="Normal 4 3 2 2 2 4 2 2 3" xfId="3811" xr:uid="{00000000-0005-0000-0000-0000151D0000}"/>
    <cellStyle name="Normal 4 3 2 2 2 4 2 2 3 2" xfId="7039" xr:uid="{00000000-0005-0000-0000-0000161D0000}"/>
    <cellStyle name="Normal 4 3 2 2 2 4 2 2 3 2 2" xfId="13400" xr:uid="{00000000-0005-0000-0000-0000171D0000}"/>
    <cellStyle name="Normal 4 3 2 2 2 4 2 2 3 3" xfId="10221" xr:uid="{00000000-0005-0000-0000-0000181D0000}"/>
    <cellStyle name="Normal 4 3 2 2 2 4 2 2 4" xfId="5455" xr:uid="{00000000-0005-0000-0000-0000191D0000}"/>
    <cellStyle name="Normal 4 3 2 2 2 4 2 2 4 2" xfId="11816" xr:uid="{00000000-0005-0000-0000-00001A1D0000}"/>
    <cellStyle name="Normal 4 3 2 2 2 4 2 2 5" xfId="8637" xr:uid="{00000000-0005-0000-0000-00001B1D0000}"/>
    <cellStyle name="Normal 4 3 2 2 2 4 2 3" xfId="2623" xr:uid="{00000000-0005-0000-0000-00001C1D0000}"/>
    <cellStyle name="Normal 4 3 2 2 2 4 2 3 2" xfId="4207" xr:uid="{00000000-0005-0000-0000-00001D1D0000}"/>
    <cellStyle name="Normal 4 3 2 2 2 4 2 3 2 2" xfId="7435" xr:uid="{00000000-0005-0000-0000-00001E1D0000}"/>
    <cellStyle name="Normal 4 3 2 2 2 4 2 3 2 2 2" xfId="13796" xr:uid="{00000000-0005-0000-0000-00001F1D0000}"/>
    <cellStyle name="Normal 4 3 2 2 2 4 2 3 2 3" xfId="10617" xr:uid="{00000000-0005-0000-0000-0000201D0000}"/>
    <cellStyle name="Normal 4 3 2 2 2 4 2 3 3" xfId="5851" xr:uid="{00000000-0005-0000-0000-0000211D0000}"/>
    <cellStyle name="Normal 4 3 2 2 2 4 2 3 3 2" xfId="12212" xr:uid="{00000000-0005-0000-0000-0000221D0000}"/>
    <cellStyle name="Normal 4 3 2 2 2 4 2 3 4" xfId="9033" xr:uid="{00000000-0005-0000-0000-0000231D0000}"/>
    <cellStyle name="Normal 4 3 2 2 2 4 2 4" xfId="3415" xr:uid="{00000000-0005-0000-0000-0000241D0000}"/>
    <cellStyle name="Normal 4 3 2 2 2 4 2 4 2" xfId="6643" xr:uid="{00000000-0005-0000-0000-0000251D0000}"/>
    <cellStyle name="Normal 4 3 2 2 2 4 2 4 2 2" xfId="13004" xr:uid="{00000000-0005-0000-0000-0000261D0000}"/>
    <cellStyle name="Normal 4 3 2 2 2 4 2 4 3" xfId="9825" xr:uid="{00000000-0005-0000-0000-0000271D0000}"/>
    <cellStyle name="Normal 4 3 2 2 2 4 2 5" xfId="5059" xr:uid="{00000000-0005-0000-0000-0000281D0000}"/>
    <cellStyle name="Normal 4 3 2 2 2 4 2 5 2" xfId="11420" xr:uid="{00000000-0005-0000-0000-0000291D0000}"/>
    <cellStyle name="Normal 4 3 2 2 2 4 2 6" xfId="8241" xr:uid="{00000000-0005-0000-0000-00002A1D0000}"/>
    <cellStyle name="Normal 4 3 2 2 2 4 3" xfId="2029" xr:uid="{00000000-0005-0000-0000-00002B1D0000}"/>
    <cellStyle name="Normal 4 3 2 2 2 4 3 2" xfId="2821" xr:uid="{00000000-0005-0000-0000-00002C1D0000}"/>
    <cellStyle name="Normal 4 3 2 2 2 4 3 2 2" xfId="4405" xr:uid="{00000000-0005-0000-0000-00002D1D0000}"/>
    <cellStyle name="Normal 4 3 2 2 2 4 3 2 2 2" xfId="7633" xr:uid="{00000000-0005-0000-0000-00002E1D0000}"/>
    <cellStyle name="Normal 4 3 2 2 2 4 3 2 2 2 2" xfId="13994" xr:uid="{00000000-0005-0000-0000-00002F1D0000}"/>
    <cellStyle name="Normal 4 3 2 2 2 4 3 2 2 3" xfId="10815" xr:uid="{00000000-0005-0000-0000-0000301D0000}"/>
    <cellStyle name="Normal 4 3 2 2 2 4 3 2 3" xfId="6049" xr:uid="{00000000-0005-0000-0000-0000311D0000}"/>
    <cellStyle name="Normal 4 3 2 2 2 4 3 2 3 2" xfId="12410" xr:uid="{00000000-0005-0000-0000-0000321D0000}"/>
    <cellStyle name="Normal 4 3 2 2 2 4 3 2 4" xfId="9231" xr:uid="{00000000-0005-0000-0000-0000331D0000}"/>
    <cellStyle name="Normal 4 3 2 2 2 4 3 3" xfId="3613" xr:uid="{00000000-0005-0000-0000-0000341D0000}"/>
    <cellStyle name="Normal 4 3 2 2 2 4 3 3 2" xfId="6841" xr:uid="{00000000-0005-0000-0000-0000351D0000}"/>
    <cellStyle name="Normal 4 3 2 2 2 4 3 3 2 2" xfId="13202" xr:uid="{00000000-0005-0000-0000-0000361D0000}"/>
    <cellStyle name="Normal 4 3 2 2 2 4 3 3 3" xfId="10023" xr:uid="{00000000-0005-0000-0000-0000371D0000}"/>
    <cellStyle name="Normal 4 3 2 2 2 4 3 4" xfId="5257" xr:uid="{00000000-0005-0000-0000-0000381D0000}"/>
    <cellStyle name="Normal 4 3 2 2 2 4 3 4 2" xfId="11618" xr:uid="{00000000-0005-0000-0000-0000391D0000}"/>
    <cellStyle name="Normal 4 3 2 2 2 4 3 5" xfId="8439" xr:uid="{00000000-0005-0000-0000-00003A1D0000}"/>
    <cellStyle name="Normal 4 3 2 2 2 4 4" xfId="2425" xr:uid="{00000000-0005-0000-0000-00003B1D0000}"/>
    <cellStyle name="Normal 4 3 2 2 2 4 4 2" xfId="4009" xr:uid="{00000000-0005-0000-0000-00003C1D0000}"/>
    <cellStyle name="Normal 4 3 2 2 2 4 4 2 2" xfId="7237" xr:uid="{00000000-0005-0000-0000-00003D1D0000}"/>
    <cellStyle name="Normal 4 3 2 2 2 4 4 2 2 2" xfId="13598" xr:uid="{00000000-0005-0000-0000-00003E1D0000}"/>
    <cellStyle name="Normal 4 3 2 2 2 4 4 2 3" xfId="10419" xr:uid="{00000000-0005-0000-0000-00003F1D0000}"/>
    <cellStyle name="Normal 4 3 2 2 2 4 4 3" xfId="5653" xr:uid="{00000000-0005-0000-0000-0000401D0000}"/>
    <cellStyle name="Normal 4 3 2 2 2 4 4 3 2" xfId="12014" xr:uid="{00000000-0005-0000-0000-0000411D0000}"/>
    <cellStyle name="Normal 4 3 2 2 2 4 4 4" xfId="8835" xr:uid="{00000000-0005-0000-0000-0000421D0000}"/>
    <cellStyle name="Normal 4 3 2 2 2 4 5" xfId="3217" xr:uid="{00000000-0005-0000-0000-0000431D0000}"/>
    <cellStyle name="Normal 4 3 2 2 2 4 5 2" xfId="6445" xr:uid="{00000000-0005-0000-0000-0000441D0000}"/>
    <cellStyle name="Normal 4 3 2 2 2 4 5 2 2" xfId="12806" xr:uid="{00000000-0005-0000-0000-0000451D0000}"/>
    <cellStyle name="Normal 4 3 2 2 2 4 5 3" xfId="9627" xr:uid="{00000000-0005-0000-0000-0000461D0000}"/>
    <cellStyle name="Normal 4 3 2 2 2 4 6" xfId="4861" xr:uid="{00000000-0005-0000-0000-0000471D0000}"/>
    <cellStyle name="Normal 4 3 2 2 2 4 6 2" xfId="11222" xr:uid="{00000000-0005-0000-0000-0000481D0000}"/>
    <cellStyle name="Normal 4 3 2 2 2 4 7" xfId="8043" xr:uid="{00000000-0005-0000-0000-0000491D0000}"/>
    <cellStyle name="Normal 4 3 2 2 2 5" xfId="1698" xr:uid="{00000000-0005-0000-0000-00004A1D0000}"/>
    <cellStyle name="Normal 4 3 2 2 2 5 2" xfId="2094" xr:uid="{00000000-0005-0000-0000-00004B1D0000}"/>
    <cellStyle name="Normal 4 3 2 2 2 5 2 2" xfId="2886" xr:uid="{00000000-0005-0000-0000-00004C1D0000}"/>
    <cellStyle name="Normal 4 3 2 2 2 5 2 2 2" xfId="4470" xr:uid="{00000000-0005-0000-0000-00004D1D0000}"/>
    <cellStyle name="Normal 4 3 2 2 2 5 2 2 2 2" xfId="7698" xr:uid="{00000000-0005-0000-0000-00004E1D0000}"/>
    <cellStyle name="Normal 4 3 2 2 2 5 2 2 2 2 2" xfId="14059" xr:uid="{00000000-0005-0000-0000-00004F1D0000}"/>
    <cellStyle name="Normal 4 3 2 2 2 5 2 2 2 3" xfId="10880" xr:uid="{00000000-0005-0000-0000-0000501D0000}"/>
    <cellStyle name="Normal 4 3 2 2 2 5 2 2 3" xfId="6114" xr:uid="{00000000-0005-0000-0000-0000511D0000}"/>
    <cellStyle name="Normal 4 3 2 2 2 5 2 2 3 2" xfId="12475" xr:uid="{00000000-0005-0000-0000-0000521D0000}"/>
    <cellStyle name="Normal 4 3 2 2 2 5 2 2 4" xfId="9296" xr:uid="{00000000-0005-0000-0000-0000531D0000}"/>
    <cellStyle name="Normal 4 3 2 2 2 5 2 3" xfId="3678" xr:uid="{00000000-0005-0000-0000-0000541D0000}"/>
    <cellStyle name="Normal 4 3 2 2 2 5 2 3 2" xfId="6906" xr:uid="{00000000-0005-0000-0000-0000551D0000}"/>
    <cellStyle name="Normal 4 3 2 2 2 5 2 3 2 2" xfId="13267" xr:uid="{00000000-0005-0000-0000-0000561D0000}"/>
    <cellStyle name="Normal 4 3 2 2 2 5 2 3 3" xfId="10088" xr:uid="{00000000-0005-0000-0000-0000571D0000}"/>
    <cellStyle name="Normal 4 3 2 2 2 5 2 4" xfId="5322" xr:uid="{00000000-0005-0000-0000-0000581D0000}"/>
    <cellStyle name="Normal 4 3 2 2 2 5 2 4 2" xfId="11683" xr:uid="{00000000-0005-0000-0000-0000591D0000}"/>
    <cellStyle name="Normal 4 3 2 2 2 5 2 5" xfId="8504" xr:uid="{00000000-0005-0000-0000-00005A1D0000}"/>
    <cellStyle name="Normal 4 3 2 2 2 5 3" xfId="2490" xr:uid="{00000000-0005-0000-0000-00005B1D0000}"/>
    <cellStyle name="Normal 4 3 2 2 2 5 3 2" xfId="4074" xr:uid="{00000000-0005-0000-0000-00005C1D0000}"/>
    <cellStyle name="Normal 4 3 2 2 2 5 3 2 2" xfId="7302" xr:uid="{00000000-0005-0000-0000-00005D1D0000}"/>
    <cellStyle name="Normal 4 3 2 2 2 5 3 2 2 2" xfId="13663" xr:uid="{00000000-0005-0000-0000-00005E1D0000}"/>
    <cellStyle name="Normal 4 3 2 2 2 5 3 2 3" xfId="10484" xr:uid="{00000000-0005-0000-0000-00005F1D0000}"/>
    <cellStyle name="Normal 4 3 2 2 2 5 3 3" xfId="5718" xr:uid="{00000000-0005-0000-0000-0000601D0000}"/>
    <cellStyle name="Normal 4 3 2 2 2 5 3 3 2" xfId="12079" xr:uid="{00000000-0005-0000-0000-0000611D0000}"/>
    <cellStyle name="Normal 4 3 2 2 2 5 3 4" xfId="8900" xr:uid="{00000000-0005-0000-0000-0000621D0000}"/>
    <cellStyle name="Normal 4 3 2 2 2 5 4" xfId="3282" xr:uid="{00000000-0005-0000-0000-0000631D0000}"/>
    <cellStyle name="Normal 4 3 2 2 2 5 4 2" xfId="6510" xr:uid="{00000000-0005-0000-0000-0000641D0000}"/>
    <cellStyle name="Normal 4 3 2 2 2 5 4 2 2" xfId="12871" xr:uid="{00000000-0005-0000-0000-0000651D0000}"/>
    <cellStyle name="Normal 4 3 2 2 2 5 4 3" xfId="9692" xr:uid="{00000000-0005-0000-0000-0000661D0000}"/>
    <cellStyle name="Normal 4 3 2 2 2 5 5" xfId="4926" xr:uid="{00000000-0005-0000-0000-0000671D0000}"/>
    <cellStyle name="Normal 4 3 2 2 2 5 5 2" xfId="11287" xr:uid="{00000000-0005-0000-0000-0000681D0000}"/>
    <cellStyle name="Normal 4 3 2 2 2 5 6" xfId="8108" xr:uid="{00000000-0005-0000-0000-0000691D0000}"/>
    <cellStyle name="Normal 4 3 2 2 2 6" xfId="1896" xr:uid="{00000000-0005-0000-0000-00006A1D0000}"/>
    <cellStyle name="Normal 4 3 2 2 2 6 2" xfId="2688" xr:uid="{00000000-0005-0000-0000-00006B1D0000}"/>
    <cellStyle name="Normal 4 3 2 2 2 6 2 2" xfId="4272" xr:uid="{00000000-0005-0000-0000-00006C1D0000}"/>
    <cellStyle name="Normal 4 3 2 2 2 6 2 2 2" xfId="7500" xr:uid="{00000000-0005-0000-0000-00006D1D0000}"/>
    <cellStyle name="Normal 4 3 2 2 2 6 2 2 2 2" xfId="13861" xr:uid="{00000000-0005-0000-0000-00006E1D0000}"/>
    <cellStyle name="Normal 4 3 2 2 2 6 2 2 3" xfId="10682" xr:uid="{00000000-0005-0000-0000-00006F1D0000}"/>
    <cellStyle name="Normal 4 3 2 2 2 6 2 3" xfId="5916" xr:uid="{00000000-0005-0000-0000-0000701D0000}"/>
    <cellStyle name="Normal 4 3 2 2 2 6 2 3 2" xfId="12277" xr:uid="{00000000-0005-0000-0000-0000711D0000}"/>
    <cellStyle name="Normal 4 3 2 2 2 6 2 4" xfId="9098" xr:uid="{00000000-0005-0000-0000-0000721D0000}"/>
    <cellStyle name="Normal 4 3 2 2 2 6 3" xfId="3480" xr:uid="{00000000-0005-0000-0000-0000731D0000}"/>
    <cellStyle name="Normal 4 3 2 2 2 6 3 2" xfId="6708" xr:uid="{00000000-0005-0000-0000-0000741D0000}"/>
    <cellStyle name="Normal 4 3 2 2 2 6 3 2 2" xfId="13069" xr:uid="{00000000-0005-0000-0000-0000751D0000}"/>
    <cellStyle name="Normal 4 3 2 2 2 6 3 3" xfId="9890" xr:uid="{00000000-0005-0000-0000-0000761D0000}"/>
    <cellStyle name="Normal 4 3 2 2 2 6 4" xfId="5124" xr:uid="{00000000-0005-0000-0000-0000771D0000}"/>
    <cellStyle name="Normal 4 3 2 2 2 6 4 2" xfId="11485" xr:uid="{00000000-0005-0000-0000-0000781D0000}"/>
    <cellStyle name="Normal 4 3 2 2 2 6 5" xfId="8306" xr:uid="{00000000-0005-0000-0000-0000791D0000}"/>
    <cellStyle name="Normal 4 3 2 2 2 7" xfId="2292" xr:uid="{00000000-0005-0000-0000-00007A1D0000}"/>
    <cellStyle name="Normal 4 3 2 2 2 7 2" xfId="3876" xr:uid="{00000000-0005-0000-0000-00007B1D0000}"/>
    <cellStyle name="Normal 4 3 2 2 2 7 2 2" xfId="7104" xr:uid="{00000000-0005-0000-0000-00007C1D0000}"/>
    <cellStyle name="Normal 4 3 2 2 2 7 2 2 2" xfId="13465" xr:uid="{00000000-0005-0000-0000-00007D1D0000}"/>
    <cellStyle name="Normal 4 3 2 2 2 7 2 3" xfId="10286" xr:uid="{00000000-0005-0000-0000-00007E1D0000}"/>
    <cellStyle name="Normal 4 3 2 2 2 7 3" xfId="5520" xr:uid="{00000000-0005-0000-0000-00007F1D0000}"/>
    <cellStyle name="Normal 4 3 2 2 2 7 3 2" xfId="11881" xr:uid="{00000000-0005-0000-0000-0000801D0000}"/>
    <cellStyle name="Normal 4 3 2 2 2 7 4" xfId="8702" xr:uid="{00000000-0005-0000-0000-0000811D0000}"/>
    <cellStyle name="Normal 4 3 2 2 2 8" xfId="3084" xr:uid="{00000000-0005-0000-0000-0000821D0000}"/>
    <cellStyle name="Normal 4 3 2 2 2 8 2" xfId="6312" xr:uid="{00000000-0005-0000-0000-0000831D0000}"/>
    <cellStyle name="Normal 4 3 2 2 2 8 2 2" xfId="12673" xr:uid="{00000000-0005-0000-0000-0000841D0000}"/>
    <cellStyle name="Normal 4 3 2 2 2 8 3" xfId="9494" xr:uid="{00000000-0005-0000-0000-0000851D0000}"/>
    <cellStyle name="Normal 4 3 2 2 2 9" xfId="4728" xr:uid="{00000000-0005-0000-0000-0000861D0000}"/>
    <cellStyle name="Normal 4 3 2 2 2 9 2" xfId="11089" xr:uid="{00000000-0005-0000-0000-0000871D0000}"/>
    <cellStyle name="Normal 4 3 2 2 3" xfId="1469" xr:uid="{00000000-0005-0000-0000-0000881D0000}"/>
    <cellStyle name="Normal 4 3 2 2 3 2" xfId="1581" xr:uid="{00000000-0005-0000-0000-0000891D0000}"/>
    <cellStyle name="Normal 4 3 2 2 3 2 2" xfId="1779" xr:uid="{00000000-0005-0000-0000-00008A1D0000}"/>
    <cellStyle name="Normal 4 3 2 2 3 2 2 2" xfId="2175" xr:uid="{00000000-0005-0000-0000-00008B1D0000}"/>
    <cellStyle name="Normal 4 3 2 2 3 2 2 2 2" xfId="2967" xr:uid="{00000000-0005-0000-0000-00008C1D0000}"/>
    <cellStyle name="Normal 4 3 2 2 3 2 2 2 2 2" xfId="4551" xr:uid="{00000000-0005-0000-0000-00008D1D0000}"/>
    <cellStyle name="Normal 4 3 2 2 3 2 2 2 2 2 2" xfId="7779" xr:uid="{00000000-0005-0000-0000-00008E1D0000}"/>
    <cellStyle name="Normal 4 3 2 2 3 2 2 2 2 2 2 2" xfId="14140" xr:uid="{00000000-0005-0000-0000-00008F1D0000}"/>
    <cellStyle name="Normal 4 3 2 2 3 2 2 2 2 2 3" xfId="10961" xr:uid="{00000000-0005-0000-0000-0000901D0000}"/>
    <cellStyle name="Normal 4 3 2 2 3 2 2 2 2 3" xfId="6195" xr:uid="{00000000-0005-0000-0000-0000911D0000}"/>
    <cellStyle name="Normal 4 3 2 2 3 2 2 2 2 3 2" xfId="12556" xr:uid="{00000000-0005-0000-0000-0000921D0000}"/>
    <cellStyle name="Normal 4 3 2 2 3 2 2 2 2 4" xfId="9377" xr:uid="{00000000-0005-0000-0000-0000931D0000}"/>
    <cellStyle name="Normal 4 3 2 2 3 2 2 2 3" xfId="3759" xr:uid="{00000000-0005-0000-0000-0000941D0000}"/>
    <cellStyle name="Normal 4 3 2 2 3 2 2 2 3 2" xfId="6987" xr:uid="{00000000-0005-0000-0000-0000951D0000}"/>
    <cellStyle name="Normal 4 3 2 2 3 2 2 2 3 2 2" xfId="13348" xr:uid="{00000000-0005-0000-0000-0000961D0000}"/>
    <cellStyle name="Normal 4 3 2 2 3 2 2 2 3 3" xfId="10169" xr:uid="{00000000-0005-0000-0000-0000971D0000}"/>
    <cellStyle name="Normal 4 3 2 2 3 2 2 2 4" xfId="5403" xr:uid="{00000000-0005-0000-0000-0000981D0000}"/>
    <cellStyle name="Normal 4 3 2 2 3 2 2 2 4 2" xfId="11764" xr:uid="{00000000-0005-0000-0000-0000991D0000}"/>
    <cellStyle name="Normal 4 3 2 2 3 2 2 2 5" xfId="8585" xr:uid="{00000000-0005-0000-0000-00009A1D0000}"/>
    <cellStyle name="Normal 4 3 2 2 3 2 2 3" xfId="2571" xr:uid="{00000000-0005-0000-0000-00009B1D0000}"/>
    <cellStyle name="Normal 4 3 2 2 3 2 2 3 2" xfId="4155" xr:uid="{00000000-0005-0000-0000-00009C1D0000}"/>
    <cellStyle name="Normal 4 3 2 2 3 2 2 3 2 2" xfId="7383" xr:uid="{00000000-0005-0000-0000-00009D1D0000}"/>
    <cellStyle name="Normal 4 3 2 2 3 2 2 3 2 2 2" xfId="13744" xr:uid="{00000000-0005-0000-0000-00009E1D0000}"/>
    <cellStyle name="Normal 4 3 2 2 3 2 2 3 2 3" xfId="10565" xr:uid="{00000000-0005-0000-0000-00009F1D0000}"/>
    <cellStyle name="Normal 4 3 2 2 3 2 2 3 3" xfId="5799" xr:uid="{00000000-0005-0000-0000-0000A01D0000}"/>
    <cellStyle name="Normal 4 3 2 2 3 2 2 3 3 2" xfId="12160" xr:uid="{00000000-0005-0000-0000-0000A11D0000}"/>
    <cellStyle name="Normal 4 3 2 2 3 2 2 3 4" xfId="8981" xr:uid="{00000000-0005-0000-0000-0000A21D0000}"/>
    <cellStyle name="Normal 4 3 2 2 3 2 2 4" xfId="3363" xr:uid="{00000000-0005-0000-0000-0000A31D0000}"/>
    <cellStyle name="Normal 4 3 2 2 3 2 2 4 2" xfId="6591" xr:uid="{00000000-0005-0000-0000-0000A41D0000}"/>
    <cellStyle name="Normal 4 3 2 2 3 2 2 4 2 2" xfId="12952" xr:uid="{00000000-0005-0000-0000-0000A51D0000}"/>
    <cellStyle name="Normal 4 3 2 2 3 2 2 4 3" xfId="9773" xr:uid="{00000000-0005-0000-0000-0000A61D0000}"/>
    <cellStyle name="Normal 4 3 2 2 3 2 2 5" xfId="5007" xr:uid="{00000000-0005-0000-0000-0000A71D0000}"/>
    <cellStyle name="Normal 4 3 2 2 3 2 2 5 2" xfId="11368" xr:uid="{00000000-0005-0000-0000-0000A81D0000}"/>
    <cellStyle name="Normal 4 3 2 2 3 2 2 6" xfId="8189" xr:uid="{00000000-0005-0000-0000-0000A91D0000}"/>
    <cellStyle name="Normal 4 3 2 2 3 2 3" xfId="1977" xr:uid="{00000000-0005-0000-0000-0000AA1D0000}"/>
    <cellStyle name="Normal 4 3 2 2 3 2 3 2" xfId="2769" xr:uid="{00000000-0005-0000-0000-0000AB1D0000}"/>
    <cellStyle name="Normal 4 3 2 2 3 2 3 2 2" xfId="4353" xr:uid="{00000000-0005-0000-0000-0000AC1D0000}"/>
    <cellStyle name="Normal 4 3 2 2 3 2 3 2 2 2" xfId="7581" xr:uid="{00000000-0005-0000-0000-0000AD1D0000}"/>
    <cellStyle name="Normal 4 3 2 2 3 2 3 2 2 2 2" xfId="13942" xr:uid="{00000000-0005-0000-0000-0000AE1D0000}"/>
    <cellStyle name="Normal 4 3 2 2 3 2 3 2 2 3" xfId="10763" xr:uid="{00000000-0005-0000-0000-0000AF1D0000}"/>
    <cellStyle name="Normal 4 3 2 2 3 2 3 2 3" xfId="5997" xr:uid="{00000000-0005-0000-0000-0000B01D0000}"/>
    <cellStyle name="Normal 4 3 2 2 3 2 3 2 3 2" xfId="12358" xr:uid="{00000000-0005-0000-0000-0000B11D0000}"/>
    <cellStyle name="Normal 4 3 2 2 3 2 3 2 4" xfId="9179" xr:uid="{00000000-0005-0000-0000-0000B21D0000}"/>
    <cellStyle name="Normal 4 3 2 2 3 2 3 3" xfId="3561" xr:uid="{00000000-0005-0000-0000-0000B31D0000}"/>
    <cellStyle name="Normal 4 3 2 2 3 2 3 3 2" xfId="6789" xr:uid="{00000000-0005-0000-0000-0000B41D0000}"/>
    <cellStyle name="Normal 4 3 2 2 3 2 3 3 2 2" xfId="13150" xr:uid="{00000000-0005-0000-0000-0000B51D0000}"/>
    <cellStyle name="Normal 4 3 2 2 3 2 3 3 3" xfId="9971" xr:uid="{00000000-0005-0000-0000-0000B61D0000}"/>
    <cellStyle name="Normal 4 3 2 2 3 2 3 4" xfId="5205" xr:uid="{00000000-0005-0000-0000-0000B71D0000}"/>
    <cellStyle name="Normal 4 3 2 2 3 2 3 4 2" xfId="11566" xr:uid="{00000000-0005-0000-0000-0000B81D0000}"/>
    <cellStyle name="Normal 4 3 2 2 3 2 3 5" xfId="8387" xr:uid="{00000000-0005-0000-0000-0000B91D0000}"/>
    <cellStyle name="Normal 4 3 2 2 3 2 4" xfId="2373" xr:uid="{00000000-0005-0000-0000-0000BA1D0000}"/>
    <cellStyle name="Normal 4 3 2 2 3 2 4 2" xfId="3957" xr:uid="{00000000-0005-0000-0000-0000BB1D0000}"/>
    <cellStyle name="Normal 4 3 2 2 3 2 4 2 2" xfId="7185" xr:uid="{00000000-0005-0000-0000-0000BC1D0000}"/>
    <cellStyle name="Normal 4 3 2 2 3 2 4 2 2 2" xfId="13546" xr:uid="{00000000-0005-0000-0000-0000BD1D0000}"/>
    <cellStyle name="Normal 4 3 2 2 3 2 4 2 3" xfId="10367" xr:uid="{00000000-0005-0000-0000-0000BE1D0000}"/>
    <cellStyle name="Normal 4 3 2 2 3 2 4 3" xfId="5601" xr:uid="{00000000-0005-0000-0000-0000BF1D0000}"/>
    <cellStyle name="Normal 4 3 2 2 3 2 4 3 2" xfId="11962" xr:uid="{00000000-0005-0000-0000-0000C01D0000}"/>
    <cellStyle name="Normal 4 3 2 2 3 2 4 4" xfId="8783" xr:uid="{00000000-0005-0000-0000-0000C11D0000}"/>
    <cellStyle name="Normal 4 3 2 2 3 2 5" xfId="3165" xr:uid="{00000000-0005-0000-0000-0000C21D0000}"/>
    <cellStyle name="Normal 4 3 2 2 3 2 5 2" xfId="6393" xr:uid="{00000000-0005-0000-0000-0000C31D0000}"/>
    <cellStyle name="Normal 4 3 2 2 3 2 5 2 2" xfId="12754" xr:uid="{00000000-0005-0000-0000-0000C41D0000}"/>
    <cellStyle name="Normal 4 3 2 2 3 2 5 3" xfId="9575" xr:uid="{00000000-0005-0000-0000-0000C51D0000}"/>
    <cellStyle name="Normal 4 3 2 2 3 2 6" xfId="4809" xr:uid="{00000000-0005-0000-0000-0000C61D0000}"/>
    <cellStyle name="Normal 4 3 2 2 3 2 6 2" xfId="11170" xr:uid="{00000000-0005-0000-0000-0000C71D0000}"/>
    <cellStyle name="Normal 4 3 2 2 3 2 7" xfId="7991" xr:uid="{00000000-0005-0000-0000-0000C81D0000}"/>
    <cellStyle name="Normal 4 3 2 2 3 3" xfId="1649" xr:uid="{00000000-0005-0000-0000-0000C91D0000}"/>
    <cellStyle name="Normal 4 3 2 2 3 3 2" xfId="1847" xr:uid="{00000000-0005-0000-0000-0000CA1D0000}"/>
    <cellStyle name="Normal 4 3 2 2 3 3 2 2" xfId="2243" xr:uid="{00000000-0005-0000-0000-0000CB1D0000}"/>
    <cellStyle name="Normal 4 3 2 2 3 3 2 2 2" xfId="3035" xr:uid="{00000000-0005-0000-0000-0000CC1D0000}"/>
    <cellStyle name="Normal 4 3 2 2 3 3 2 2 2 2" xfId="4619" xr:uid="{00000000-0005-0000-0000-0000CD1D0000}"/>
    <cellStyle name="Normal 4 3 2 2 3 3 2 2 2 2 2" xfId="7847" xr:uid="{00000000-0005-0000-0000-0000CE1D0000}"/>
    <cellStyle name="Normal 4 3 2 2 3 3 2 2 2 2 2 2" xfId="14208" xr:uid="{00000000-0005-0000-0000-0000CF1D0000}"/>
    <cellStyle name="Normal 4 3 2 2 3 3 2 2 2 2 3" xfId="11029" xr:uid="{00000000-0005-0000-0000-0000D01D0000}"/>
    <cellStyle name="Normal 4 3 2 2 3 3 2 2 2 3" xfId="6263" xr:uid="{00000000-0005-0000-0000-0000D11D0000}"/>
    <cellStyle name="Normal 4 3 2 2 3 3 2 2 2 3 2" xfId="12624" xr:uid="{00000000-0005-0000-0000-0000D21D0000}"/>
    <cellStyle name="Normal 4 3 2 2 3 3 2 2 2 4" xfId="9445" xr:uid="{00000000-0005-0000-0000-0000D31D0000}"/>
    <cellStyle name="Normal 4 3 2 2 3 3 2 2 3" xfId="3827" xr:uid="{00000000-0005-0000-0000-0000D41D0000}"/>
    <cellStyle name="Normal 4 3 2 2 3 3 2 2 3 2" xfId="7055" xr:uid="{00000000-0005-0000-0000-0000D51D0000}"/>
    <cellStyle name="Normal 4 3 2 2 3 3 2 2 3 2 2" xfId="13416" xr:uid="{00000000-0005-0000-0000-0000D61D0000}"/>
    <cellStyle name="Normal 4 3 2 2 3 3 2 2 3 3" xfId="10237" xr:uid="{00000000-0005-0000-0000-0000D71D0000}"/>
    <cellStyle name="Normal 4 3 2 2 3 3 2 2 4" xfId="5471" xr:uid="{00000000-0005-0000-0000-0000D81D0000}"/>
    <cellStyle name="Normal 4 3 2 2 3 3 2 2 4 2" xfId="11832" xr:uid="{00000000-0005-0000-0000-0000D91D0000}"/>
    <cellStyle name="Normal 4 3 2 2 3 3 2 2 5" xfId="8653" xr:uid="{00000000-0005-0000-0000-0000DA1D0000}"/>
    <cellStyle name="Normal 4 3 2 2 3 3 2 3" xfId="2639" xr:uid="{00000000-0005-0000-0000-0000DB1D0000}"/>
    <cellStyle name="Normal 4 3 2 2 3 3 2 3 2" xfId="4223" xr:uid="{00000000-0005-0000-0000-0000DC1D0000}"/>
    <cellStyle name="Normal 4 3 2 2 3 3 2 3 2 2" xfId="7451" xr:uid="{00000000-0005-0000-0000-0000DD1D0000}"/>
    <cellStyle name="Normal 4 3 2 2 3 3 2 3 2 2 2" xfId="13812" xr:uid="{00000000-0005-0000-0000-0000DE1D0000}"/>
    <cellStyle name="Normal 4 3 2 2 3 3 2 3 2 3" xfId="10633" xr:uid="{00000000-0005-0000-0000-0000DF1D0000}"/>
    <cellStyle name="Normal 4 3 2 2 3 3 2 3 3" xfId="5867" xr:uid="{00000000-0005-0000-0000-0000E01D0000}"/>
    <cellStyle name="Normal 4 3 2 2 3 3 2 3 3 2" xfId="12228" xr:uid="{00000000-0005-0000-0000-0000E11D0000}"/>
    <cellStyle name="Normal 4 3 2 2 3 3 2 3 4" xfId="9049" xr:uid="{00000000-0005-0000-0000-0000E21D0000}"/>
    <cellStyle name="Normal 4 3 2 2 3 3 2 4" xfId="3431" xr:uid="{00000000-0005-0000-0000-0000E31D0000}"/>
    <cellStyle name="Normal 4 3 2 2 3 3 2 4 2" xfId="6659" xr:uid="{00000000-0005-0000-0000-0000E41D0000}"/>
    <cellStyle name="Normal 4 3 2 2 3 3 2 4 2 2" xfId="13020" xr:uid="{00000000-0005-0000-0000-0000E51D0000}"/>
    <cellStyle name="Normal 4 3 2 2 3 3 2 4 3" xfId="9841" xr:uid="{00000000-0005-0000-0000-0000E61D0000}"/>
    <cellStyle name="Normal 4 3 2 2 3 3 2 5" xfId="5075" xr:uid="{00000000-0005-0000-0000-0000E71D0000}"/>
    <cellStyle name="Normal 4 3 2 2 3 3 2 5 2" xfId="11436" xr:uid="{00000000-0005-0000-0000-0000E81D0000}"/>
    <cellStyle name="Normal 4 3 2 2 3 3 2 6" xfId="8257" xr:uid="{00000000-0005-0000-0000-0000E91D0000}"/>
    <cellStyle name="Normal 4 3 2 2 3 3 3" xfId="2045" xr:uid="{00000000-0005-0000-0000-0000EA1D0000}"/>
    <cellStyle name="Normal 4 3 2 2 3 3 3 2" xfId="2837" xr:uid="{00000000-0005-0000-0000-0000EB1D0000}"/>
    <cellStyle name="Normal 4 3 2 2 3 3 3 2 2" xfId="4421" xr:uid="{00000000-0005-0000-0000-0000EC1D0000}"/>
    <cellStyle name="Normal 4 3 2 2 3 3 3 2 2 2" xfId="7649" xr:uid="{00000000-0005-0000-0000-0000ED1D0000}"/>
    <cellStyle name="Normal 4 3 2 2 3 3 3 2 2 2 2" xfId="14010" xr:uid="{00000000-0005-0000-0000-0000EE1D0000}"/>
    <cellStyle name="Normal 4 3 2 2 3 3 3 2 2 3" xfId="10831" xr:uid="{00000000-0005-0000-0000-0000EF1D0000}"/>
    <cellStyle name="Normal 4 3 2 2 3 3 3 2 3" xfId="6065" xr:uid="{00000000-0005-0000-0000-0000F01D0000}"/>
    <cellStyle name="Normal 4 3 2 2 3 3 3 2 3 2" xfId="12426" xr:uid="{00000000-0005-0000-0000-0000F11D0000}"/>
    <cellStyle name="Normal 4 3 2 2 3 3 3 2 4" xfId="9247" xr:uid="{00000000-0005-0000-0000-0000F21D0000}"/>
    <cellStyle name="Normal 4 3 2 2 3 3 3 3" xfId="3629" xr:uid="{00000000-0005-0000-0000-0000F31D0000}"/>
    <cellStyle name="Normal 4 3 2 2 3 3 3 3 2" xfId="6857" xr:uid="{00000000-0005-0000-0000-0000F41D0000}"/>
    <cellStyle name="Normal 4 3 2 2 3 3 3 3 2 2" xfId="13218" xr:uid="{00000000-0005-0000-0000-0000F51D0000}"/>
    <cellStyle name="Normal 4 3 2 2 3 3 3 3 3" xfId="10039" xr:uid="{00000000-0005-0000-0000-0000F61D0000}"/>
    <cellStyle name="Normal 4 3 2 2 3 3 3 4" xfId="5273" xr:uid="{00000000-0005-0000-0000-0000F71D0000}"/>
    <cellStyle name="Normal 4 3 2 2 3 3 3 4 2" xfId="11634" xr:uid="{00000000-0005-0000-0000-0000F81D0000}"/>
    <cellStyle name="Normal 4 3 2 2 3 3 3 5" xfId="8455" xr:uid="{00000000-0005-0000-0000-0000F91D0000}"/>
    <cellStyle name="Normal 4 3 2 2 3 3 4" xfId="2441" xr:uid="{00000000-0005-0000-0000-0000FA1D0000}"/>
    <cellStyle name="Normal 4 3 2 2 3 3 4 2" xfId="4025" xr:uid="{00000000-0005-0000-0000-0000FB1D0000}"/>
    <cellStyle name="Normal 4 3 2 2 3 3 4 2 2" xfId="7253" xr:uid="{00000000-0005-0000-0000-0000FC1D0000}"/>
    <cellStyle name="Normal 4 3 2 2 3 3 4 2 2 2" xfId="13614" xr:uid="{00000000-0005-0000-0000-0000FD1D0000}"/>
    <cellStyle name="Normal 4 3 2 2 3 3 4 2 3" xfId="10435" xr:uid="{00000000-0005-0000-0000-0000FE1D0000}"/>
    <cellStyle name="Normal 4 3 2 2 3 3 4 3" xfId="5669" xr:uid="{00000000-0005-0000-0000-0000FF1D0000}"/>
    <cellStyle name="Normal 4 3 2 2 3 3 4 3 2" xfId="12030" xr:uid="{00000000-0005-0000-0000-0000001E0000}"/>
    <cellStyle name="Normal 4 3 2 2 3 3 4 4" xfId="8851" xr:uid="{00000000-0005-0000-0000-0000011E0000}"/>
    <cellStyle name="Normal 4 3 2 2 3 3 5" xfId="3233" xr:uid="{00000000-0005-0000-0000-0000021E0000}"/>
    <cellStyle name="Normal 4 3 2 2 3 3 5 2" xfId="6461" xr:uid="{00000000-0005-0000-0000-0000031E0000}"/>
    <cellStyle name="Normal 4 3 2 2 3 3 5 2 2" xfId="12822" xr:uid="{00000000-0005-0000-0000-0000041E0000}"/>
    <cellStyle name="Normal 4 3 2 2 3 3 5 3" xfId="9643" xr:uid="{00000000-0005-0000-0000-0000051E0000}"/>
    <cellStyle name="Normal 4 3 2 2 3 3 6" xfId="4877" xr:uid="{00000000-0005-0000-0000-0000061E0000}"/>
    <cellStyle name="Normal 4 3 2 2 3 3 6 2" xfId="11238" xr:uid="{00000000-0005-0000-0000-0000071E0000}"/>
    <cellStyle name="Normal 4 3 2 2 3 3 7" xfId="8059" xr:uid="{00000000-0005-0000-0000-0000081E0000}"/>
    <cellStyle name="Normal 4 3 2 2 3 4" xfId="1714" xr:uid="{00000000-0005-0000-0000-0000091E0000}"/>
    <cellStyle name="Normal 4 3 2 2 3 4 2" xfId="2110" xr:uid="{00000000-0005-0000-0000-00000A1E0000}"/>
    <cellStyle name="Normal 4 3 2 2 3 4 2 2" xfId="2902" xr:uid="{00000000-0005-0000-0000-00000B1E0000}"/>
    <cellStyle name="Normal 4 3 2 2 3 4 2 2 2" xfId="4486" xr:uid="{00000000-0005-0000-0000-00000C1E0000}"/>
    <cellStyle name="Normal 4 3 2 2 3 4 2 2 2 2" xfId="7714" xr:uid="{00000000-0005-0000-0000-00000D1E0000}"/>
    <cellStyle name="Normal 4 3 2 2 3 4 2 2 2 2 2" xfId="14075" xr:uid="{00000000-0005-0000-0000-00000E1E0000}"/>
    <cellStyle name="Normal 4 3 2 2 3 4 2 2 2 3" xfId="10896" xr:uid="{00000000-0005-0000-0000-00000F1E0000}"/>
    <cellStyle name="Normal 4 3 2 2 3 4 2 2 3" xfId="6130" xr:uid="{00000000-0005-0000-0000-0000101E0000}"/>
    <cellStyle name="Normal 4 3 2 2 3 4 2 2 3 2" xfId="12491" xr:uid="{00000000-0005-0000-0000-0000111E0000}"/>
    <cellStyle name="Normal 4 3 2 2 3 4 2 2 4" xfId="9312" xr:uid="{00000000-0005-0000-0000-0000121E0000}"/>
    <cellStyle name="Normal 4 3 2 2 3 4 2 3" xfId="3694" xr:uid="{00000000-0005-0000-0000-0000131E0000}"/>
    <cellStyle name="Normal 4 3 2 2 3 4 2 3 2" xfId="6922" xr:uid="{00000000-0005-0000-0000-0000141E0000}"/>
    <cellStyle name="Normal 4 3 2 2 3 4 2 3 2 2" xfId="13283" xr:uid="{00000000-0005-0000-0000-0000151E0000}"/>
    <cellStyle name="Normal 4 3 2 2 3 4 2 3 3" xfId="10104" xr:uid="{00000000-0005-0000-0000-0000161E0000}"/>
    <cellStyle name="Normal 4 3 2 2 3 4 2 4" xfId="5338" xr:uid="{00000000-0005-0000-0000-0000171E0000}"/>
    <cellStyle name="Normal 4 3 2 2 3 4 2 4 2" xfId="11699" xr:uid="{00000000-0005-0000-0000-0000181E0000}"/>
    <cellStyle name="Normal 4 3 2 2 3 4 2 5" xfId="8520" xr:uid="{00000000-0005-0000-0000-0000191E0000}"/>
    <cellStyle name="Normal 4 3 2 2 3 4 3" xfId="2506" xr:uid="{00000000-0005-0000-0000-00001A1E0000}"/>
    <cellStyle name="Normal 4 3 2 2 3 4 3 2" xfId="4090" xr:uid="{00000000-0005-0000-0000-00001B1E0000}"/>
    <cellStyle name="Normal 4 3 2 2 3 4 3 2 2" xfId="7318" xr:uid="{00000000-0005-0000-0000-00001C1E0000}"/>
    <cellStyle name="Normal 4 3 2 2 3 4 3 2 2 2" xfId="13679" xr:uid="{00000000-0005-0000-0000-00001D1E0000}"/>
    <cellStyle name="Normal 4 3 2 2 3 4 3 2 3" xfId="10500" xr:uid="{00000000-0005-0000-0000-00001E1E0000}"/>
    <cellStyle name="Normal 4 3 2 2 3 4 3 3" xfId="5734" xr:uid="{00000000-0005-0000-0000-00001F1E0000}"/>
    <cellStyle name="Normal 4 3 2 2 3 4 3 3 2" xfId="12095" xr:uid="{00000000-0005-0000-0000-0000201E0000}"/>
    <cellStyle name="Normal 4 3 2 2 3 4 3 4" xfId="8916" xr:uid="{00000000-0005-0000-0000-0000211E0000}"/>
    <cellStyle name="Normal 4 3 2 2 3 4 4" xfId="3298" xr:uid="{00000000-0005-0000-0000-0000221E0000}"/>
    <cellStyle name="Normal 4 3 2 2 3 4 4 2" xfId="6526" xr:uid="{00000000-0005-0000-0000-0000231E0000}"/>
    <cellStyle name="Normal 4 3 2 2 3 4 4 2 2" xfId="12887" xr:uid="{00000000-0005-0000-0000-0000241E0000}"/>
    <cellStyle name="Normal 4 3 2 2 3 4 4 3" xfId="9708" xr:uid="{00000000-0005-0000-0000-0000251E0000}"/>
    <cellStyle name="Normal 4 3 2 2 3 4 5" xfId="4942" xr:uid="{00000000-0005-0000-0000-0000261E0000}"/>
    <cellStyle name="Normal 4 3 2 2 3 4 5 2" xfId="11303" xr:uid="{00000000-0005-0000-0000-0000271E0000}"/>
    <cellStyle name="Normal 4 3 2 2 3 4 6" xfId="8124" xr:uid="{00000000-0005-0000-0000-0000281E0000}"/>
    <cellStyle name="Normal 4 3 2 2 3 5" xfId="1912" xr:uid="{00000000-0005-0000-0000-0000291E0000}"/>
    <cellStyle name="Normal 4 3 2 2 3 5 2" xfId="2704" xr:uid="{00000000-0005-0000-0000-00002A1E0000}"/>
    <cellStyle name="Normal 4 3 2 2 3 5 2 2" xfId="4288" xr:uid="{00000000-0005-0000-0000-00002B1E0000}"/>
    <cellStyle name="Normal 4 3 2 2 3 5 2 2 2" xfId="7516" xr:uid="{00000000-0005-0000-0000-00002C1E0000}"/>
    <cellStyle name="Normal 4 3 2 2 3 5 2 2 2 2" xfId="13877" xr:uid="{00000000-0005-0000-0000-00002D1E0000}"/>
    <cellStyle name="Normal 4 3 2 2 3 5 2 2 3" xfId="10698" xr:uid="{00000000-0005-0000-0000-00002E1E0000}"/>
    <cellStyle name="Normal 4 3 2 2 3 5 2 3" xfId="5932" xr:uid="{00000000-0005-0000-0000-00002F1E0000}"/>
    <cellStyle name="Normal 4 3 2 2 3 5 2 3 2" xfId="12293" xr:uid="{00000000-0005-0000-0000-0000301E0000}"/>
    <cellStyle name="Normal 4 3 2 2 3 5 2 4" xfId="9114" xr:uid="{00000000-0005-0000-0000-0000311E0000}"/>
    <cellStyle name="Normal 4 3 2 2 3 5 3" xfId="3496" xr:uid="{00000000-0005-0000-0000-0000321E0000}"/>
    <cellStyle name="Normal 4 3 2 2 3 5 3 2" xfId="6724" xr:uid="{00000000-0005-0000-0000-0000331E0000}"/>
    <cellStyle name="Normal 4 3 2 2 3 5 3 2 2" xfId="13085" xr:uid="{00000000-0005-0000-0000-0000341E0000}"/>
    <cellStyle name="Normal 4 3 2 2 3 5 3 3" xfId="9906" xr:uid="{00000000-0005-0000-0000-0000351E0000}"/>
    <cellStyle name="Normal 4 3 2 2 3 5 4" xfId="5140" xr:uid="{00000000-0005-0000-0000-0000361E0000}"/>
    <cellStyle name="Normal 4 3 2 2 3 5 4 2" xfId="11501" xr:uid="{00000000-0005-0000-0000-0000371E0000}"/>
    <cellStyle name="Normal 4 3 2 2 3 5 5" xfId="8322" xr:uid="{00000000-0005-0000-0000-0000381E0000}"/>
    <cellStyle name="Normal 4 3 2 2 3 6" xfId="2308" xr:uid="{00000000-0005-0000-0000-0000391E0000}"/>
    <cellStyle name="Normal 4 3 2 2 3 6 2" xfId="3892" xr:uid="{00000000-0005-0000-0000-00003A1E0000}"/>
    <cellStyle name="Normal 4 3 2 2 3 6 2 2" xfId="7120" xr:uid="{00000000-0005-0000-0000-00003B1E0000}"/>
    <cellStyle name="Normal 4 3 2 2 3 6 2 2 2" xfId="13481" xr:uid="{00000000-0005-0000-0000-00003C1E0000}"/>
    <cellStyle name="Normal 4 3 2 2 3 6 2 3" xfId="10302" xr:uid="{00000000-0005-0000-0000-00003D1E0000}"/>
    <cellStyle name="Normal 4 3 2 2 3 6 3" xfId="5536" xr:uid="{00000000-0005-0000-0000-00003E1E0000}"/>
    <cellStyle name="Normal 4 3 2 2 3 6 3 2" xfId="11897" xr:uid="{00000000-0005-0000-0000-00003F1E0000}"/>
    <cellStyle name="Normal 4 3 2 2 3 6 4" xfId="8718" xr:uid="{00000000-0005-0000-0000-0000401E0000}"/>
    <cellStyle name="Normal 4 3 2 2 3 7" xfId="3100" xr:uid="{00000000-0005-0000-0000-0000411E0000}"/>
    <cellStyle name="Normal 4 3 2 2 3 7 2" xfId="6328" xr:uid="{00000000-0005-0000-0000-0000421E0000}"/>
    <cellStyle name="Normal 4 3 2 2 3 7 2 2" xfId="12689" xr:uid="{00000000-0005-0000-0000-0000431E0000}"/>
    <cellStyle name="Normal 4 3 2 2 3 7 3" xfId="9510" xr:uid="{00000000-0005-0000-0000-0000441E0000}"/>
    <cellStyle name="Normal 4 3 2 2 3 8" xfId="4744" xr:uid="{00000000-0005-0000-0000-0000451E0000}"/>
    <cellStyle name="Normal 4 3 2 2 3 8 2" xfId="11105" xr:uid="{00000000-0005-0000-0000-0000461E0000}"/>
    <cellStyle name="Normal 4 3 2 2 3 9" xfId="7926" xr:uid="{00000000-0005-0000-0000-0000471E0000}"/>
    <cellStyle name="Normal 4 3 2 2 4" xfId="1549" xr:uid="{00000000-0005-0000-0000-0000481E0000}"/>
    <cellStyle name="Normal 4 3 2 2 4 2" xfId="1747" xr:uid="{00000000-0005-0000-0000-0000491E0000}"/>
    <cellStyle name="Normal 4 3 2 2 4 2 2" xfId="2143" xr:uid="{00000000-0005-0000-0000-00004A1E0000}"/>
    <cellStyle name="Normal 4 3 2 2 4 2 2 2" xfId="2935" xr:uid="{00000000-0005-0000-0000-00004B1E0000}"/>
    <cellStyle name="Normal 4 3 2 2 4 2 2 2 2" xfId="4519" xr:uid="{00000000-0005-0000-0000-00004C1E0000}"/>
    <cellStyle name="Normal 4 3 2 2 4 2 2 2 2 2" xfId="7747" xr:uid="{00000000-0005-0000-0000-00004D1E0000}"/>
    <cellStyle name="Normal 4 3 2 2 4 2 2 2 2 2 2" xfId="14108" xr:uid="{00000000-0005-0000-0000-00004E1E0000}"/>
    <cellStyle name="Normal 4 3 2 2 4 2 2 2 2 3" xfId="10929" xr:uid="{00000000-0005-0000-0000-00004F1E0000}"/>
    <cellStyle name="Normal 4 3 2 2 4 2 2 2 3" xfId="6163" xr:uid="{00000000-0005-0000-0000-0000501E0000}"/>
    <cellStyle name="Normal 4 3 2 2 4 2 2 2 3 2" xfId="12524" xr:uid="{00000000-0005-0000-0000-0000511E0000}"/>
    <cellStyle name="Normal 4 3 2 2 4 2 2 2 4" xfId="9345" xr:uid="{00000000-0005-0000-0000-0000521E0000}"/>
    <cellStyle name="Normal 4 3 2 2 4 2 2 3" xfId="3727" xr:uid="{00000000-0005-0000-0000-0000531E0000}"/>
    <cellStyle name="Normal 4 3 2 2 4 2 2 3 2" xfId="6955" xr:uid="{00000000-0005-0000-0000-0000541E0000}"/>
    <cellStyle name="Normal 4 3 2 2 4 2 2 3 2 2" xfId="13316" xr:uid="{00000000-0005-0000-0000-0000551E0000}"/>
    <cellStyle name="Normal 4 3 2 2 4 2 2 3 3" xfId="10137" xr:uid="{00000000-0005-0000-0000-0000561E0000}"/>
    <cellStyle name="Normal 4 3 2 2 4 2 2 4" xfId="5371" xr:uid="{00000000-0005-0000-0000-0000571E0000}"/>
    <cellStyle name="Normal 4 3 2 2 4 2 2 4 2" xfId="11732" xr:uid="{00000000-0005-0000-0000-0000581E0000}"/>
    <cellStyle name="Normal 4 3 2 2 4 2 2 5" xfId="8553" xr:uid="{00000000-0005-0000-0000-0000591E0000}"/>
    <cellStyle name="Normal 4 3 2 2 4 2 3" xfId="2539" xr:uid="{00000000-0005-0000-0000-00005A1E0000}"/>
    <cellStyle name="Normal 4 3 2 2 4 2 3 2" xfId="4123" xr:uid="{00000000-0005-0000-0000-00005B1E0000}"/>
    <cellStyle name="Normal 4 3 2 2 4 2 3 2 2" xfId="7351" xr:uid="{00000000-0005-0000-0000-00005C1E0000}"/>
    <cellStyle name="Normal 4 3 2 2 4 2 3 2 2 2" xfId="13712" xr:uid="{00000000-0005-0000-0000-00005D1E0000}"/>
    <cellStyle name="Normal 4 3 2 2 4 2 3 2 3" xfId="10533" xr:uid="{00000000-0005-0000-0000-00005E1E0000}"/>
    <cellStyle name="Normal 4 3 2 2 4 2 3 3" xfId="5767" xr:uid="{00000000-0005-0000-0000-00005F1E0000}"/>
    <cellStyle name="Normal 4 3 2 2 4 2 3 3 2" xfId="12128" xr:uid="{00000000-0005-0000-0000-0000601E0000}"/>
    <cellStyle name="Normal 4 3 2 2 4 2 3 4" xfId="8949" xr:uid="{00000000-0005-0000-0000-0000611E0000}"/>
    <cellStyle name="Normal 4 3 2 2 4 2 4" xfId="3331" xr:uid="{00000000-0005-0000-0000-0000621E0000}"/>
    <cellStyle name="Normal 4 3 2 2 4 2 4 2" xfId="6559" xr:uid="{00000000-0005-0000-0000-0000631E0000}"/>
    <cellStyle name="Normal 4 3 2 2 4 2 4 2 2" xfId="12920" xr:uid="{00000000-0005-0000-0000-0000641E0000}"/>
    <cellStyle name="Normal 4 3 2 2 4 2 4 3" xfId="9741" xr:uid="{00000000-0005-0000-0000-0000651E0000}"/>
    <cellStyle name="Normal 4 3 2 2 4 2 5" xfId="4975" xr:uid="{00000000-0005-0000-0000-0000661E0000}"/>
    <cellStyle name="Normal 4 3 2 2 4 2 5 2" xfId="11336" xr:uid="{00000000-0005-0000-0000-0000671E0000}"/>
    <cellStyle name="Normal 4 3 2 2 4 2 6" xfId="8157" xr:uid="{00000000-0005-0000-0000-0000681E0000}"/>
    <cellStyle name="Normal 4 3 2 2 4 3" xfId="1945" xr:uid="{00000000-0005-0000-0000-0000691E0000}"/>
    <cellStyle name="Normal 4 3 2 2 4 3 2" xfId="2737" xr:uid="{00000000-0005-0000-0000-00006A1E0000}"/>
    <cellStyle name="Normal 4 3 2 2 4 3 2 2" xfId="4321" xr:uid="{00000000-0005-0000-0000-00006B1E0000}"/>
    <cellStyle name="Normal 4 3 2 2 4 3 2 2 2" xfId="7549" xr:uid="{00000000-0005-0000-0000-00006C1E0000}"/>
    <cellStyle name="Normal 4 3 2 2 4 3 2 2 2 2" xfId="13910" xr:uid="{00000000-0005-0000-0000-00006D1E0000}"/>
    <cellStyle name="Normal 4 3 2 2 4 3 2 2 3" xfId="10731" xr:uid="{00000000-0005-0000-0000-00006E1E0000}"/>
    <cellStyle name="Normal 4 3 2 2 4 3 2 3" xfId="5965" xr:uid="{00000000-0005-0000-0000-00006F1E0000}"/>
    <cellStyle name="Normal 4 3 2 2 4 3 2 3 2" xfId="12326" xr:uid="{00000000-0005-0000-0000-0000701E0000}"/>
    <cellStyle name="Normal 4 3 2 2 4 3 2 4" xfId="9147" xr:uid="{00000000-0005-0000-0000-0000711E0000}"/>
    <cellStyle name="Normal 4 3 2 2 4 3 3" xfId="3529" xr:uid="{00000000-0005-0000-0000-0000721E0000}"/>
    <cellStyle name="Normal 4 3 2 2 4 3 3 2" xfId="6757" xr:uid="{00000000-0005-0000-0000-0000731E0000}"/>
    <cellStyle name="Normal 4 3 2 2 4 3 3 2 2" xfId="13118" xr:uid="{00000000-0005-0000-0000-0000741E0000}"/>
    <cellStyle name="Normal 4 3 2 2 4 3 3 3" xfId="9939" xr:uid="{00000000-0005-0000-0000-0000751E0000}"/>
    <cellStyle name="Normal 4 3 2 2 4 3 4" xfId="5173" xr:uid="{00000000-0005-0000-0000-0000761E0000}"/>
    <cellStyle name="Normal 4 3 2 2 4 3 4 2" xfId="11534" xr:uid="{00000000-0005-0000-0000-0000771E0000}"/>
    <cellStyle name="Normal 4 3 2 2 4 3 5" xfId="8355" xr:uid="{00000000-0005-0000-0000-0000781E0000}"/>
    <cellStyle name="Normal 4 3 2 2 4 4" xfId="2341" xr:uid="{00000000-0005-0000-0000-0000791E0000}"/>
    <cellStyle name="Normal 4 3 2 2 4 4 2" xfId="3925" xr:uid="{00000000-0005-0000-0000-00007A1E0000}"/>
    <cellStyle name="Normal 4 3 2 2 4 4 2 2" xfId="7153" xr:uid="{00000000-0005-0000-0000-00007B1E0000}"/>
    <cellStyle name="Normal 4 3 2 2 4 4 2 2 2" xfId="13514" xr:uid="{00000000-0005-0000-0000-00007C1E0000}"/>
    <cellStyle name="Normal 4 3 2 2 4 4 2 3" xfId="10335" xr:uid="{00000000-0005-0000-0000-00007D1E0000}"/>
    <cellStyle name="Normal 4 3 2 2 4 4 3" xfId="5569" xr:uid="{00000000-0005-0000-0000-00007E1E0000}"/>
    <cellStyle name="Normal 4 3 2 2 4 4 3 2" xfId="11930" xr:uid="{00000000-0005-0000-0000-00007F1E0000}"/>
    <cellStyle name="Normal 4 3 2 2 4 4 4" xfId="8751" xr:uid="{00000000-0005-0000-0000-0000801E0000}"/>
    <cellStyle name="Normal 4 3 2 2 4 5" xfId="3133" xr:uid="{00000000-0005-0000-0000-0000811E0000}"/>
    <cellStyle name="Normal 4 3 2 2 4 5 2" xfId="6361" xr:uid="{00000000-0005-0000-0000-0000821E0000}"/>
    <cellStyle name="Normal 4 3 2 2 4 5 2 2" xfId="12722" xr:uid="{00000000-0005-0000-0000-0000831E0000}"/>
    <cellStyle name="Normal 4 3 2 2 4 5 3" xfId="9543" xr:uid="{00000000-0005-0000-0000-0000841E0000}"/>
    <cellStyle name="Normal 4 3 2 2 4 6" xfId="4777" xr:uid="{00000000-0005-0000-0000-0000851E0000}"/>
    <cellStyle name="Normal 4 3 2 2 4 6 2" xfId="11138" xr:uid="{00000000-0005-0000-0000-0000861E0000}"/>
    <cellStyle name="Normal 4 3 2 2 4 7" xfId="7959" xr:uid="{00000000-0005-0000-0000-0000871E0000}"/>
    <cellStyle name="Normal 4 3 2 2 5" xfId="1617" xr:uid="{00000000-0005-0000-0000-0000881E0000}"/>
    <cellStyle name="Normal 4 3 2 2 5 2" xfId="1815" xr:uid="{00000000-0005-0000-0000-0000891E0000}"/>
    <cellStyle name="Normal 4 3 2 2 5 2 2" xfId="2211" xr:uid="{00000000-0005-0000-0000-00008A1E0000}"/>
    <cellStyle name="Normal 4 3 2 2 5 2 2 2" xfId="3003" xr:uid="{00000000-0005-0000-0000-00008B1E0000}"/>
    <cellStyle name="Normal 4 3 2 2 5 2 2 2 2" xfId="4587" xr:uid="{00000000-0005-0000-0000-00008C1E0000}"/>
    <cellStyle name="Normal 4 3 2 2 5 2 2 2 2 2" xfId="7815" xr:uid="{00000000-0005-0000-0000-00008D1E0000}"/>
    <cellStyle name="Normal 4 3 2 2 5 2 2 2 2 2 2" xfId="14176" xr:uid="{00000000-0005-0000-0000-00008E1E0000}"/>
    <cellStyle name="Normal 4 3 2 2 5 2 2 2 2 3" xfId="10997" xr:uid="{00000000-0005-0000-0000-00008F1E0000}"/>
    <cellStyle name="Normal 4 3 2 2 5 2 2 2 3" xfId="6231" xr:uid="{00000000-0005-0000-0000-0000901E0000}"/>
    <cellStyle name="Normal 4 3 2 2 5 2 2 2 3 2" xfId="12592" xr:uid="{00000000-0005-0000-0000-0000911E0000}"/>
    <cellStyle name="Normal 4 3 2 2 5 2 2 2 4" xfId="9413" xr:uid="{00000000-0005-0000-0000-0000921E0000}"/>
    <cellStyle name="Normal 4 3 2 2 5 2 2 3" xfId="3795" xr:uid="{00000000-0005-0000-0000-0000931E0000}"/>
    <cellStyle name="Normal 4 3 2 2 5 2 2 3 2" xfId="7023" xr:uid="{00000000-0005-0000-0000-0000941E0000}"/>
    <cellStyle name="Normal 4 3 2 2 5 2 2 3 2 2" xfId="13384" xr:uid="{00000000-0005-0000-0000-0000951E0000}"/>
    <cellStyle name="Normal 4 3 2 2 5 2 2 3 3" xfId="10205" xr:uid="{00000000-0005-0000-0000-0000961E0000}"/>
    <cellStyle name="Normal 4 3 2 2 5 2 2 4" xfId="5439" xr:uid="{00000000-0005-0000-0000-0000971E0000}"/>
    <cellStyle name="Normal 4 3 2 2 5 2 2 4 2" xfId="11800" xr:uid="{00000000-0005-0000-0000-0000981E0000}"/>
    <cellStyle name="Normal 4 3 2 2 5 2 2 5" xfId="8621" xr:uid="{00000000-0005-0000-0000-0000991E0000}"/>
    <cellStyle name="Normal 4 3 2 2 5 2 3" xfId="2607" xr:uid="{00000000-0005-0000-0000-00009A1E0000}"/>
    <cellStyle name="Normal 4 3 2 2 5 2 3 2" xfId="4191" xr:uid="{00000000-0005-0000-0000-00009B1E0000}"/>
    <cellStyle name="Normal 4 3 2 2 5 2 3 2 2" xfId="7419" xr:uid="{00000000-0005-0000-0000-00009C1E0000}"/>
    <cellStyle name="Normal 4 3 2 2 5 2 3 2 2 2" xfId="13780" xr:uid="{00000000-0005-0000-0000-00009D1E0000}"/>
    <cellStyle name="Normal 4 3 2 2 5 2 3 2 3" xfId="10601" xr:uid="{00000000-0005-0000-0000-00009E1E0000}"/>
    <cellStyle name="Normal 4 3 2 2 5 2 3 3" xfId="5835" xr:uid="{00000000-0005-0000-0000-00009F1E0000}"/>
    <cellStyle name="Normal 4 3 2 2 5 2 3 3 2" xfId="12196" xr:uid="{00000000-0005-0000-0000-0000A01E0000}"/>
    <cellStyle name="Normal 4 3 2 2 5 2 3 4" xfId="9017" xr:uid="{00000000-0005-0000-0000-0000A11E0000}"/>
    <cellStyle name="Normal 4 3 2 2 5 2 4" xfId="3399" xr:uid="{00000000-0005-0000-0000-0000A21E0000}"/>
    <cellStyle name="Normal 4 3 2 2 5 2 4 2" xfId="6627" xr:uid="{00000000-0005-0000-0000-0000A31E0000}"/>
    <cellStyle name="Normal 4 3 2 2 5 2 4 2 2" xfId="12988" xr:uid="{00000000-0005-0000-0000-0000A41E0000}"/>
    <cellStyle name="Normal 4 3 2 2 5 2 4 3" xfId="9809" xr:uid="{00000000-0005-0000-0000-0000A51E0000}"/>
    <cellStyle name="Normal 4 3 2 2 5 2 5" xfId="5043" xr:uid="{00000000-0005-0000-0000-0000A61E0000}"/>
    <cellStyle name="Normal 4 3 2 2 5 2 5 2" xfId="11404" xr:uid="{00000000-0005-0000-0000-0000A71E0000}"/>
    <cellStyle name="Normal 4 3 2 2 5 2 6" xfId="8225" xr:uid="{00000000-0005-0000-0000-0000A81E0000}"/>
    <cellStyle name="Normal 4 3 2 2 5 3" xfId="2013" xr:uid="{00000000-0005-0000-0000-0000A91E0000}"/>
    <cellStyle name="Normal 4 3 2 2 5 3 2" xfId="2805" xr:uid="{00000000-0005-0000-0000-0000AA1E0000}"/>
    <cellStyle name="Normal 4 3 2 2 5 3 2 2" xfId="4389" xr:uid="{00000000-0005-0000-0000-0000AB1E0000}"/>
    <cellStyle name="Normal 4 3 2 2 5 3 2 2 2" xfId="7617" xr:uid="{00000000-0005-0000-0000-0000AC1E0000}"/>
    <cellStyle name="Normal 4 3 2 2 5 3 2 2 2 2" xfId="13978" xr:uid="{00000000-0005-0000-0000-0000AD1E0000}"/>
    <cellStyle name="Normal 4 3 2 2 5 3 2 2 3" xfId="10799" xr:uid="{00000000-0005-0000-0000-0000AE1E0000}"/>
    <cellStyle name="Normal 4 3 2 2 5 3 2 3" xfId="6033" xr:uid="{00000000-0005-0000-0000-0000AF1E0000}"/>
    <cellStyle name="Normal 4 3 2 2 5 3 2 3 2" xfId="12394" xr:uid="{00000000-0005-0000-0000-0000B01E0000}"/>
    <cellStyle name="Normal 4 3 2 2 5 3 2 4" xfId="9215" xr:uid="{00000000-0005-0000-0000-0000B11E0000}"/>
    <cellStyle name="Normal 4 3 2 2 5 3 3" xfId="3597" xr:uid="{00000000-0005-0000-0000-0000B21E0000}"/>
    <cellStyle name="Normal 4 3 2 2 5 3 3 2" xfId="6825" xr:uid="{00000000-0005-0000-0000-0000B31E0000}"/>
    <cellStyle name="Normal 4 3 2 2 5 3 3 2 2" xfId="13186" xr:uid="{00000000-0005-0000-0000-0000B41E0000}"/>
    <cellStyle name="Normal 4 3 2 2 5 3 3 3" xfId="10007" xr:uid="{00000000-0005-0000-0000-0000B51E0000}"/>
    <cellStyle name="Normal 4 3 2 2 5 3 4" xfId="5241" xr:uid="{00000000-0005-0000-0000-0000B61E0000}"/>
    <cellStyle name="Normal 4 3 2 2 5 3 4 2" xfId="11602" xr:uid="{00000000-0005-0000-0000-0000B71E0000}"/>
    <cellStyle name="Normal 4 3 2 2 5 3 5" xfId="8423" xr:uid="{00000000-0005-0000-0000-0000B81E0000}"/>
    <cellStyle name="Normal 4 3 2 2 5 4" xfId="2409" xr:uid="{00000000-0005-0000-0000-0000B91E0000}"/>
    <cellStyle name="Normal 4 3 2 2 5 4 2" xfId="3993" xr:uid="{00000000-0005-0000-0000-0000BA1E0000}"/>
    <cellStyle name="Normal 4 3 2 2 5 4 2 2" xfId="7221" xr:uid="{00000000-0005-0000-0000-0000BB1E0000}"/>
    <cellStyle name="Normal 4 3 2 2 5 4 2 2 2" xfId="13582" xr:uid="{00000000-0005-0000-0000-0000BC1E0000}"/>
    <cellStyle name="Normal 4 3 2 2 5 4 2 3" xfId="10403" xr:uid="{00000000-0005-0000-0000-0000BD1E0000}"/>
    <cellStyle name="Normal 4 3 2 2 5 4 3" xfId="5637" xr:uid="{00000000-0005-0000-0000-0000BE1E0000}"/>
    <cellStyle name="Normal 4 3 2 2 5 4 3 2" xfId="11998" xr:uid="{00000000-0005-0000-0000-0000BF1E0000}"/>
    <cellStyle name="Normal 4 3 2 2 5 4 4" xfId="8819" xr:uid="{00000000-0005-0000-0000-0000C01E0000}"/>
    <cellStyle name="Normal 4 3 2 2 5 5" xfId="3201" xr:uid="{00000000-0005-0000-0000-0000C11E0000}"/>
    <cellStyle name="Normal 4 3 2 2 5 5 2" xfId="6429" xr:uid="{00000000-0005-0000-0000-0000C21E0000}"/>
    <cellStyle name="Normal 4 3 2 2 5 5 2 2" xfId="12790" xr:uid="{00000000-0005-0000-0000-0000C31E0000}"/>
    <cellStyle name="Normal 4 3 2 2 5 5 3" xfId="9611" xr:uid="{00000000-0005-0000-0000-0000C41E0000}"/>
    <cellStyle name="Normal 4 3 2 2 5 6" xfId="4845" xr:uid="{00000000-0005-0000-0000-0000C51E0000}"/>
    <cellStyle name="Normal 4 3 2 2 5 6 2" xfId="11206" xr:uid="{00000000-0005-0000-0000-0000C61E0000}"/>
    <cellStyle name="Normal 4 3 2 2 5 7" xfId="8027" xr:uid="{00000000-0005-0000-0000-0000C71E0000}"/>
    <cellStyle name="Normal 4 3 2 2 6" xfId="1682" xr:uid="{00000000-0005-0000-0000-0000C81E0000}"/>
    <cellStyle name="Normal 4 3 2 2 6 2" xfId="2078" xr:uid="{00000000-0005-0000-0000-0000C91E0000}"/>
    <cellStyle name="Normal 4 3 2 2 6 2 2" xfId="2870" xr:uid="{00000000-0005-0000-0000-0000CA1E0000}"/>
    <cellStyle name="Normal 4 3 2 2 6 2 2 2" xfId="4454" xr:uid="{00000000-0005-0000-0000-0000CB1E0000}"/>
    <cellStyle name="Normal 4 3 2 2 6 2 2 2 2" xfId="7682" xr:uid="{00000000-0005-0000-0000-0000CC1E0000}"/>
    <cellStyle name="Normal 4 3 2 2 6 2 2 2 2 2" xfId="14043" xr:uid="{00000000-0005-0000-0000-0000CD1E0000}"/>
    <cellStyle name="Normal 4 3 2 2 6 2 2 2 3" xfId="10864" xr:uid="{00000000-0005-0000-0000-0000CE1E0000}"/>
    <cellStyle name="Normal 4 3 2 2 6 2 2 3" xfId="6098" xr:uid="{00000000-0005-0000-0000-0000CF1E0000}"/>
    <cellStyle name="Normal 4 3 2 2 6 2 2 3 2" xfId="12459" xr:uid="{00000000-0005-0000-0000-0000D01E0000}"/>
    <cellStyle name="Normal 4 3 2 2 6 2 2 4" xfId="9280" xr:uid="{00000000-0005-0000-0000-0000D11E0000}"/>
    <cellStyle name="Normal 4 3 2 2 6 2 3" xfId="3662" xr:uid="{00000000-0005-0000-0000-0000D21E0000}"/>
    <cellStyle name="Normal 4 3 2 2 6 2 3 2" xfId="6890" xr:uid="{00000000-0005-0000-0000-0000D31E0000}"/>
    <cellStyle name="Normal 4 3 2 2 6 2 3 2 2" xfId="13251" xr:uid="{00000000-0005-0000-0000-0000D41E0000}"/>
    <cellStyle name="Normal 4 3 2 2 6 2 3 3" xfId="10072" xr:uid="{00000000-0005-0000-0000-0000D51E0000}"/>
    <cellStyle name="Normal 4 3 2 2 6 2 4" xfId="5306" xr:uid="{00000000-0005-0000-0000-0000D61E0000}"/>
    <cellStyle name="Normal 4 3 2 2 6 2 4 2" xfId="11667" xr:uid="{00000000-0005-0000-0000-0000D71E0000}"/>
    <cellStyle name="Normal 4 3 2 2 6 2 5" xfId="8488" xr:uid="{00000000-0005-0000-0000-0000D81E0000}"/>
    <cellStyle name="Normal 4 3 2 2 6 3" xfId="2474" xr:uid="{00000000-0005-0000-0000-0000D91E0000}"/>
    <cellStyle name="Normal 4 3 2 2 6 3 2" xfId="4058" xr:uid="{00000000-0005-0000-0000-0000DA1E0000}"/>
    <cellStyle name="Normal 4 3 2 2 6 3 2 2" xfId="7286" xr:uid="{00000000-0005-0000-0000-0000DB1E0000}"/>
    <cellStyle name="Normal 4 3 2 2 6 3 2 2 2" xfId="13647" xr:uid="{00000000-0005-0000-0000-0000DC1E0000}"/>
    <cellStyle name="Normal 4 3 2 2 6 3 2 3" xfId="10468" xr:uid="{00000000-0005-0000-0000-0000DD1E0000}"/>
    <cellStyle name="Normal 4 3 2 2 6 3 3" xfId="5702" xr:uid="{00000000-0005-0000-0000-0000DE1E0000}"/>
    <cellStyle name="Normal 4 3 2 2 6 3 3 2" xfId="12063" xr:uid="{00000000-0005-0000-0000-0000DF1E0000}"/>
    <cellStyle name="Normal 4 3 2 2 6 3 4" xfId="8884" xr:uid="{00000000-0005-0000-0000-0000E01E0000}"/>
    <cellStyle name="Normal 4 3 2 2 6 4" xfId="3266" xr:uid="{00000000-0005-0000-0000-0000E11E0000}"/>
    <cellStyle name="Normal 4 3 2 2 6 4 2" xfId="6494" xr:uid="{00000000-0005-0000-0000-0000E21E0000}"/>
    <cellStyle name="Normal 4 3 2 2 6 4 2 2" xfId="12855" xr:uid="{00000000-0005-0000-0000-0000E31E0000}"/>
    <cellStyle name="Normal 4 3 2 2 6 4 3" xfId="9676" xr:uid="{00000000-0005-0000-0000-0000E41E0000}"/>
    <cellStyle name="Normal 4 3 2 2 6 5" xfId="4910" xr:uid="{00000000-0005-0000-0000-0000E51E0000}"/>
    <cellStyle name="Normal 4 3 2 2 6 5 2" xfId="11271" xr:uid="{00000000-0005-0000-0000-0000E61E0000}"/>
    <cellStyle name="Normal 4 3 2 2 6 6" xfId="8092" xr:uid="{00000000-0005-0000-0000-0000E71E0000}"/>
    <cellStyle name="Normal 4 3 2 2 7" xfId="1880" xr:uid="{00000000-0005-0000-0000-0000E81E0000}"/>
    <cellStyle name="Normal 4 3 2 2 7 2" xfId="2672" xr:uid="{00000000-0005-0000-0000-0000E91E0000}"/>
    <cellStyle name="Normal 4 3 2 2 7 2 2" xfId="4256" xr:uid="{00000000-0005-0000-0000-0000EA1E0000}"/>
    <cellStyle name="Normal 4 3 2 2 7 2 2 2" xfId="7484" xr:uid="{00000000-0005-0000-0000-0000EB1E0000}"/>
    <cellStyle name="Normal 4 3 2 2 7 2 2 2 2" xfId="13845" xr:uid="{00000000-0005-0000-0000-0000EC1E0000}"/>
    <cellStyle name="Normal 4 3 2 2 7 2 2 3" xfId="10666" xr:uid="{00000000-0005-0000-0000-0000ED1E0000}"/>
    <cellStyle name="Normal 4 3 2 2 7 2 3" xfId="5900" xr:uid="{00000000-0005-0000-0000-0000EE1E0000}"/>
    <cellStyle name="Normal 4 3 2 2 7 2 3 2" xfId="12261" xr:uid="{00000000-0005-0000-0000-0000EF1E0000}"/>
    <cellStyle name="Normal 4 3 2 2 7 2 4" xfId="9082" xr:uid="{00000000-0005-0000-0000-0000F01E0000}"/>
    <cellStyle name="Normal 4 3 2 2 7 3" xfId="3464" xr:uid="{00000000-0005-0000-0000-0000F11E0000}"/>
    <cellStyle name="Normal 4 3 2 2 7 3 2" xfId="6692" xr:uid="{00000000-0005-0000-0000-0000F21E0000}"/>
    <cellStyle name="Normal 4 3 2 2 7 3 2 2" xfId="13053" xr:uid="{00000000-0005-0000-0000-0000F31E0000}"/>
    <cellStyle name="Normal 4 3 2 2 7 3 3" xfId="9874" xr:uid="{00000000-0005-0000-0000-0000F41E0000}"/>
    <cellStyle name="Normal 4 3 2 2 7 4" xfId="5108" xr:uid="{00000000-0005-0000-0000-0000F51E0000}"/>
    <cellStyle name="Normal 4 3 2 2 7 4 2" xfId="11469" xr:uid="{00000000-0005-0000-0000-0000F61E0000}"/>
    <cellStyle name="Normal 4 3 2 2 7 5" xfId="8290" xr:uid="{00000000-0005-0000-0000-0000F71E0000}"/>
    <cellStyle name="Normal 4 3 2 2 8" xfId="2276" xr:uid="{00000000-0005-0000-0000-0000F81E0000}"/>
    <cellStyle name="Normal 4 3 2 2 8 2" xfId="3860" xr:uid="{00000000-0005-0000-0000-0000F91E0000}"/>
    <cellStyle name="Normal 4 3 2 2 8 2 2" xfId="7088" xr:uid="{00000000-0005-0000-0000-0000FA1E0000}"/>
    <cellStyle name="Normal 4 3 2 2 8 2 2 2" xfId="13449" xr:uid="{00000000-0005-0000-0000-0000FB1E0000}"/>
    <cellStyle name="Normal 4 3 2 2 8 2 3" xfId="10270" xr:uid="{00000000-0005-0000-0000-0000FC1E0000}"/>
    <cellStyle name="Normal 4 3 2 2 8 3" xfId="5504" xr:uid="{00000000-0005-0000-0000-0000FD1E0000}"/>
    <cellStyle name="Normal 4 3 2 2 8 3 2" xfId="11865" xr:uid="{00000000-0005-0000-0000-0000FE1E0000}"/>
    <cellStyle name="Normal 4 3 2 2 8 4" xfId="8686" xr:uid="{00000000-0005-0000-0000-0000FF1E0000}"/>
    <cellStyle name="Normal 4 3 2 2 9" xfId="3068" xr:uid="{00000000-0005-0000-0000-0000001F0000}"/>
    <cellStyle name="Normal 4 3 2 2 9 2" xfId="6296" xr:uid="{00000000-0005-0000-0000-0000011F0000}"/>
    <cellStyle name="Normal 4 3 2 2 9 2 2" xfId="12657" xr:uid="{00000000-0005-0000-0000-0000021F0000}"/>
    <cellStyle name="Normal 4 3 2 2 9 3" xfId="9478" xr:uid="{00000000-0005-0000-0000-0000031F0000}"/>
    <cellStyle name="Normal 4 3 2 3" xfId="1445" xr:uid="{00000000-0005-0000-0000-0000041F0000}"/>
    <cellStyle name="Normal 4 3 2 3 10" xfId="7902" xr:uid="{00000000-0005-0000-0000-0000051F0000}"/>
    <cellStyle name="Normal 4 3 2 3 2" xfId="1477" xr:uid="{00000000-0005-0000-0000-0000061F0000}"/>
    <cellStyle name="Normal 4 3 2 3 2 2" xfId="1589" xr:uid="{00000000-0005-0000-0000-0000071F0000}"/>
    <cellStyle name="Normal 4 3 2 3 2 2 2" xfId="1787" xr:uid="{00000000-0005-0000-0000-0000081F0000}"/>
    <cellStyle name="Normal 4 3 2 3 2 2 2 2" xfId="2183" xr:uid="{00000000-0005-0000-0000-0000091F0000}"/>
    <cellStyle name="Normal 4 3 2 3 2 2 2 2 2" xfId="2975" xr:uid="{00000000-0005-0000-0000-00000A1F0000}"/>
    <cellStyle name="Normal 4 3 2 3 2 2 2 2 2 2" xfId="4559" xr:uid="{00000000-0005-0000-0000-00000B1F0000}"/>
    <cellStyle name="Normal 4 3 2 3 2 2 2 2 2 2 2" xfId="7787" xr:uid="{00000000-0005-0000-0000-00000C1F0000}"/>
    <cellStyle name="Normal 4 3 2 3 2 2 2 2 2 2 2 2" xfId="14148" xr:uid="{00000000-0005-0000-0000-00000D1F0000}"/>
    <cellStyle name="Normal 4 3 2 3 2 2 2 2 2 2 3" xfId="10969" xr:uid="{00000000-0005-0000-0000-00000E1F0000}"/>
    <cellStyle name="Normal 4 3 2 3 2 2 2 2 2 3" xfId="6203" xr:uid="{00000000-0005-0000-0000-00000F1F0000}"/>
    <cellStyle name="Normal 4 3 2 3 2 2 2 2 2 3 2" xfId="12564" xr:uid="{00000000-0005-0000-0000-0000101F0000}"/>
    <cellStyle name="Normal 4 3 2 3 2 2 2 2 2 4" xfId="9385" xr:uid="{00000000-0005-0000-0000-0000111F0000}"/>
    <cellStyle name="Normal 4 3 2 3 2 2 2 2 3" xfId="3767" xr:uid="{00000000-0005-0000-0000-0000121F0000}"/>
    <cellStyle name="Normal 4 3 2 3 2 2 2 2 3 2" xfId="6995" xr:uid="{00000000-0005-0000-0000-0000131F0000}"/>
    <cellStyle name="Normal 4 3 2 3 2 2 2 2 3 2 2" xfId="13356" xr:uid="{00000000-0005-0000-0000-0000141F0000}"/>
    <cellStyle name="Normal 4 3 2 3 2 2 2 2 3 3" xfId="10177" xr:uid="{00000000-0005-0000-0000-0000151F0000}"/>
    <cellStyle name="Normal 4 3 2 3 2 2 2 2 4" xfId="5411" xr:uid="{00000000-0005-0000-0000-0000161F0000}"/>
    <cellStyle name="Normal 4 3 2 3 2 2 2 2 4 2" xfId="11772" xr:uid="{00000000-0005-0000-0000-0000171F0000}"/>
    <cellStyle name="Normal 4 3 2 3 2 2 2 2 5" xfId="8593" xr:uid="{00000000-0005-0000-0000-0000181F0000}"/>
    <cellStyle name="Normal 4 3 2 3 2 2 2 3" xfId="2579" xr:uid="{00000000-0005-0000-0000-0000191F0000}"/>
    <cellStyle name="Normal 4 3 2 3 2 2 2 3 2" xfId="4163" xr:uid="{00000000-0005-0000-0000-00001A1F0000}"/>
    <cellStyle name="Normal 4 3 2 3 2 2 2 3 2 2" xfId="7391" xr:uid="{00000000-0005-0000-0000-00001B1F0000}"/>
    <cellStyle name="Normal 4 3 2 3 2 2 2 3 2 2 2" xfId="13752" xr:uid="{00000000-0005-0000-0000-00001C1F0000}"/>
    <cellStyle name="Normal 4 3 2 3 2 2 2 3 2 3" xfId="10573" xr:uid="{00000000-0005-0000-0000-00001D1F0000}"/>
    <cellStyle name="Normal 4 3 2 3 2 2 2 3 3" xfId="5807" xr:uid="{00000000-0005-0000-0000-00001E1F0000}"/>
    <cellStyle name="Normal 4 3 2 3 2 2 2 3 3 2" xfId="12168" xr:uid="{00000000-0005-0000-0000-00001F1F0000}"/>
    <cellStyle name="Normal 4 3 2 3 2 2 2 3 4" xfId="8989" xr:uid="{00000000-0005-0000-0000-0000201F0000}"/>
    <cellStyle name="Normal 4 3 2 3 2 2 2 4" xfId="3371" xr:uid="{00000000-0005-0000-0000-0000211F0000}"/>
    <cellStyle name="Normal 4 3 2 3 2 2 2 4 2" xfId="6599" xr:uid="{00000000-0005-0000-0000-0000221F0000}"/>
    <cellStyle name="Normal 4 3 2 3 2 2 2 4 2 2" xfId="12960" xr:uid="{00000000-0005-0000-0000-0000231F0000}"/>
    <cellStyle name="Normal 4 3 2 3 2 2 2 4 3" xfId="9781" xr:uid="{00000000-0005-0000-0000-0000241F0000}"/>
    <cellStyle name="Normal 4 3 2 3 2 2 2 5" xfId="5015" xr:uid="{00000000-0005-0000-0000-0000251F0000}"/>
    <cellStyle name="Normal 4 3 2 3 2 2 2 5 2" xfId="11376" xr:uid="{00000000-0005-0000-0000-0000261F0000}"/>
    <cellStyle name="Normal 4 3 2 3 2 2 2 6" xfId="8197" xr:uid="{00000000-0005-0000-0000-0000271F0000}"/>
    <cellStyle name="Normal 4 3 2 3 2 2 3" xfId="1985" xr:uid="{00000000-0005-0000-0000-0000281F0000}"/>
    <cellStyle name="Normal 4 3 2 3 2 2 3 2" xfId="2777" xr:uid="{00000000-0005-0000-0000-0000291F0000}"/>
    <cellStyle name="Normal 4 3 2 3 2 2 3 2 2" xfId="4361" xr:uid="{00000000-0005-0000-0000-00002A1F0000}"/>
    <cellStyle name="Normal 4 3 2 3 2 2 3 2 2 2" xfId="7589" xr:uid="{00000000-0005-0000-0000-00002B1F0000}"/>
    <cellStyle name="Normal 4 3 2 3 2 2 3 2 2 2 2" xfId="13950" xr:uid="{00000000-0005-0000-0000-00002C1F0000}"/>
    <cellStyle name="Normal 4 3 2 3 2 2 3 2 2 3" xfId="10771" xr:uid="{00000000-0005-0000-0000-00002D1F0000}"/>
    <cellStyle name="Normal 4 3 2 3 2 2 3 2 3" xfId="6005" xr:uid="{00000000-0005-0000-0000-00002E1F0000}"/>
    <cellStyle name="Normal 4 3 2 3 2 2 3 2 3 2" xfId="12366" xr:uid="{00000000-0005-0000-0000-00002F1F0000}"/>
    <cellStyle name="Normal 4 3 2 3 2 2 3 2 4" xfId="9187" xr:uid="{00000000-0005-0000-0000-0000301F0000}"/>
    <cellStyle name="Normal 4 3 2 3 2 2 3 3" xfId="3569" xr:uid="{00000000-0005-0000-0000-0000311F0000}"/>
    <cellStyle name="Normal 4 3 2 3 2 2 3 3 2" xfId="6797" xr:uid="{00000000-0005-0000-0000-0000321F0000}"/>
    <cellStyle name="Normal 4 3 2 3 2 2 3 3 2 2" xfId="13158" xr:uid="{00000000-0005-0000-0000-0000331F0000}"/>
    <cellStyle name="Normal 4 3 2 3 2 2 3 3 3" xfId="9979" xr:uid="{00000000-0005-0000-0000-0000341F0000}"/>
    <cellStyle name="Normal 4 3 2 3 2 2 3 4" xfId="5213" xr:uid="{00000000-0005-0000-0000-0000351F0000}"/>
    <cellStyle name="Normal 4 3 2 3 2 2 3 4 2" xfId="11574" xr:uid="{00000000-0005-0000-0000-0000361F0000}"/>
    <cellStyle name="Normal 4 3 2 3 2 2 3 5" xfId="8395" xr:uid="{00000000-0005-0000-0000-0000371F0000}"/>
    <cellStyle name="Normal 4 3 2 3 2 2 4" xfId="2381" xr:uid="{00000000-0005-0000-0000-0000381F0000}"/>
    <cellStyle name="Normal 4 3 2 3 2 2 4 2" xfId="3965" xr:uid="{00000000-0005-0000-0000-0000391F0000}"/>
    <cellStyle name="Normal 4 3 2 3 2 2 4 2 2" xfId="7193" xr:uid="{00000000-0005-0000-0000-00003A1F0000}"/>
    <cellStyle name="Normal 4 3 2 3 2 2 4 2 2 2" xfId="13554" xr:uid="{00000000-0005-0000-0000-00003B1F0000}"/>
    <cellStyle name="Normal 4 3 2 3 2 2 4 2 3" xfId="10375" xr:uid="{00000000-0005-0000-0000-00003C1F0000}"/>
    <cellStyle name="Normal 4 3 2 3 2 2 4 3" xfId="5609" xr:uid="{00000000-0005-0000-0000-00003D1F0000}"/>
    <cellStyle name="Normal 4 3 2 3 2 2 4 3 2" xfId="11970" xr:uid="{00000000-0005-0000-0000-00003E1F0000}"/>
    <cellStyle name="Normal 4 3 2 3 2 2 4 4" xfId="8791" xr:uid="{00000000-0005-0000-0000-00003F1F0000}"/>
    <cellStyle name="Normal 4 3 2 3 2 2 5" xfId="3173" xr:uid="{00000000-0005-0000-0000-0000401F0000}"/>
    <cellStyle name="Normal 4 3 2 3 2 2 5 2" xfId="6401" xr:uid="{00000000-0005-0000-0000-0000411F0000}"/>
    <cellStyle name="Normal 4 3 2 3 2 2 5 2 2" xfId="12762" xr:uid="{00000000-0005-0000-0000-0000421F0000}"/>
    <cellStyle name="Normal 4 3 2 3 2 2 5 3" xfId="9583" xr:uid="{00000000-0005-0000-0000-0000431F0000}"/>
    <cellStyle name="Normal 4 3 2 3 2 2 6" xfId="4817" xr:uid="{00000000-0005-0000-0000-0000441F0000}"/>
    <cellStyle name="Normal 4 3 2 3 2 2 6 2" xfId="11178" xr:uid="{00000000-0005-0000-0000-0000451F0000}"/>
    <cellStyle name="Normal 4 3 2 3 2 2 7" xfId="7999" xr:uid="{00000000-0005-0000-0000-0000461F0000}"/>
    <cellStyle name="Normal 4 3 2 3 2 3" xfId="1657" xr:uid="{00000000-0005-0000-0000-0000471F0000}"/>
    <cellStyle name="Normal 4 3 2 3 2 3 2" xfId="1855" xr:uid="{00000000-0005-0000-0000-0000481F0000}"/>
    <cellStyle name="Normal 4 3 2 3 2 3 2 2" xfId="2251" xr:uid="{00000000-0005-0000-0000-0000491F0000}"/>
    <cellStyle name="Normal 4 3 2 3 2 3 2 2 2" xfId="3043" xr:uid="{00000000-0005-0000-0000-00004A1F0000}"/>
    <cellStyle name="Normal 4 3 2 3 2 3 2 2 2 2" xfId="4627" xr:uid="{00000000-0005-0000-0000-00004B1F0000}"/>
    <cellStyle name="Normal 4 3 2 3 2 3 2 2 2 2 2" xfId="7855" xr:uid="{00000000-0005-0000-0000-00004C1F0000}"/>
    <cellStyle name="Normal 4 3 2 3 2 3 2 2 2 2 2 2" xfId="14216" xr:uid="{00000000-0005-0000-0000-00004D1F0000}"/>
    <cellStyle name="Normal 4 3 2 3 2 3 2 2 2 2 3" xfId="11037" xr:uid="{00000000-0005-0000-0000-00004E1F0000}"/>
    <cellStyle name="Normal 4 3 2 3 2 3 2 2 2 3" xfId="6271" xr:uid="{00000000-0005-0000-0000-00004F1F0000}"/>
    <cellStyle name="Normal 4 3 2 3 2 3 2 2 2 3 2" xfId="12632" xr:uid="{00000000-0005-0000-0000-0000501F0000}"/>
    <cellStyle name="Normal 4 3 2 3 2 3 2 2 2 4" xfId="9453" xr:uid="{00000000-0005-0000-0000-0000511F0000}"/>
    <cellStyle name="Normal 4 3 2 3 2 3 2 2 3" xfId="3835" xr:uid="{00000000-0005-0000-0000-0000521F0000}"/>
    <cellStyle name="Normal 4 3 2 3 2 3 2 2 3 2" xfId="7063" xr:uid="{00000000-0005-0000-0000-0000531F0000}"/>
    <cellStyle name="Normal 4 3 2 3 2 3 2 2 3 2 2" xfId="13424" xr:uid="{00000000-0005-0000-0000-0000541F0000}"/>
    <cellStyle name="Normal 4 3 2 3 2 3 2 2 3 3" xfId="10245" xr:uid="{00000000-0005-0000-0000-0000551F0000}"/>
    <cellStyle name="Normal 4 3 2 3 2 3 2 2 4" xfId="5479" xr:uid="{00000000-0005-0000-0000-0000561F0000}"/>
    <cellStyle name="Normal 4 3 2 3 2 3 2 2 4 2" xfId="11840" xr:uid="{00000000-0005-0000-0000-0000571F0000}"/>
    <cellStyle name="Normal 4 3 2 3 2 3 2 2 5" xfId="8661" xr:uid="{00000000-0005-0000-0000-0000581F0000}"/>
    <cellStyle name="Normal 4 3 2 3 2 3 2 3" xfId="2647" xr:uid="{00000000-0005-0000-0000-0000591F0000}"/>
    <cellStyle name="Normal 4 3 2 3 2 3 2 3 2" xfId="4231" xr:uid="{00000000-0005-0000-0000-00005A1F0000}"/>
    <cellStyle name="Normal 4 3 2 3 2 3 2 3 2 2" xfId="7459" xr:uid="{00000000-0005-0000-0000-00005B1F0000}"/>
    <cellStyle name="Normal 4 3 2 3 2 3 2 3 2 2 2" xfId="13820" xr:uid="{00000000-0005-0000-0000-00005C1F0000}"/>
    <cellStyle name="Normal 4 3 2 3 2 3 2 3 2 3" xfId="10641" xr:uid="{00000000-0005-0000-0000-00005D1F0000}"/>
    <cellStyle name="Normal 4 3 2 3 2 3 2 3 3" xfId="5875" xr:uid="{00000000-0005-0000-0000-00005E1F0000}"/>
    <cellStyle name="Normal 4 3 2 3 2 3 2 3 3 2" xfId="12236" xr:uid="{00000000-0005-0000-0000-00005F1F0000}"/>
    <cellStyle name="Normal 4 3 2 3 2 3 2 3 4" xfId="9057" xr:uid="{00000000-0005-0000-0000-0000601F0000}"/>
    <cellStyle name="Normal 4 3 2 3 2 3 2 4" xfId="3439" xr:uid="{00000000-0005-0000-0000-0000611F0000}"/>
    <cellStyle name="Normal 4 3 2 3 2 3 2 4 2" xfId="6667" xr:uid="{00000000-0005-0000-0000-0000621F0000}"/>
    <cellStyle name="Normal 4 3 2 3 2 3 2 4 2 2" xfId="13028" xr:uid="{00000000-0005-0000-0000-0000631F0000}"/>
    <cellStyle name="Normal 4 3 2 3 2 3 2 4 3" xfId="9849" xr:uid="{00000000-0005-0000-0000-0000641F0000}"/>
    <cellStyle name="Normal 4 3 2 3 2 3 2 5" xfId="5083" xr:uid="{00000000-0005-0000-0000-0000651F0000}"/>
    <cellStyle name="Normal 4 3 2 3 2 3 2 5 2" xfId="11444" xr:uid="{00000000-0005-0000-0000-0000661F0000}"/>
    <cellStyle name="Normal 4 3 2 3 2 3 2 6" xfId="8265" xr:uid="{00000000-0005-0000-0000-0000671F0000}"/>
    <cellStyle name="Normal 4 3 2 3 2 3 3" xfId="2053" xr:uid="{00000000-0005-0000-0000-0000681F0000}"/>
    <cellStyle name="Normal 4 3 2 3 2 3 3 2" xfId="2845" xr:uid="{00000000-0005-0000-0000-0000691F0000}"/>
    <cellStyle name="Normal 4 3 2 3 2 3 3 2 2" xfId="4429" xr:uid="{00000000-0005-0000-0000-00006A1F0000}"/>
    <cellStyle name="Normal 4 3 2 3 2 3 3 2 2 2" xfId="7657" xr:uid="{00000000-0005-0000-0000-00006B1F0000}"/>
    <cellStyle name="Normal 4 3 2 3 2 3 3 2 2 2 2" xfId="14018" xr:uid="{00000000-0005-0000-0000-00006C1F0000}"/>
    <cellStyle name="Normal 4 3 2 3 2 3 3 2 2 3" xfId="10839" xr:uid="{00000000-0005-0000-0000-00006D1F0000}"/>
    <cellStyle name="Normal 4 3 2 3 2 3 3 2 3" xfId="6073" xr:uid="{00000000-0005-0000-0000-00006E1F0000}"/>
    <cellStyle name="Normal 4 3 2 3 2 3 3 2 3 2" xfId="12434" xr:uid="{00000000-0005-0000-0000-00006F1F0000}"/>
    <cellStyle name="Normal 4 3 2 3 2 3 3 2 4" xfId="9255" xr:uid="{00000000-0005-0000-0000-0000701F0000}"/>
    <cellStyle name="Normal 4 3 2 3 2 3 3 3" xfId="3637" xr:uid="{00000000-0005-0000-0000-0000711F0000}"/>
    <cellStyle name="Normal 4 3 2 3 2 3 3 3 2" xfId="6865" xr:uid="{00000000-0005-0000-0000-0000721F0000}"/>
    <cellStyle name="Normal 4 3 2 3 2 3 3 3 2 2" xfId="13226" xr:uid="{00000000-0005-0000-0000-0000731F0000}"/>
    <cellStyle name="Normal 4 3 2 3 2 3 3 3 3" xfId="10047" xr:uid="{00000000-0005-0000-0000-0000741F0000}"/>
    <cellStyle name="Normal 4 3 2 3 2 3 3 4" xfId="5281" xr:uid="{00000000-0005-0000-0000-0000751F0000}"/>
    <cellStyle name="Normal 4 3 2 3 2 3 3 4 2" xfId="11642" xr:uid="{00000000-0005-0000-0000-0000761F0000}"/>
    <cellStyle name="Normal 4 3 2 3 2 3 3 5" xfId="8463" xr:uid="{00000000-0005-0000-0000-0000771F0000}"/>
    <cellStyle name="Normal 4 3 2 3 2 3 4" xfId="2449" xr:uid="{00000000-0005-0000-0000-0000781F0000}"/>
    <cellStyle name="Normal 4 3 2 3 2 3 4 2" xfId="4033" xr:uid="{00000000-0005-0000-0000-0000791F0000}"/>
    <cellStyle name="Normal 4 3 2 3 2 3 4 2 2" xfId="7261" xr:uid="{00000000-0005-0000-0000-00007A1F0000}"/>
    <cellStyle name="Normal 4 3 2 3 2 3 4 2 2 2" xfId="13622" xr:uid="{00000000-0005-0000-0000-00007B1F0000}"/>
    <cellStyle name="Normal 4 3 2 3 2 3 4 2 3" xfId="10443" xr:uid="{00000000-0005-0000-0000-00007C1F0000}"/>
    <cellStyle name="Normal 4 3 2 3 2 3 4 3" xfId="5677" xr:uid="{00000000-0005-0000-0000-00007D1F0000}"/>
    <cellStyle name="Normal 4 3 2 3 2 3 4 3 2" xfId="12038" xr:uid="{00000000-0005-0000-0000-00007E1F0000}"/>
    <cellStyle name="Normal 4 3 2 3 2 3 4 4" xfId="8859" xr:uid="{00000000-0005-0000-0000-00007F1F0000}"/>
    <cellStyle name="Normal 4 3 2 3 2 3 5" xfId="3241" xr:uid="{00000000-0005-0000-0000-0000801F0000}"/>
    <cellStyle name="Normal 4 3 2 3 2 3 5 2" xfId="6469" xr:uid="{00000000-0005-0000-0000-0000811F0000}"/>
    <cellStyle name="Normal 4 3 2 3 2 3 5 2 2" xfId="12830" xr:uid="{00000000-0005-0000-0000-0000821F0000}"/>
    <cellStyle name="Normal 4 3 2 3 2 3 5 3" xfId="9651" xr:uid="{00000000-0005-0000-0000-0000831F0000}"/>
    <cellStyle name="Normal 4 3 2 3 2 3 6" xfId="4885" xr:uid="{00000000-0005-0000-0000-0000841F0000}"/>
    <cellStyle name="Normal 4 3 2 3 2 3 6 2" xfId="11246" xr:uid="{00000000-0005-0000-0000-0000851F0000}"/>
    <cellStyle name="Normal 4 3 2 3 2 3 7" xfId="8067" xr:uid="{00000000-0005-0000-0000-0000861F0000}"/>
    <cellStyle name="Normal 4 3 2 3 2 4" xfId="1722" xr:uid="{00000000-0005-0000-0000-0000871F0000}"/>
    <cellStyle name="Normal 4 3 2 3 2 4 2" xfId="2118" xr:uid="{00000000-0005-0000-0000-0000881F0000}"/>
    <cellStyle name="Normal 4 3 2 3 2 4 2 2" xfId="2910" xr:uid="{00000000-0005-0000-0000-0000891F0000}"/>
    <cellStyle name="Normal 4 3 2 3 2 4 2 2 2" xfId="4494" xr:uid="{00000000-0005-0000-0000-00008A1F0000}"/>
    <cellStyle name="Normal 4 3 2 3 2 4 2 2 2 2" xfId="7722" xr:uid="{00000000-0005-0000-0000-00008B1F0000}"/>
    <cellStyle name="Normal 4 3 2 3 2 4 2 2 2 2 2" xfId="14083" xr:uid="{00000000-0005-0000-0000-00008C1F0000}"/>
    <cellStyle name="Normal 4 3 2 3 2 4 2 2 2 3" xfId="10904" xr:uid="{00000000-0005-0000-0000-00008D1F0000}"/>
    <cellStyle name="Normal 4 3 2 3 2 4 2 2 3" xfId="6138" xr:uid="{00000000-0005-0000-0000-00008E1F0000}"/>
    <cellStyle name="Normal 4 3 2 3 2 4 2 2 3 2" xfId="12499" xr:uid="{00000000-0005-0000-0000-00008F1F0000}"/>
    <cellStyle name="Normal 4 3 2 3 2 4 2 2 4" xfId="9320" xr:uid="{00000000-0005-0000-0000-0000901F0000}"/>
    <cellStyle name="Normal 4 3 2 3 2 4 2 3" xfId="3702" xr:uid="{00000000-0005-0000-0000-0000911F0000}"/>
    <cellStyle name="Normal 4 3 2 3 2 4 2 3 2" xfId="6930" xr:uid="{00000000-0005-0000-0000-0000921F0000}"/>
    <cellStyle name="Normal 4 3 2 3 2 4 2 3 2 2" xfId="13291" xr:uid="{00000000-0005-0000-0000-0000931F0000}"/>
    <cellStyle name="Normal 4 3 2 3 2 4 2 3 3" xfId="10112" xr:uid="{00000000-0005-0000-0000-0000941F0000}"/>
    <cellStyle name="Normal 4 3 2 3 2 4 2 4" xfId="5346" xr:uid="{00000000-0005-0000-0000-0000951F0000}"/>
    <cellStyle name="Normal 4 3 2 3 2 4 2 4 2" xfId="11707" xr:uid="{00000000-0005-0000-0000-0000961F0000}"/>
    <cellStyle name="Normal 4 3 2 3 2 4 2 5" xfId="8528" xr:uid="{00000000-0005-0000-0000-0000971F0000}"/>
    <cellStyle name="Normal 4 3 2 3 2 4 3" xfId="2514" xr:uid="{00000000-0005-0000-0000-0000981F0000}"/>
    <cellStyle name="Normal 4 3 2 3 2 4 3 2" xfId="4098" xr:uid="{00000000-0005-0000-0000-0000991F0000}"/>
    <cellStyle name="Normal 4 3 2 3 2 4 3 2 2" xfId="7326" xr:uid="{00000000-0005-0000-0000-00009A1F0000}"/>
    <cellStyle name="Normal 4 3 2 3 2 4 3 2 2 2" xfId="13687" xr:uid="{00000000-0005-0000-0000-00009B1F0000}"/>
    <cellStyle name="Normal 4 3 2 3 2 4 3 2 3" xfId="10508" xr:uid="{00000000-0005-0000-0000-00009C1F0000}"/>
    <cellStyle name="Normal 4 3 2 3 2 4 3 3" xfId="5742" xr:uid="{00000000-0005-0000-0000-00009D1F0000}"/>
    <cellStyle name="Normal 4 3 2 3 2 4 3 3 2" xfId="12103" xr:uid="{00000000-0005-0000-0000-00009E1F0000}"/>
    <cellStyle name="Normal 4 3 2 3 2 4 3 4" xfId="8924" xr:uid="{00000000-0005-0000-0000-00009F1F0000}"/>
    <cellStyle name="Normal 4 3 2 3 2 4 4" xfId="3306" xr:uid="{00000000-0005-0000-0000-0000A01F0000}"/>
    <cellStyle name="Normal 4 3 2 3 2 4 4 2" xfId="6534" xr:uid="{00000000-0005-0000-0000-0000A11F0000}"/>
    <cellStyle name="Normal 4 3 2 3 2 4 4 2 2" xfId="12895" xr:uid="{00000000-0005-0000-0000-0000A21F0000}"/>
    <cellStyle name="Normal 4 3 2 3 2 4 4 3" xfId="9716" xr:uid="{00000000-0005-0000-0000-0000A31F0000}"/>
    <cellStyle name="Normal 4 3 2 3 2 4 5" xfId="4950" xr:uid="{00000000-0005-0000-0000-0000A41F0000}"/>
    <cellStyle name="Normal 4 3 2 3 2 4 5 2" xfId="11311" xr:uid="{00000000-0005-0000-0000-0000A51F0000}"/>
    <cellStyle name="Normal 4 3 2 3 2 4 6" xfId="8132" xr:uid="{00000000-0005-0000-0000-0000A61F0000}"/>
    <cellStyle name="Normal 4 3 2 3 2 5" xfId="1920" xr:uid="{00000000-0005-0000-0000-0000A71F0000}"/>
    <cellStyle name="Normal 4 3 2 3 2 5 2" xfId="2712" xr:uid="{00000000-0005-0000-0000-0000A81F0000}"/>
    <cellStyle name="Normal 4 3 2 3 2 5 2 2" xfId="4296" xr:uid="{00000000-0005-0000-0000-0000A91F0000}"/>
    <cellStyle name="Normal 4 3 2 3 2 5 2 2 2" xfId="7524" xr:uid="{00000000-0005-0000-0000-0000AA1F0000}"/>
    <cellStyle name="Normal 4 3 2 3 2 5 2 2 2 2" xfId="13885" xr:uid="{00000000-0005-0000-0000-0000AB1F0000}"/>
    <cellStyle name="Normal 4 3 2 3 2 5 2 2 3" xfId="10706" xr:uid="{00000000-0005-0000-0000-0000AC1F0000}"/>
    <cellStyle name="Normal 4 3 2 3 2 5 2 3" xfId="5940" xr:uid="{00000000-0005-0000-0000-0000AD1F0000}"/>
    <cellStyle name="Normal 4 3 2 3 2 5 2 3 2" xfId="12301" xr:uid="{00000000-0005-0000-0000-0000AE1F0000}"/>
    <cellStyle name="Normal 4 3 2 3 2 5 2 4" xfId="9122" xr:uid="{00000000-0005-0000-0000-0000AF1F0000}"/>
    <cellStyle name="Normal 4 3 2 3 2 5 3" xfId="3504" xr:uid="{00000000-0005-0000-0000-0000B01F0000}"/>
    <cellStyle name="Normal 4 3 2 3 2 5 3 2" xfId="6732" xr:uid="{00000000-0005-0000-0000-0000B11F0000}"/>
    <cellStyle name="Normal 4 3 2 3 2 5 3 2 2" xfId="13093" xr:uid="{00000000-0005-0000-0000-0000B21F0000}"/>
    <cellStyle name="Normal 4 3 2 3 2 5 3 3" xfId="9914" xr:uid="{00000000-0005-0000-0000-0000B31F0000}"/>
    <cellStyle name="Normal 4 3 2 3 2 5 4" xfId="5148" xr:uid="{00000000-0005-0000-0000-0000B41F0000}"/>
    <cellStyle name="Normal 4 3 2 3 2 5 4 2" xfId="11509" xr:uid="{00000000-0005-0000-0000-0000B51F0000}"/>
    <cellStyle name="Normal 4 3 2 3 2 5 5" xfId="8330" xr:uid="{00000000-0005-0000-0000-0000B61F0000}"/>
    <cellStyle name="Normal 4 3 2 3 2 6" xfId="2316" xr:uid="{00000000-0005-0000-0000-0000B71F0000}"/>
    <cellStyle name="Normal 4 3 2 3 2 6 2" xfId="3900" xr:uid="{00000000-0005-0000-0000-0000B81F0000}"/>
    <cellStyle name="Normal 4 3 2 3 2 6 2 2" xfId="7128" xr:uid="{00000000-0005-0000-0000-0000B91F0000}"/>
    <cellStyle name="Normal 4 3 2 3 2 6 2 2 2" xfId="13489" xr:uid="{00000000-0005-0000-0000-0000BA1F0000}"/>
    <cellStyle name="Normal 4 3 2 3 2 6 2 3" xfId="10310" xr:uid="{00000000-0005-0000-0000-0000BB1F0000}"/>
    <cellStyle name="Normal 4 3 2 3 2 6 3" xfId="5544" xr:uid="{00000000-0005-0000-0000-0000BC1F0000}"/>
    <cellStyle name="Normal 4 3 2 3 2 6 3 2" xfId="11905" xr:uid="{00000000-0005-0000-0000-0000BD1F0000}"/>
    <cellStyle name="Normal 4 3 2 3 2 6 4" xfId="8726" xr:uid="{00000000-0005-0000-0000-0000BE1F0000}"/>
    <cellStyle name="Normal 4 3 2 3 2 7" xfId="3108" xr:uid="{00000000-0005-0000-0000-0000BF1F0000}"/>
    <cellStyle name="Normal 4 3 2 3 2 7 2" xfId="6336" xr:uid="{00000000-0005-0000-0000-0000C01F0000}"/>
    <cellStyle name="Normal 4 3 2 3 2 7 2 2" xfId="12697" xr:uid="{00000000-0005-0000-0000-0000C11F0000}"/>
    <cellStyle name="Normal 4 3 2 3 2 7 3" xfId="9518" xr:uid="{00000000-0005-0000-0000-0000C21F0000}"/>
    <cellStyle name="Normal 4 3 2 3 2 8" xfId="4752" xr:uid="{00000000-0005-0000-0000-0000C31F0000}"/>
    <cellStyle name="Normal 4 3 2 3 2 8 2" xfId="11113" xr:uid="{00000000-0005-0000-0000-0000C41F0000}"/>
    <cellStyle name="Normal 4 3 2 3 2 9" xfId="7934" xr:uid="{00000000-0005-0000-0000-0000C51F0000}"/>
    <cellStyle name="Normal 4 3 2 3 3" xfId="1557" xr:uid="{00000000-0005-0000-0000-0000C61F0000}"/>
    <cellStyle name="Normal 4 3 2 3 3 2" xfId="1755" xr:uid="{00000000-0005-0000-0000-0000C71F0000}"/>
    <cellStyle name="Normal 4 3 2 3 3 2 2" xfId="2151" xr:uid="{00000000-0005-0000-0000-0000C81F0000}"/>
    <cellStyle name="Normal 4 3 2 3 3 2 2 2" xfId="2943" xr:uid="{00000000-0005-0000-0000-0000C91F0000}"/>
    <cellStyle name="Normal 4 3 2 3 3 2 2 2 2" xfId="4527" xr:uid="{00000000-0005-0000-0000-0000CA1F0000}"/>
    <cellStyle name="Normal 4 3 2 3 3 2 2 2 2 2" xfId="7755" xr:uid="{00000000-0005-0000-0000-0000CB1F0000}"/>
    <cellStyle name="Normal 4 3 2 3 3 2 2 2 2 2 2" xfId="14116" xr:uid="{00000000-0005-0000-0000-0000CC1F0000}"/>
    <cellStyle name="Normal 4 3 2 3 3 2 2 2 2 3" xfId="10937" xr:uid="{00000000-0005-0000-0000-0000CD1F0000}"/>
    <cellStyle name="Normal 4 3 2 3 3 2 2 2 3" xfId="6171" xr:uid="{00000000-0005-0000-0000-0000CE1F0000}"/>
    <cellStyle name="Normal 4 3 2 3 3 2 2 2 3 2" xfId="12532" xr:uid="{00000000-0005-0000-0000-0000CF1F0000}"/>
    <cellStyle name="Normal 4 3 2 3 3 2 2 2 4" xfId="9353" xr:uid="{00000000-0005-0000-0000-0000D01F0000}"/>
    <cellStyle name="Normal 4 3 2 3 3 2 2 3" xfId="3735" xr:uid="{00000000-0005-0000-0000-0000D11F0000}"/>
    <cellStyle name="Normal 4 3 2 3 3 2 2 3 2" xfId="6963" xr:uid="{00000000-0005-0000-0000-0000D21F0000}"/>
    <cellStyle name="Normal 4 3 2 3 3 2 2 3 2 2" xfId="13324" xr:uid="{00000000-0005-0000-0000-0000D31F0000}"/>
    <cellStyle name="Normal 4 3 2 3 3 2 2 3 3" xfId="10145" xr:uid="{00000000-0005-0000-0000-0000D41F0000}"/>
    <cellStyle name="Normal 4 3 2 3 3 2 2 4" xfId="5379" xr:uid="{00000000-0005-0000-0000-0000D51F0000}"/>
    <cellStyle name="Normal 4 3 2 3 3 2 2 4 2" xfId="11740" xr:uid="{00000000-0005-0000-0000-0000D61F0000}"/>
    <cellStyle name="Normal 4 3 2 3 3 2 2 5" xfId="8561" xr:uid="{00000000-0005-0000-0000-0000D71F0000}"/>
    <cellStyle name="Normal 4 3 2 3 3 2 3" xfId="2547" xr:uid="{00000000-0005-0000-0000-0000D81F0000}"/>
    <cellStyle name="Normal 4 3 2 3 3 2 3 2" xfId="4131" xr:uid="{00000000-0005-0000-0000-0000D91F0000}"/>
    <cellStyle name="Normal 4 3 2 3 3 2 3 2 2" xfId="7359" xr:uid="{00000000-0005-0000-0000-0000DA1F0000}"/>
    <cellStyle name="Normal 4 3 2 3 3 2 3 2 2 2" xfId="13720" xr:uid="{00000000-0005-0000-0000-0000DB1F0000}"/>
    <cellStyle name="Normal 4 3 2 3 3 2 3 2 3" xfId="10541" xr:uid="{00000000-0005-0000-0000-0000DC1F0000}"/>
    <cellStyle name="Normal 4 3 2 3 3 2 3 3" xfId="5775" xr:uid="{00000000-0005-0000-0000-0000DD1F0000}"/>
    <cellStyle name="Normal 4 3 2 3 3 2 3 3 2" xfId="12136" xr:uid="{00000000-0005-0000-0000-0000DE1F0000}"/>
    <cellStyle name="Normal 4 3 2 3 3 2 3 4" xfId="8957" xr:uid="{00000000-0005-0000-0000-0000DF1F0000}"/>
    <cellStyle name="Normal 4 3 2 3 3 2 4" xfId="3339" xr:uid="{00000000-0005-0000-0000-0000E01F0000}"/>
    <cellStyle name="Normal 4 3 2 3 3 2 4 2" xfId="6567" xr:uid="{00000000-0005-0000-0000-0000E11F0000}"/>
    <cellStyle name="Normal 4 3 2 3 3 2 4 2 2" xfId="12928" xr:uid="{00000000-0005-0000-0000-0000E21F0000}"/>
    <cellStyle name="Normal 4 3 2 3 3 2 4 3" xfId="9749" xr:uid="{00000000-0005-0000-0000-0000E31F0000}"/>
    <cellStyle name="Normal 4 3 2 3 3 2 5" xfId="4983" xr:uid="{00000000-0005-0000-0000-0000E41F0000}"/>
    <cellStyle name="Normal 4 3 2 3 3 2 5 2" xfId="11344" xr:uid="{00000000-0005-0000-0000-0000E51F0000}"/>
    <cellStyle name="Normal 4 3 2 3 3 2 6" xfId="8165" xr:uid="{00000000-0005-0000-0000-0000E61F0000}"/>
    <cellStyle name="Normal 4 3 2 3 3 3" xfId="1953" xr:uid="{00000000-0005-0000-0000-0000E71F0000}"/>
    <cellStyle name="Normal 4 3 2 3 3 3 2" xfId="2745" xr:uid="{00000000-0005-0000-0000-0000E81F0000}"/>
    <cellStyle name="Normal 4 3 2 3 3 3 2 2" xfId="4329" xr:uid="{00000000-0005-0000-0000-0000E91F0000}"/>
    <cellStyle name="Normal 4 3 2 3 3 3 2 2 2" xfId="7557" xr:uid="{00000000-0005-0000-0000-0000EA1F0000}"/>
    <cellStyle name="Normal 4 3 2 3 3 3 2 2 2 2" xfId="13918" xr:uid="{00000000-0005-0000-0000-0000EB1F0000}"/>
    <cellStyle name="Normal 4 3 2 3 3 3 2 2 3" xfId="10739" xr:uid="{00000000-0005-0000-0000-0000EC1F0000}"/>
    <cellStyle name="Normal 4 3 2 3 3 3 2 3" xfId="5973" xr:uid="{00000000-0005-0000-0000-0000ED1F0000}"/>
    <cellStyle name="Normal 4 3 2 3 3 3 2 3 2" xfId="12334" xr:uid="{00000000-0005-0000-0000-0000EE1F0000}"/>
    <cellStyle name="Normal 4 3 2 3 3 3 2 4" xfId="9155" xr:uid="{00000000-0005-0000-0000-0000EF1F0000}"/>
    <cellStyle name="Normal 4 3 2 3 3 3 3" xfId="3537" xr:uid="{00000000-0005-0000-0000-0000F01F0000}"/>
    <cellStyle name="Normal 4 3 2 3 3 3 3 2" xfId="6765" xr:uid="{00000000-0005-0000-0000-0000F11F0000}"/>
    <cellStyle name="Normal 4 3 2 3 3 3 3 2 2" xfId="13126" xr:uid="{00000000-0005-0000-0000-0000F21F0000}"/>
    <cellStyle name="Normal 4 3 2 3 3 3 3 3" xfId="9947" xr:uid="{00000000-0005-0000-0000-0000F31F0000}"/>
    <cellStyle name="Normal 4 3 2 3 3 3 4" xfId="5181" xr:uid="{00000000-0005-0000-0000-0000F41F0000}"/>
    <cellStyle name="Normal 4 3 2 3 3 3 4 2" xfId="11542" xr:uid="{00000000-0005-0000-0000-0000F51F0000}"/>
    <cellStyle name="Normal 4 3 2 3 3 3 5" xfId="8363" xr:uid="{00000000-0005-0000-0000-0000F61F0000}"/>
    <cellStyle name="Normal 4 3 2 3 3 4" xfId="2349" xr:uid="{00000000-0005-0000-0000-0000F71F0000}"/>
    <cellStyle name="Normal 4 3 2 3 3 4 2" xfId="3933" xr:uid="{00000000-0005-0000-0000-0000F81F0000}"/>
    <cellStyle name="Normal 4 3 2 3 3 4 2 2" xfId="7161" xr:uid="{00000000-0005-0000-0000-0000F91F0000}"/>
    <cellStyle name="Normal 4 3 2 3 3 4 2 2 2" xfId="13522" xr:uid="{00000000-0005-0000-0000-0000FA1F0000}"/>
    <cellStyle name="Normal 4 3 2 3 3 4 2 3" xfId="10343" xr:uid="{00000000-0005-0000-0000-0000FB1F0000}"/>
    <cellStyle name="Normal 4 3 2 3 3 4 3" xfId="5577" xr:uid="{00000000-0005-0000-0000-0000FC1F0000}"/>
    <cellStyle name="Normal 4 3 2 3 3 4 3 2" xfId="11938" xr:uid="{00000000-0005-0000-0000-0000FD1F0000}"/>
    <cellStyle name="Normal 4 3 2 3 3 4 4" xfId="8759" xr:uid="{00000000-0005-0000-0000-0000FE1F0000}"/>
    <cellStyle name="Normal 4 3 2 3 3 5" xfId="3141" xr:uid="{00000000-0005-0000-0000-0000FF1F0000}"/>
    <cellStyle name="Normal 4 3 2 3 3 5 2" xfId="6369" xr:uid="{00000000-0005-0000-0000-000000200000}"/>
    <cellStyle name="Normal 4 3 2 3 3 5 2 2" xfId="12730" xr:uid="{00000000-0005-0000-0000-000001200000}"/>
    <cellStyle name="Normal 4 3 2 3 3 5 3" xfId="9551" xr:uid="{00000000-0005-0000-0000-000002200000}"/>
    <cellStyle name="Normal 4 3 2 3 3 6" xfId="4785" xr:uid="{00000000-0005-0000-0000-000003200000}"/>
    <cellStyle name="Normal 4 3 2 3 3 6 2" xfId="11146" xr:uid="{00000000-0005-0000-0000-000004200000}"/>
    <cellStyle name="Normal 4 3 2 3 3 7" xfId="7967" xr:uid="{00000000-0005-0000-0000-000005200000}"/>
    <cellStyle name="Normal 4 3 2 3 4" xfId="1625" xr:uid="{00000000-0005-0000-0000-000006200000}"/>
    <cellStyle name="Normal 4 3 2 3 4 2" xfId="1823" xr:uid="{00000000-0005-0000-0000-000007200000}"/>
    <cellStyle name="Normal 4 3 2 3 4 2 2" xfId="2219" xr:uid="{00000000-0005-0000-0000-000008200000}"/>
    <cellStyle name="Normal 4 3 2 3 4 2 2 2" xfId="3011" xr:uid="{00000000-0005-0000-0000-000009200000}"/>
    <cellStyle name="Normal 4 3 2 3 4 2 2 2 2" xfId="4595" xr:uid="{00000000-0005-0000-0000-00000A200000}"/>
    <cellStyle name="Normal 4 3 2 3 4 2 2 2 2 2" xfId="7823" xr:uid="{00000000-0005-0000-0000-00000B200000}"/>
    <cellStyle name="Normal 4 3 2 3 4 2 2 2 2 2 2" xfId="14184" xr:uid="{00000000-0005-0000-0000-00000C200000}"/>
    <cellStyle name="Normal 4 3 2 3 4 2 2 2 2 3" xfId="11005" xr:uid="{00000000-0005-0000-0000-00000D200000}"/>
    <cellStyle name="Normal 4 3 2 3 4 2 2 2 3" xfId="6239" xr:uid="{00000000-0005-0000-0000-00000E200000}"/>
    <cellStyle name="Normal 4 3 2 3 4 2 2 2 3 2" xfId="12600" xr:uid="{00000000-0005-0000-0000-00000F200000}"/>
    <cellStyle name="Normal 4 3 2 3 4 2 2 2 4" xfId="9421" xr:uid="{00000000-0005-0000-0000-000010200000}"/>
    <cellStyle name="Normal 4 3 2 3 4 2 2 3" xfId="3803" xr:uid="{00000000-0005-0000-0000-000011200000}"/>
    <cellStyle name="Normal 4 3 2 3 4 2 2 3 2" xfId="7031" xr:uid="{00000000-0005-0000-0000-000012200000}"/>
    <cellStyle name="Normal 4 3 2 3 4 2 2 3 2 2" xfId="13392" xr:uid="{00000000-0005-0000-0000-000013200000}"/>
    <cellStyle name="Normal 4 3 2 3 4 2 2 3 3" xfId="10213" xr:uid="{00000000-0005-0000-0000-000014200000}"/>
    <cellStyle name="Normal 4 3 2 3 4 2 2 4" xfId="5447" xr:uid="{00000000-0005-0000-0000-000015200000}"/>
    <cellStyle name="Normal 4 3 2 3 4 2 2 4 2" xfId="11808" xr:uid="{00000000-0005-0000-0000-000016200000}"/>
    <cellStyle name="Normal 4 3 2 3 4 2 2 5" xfId="8629" xr:uid="{00000000-0005-0000-0000-000017200000}"/>
    <cellStyle name="Normal 4 3 2 3 4 2 3" xfId="2615" xr:uid="{00000000-0005-0000-0000-000018200000}"/>
    <cellStyle name="Normal 4 3 2 3 4 2 3 2" xfId="4199" xr:uid="{00000000-0005-0000-0000-000019200000}"/>
    <cellStyle name="Normal 4 3 2 3 4 2 3 2 2" xfId="7427" xr:uid="{00000000-0005-0000-0000-00001A200000}"/>
    <cellStyle name="Normal 4 3 2 3 4 2 3 2 2 2" xfId="13788" xr:uid="{00000000-0005-0000-0000-00001B200000}"/>
    <cellStyle name="Normal 4 3 2 3 4 2 3 2 3" xfId="10609" xr:uid="{00000000-0005-0000-0000-00001C200000}"/>
    <cellStyle name="Normal 4 3 2 3 4 2 3 3" xfId="5843" xr:uid="{00000000-0005-0000-0000-00001D200000}"/>
    <cellStyle name="Normal 4 3 2 3 4 2 3 3 2" xfId="12204" xr:uid="{00000000-0005-0000-0000-00001E200000}"/>
    <cellStyle name="Normal 4 3 2 3 4 2 3 4" xfId="9025" xr:uid="{00000000-0005-0000-0000-00001F200000}"/>
    <cellStyle name="Normal 4 3 2 3 4 2 4" xfId="3407" xr:uid="{00000000-0005-0000-0000-000020200000}"/>
    <cellStyle name="Normal 4 3 2 3 4 2 4 2" xfId="6635" xr:uid="{00000000-0005-0000-0000-000021200000}"/>
    <cellStyle name="Normal 4 3 2 3 4 2 4 2 2" xfId="12996" xr:uid="{00000000-0005-0000-0000-000022200000}"/>
    <cellStyle name="Normal 4 3 2 3 4 2 4 3" xfId="9817" xr:uid="{00000000-0005-0000-0000-000023200000}"/>
    <cellStyle name="Normal 4 3 2 3 4 2 5" xfId="5051" xr:uid="{00000000-0005-0000-0000-000024200000}"/>
    <cellStyle name="Normal 4 3 2 3 4 2 5 2" xfId="11412" xr:uid="{00000000-0005-0000-0000-000025200000}"/>
    <cellStyle name="Normal 4 3 2 3 4 2 6" xfId="8233" xr:uid="{00000000-0005-0000-0000-000026200000}"/>
    <cellStyle name="Normal 4 3 2 3 4 3" xfId="2021" xr:uid="{00000000-0005-0000-0000-000027200000}"/>
    <cellStyle name="Normal 4 3 2 3 4 3 2" xfId="2813" xr:uid="{00000000-0005-0000-0000-000028200000}"/>
    <cellStyle name="Normal 4 3 2 3 4 3 2 2" xfId="4397" xr:uid="{00000000-0005-0000-0000-000029200000}"/>
    <cellStyle name="Normal 4 3 2 3 4 3 2 2 2" xfId="7625" xr:uid="{00000000-0005-0000-0000-00002A200000}"/>
    <cellStyle name="Normal 4 3 2 3 4 3 2 2 2 2" xfId="13986" xr:uid="{00000000-0005-0000-0000-00002B200000}"/>
    <cellStyle name="Normal 4 3 2 3 4 3 2 2 3" xfId="10807" xr:uid="{00000000-0005-0000-0000-00002C200000}"/>
    <cellStyle name="Normal 4 3 2 3 4 3 2 3" xfId="6041" xr:uid="{00000000-0005-0000-0000-00002D200000}"/>
    <cellStyle name="Normal 4 3 2 3 4 3 2 3 2" xfId="12402" xr:uid="{00000000-0005-0000-0000-00002E200000}"/>
    <cellStyle name="Normal 4 3 2 3 4 3 2 4" xfId="9223" xr:uid="{00000000-0005-0000-0000-00002F200000}"/>
    <cellStyle name="Normal 4 3 2 3 4 3 3" xfId="3605" xr:uid="{00000000-0005-0000-0000-000030200000}"/>
    <cellStyle name="Normal 4 3 2 3 4 3 3 2" xfId="6833" xr:uid="{00000000-0005-0000-0000-000031200000}"/>
    <cellStyle name="Normal 4 3 2 3 4 3 3 2 2" xfId="13194" xr:uid="{00000000-0005-0000-0000-000032200000}"/>
    <cellStyle name="Normal 4 3 2 3 4 3 3 3" xfId="10015" xr:uid="{00000000-0005-0000-0000-000033200000}"/>
    <cellStyle name="Normal 4 3 2 3 4 3 4" xfId="5249" xr:uid="{00000000-0005-0000-0000-000034200000}"/>
    <cellStyle name="Normal 4 3 2 3 4 3 4 2" xfId="11610" xr:uid="{00000000-0005-0000-0000-000035200000}"/>
    <cellStyle name="Normal 4 3 2 3 4 3 5" xfId="8431" xr:uid="{00000000-0005-0000-0000-000036200000}"/>
    <cellStyle name="Normal 4 3 2 3 4 4" xfId="2417" xr:uid="{00000000-0005-0000-0000-000037200000}"/>
    <cellStyle name="Normal 4 3 2 3 4 4 2" xfId="4001" xr:uid="{00000000-0005-0000-0000-000038200000}"/>
    <cellStyle name="Normal 4 3 2 3 4 4 2 2" xfId="7229" xr:uid="{00000000-0005-0000-0000-000039200000}"/>
    <cellStyle name="Normal 4 3 2 3 4 4 2 2 2" xfId="13590" xr:uid="{00000000-0005-0000-0000-00003A200000}"/>
    <cellStyle name="Normal 4 3 2 3 4 4 2 3" xfId="10411" xr:uid="{00000000-0005-0000-0000-00003B200000}"/>
    <cellStyle name="Normal 4 3 2 3 4 4 3" xfId="5645" xr:uid="{00000000-0005-0000-0000-00003C200000}"/>
    <cellStyle name="Normal 4 3 2 3 4 4 3 2" xfId="12006" xr:uid="{00000000-0005-0000-0000-00003D200000}"/>
    <cellStyle name="Normal 4 3 2 3 4 4 4" xfId="8827" xr:uid="{00000000-0005-0000-0000-00003E200000}"/>
    <cellStyle name="Normal 4 3 2 3 4 5" xfId="3209" xr:uid="{00000000-0005-0000-0000-00003F200000}"/>
    <cellStyle name="Normal 4 3 2 3 4 5 2" xfId="6437" xr:uid="{00000000-0005-0000-0000-000040200000}"/>
    <cellStyle name="Normal 4 3 2 3 4 5 2 2" xfId="12798" xr:uid="{00000000-0005-0000-0000-000041200000}"/>
    <cellStyle name="Normal 4 3 2 3 4 5 3" xfId="9619" xr:uid="{00000000-0005-0000-0000-000042200000}"/>
    <cellStyle name="Normal 4 3 2 3 4 6" xfId="4853" xr:uid="{00000000-0005-0000-0000-000043200000}"/>
    <cellStyle name="Normal 4 3 2 3 4 6 2" xfId="11214" xr:uid="{00000000-0005-0000-0000-000044200000}"/>
    <cellStyle name="Normal 4 3 2 3 4 7" xfId="8035" xr:uid="{00000000-0005-0000-0000-000045200000}"/>
    <cellStyle name="Normal 4 3 2 3 5" xfId="1690" xr:uid="{00000000-0005-0000-0000-000046200000}"/>
    <cellStyle name="Normal 4 3 2 3 5 2" xfId="2086" xr:uid="{00000000-0005-0000-0000-000047200000}"/>
    <cellStyle name="Normal 4 3 2 3 5 2 2" xfId="2878" xr:uid="{00000000-0005-0000-0000-000048200000}"/>
    <cellStyle name="Normal 4 3 2 3 5 2 2 2" xfId="4462" xr:uid="{00000000-0005-0000-0000-000049200000}"/>
    <cellStyle name="Normal 4 3 2 3 5 2 2 2 2" xfId="7690" xr:uid="{00000000-0005-0000-0000-00004A200000}"/>
    <cellStyle name="Normal 4 3 2 3 5 2 2 2 2 2" xfId="14051" xr:uid="{00000000-0005-0000-0000-00004B200000}"/>
    <cellStyle name="Normal 4 3 2 3 5 2 2 2 3" xfId="10872" xr:uid="{00000000-0005-0000-0000-00004C200000}"/>
    <cellStyle name="Normal 4 3 2 3 5 2 2 3" xfId="6106" xr:uid="{00000000-0005-0000-0000-00004D200000}"/>
    <cellStyle name="Normal 4 3 2 3 5 2 2 3 2" xfId="12467" xr:uid="{00000000-0005-0000-0000-00004E200000}"/>
    <cellStyle name="Normal 4 3 2 3 5 2 2 4" xfId="9288" xr:uid="{00000000-0005-0000-0000-00004F200000}"/>
    <cellStyle name="Normal 4 3 2 3 5 2 3" xfId="3670" xr:uid="{00000000-0005-0000-0000-000050200000}"/>
    <cellStyle name="Normal 4 3 2 3 5 2 3 2" xfId="6898" xr:uid="{00000000-0005-0000-0000-000051200000}"/>
    <cellStyle name="Normal 4 3 2 3 5 2 3 2 2" xfId="13259" xr:uid="{00000000-0005-0000-0000-000052200000}"/>
    <cellStyle name="Normal 4 3 2 3 5 2 3 3" xfId="10080" xr:uid="{00000000-0005-0000-0000-000053200000}"/>
    <cellStyle name="Normal 4 3 2 3 5 2 4" xfId="5314" xr:uid="{00000000-0005-0000-0000-000054200000}"/>
    <cellStyle name="Normal 4 3 2 3 5 2 4 2" xfId="11675" xr:uid="{00000000-0005-0000-0000-000055200000}"/>
    <cellStyle name="Normal 4 3 2 3 5 2 5" xfId="8496" xr:uid="{00000000-0005-0000-0000-000056200000}"/>
    <cellStyle name="Normal 4 3 2 3 5 3" xfId="2482" xr:uid="{00000000-0005-0000-0000-000057200000}"/>
    <cellStyle name="Normal 4 3 2 3 5 3 2" xfId="4066" xr:uid="{00000000-0005-0000-0000-000058200000}"/>
    <cellStyle name="Normal 4 3 2 3 5 3 2 2" xfId="7294" xr:uid="{00000000-0005-0000-0000-000059200000}"/>
    <cellStyle name="Normal 4 3 2 3 5 3 2 2 2" xfId="13655" xr:uid="{00000000-0005-0000-0000-00005A200000}"/>
    <cellStyle name="Normal 4 3 2 3 5 3 2 3" xfId="10476" xr:uid="{00000000-0005-0000-0000-00005B200000}"/>
    <cellStyle name="Normal 4 3 2 3 5 3 3" xfId="5710" xr:uid="{00000000-0005-0000-0000-00005C200000}"/>
    <cellStyle name="Normal 4 3 2 3 5 3 3 2" xfId="12071" xr:uid="{00000000-0005-0000-0000-00005D200000}"/>
    <cellStyle name="Normal 4 3 2 3 5 3 4" xfId="8892" xr:uid="{00000000-0005-0000-0000-00005E200000}"/>
    <cellStyle name="Normal 4 3 2 3 5 4" xfId="3274" xr:uid="{00000000-0005-0000-0000-00005F200000}"/>
    <cellStyle name="Normal 4 3 2 3 5 4 2" xfId="6502" xr:uid="{00000000-0005-0000-0000-000060200000}"/>
    <cellStyle name="Normal 4 3 2 3 5 4 2 2" xfId="12863" xr:uid="{00000000-0005-0000-0000-000061200000}"/>
    <cellStyle name="Normal 4 3 2 3 5 4 3" xfId="9684" xr:uid="{00000000-0005-0000-0000-000062200000}"/>
    <cellStyle name="Normal 4 3 2 3 5 5" xfId="4918" xr:uid="{00000000-0005-0000-0000-000063200000}"/>
    <cellStyle name="Normal 4 3 2 3 5 5 2" xfId="11279" xr:uid="{00000000-0005-0000-0000-000064200000}"/>
    <cellStyle name="Normal 4 3 2 3 5 6" xfId="8100" xr:uid="{00000000-0005-0000-0000-000065200000}"/>
    <cellStyle name="Normal 4 3 2 3 6" xfId="1888" xr:uid="{00000000-0005-0000-0000-000066200000}"/>
    <cellStyle name="Normal 4 3 2 3 6 2" xfId="2680" xr:uid="{00000000-0005-0000-0000-000067200000}"/>
    <cellStyle name="Normal 4 3 2 3 6 2 2" xfId="4264" xr:uid="{00000000-0005-0000-0000-000068200000}"/>
    <cellStyle name="Normal 4 3 2 3 6 2 2 2" xfId="7492" xr:uid="{00000000-0005-0000-0000-000069200000}"/>
    <cellStyle name="Normal 4 3 2 3 6 2 2 2 2" xfId="13853" xr:uid="{00000000-0005-0000-0000-00006A200000}"/>
    <cellStyle name="Normal 4 3 2 3 6 2 2 3" xfId="10674" xr:uid="{00000000-0005-0000-0000-00006B200000}"/>
    <cellStyle name="Normal 4 3 2 3 6 2 3" xfId="5908" xr:uid="{00000000-0005-0000-0000-00006C200000}"/>
    <cellStyle name="Normal 4 3 2 3 6 2 3 2" xfId="12269" xr:uid="{00000000-0005-0000-0000-00006D200000}"/>
    <cellStyle name="Normal 4 3 2 3 6 2 4" xfId="9090" xr:uid="{00000000-0005-0000-0000-00006E200000}"/>
    <cellStyle name="Normal 4 3 2 3 6 3" xfId="3472" xr:uid="{00000000-0005-0000-0000-00006F200000}"/>
    <cellStyle name="Normal 4 3 2 3 6 3 2" xfId="6700" xr:uid="{00000000-0005-0000-0000-000070200000}"/>
    <cellStyle name="Normal 4 3 2 3 6 3 2 2" xfId="13061" xr:uid="{00000000-0005-0000-0000-000071200000}"/>
    <cellStyle name="Normal 4 3 2 3 6 3 3" xfId="9882" xr:uid="{00000000-0005-0000-0000-000072200000}"/>
    <cellStyle name="Normal 4 3 2 3 6 4" xfId="5116" xr:uid="{00000000-0005-0000-0000-000073200000}"/>
    <cellStyle name="Normal 4 3 2 3 6 4 2" xfId="11477" xr:uid="{00000000-0005-0000-0000-000074200000}"/>
    <cellStyle name="Normal 4 3 2 3 6 5" xfId="8298" xr:uid="{00000000-0005-0000-0000-000075200000}"/>
    <cellStyle name="Normal 4 3 2 3 7" xfId="2284" xr:uid="{00000000-0005-0000-0000-000076200000}"/>
    <cellStyle name="Normal 4 3 2 3 7 2" xfId="3868" xr:uid="{00000000-0005-0000-0000-000077200000}"/>
    <cellStyle name="Normal 4 3 2 3 7 2 2" xfId="7096" xr:uid="{00000000-0005-0000-0000-000078200000}"/>
    <cellStyle name="Normal 4 3 2 3 7 2 2 2" xfId="13457" xr:uid="{00000000-0005-0000-0000-000079200000}"/>
    <cellStyle name="Normal 4 3 2 3 7 2 3" xfId="10278" xr:uid="{00000000-0005-0000-0000-00007A200000}"/>
    <cellStyle name="Normal 4 3 2 3 7 3" xfId="5512" xr:uid="{00000000-0005-0000-0000-00007B200000}"/>
    <cellStyle name="Normal 4 3 2 3 7 3 2" xfId="11873" xr:uid="{00000000-0005-0000-0000-00007C200000}"/>
    <cellStyle name="Normal 4 3 2 3 7 4" xfId="8694" xr:uid="{00000000-0005-0000-0000-00007D200000}"/>
    <cellStyle name="Normal 4 3 2 3 8" xfId="3076" xr:uid="{00000000-0005-0000-0000-00007E200000}"/>
    <cellStyle name="Normal 4 3 2 3 8 2" xfId="6304" xr:uid="{00000000-0005-0000-0000-00007F200000}"/>
    <cellStyle name="Normal 4 3 2 3 8 2 2" xfId="12665" xr:uid="{00000000-0005-0000-0000-000080200000}"/>
    <cellStyle name="Normal 4 3 2 3 8 3" xfId="9486" xr:uid="{00000000-0005-0000-0000-000081200000}"/>
    <cellStyle name="Normal 4 3 2 3 9" xfId="4720" xr:uid="{00000000-0005-0000-0000-000082200000}"/>
    <cellStyle name="Normal 4 3 2 3 9 2" xfId="11081" xr:uid="{00000000-0005-0000-0000-000083200000}"/>
    <cellStyle name="Normal 4 3 2 4" xfId="1461" xr:uid="{00000000-0005-0000-0000-000084200000}"/>
    <cellStyle name="Normal 4 3 2 4 2" xfId="1573" xr:uid="{00000000-0005-0000-0000-000085200000}"/>
    <cellStyle name="Normal 4 3 2 4 2 2" xfId="1771" xr:uid="{00000000-0005-0000-0000-000086200000}"/>
    <cellStyle name="Normal 4 3 2 4 2 2 2" xfId="2167" xr:uid="{00000000-0005-0000-0000-000087200000}"/>
    <cellStyle name="Normal 4 3 2 4 2 2 2 2" xfId="2959" xr:uid="{00000000-0005-0000-0000-000088200000}"/>
    <cellStyle name="Normal 4 3 2 4 2 2 2 2 2" xfId="4543" xr:uid="{00000000-0005-0000-0000-000089200000}"/>
    <cellStyle name="Normal 4 3 2 4 2 2 2 2 2 2" xfId="7771" xr:uid="{00000000-0005-0000-0000-00008A200000}"/>
    <cellStyle name="Normal 4 3 2 4 2 2 2 2 2 2 2" xfId="14132" xr:uid="{00000000-0005-0000-0000-00008B200000}"/>
    <cellStyle name="Normal 4 3 2 4 2 2 2 2 2 3" xfId="10953" xr:uid="{00000000-0005-0000-0000-00008C200000}"/>
    <cellStyle name="Normal 4 3 2 4 2 2 2 2 3" xfId="6187" xr:uid="{00000000-0005-0000-0000-00008D200000}"/>
    <cellStyle name="Normal 4 3 2 4 2 2 2 2 3 2" xfId="12548" xr:uid="{00000000-0005-0000-0000-00008E200000}"/>
    <cellStyle name="Normal 4 3 2 4 2 2 2 2 4" xfId="9369" xr:uid="{00000000-0005-0000-0000-00008F200000}"/>
    <cellStyle name="Normal 4 3 2 4 2 2 2 3" xfId="3751" xr:uid="{00000000-0005-0000-0000-000090200000}"/>
    <cellStyle name="Normal 4 3 2 4 2 2 2 3 2" xfId="6979" xr:uid="{00000000-0005-0000-0000-000091200000}"/>
    <cellStyle name="Normal 4 3 2 4 2 2 2 3 2 2" xfId="13340" xr:uid="{00000000-0005-0000-0000-000092200000}"/>
    <cellStyle name="Normal 4 3 2 4 2 2 2 3 3" xfId="10161" xr:uid="{00000000-0005-0000-0000-000093200000}"/>
    <cellStyle name="Normal 4 3 2 4 2 2 2 4" xfId="5395" xr:uid="{00000000-0005-0000-0000-000094200000}"/>
    <cellStyle name="Normal 4 3 2 4 2 2 2 4 2" xfId="11756" xr:uid="{00000000-0005-0000-0000-000095200000}"/>
    <cellStyle name="Normal 4 3 2 4 2 2 2 5" xfId="8577" xr:uid="{00000000-0005-0000-0000-000096200000}"/>
    <cellStyle name="Normal 4 3 2 4 2 2 3" xfId="2563" xr:uid="{00000000-0005-0000-0000-000097200000}"/>
    <cellStyle name="Normal 4 3 2 4 2 2 3 2" xfId="4147" xr:uid="{00000000-0005-0000-0000-000098200000}"/>
    <cellStyle name="Normal 4 3 2 4 2 2 3 2 2" xfId="7375" xr:uid="{00000000-0005-0000-0000-000099200000}"/>
    <cellStyle name="Normal 4 3 2 4 2 2 3 2 2 2" xfId="13736" xr:uid="{00000000-0005-0000-0000-00009A200000}"/>
    <cellStyle name="Normal 4 3 2 4 2 2 3 2 3" xfId="10557" xr:uid="{00000000-0005-0000-0000-00009B200000}"/>
    <cellStyle name="Normal 4 3 2 4 2 2 3 3" xfId="5791" xr:uid="{00000000-0005-0000-0000-00009C200000}"/>
    <cellStyle name="Normal 4 3 2 4 2 2 3 3 2" xfId="12152" xr:uid="{00000000-0005-0000-0000-00009D200000}"/>
    <cellStyle name="Normal 4 3 2 4 2 2 3 4" xfId="8973" xr:uid="{00000000-0005-0000-0000-00009E200000}"/>
    <cellStyle name="Normal 4 3 2 4 2 2 4" xfId="3355" xr:uid="{00000000-0005-0000-0000-00009F200000}"/>
    <cellStyle name="Normal 4 3 2 4 2 2 4 2" xfId="6583" xr:uid="{00000000-0005-0000-0000-0000A0200000}"/>
    <cellStyle name="Normal 4 3 2 4 2 2 4 2 2" xfId="12944" xr:uid="{00000000-0005-0000-0000-0000A1200000}"/>
    <cellStyle name="Normal 4 3 2 4 2 2 4 3" xfId="9765" xr:uid="{00000000-0005-0000-0000-0000A2200000}"/>
    <cellStyle name="Normal 4 3 2 4 2 2 5" xfId="4999" xr:uid="{00000000-0005-0000-0000-0000A3200000}"/>
    <cellStyle name="Normal 4 3 2 4 2 2 5 2" xfId="11360" xr:uid="{00000000-0005-0000-0000-0000A4200000}"/>
    <cellStyle name="Normal 4 3 2 4 2 2 6" xfId="8181" xr:uid="{00000000-0005-0000-0000-0000A5200000}"/>
    <cellStyle name="Normal 4 3 2 4 2 3" xfId="1969" xr:uid="{00000000-0005-0000-0000-0000A6200000}"/>
    <cellStyle name="Normal 4 3 2 4 2 3 2" xfId="2761" xr:uid="{00000000-0005-0000-0000-0000A7200000}"/>
    <cellStyle name="Normal 4 3 2 4 2 3 2 2" xfId="4345" xr:uid="{00000000-0005-0000-0000-0000A8200000}"/>
    <cellStyle name="Normal 4 3 2 4 2 3 2 2 2" xfId="7573" xr:uid="{00000000-0005-0000-0000-0000A9200000}"/>
    <cellStyle name="Normal 4 3 2 4 2 3 2 2 2 2" xfId="13934" xr:uid="{00000000-0005-0000-0000-0000AA200000}"/>
    <cellStyle name="Normal 4 3 2 4 2 3 2 2 3" xfId="10755" xr:uid="{00000000-0005-0000-0000-0000AB200000}"/>
    <cellStyle name="Normal 4 3 2 4 2 3 2 3" xfId="5989" xr:uid="{00000000-0005-0000-0000-0000AC200000}"/>
    <cellStyle name="Normal 4 3 2 4 2 3 2 3 2" xfId="12350" xr:uid="{00000000-0005-0000-0000-0000AD200000}"/>
    <cellStyle name="Normal 4 3 2 4 2 3 2 4" xfId="9171" xr:uid="{00000000-0005-0000-0000-0000AE200000}"/>
    <cellStyle name="Normal 4 3 2 4 2 3 3" xfId="3553" xr:uid="{00000000-0005-0000-0000-0000AF200000}"/>
    <cellStyle name="Normal 4 3 2 4 2 3 3 2" xfId="6781" xr:uid="{00000000-0005-0000-0000-0000B0200000}"/>
    <cellStyle name="Normal 4 3 2 4 2 3 3 2 2" xfId="13142" xr:uid="{00000000-0005-0000-0000-0000B1200000}"/>
    <cellStyle name="Normal 4 3 2 4 2 3 3 3" xfId="9963" xr:uid="{00000000-0005-0000-0000-0000B2200000}"/>
    <cellStyle name="Normal 4 3 2 4 2 3 4" xfId="5197" xr:uid="{00000000-0005-0000-0000-0000B3200000}"/>
    <cellStyle name="Normal 4 3 2 4 2 3 4 2" xfId="11558" xr:uid="{00000000-0005-0000-0000-0000B4200000}"/>
    <cellStyle name="Normal 4 3 2 4 2 3 5" xfId="8379" xr:uid="{00000000-0005-0000-0000-0000B5200000}"/>
    <cellStyle name="Normal 4 3 2 4 2 4" xfId="2365" xr:uid="{00000000-0005-0000-0000-0000B6200000}"/>
    <cellStyle name="Normal 4 3 2 4 2 4 2" xfId="3949" xr:uid="{00000000-0005-0000-0000-0000B7200000}"/>
    <cellStyle name="Normal 4 3 2 4 2 4 2 2" xfId="7177" xr:uid="{00000000-0005-0000-0000-0000B8200000}"/>
    <cellStyle name="Normal 4 3 2 4 2 4 2 2 2" xfId="13538" xr:uid="{00000000-0005-0000-0000-0000B9200000}"/>
    <cellStyle name="Normal 4 3 2 4 2 4 2 3" xfId="10359" xr:uid="{00000000-0005-0000-0000-0000BA200000}"/>
    <cellStyle name="Normal 4 3 2 4 2 4 3" xfId="5593" xr:uid="{00000000-0005-0000-0000-0000BB200000}"/>
    <cellStyle name="Normal 4 3 2 4 2 4 3 2" xfId="11954" xr:uid="{00000000-0005-0000-0000-0000BC200000}"/>
    <cellStyle name="Normal 4 3 2 4 2 4 4" xfId="8775" xr:uid="{00000000-0005-0000-0000-0000BD200000}"/>
    <cellStyle name="Normal 4 3 2 4 2 5" xfId="3157" xr:uid="{00000000-0005-0000-0000-0000BE200000}"/>
    <cellStyle name="Normal 4 3 2 4 2 5 2" xfId="6385" xr:uid="{00000000-0005-0000-0000-0000BF200000}"/>
    <cellStyle name="Normal 4 3 2 4 2 5 2 2" xfId="12746" xr:uid="{00000000-0005-0000-0000-0000C0200000}"/>
    <cellStyle name="Normal 4 3 2 4 2 5 3" xfId="9567" xr:uid="{00000000-0005-0000-0000-0000C1200000}"/>
    <cellStyle name="Normal 4 3 2 4 2 6" xfId="4801" xr:uid="{00000000-0005-0000-0000-0000C2200000}"/>
    <cellStyle name="Normal 4 3 2 4 2 6 2" xfId="11162" xr:uid="{00000000-0005-0000-0000-0000C3200000}"/>
    <cellStyle name="Normal 4 3 2 4 2 7" xfId="7983" xr:uid="{00000000-0005-0000-0000-0000C4200000}"/>
    <cellStyle name="Normal 4 3 2 4 3" xfId="1641" xr:uid="{00000000-0005-0000-0000-0000C5200000}"/>
    <cellStyle name="Normal 4 3 2 4 3 2" xfId="1839" xr:uid="{00000000-0005-0000-0000-0000C6200000}"/>
    <cellStyle name="Normal 4 3 2 4 3 2 2" xfId="2235" xr:uid="{00000000-0005-0000-0000-0000C7200000}"/>
    <cellStyle name="Normal 4 3 2 4 3 2 2 2" xfId="3027" xr:uid="{00000000-0005-0000-0000-0000C8200000}"/>
    <cellStyle name="Normal 4 3 2 4 3 2 2 2 2" xfId="4611" xr:uid="{00000000-0005-0000-0000-0000C9200000}"/>
    <cellStyle name="Normal 4 3 2 4 3 2 2 2 2 2" xfId="7839" xr:uid="{00000000-0005-0000-0000-0000CA200000}"/>
    <cellStyle name="Normal 4 3 2 4 3 2 2 2 2 2 2" xfId="14200" xr:uid="{00000000-0005-0000-0000-0000CB200000}"/>
    <cellStyle name="Normal 4 3 2 4 3 2 2 2 2 3" xfId="11021" xr:uid="{00000000-0005-0000-0000-0000CC200000}"/>
    <cellStyle name="Normal 4 3 2 4 3 2 2 2 3" xfId="6255" xr:uid="{00000000-0005-0000-0000-0000CD200000}"/>
    <cellStyle name="Normal 4 3 2 4 3 2 2 2 3 2" xfId="12616" xr:uid="{00000000-0005-0000-0000-0000CE200000}"/>
    <cellStyle name="Normal 4 3 2 4 3 2 2 2 4" xfId="9437" xr:uid="{00000000-0005-0000-0000-0000CF200000}"/>
    <cellStyle name="Normal 4 3 2 4 3 2 2 3" xfId="3819" xr:uid="{00000000-0005-0000-0000-0000D0200000}"/>
    <cellStyle name="Normal 4 3 2 4 3 2 2 3 2" xfId="7047" xr:uid="{00000000-0005-0000-0000-0000D1200000}"/>
    <cellStyle name="Normal 4 3 2 4 3 2 2 3 2 2" xfId="13408" xr:uid="{00000000-0005-0000-0000-0000D2200000}"/>
    <cellStyle name="Normal 4 3 2 4 3 2 2 3 3" xfId="10229" xr:uid="{00000000-0005-0000-0000-0000D3200000}"/>
    <cellStyle name="Normal 4 3 2 4 3 2 2 4" xfId="5463" xr:uid="{00000000-0005-0000-0000-0000D4200000}"/>
    <cellStyle name="Normal 4 3 2 4 3 2 2 4 2" xfId="11824" xr:uid="{00000000-0005-0000-0000-0000D5200000}"/>
    <cellStyle name="Normal 4 3 2 4 3 2 2 5" xfId="8645" xr:uid="{00000000-0005-0000-0000-0000D6200000}"/>
    <cellStyle name="Normal 4 3 2 4 3 2 3" xfId="2631" xr:uid="{00000000-0005-0000-0000-0000D7200000}"/>
    <cellStyle name="Normal 4 3 2 4 3 2 3 2" xfId="4215" xr:uid="{00000000-0005-0000-0000-0000D8200000}"/>
    <cellStyle name="Normal 4 3 2 4 3 2 3 2 2" xfId="7443" xr:uid="{00000000-0005-0000-0000-0000D9200000}"/>
    <cellStyle name="Normal 4 3 2 4 3 2 3 2 2 2" xfId="13804" xr:uid="{00000000-0005-0000-0000-0000DA200000}"/>
    <cellStyle name="Normal 4 3 2 4 3 2 3 2 3" xfId="10625" xr:uid="{00000000-0005-0000-0000-0000DB200000}"/>
    <cellStyle name="Normal 4 3 2 4 3 2 3 3" xfId="5859" xr:uid="{00000000-0005-0000-0000-0000DC200000}"/>
    <cellStyle name="Normal 4 3 2 4 3 2 3 3 2" xfId="12220" xr:uid="{00000000-0005-0000-0000-0000DD200000}"/>
    <cellStyle name="Normal 4 3 2 4 3 2 3 4" xfId="9041" xr:uid="{00000000-0005-0000-0000-0000DE200000}"/>
    <cellStyle name="Normal 4 3 2 4 3 2 4" xfId="3423" xr:uid="{00000000-0005-0000-0000-0000DF200000}"/>
    <cellStyle name="Normal 4 3 2 4 3 2 4 2" xfId="6651" xr:uid="{00000000-0005-0000-0000-0000E0200000}"/>
    <cellStyle name="Normal 4 3 2 4 3 2 4 2 2" xfId="13012" xr:uid="{00000000-0005-0000-0000-0000E1200000}"/>
    <cellStyle name="Normal 4 3 2 4 3 2 4 3" xfId="9833" xr:uid="{00000000-0005-0000-0000-0000E2200000}"/>
    <cellStyle name="Normal 4 3 2 4 3 2 5" xfId="5067" xr:uid="{00000000-0005-0000-0000-0000E3200000}"/>
    <cellStyle name="Normal 4 3 2 4 3 2 5 2" xfId="11428" xr:uid="{00000000-0005-0000-0000-0000E4200000}"/>
    <cellStyle name="Normal 4 3 2 4 3 2 6" xfId="8249" xr:uid="{00000000-0005-0000-0000-0000E5200000}"/>
    <cellStyle name="Normal 4 3 2 4 3 3" xfId="2037" xr:uid="{00000000-0005-0000-0000-0000E6200000}"/>
    <cellStyle name="Normal 4 3 2 4 3 3 2" xfId="2829" xr:uid="{00000000-0005-0000-0000-0000E7200000}"/>
    <cellStyle name="Normal 4 3 2 4 3 3 2 2" xfId="4413" xr:uid="{00000000-0005-0000-0000-0000E8200000}"/>
    <cellStyle name="Normal 4 3 2 4 3 3 2 2 2" xfId="7641" xr:uid="{00000000-0005-0000-0000-0000E9200000}"/>
    <cellStyle name="Normal 4 3 2 4 3 3 2 2 2 2" xfId="14002" xr:uid="{00000000-0005-0000-0000-0000EA200000}"/>
    <cellStyle name="Normal 4 3 2 4 3 3 2 2 3" xfId="10823" xr:uid="{00000000-0005-0000-0000-0000EB200000}"/>
    <cellStyle name="Normal 4 3 2 4 3 3 2 3" xfId="6057" xr:uid="{00000000-0005-0000-0000-0000EC200000}"/>
    <cellStyle name="Normal 4 3 2 4 3 3 2 3 2" xfId="12418" xr:uid="{00000000-0005-0000-0000-0000ED200000}"/>
    <cellStyle name="Normal 4 3 2 4 3 3 2 4" xfId="9239" xr:uid="{00000000-0005-0000-0000-0000EE200000}"/>
    <cellStyle name="Normal 4 3 2 4 3 3 3" xfId="3621" xr:uid="{00000000-0005-0000-0000-0000EF200000}"/>
    <cellStyle name="Normal 4 3 2 4 3 3 3 2" xfId="6849" xr:uid="{00000000-0005-0000-0000-0000F0200000}"/>
    <cellStyle name="Normal 4 3 2 4 3 3 3 2 2" xfId="13210" xr:uid="{00000000-0005-0000-0000-0000F1200000}"/>
    <cellStyle name="Normal 4 3 2 4 3 3 3 3" xfId="10031" xr:uid="{00000000-0005-0000-0000-0000F2200000}"/>
    <cellStyle name="Normal 4 3 2 4 3 3 4" xfId="5265" xr:uid="{00000000-0005-0000-0000-0000F3200000}"/>
    <cellStyle name="Normal 4 3 2 4 3 3 4 2" xfId="11626" xr:uid="{00000000-0005-0000-0000-0000F4200000}"/>
    <cellStyle name="Normal 4 3 2 4 3 3 5" xfId="8447" xr:uid="{00000000-0005-0000-0000-0000F5200000}"/>
    <cellStyle name="Normal 4 3 2 4 3 4" xfId="2433" xr:uid="{00000000-0005-0000-0000-0000F6200000}"/>
    <cellStyle name="Normal 4 3 2 4 3 4 2" xfId="4017" xr:uid="{00000000-0005-0000-0000-0000F7200000}"/>
    <cellStyle name="Normal 4 3 2 4 3 4 2 2" xfId="7245" xr:uid="{00000000-0005-0000-0000-0000F8200000}"/>
    <cellStyle name="Normal 4 3 2 4 3 4 2 2 2" xfId="13606" xr:uid="{00000000-0005-0000-0000-0000F9200000}"/>
    <cellStyle name="Normal 4 3 2 4 3 4 2 3" xfId="10427" xr:uid="{00000000-0005-0000-0000-0000FA200000}"/>
    <cellStyle name="Normal 4 3 2 4 3 4 3" xfId="5661" xr:uid="{00000000-0005-0000-0000-0000FB200000}"/>
    <cellStyle name="Normal 4 3 2 4 3 4 3 2" xfId="12022" xr:uid="{00000000-0005-0000-0000-0000FC200000}"/>
    <cellStyle name="Normal 4 3 2 4 3 4 4" xfId="8843" xr:uid="{00000000-0005-0000-0000-0000FD200000}"/>
    <cellStyle name="Normal 4 3 2 4 3 5" xfId="3225" xr:uid="{00000000-0005-0000-0000-0000FE200000}"/>
    <cellStyle name="Normal 4 3 2 4 3 5 2" xfId="6453" xr:uid="{00000000-0005-0000-0000-0000FF200000}"/>
    <cellStyle name="Normal 4 3 2 4 3 5 2 2" xfId="12814" xr:uid="{00000000-0005-0000-0000-000000210000}"/>
    <cellStyle name="Normal 4 3 2 4 3 5 3" xfId="9635" xr:uid="{00000000-0005-0000-0000-000001210000}"/>
    <cellStyle name="Normal 4 3 2 4 3 6" xfId="4869" xr:uid="{00000000-0005-0000-0000-000002210000}"/>
    <cellStyle name="Normal 4 3 2 4 3 6 2" xfId="11230" xr:uid="{00000000-0005-0000-0000-000003210000}"/>
    <cellStyle name="Normal 4 3 2 4 3 7" xfId="8051" xr:uid="{00000000-0005-0000-0000-000004210000}"/>
    <cellStyle name="Normal 4 3 2 4 4" xfId="1706" xr:uid="{00000000-0005-0000-0000-000005210000}"/>
    <cellStyle name="Normal 4 3 2 4 4 2" xfId="2102" xr:uid="{00000000-0005-0000-0000-000006210000}"/>
    <cellStyle name="Normal 4 3 2 4 4 2 2" xfId="2894" xr:uid="{00000000-0005-0000-0000-000007210000}"/>
    <cellStyle name="Normal 4 3 2 4 4 2 2 2" xfId="4478" xr:uid="{00000000-0005-0000-0000-000008210000}"/>
    <cellStyle name="Normal 4 3 2 4 4 2 2 2 2" xfId="7706" xr:uid="{00000000-0005-0000-0000-000009210000}"/>
    <cellStyle name="Normal 4 3 2 4 4 2 2 2 2 2" xfId="14067" xr:uid="{00000000-0005-0000-0000-00000A210000}"/>
    <cellStyle name="Normal 4 3 2 4 4 2 2 2 3" xfId="10888" xr:uid="{00000000-0005-0000-0000-00000B210000}"/>
    <cellStyle name="Normal 4 3 2 4 4 2 2 3" xfId="6122" xr:uid="{00000000-0005-0000-0000-00000C210000}"/>
    <cellStyle name="Normal 4 3 2 4 4 2 2 3 2" xfId="12483" xr:uid="{00000000-0005-0000-0000-00000D210000}"/>
    <cellStyle name="Normal 4 3 2 4 4 2 2 4" xfId="9304" xr:uid="{00000000-0005-0000-0000-00000E210000}"/>
    <cellStyle name="Normal 4 3 2 4 4 2 3" xfId="3686" xr:uid="{00000000-0005-0000-0000-00000F210000}"/>
    <cellStyle name="Normal 4 3 2 4 4 2 3 2" xfId="6914" xr:uid="{00000000-0005-0000-0000-000010210000}"/>
    <cellStyle name="Normal 4 3 2 4 4 2 3 2 2" xfId="13275" xr:uid="{00000000-0005-0000-0000-000011210000}"/>
    <cellStyle name="Normal 4 3 2 4 4 2 3 3" xfId="10096" xr:uid="{00000000-0005-0000-0000-000012210000}"/>
    <cellStyle name="Normal 4 3 2 4 4 2 4" xfId="5330" xr:uid="{00000000-0005-0000-0000-000013210000}"/>
    <cellStyle name="Normal 4 3 2 4 4 2 4 2" xfId="11691" xr:uid="{00000000-0005-0000-0000-000014210000}"/>
    <cellStyle name="Normal 4 3 2 4 4 2 5" xfId="8512" xr:uid="{00000000-0005-0000-0000-000015210000}"/>
    <cellStyle name="Normal 4 3 2 4 4 3" xfId="2498" xr:uid="{00000000-0005-0000-0000-000016210000}"/>
    <cellStyle name="Normal 4 3 2 4 4 3 2" xfId="4082" xr:uid="{00000000-0005-0000-0000-000017210000}"/>
    <cellStyle name="Normal 4 3 2 4 4 3 2 2" xfId="7310" xr:uid="{00000000-0005-0000-0000-000018210000}"/>
    <cellStyle name="Normal 4 3 2 4 4 3 2 2 2" xfId="13671" xr:uid="{00000000-0005-0000-0000-000019210000}"/>
    <cellStyle name="Normal 4 3 2 4 4 3 2 3" xfId="10492" xr:uid="{00000000-0005-0000-0000-00001A210000}"/>
    <cellStyle name="Normal 4 3 2 4 4 3 3" xfId="5726" xr:uid="{00000000-0005-0000-0000-00001B210000}"/>
    <cellStyle name="Normal 4 3 2 4 4 3 3 2" xfId="12087" xr:uid="{00000000-0005-0000-0000-00001C210000}"/>
    <cellStyle name="Normal 4 3 2 4 4 3 4" xfId="8908" xr:uid="{00000000-0005-0000-0000-00001D210000}"/>
    <cellStyle name="Normal 4 3 2 4 4 4" xfId="3290" xr:uid="{00000000-0005-0000-0000-00001E210000}"/>
    <cellStyle name="Normal 4 3 2 4 4 4 2" xfId="6518" xr:uid="{00000000-0005-0000-0000-00001F210000}"/>
    <cellStyle name="Normal 4 3 2 4 4 4 2 2" xfId="12879" xr:uid="{00000000-0005-0000-0000-000020210000}"/>
    <cellStyle name="Normal 4 3 2 4 4 4 3" xfId="9700" xr:uid="{00000000-0005-0000-0000-000021210000}"/>
    <cellStyle name="Normal 4 3 2 4 4 5" xfId="4934" xr:uid="{00000000-0005-0000-0000-000022210000}"/>
    <cellStyle name="Normal 4 3 2 4 4 5 2" xfId="11295" xr:uid="{00000000-0005-0000-0000-000023210000}"/>
    <cellStyle name="Normal 4 3 2 4 4 6" xfId="8116" xr:uid="{00000000-0005-0000-0000-000024210000}"/>
    <cellStyle name="Normal 4 3 2 4 5" xfId="1904" xr:uid="{00000000-0005-0000-0000-000025210000}"/>
    <cellStyle name="Normal 4 3 2 4 5 2" xfId="2696" xr:uid="{00000000-0005-0000-0000-000026210000}"/>
    <cellStyle name="Normal 4 3 2 4 5 2 2" xfId="4280" xr:uid="{00000000-0005-0000-0000-000027210000}"/>
    <cellStyle name="Normal 4 3 2 4 5 2 2 2" xfId="7508" xr:uid="{00000000-0005-0000-0000-000028210000}"/>
    <cellStyle name="Normal 4 3 2 4 5 2 2 2 2" xfId="13869" xr:uid="{00000000-0005-0000-0000-000029210000}"/>
    <cellStyle name="Normal 4 3 2 4 5 2 2 3" xfId="10690" xr:uid="{00000000-0005-0000-0000-00002A210000}"/>
    <cellStyle name="Normal 4 3 2 4 5 2 3" xfId="5924" xr:uid="{00000000-0005-0000-0000-00002B210000}"/>
    <cellStyle name="Normal 4 3 2 4 5 2 3 2" xfId="12285" xr:uid="{00000000-0005-0000-0000-00002C210000}"/>
    <cellStyle name="Normal 4 3 2 4 5 2 4" xfId="9106" xr:uid="{00000000-0005-0000-0000-00002D210000}"/>
    <cellStyle name="Normal 4 3 2 4 5 3" xfId="3488" xr:uid="{00000000-0005-0000-0000-00002E210000}"/>
    <cellStyle name="Normal 4 3 2 4 5 3 2" xfId="6716" xr:uid="{00000000-0005-0000-0000-00002F210000}"/>
    <cellStyle name="Normal 4 3 2 4 5 3 2 2" xfId="13077" xr:uid="{00000000-0005-0000-0000-000030210000}"/>
    <cellStyle name="Normal 4 3 2 4 5 3 3" xfId="9898" xr:uid="{00000000-0005-0000-0000-000031210000}"/>
    <cellStyle name="Normal 4 3 2 4 5 4" xfId="5132" xr:uid="{00000000-0005-0000-0000-000032210000}"/>
    <cellStyle name="Normal 4 3 2 4 5 4 2" xfId="11493" xr:uid="{00000000-0005-0000-0000-000033210000}"/>
    <cellStyle name="Normal 4 3 2 4 5 5" xfId="8314" xr:uid="{00000000-0005-0000-0000-000034210000}"/>
    <cellStyle name="Normal 4 3 2 4 6" xfId="2300" xr:uid="{00000000-0005-0000-0000-000035210000}"/>
    <cellStyle name="Normal 4 3 2 4 6 2" xfId="3884" xr:uid="{00000000-0005-0000-0000-000036210000}"/>
    <cellStyle name="Normal 4 3 2 4 6 2 2" xfId="7112" xr:uid="{00000000-0005-0000-0000-000037210000}"/>
    <cellStyle name="Normal 4 3 2 4 6 2 2 2" xfId="13473" xr:uid="{00000000-0005-0000-0000-000038210000}"/>
    <cellStyle name="Normal 4 3 2 4 6 2 3" xfId="10294" xr:uid="{00000000-0005-0000-0000-000039210000}"/>
    <cellStyle name="Normal 4 3 2 4 6 3" xfId="5528" xr:uid="{00000000-0005-0000-0000-00003A210000}"/>
    <cellStyle name="Normal 4 3 2 4 6 3 2" xfId="11889" xr:uid="{00000000-0005-0000-0000-00003B210000}"/>
    <cellStyle name="Normal 4 3 2 4 6 4" xfId="8710" xr:uid="{00000000-0005-0000-0000-00003C210000}"/>
    <cellStyle name="Normal 4 3 2 4 7" xfId="3092" xr:uid="{00000000-0005-0000-0000-00003D210000}"/>
    <cellStyle name="Normal 4 3 2 4 7 2" xfId="6320" xr:uid="{00000000-0005-0000-0000-00003E210000}"/>
    <cellStyle name="Normal 4 3 2 4 7 2 2" xfId="12681" xr:uid="{00000000-0005-0000-0000-00003F210000}"/>
    <cellStyle name="Normal 4 3 2 4 7 3" xfId="9502" xr:uid="{00000000-0005-0000-0000-000040210000}"/>
    <cellStyle name="Normal 4 3 2 4 8" xfId="4736" xr:uid="{00000000-0005-0000-0000-000041210000}"/>
    <cellStyle name="Normal 4 3 2 4 8 2" xfId="11097" xr:uid="{00000000-0005-0000-0000-000042210000}"/>
    <cellStyle name="Normal 4 3 2 4 9" xfId="7918" xr:uid="{00000000-0005-0000-0000-000043210000}"/>
    <cellStyle name="Normal 4 3 2 5" xfId="1541" xr:uid="{00000000-0005-0000-0000-000044210000}"/>
    <cellStyle name="Normal 4 3 2 5 2" xfId="1739" xr:uid="{00000000-0005-0000-0000-000045210000}"/>
    <cellStyle name="Normal 4 3 2 5 2 2" xfId="2135" xr:uid="{00000000-0005-0000-0000-000046210000}"/>
    <cellStyle name="Normal 4 3 2 5 2 2 2" xfId="2927" xr:uid="{00000000-0005-0000-0000-000047210000}"/>
    <cellStyle name="Normal 4 3 2 5 2 2 2 2" xfId="4511" xr:uid="{00000000-0005-0000-0000-000048210000}"/>
    <cellStyle name="Normal 4 3 2 5 2 2 2 2 2" xfId="7739" xr:uid="{00000000-0005-0000-0000-000049210000}"/>
    <cellStyle name="Normal 4 3 2 5 2 2 2 2 2 2" xfId="14100" xr:uid="{00000000-0005-0000-0000-00004A210000}"/>
    <cellStyle name="Normal 4 3 2 5 2 2 2 2 3" xfId="10921" xr:uid="{00000000-0005-0000-0000-00004B210000}"/>
    <cellStyle name="Normal 4 3 2 5 2 2 2 3" xfId="6155" xr:uid="{00000000-0005-0000-0000-00004C210000}"/>
    <cellStyle name="Normal 4 3 2 5 2 2 2 3 2" xfId="12516" xr:uid="{00000000-0005-0000-0000-00004D210000}"/>
    <cellStyle name="Normal 4 3 2 5 2 2 2 4" xfId="9337" xr:uid="{00000000-0005-0000-0000-00004E210000}"/>
    <cellStyle name="Normal 4 3 2 5 2 2 3" xfId="3719" xr:uid="{00000000-0005-0000-0000-00004F210000}"/>
    <cellStyle name="Normal 4 3 2 5 2 2 3 2" xfId="6947" xr:uid="{00000000-0005-0000-0000-000050210000}"/>
    <cellStyle name="Normal 4 3 2 5 2 2 3 2 2" xfId="13308" xr:uid="{00000000-0005-0000-0000-000051210000}"/>
    <cellStyle name="Normal 4 3 2 5 2 2 3 3" xfId="10129" xr:uid="{00000000-0005-0000-0000-000052210000}"/>
    <cellStyle name="Normal 4 3 2 5 2 2 4" xfId="5363" xr:uid="{00000000-0005-0000-0000-000053210000}"/>
    <cellStyle name="Normal 4 3 2 5 2 2 4 2" xfId="11724" xr:uid="{00000000-0005-0000-0000-000054210000}"/>
    <cellStyle name="Normal 4 3 2 5 2 2 5" xfId="8545" xr:uid="{00000000-0005-0000-0000-000055210000}"/>
    <cellStyle name="Normal 4 3 2 5 2 3" xfId="2531" xr:uid="{00000000-0005-0000-0000-000056210000}"/>
    <cellStyle name="Normal 4 3 2 5 2 3 2" xfId="4115" xr:uid="{00000000-0005-0000-0000-000057210000}"/>
    <cellStyle name="Normal 4 3 2 5 2 3 2 2" xfId="7343" xr:uid="{00000000-0005-0000-0000-000058210000}"/>
    <cellStyle name="Normal 4 3 2 5 2 3 2 2 2" xfId="13704" xr:uid="{00000000-0005-0000-0000-000059210000}"/>
    <cellStyle name="Normal 4 3 2 5 2 3 2 3" xfId="10525" xr:uid="{00000000-0005-0000-0000-00005A210000}"/>
    <cellStyle name="Normal 4 3 2 5 2 3 3" xfId="5759" xr:uid="{00000000-0005-0000-0000-00005B210000}"/>
    <cellStyle name="Normal 4 3 2 5 2 3 3 2" xfId="12120" xr:uid="{00000000-0005-0000-0000-00005C210000}"/>
    <cellStyle name="Normal 4 3 2 5 2 3 4" xfId="8941" xr:uid="{00000000-0005-0000-0000-00005D210000}"/>
    <cellStyle name="Normal 4 3 2 5 2 4" xfId="3323" xr:uid="{00000000-0005-0000-0000-00005E210000}"/>
    <cellStyle name="Normal 4 3 2 5 2 4 2" xfId="6551" xr:uid="{00000000-0005-0000-0000-00005F210000}"/>
    <cellStyle name="Normal 4 3 2 5 2 4 2 2" xfId="12912" xr:uid="{00000000-0005-0000-0000-000060210000}"/>
    <cellStyle name="Normal 4 3 2 5 2 4 3" xfId="9733" xr:uid="{00000000-0005-0000-0000-000061210000}"/>
    <cellStyle name="Normal 4 3 2 5 2 5" xfId="4967" xr:uid="{00000000-0005-0000-0000-000062210000}"/>
    <cellStyle name="Normal 4 3 2 5 2 5 2" xfId="11328" xr:uid="{00000000-0005-0000-0000-000063210000}"/>
    <cellStyle name="Normal 4 3 2 5 2 6" xfId="8149" xr:uid="{00000000-0005-0000-0000-000064210000}"/>
    <cellStyle name="Normal 4 3 2 5 3" xfId="1937" xr:uid="{00000000-0005-0000-0000-000065210000}"/>
    <cellStyle name="Normal 4 3 2 5 3 2" xfId="2729" xr:uid="{00000000-0005-0000-0000-000066210000}"/>
    <cellStyle name="Normal 4 3 2 5 3 2 2" xfId="4313" xr:uid="{00000000-0005-0000-0000-000067210000}"/>
    <cellStyle name="Normal 4 3 2 5 3 2 2 2" xfId="7541" xr:uid="{00000000-0005-0000-0000-000068210000}"/>
    <cellStyle name="Normal 4 3 2 5 3 2 2 2 2" xfId="13902" xr:uid="{00000000-0005-0000-0000-000069210000}"/>
    <cellStyle name="Normal 4 3 2 5 3 2 2 3" xfId="10723" xr:uid="{00000000-0005-0000-0000-00006A210000}"/>
    <cellStyle name="Normal 4 3 2 5 3 2 3" xfId="5957" xr:uid="{00000000-0005-0000-0000-00006B210000}"/>
    <cellStyle name="Normal 4 3 2 5 3 2 3 2" xfId="12318" xr:uid="{00000000-0005-0000-0000-00006C210000}"/>
    <cellStyle name="Normal 4 3 2 5 3 2 4" xfId="9139" xr:uid="{00000000-0005-0000-0000-00006D210000}"/>
    <cellStyle name="Normal 4 3 2 5 3 3" xfId="3521" xr:uid="{00000000-0005-0000-0000-00006E210000}"/>
    <cellStyle name="Normal 4 3 2 5 3 3 2" xfId="6749" xr:uid="{00000000-0005-0000-0000-00006F210000}"/>
    <cellStyle name="Normal 4 3 2 5 3 3 2 2" xfId="13110" xr:uid="{00000000-0005-0000-0000-000070210000}"/>
    <cellStyle name="Normal 4 3 2 5 3 3 3" xfId="9931" xr:uid="{00000000-0005-0000-0000-000071210000}"/>
    <cellStyle name="Normal 4 3 2 5 3 4" xfId="5165" xr:uid="{00000000-0005-0000-0000-000072210000}"/>
    <cellStyle name="Normal 4 3 2 5 3 4 2" xfId="11526" xr:uid="{00000000-0005-0000-0000-000073210000}"/>
    <cellStyle name="Normal 4 3 2 5 3 5" xfId="8347" xr:uid="{00000000-0005-0000-0000-000074210000}"/>
    <cellStyle name="Normal 4 3 2 5 4" xfId="2333" xr:uid="{00000000-0005-0000-0000-000075210000}"/>
    <cellStyle name="Normal 4 3 2 5 4 2" xfId="3917" xr:uid="{00000000-0005-0000-0000-000076210000}"/>
    <cellStyle name="Normal 4 3 2 5 4 2 2" xfId="7145" xr:uid="{00000000-0005-0000-0000-000077210000}"/>
    <cellStyle name="Normal 4 3 2 5 4 2 2 2" xfId="13506" xr:uid="{00000000-0005-0000-0000-000078210000}"/>
    <cellStyle name="Normal 4 3 2 5 4 2 3" xfId="10327" xr:uid="{00000000-0005-0000-0000-000079210000}"/>
    <cellStyle name="Normal 4 3 2 5 4 3" xfId="5561" xr:uid="{00000000-0005-0000-0000-00007A210000}"/>
    <cellStyle name="Normal 4 3 2 5 4 3 2" xfId="11922" xr:uid="{00000000-0005-0000-0000-00007B210000}"/>
    <cellStyle name="Normal 4 3 2 5 4 4" xfId="8743" xr:uid="{00000000-0005-0000-0000-00007C210000}"/>
    <cellStyle name="Normal 4 3 2 5 5" xfId="3125" xr:uid="{00000000-0005-0000-0000-00007D210000}"/>
    <cellStyle name="Normal 4 3 2 5 5 2" xfId="6353" xr:uid="{00000000-0005-0000-0000-00007E210000}"/>
    <cellStyle name="Normal 4 3 2 5 5 2 2" xfId="12714" xr:uid="{00000000-0005-0000-0000-00007F210000}"/>
    <cellStyle name="Normal 4 3 2 5 5 3" xfId="9535" xr:uid="{00000000-0005-0000-0000-000080210000}"/>
    <cellStyle name="Normal 4 3 2 5 6" xfId="4769" xr:uid="{00000000-0005-0000-0000-000081210000}"/>
    <cellStyle name="Normal 4 3 2 5 6 2" xfId="11130" xr:uid="{00000000-0005-0000-0000-000082210000}"/>
    <cellStyle name="Normal 4 3 2 5 7" xfId="7951" xr:uid="{00000000-0005-0000-0000-000083210000}"/>
    <cellStyle name="Normal 4 3 2 6" xfId="1609" xr:uid="{00000000-0005-0000-0000-000084210000}"/>
    <cellStyle name="Normal 4 3 2 6 2" xfId="1807" xr:uid="{00000000-0005-0000-0000-000085210000}"/>
    <cellStyle name="Normal 4 3 2 6 2 2" xfId="2203" xr:uid="{00000000-0005-0000-0000-000086210000}"/>
    <cellStyle name="Normal 4 3 2 6 2 2 2" xfId="2995" xr:uid="{00000000-0005-0000-0000-000087210000}"/>
    <cellStyle name="Normal 4 3 2 6 2 2 2 2" xfId="4579" xr:uid="{00000000-0005-0000-0000-000088210000}"/>
    <cellStyle name="Normal 4 3 2 6 2 2 2 2 2" xfId="7807" xr:uid="{00000000-0005-0000-0000-000089210000}"/>
    <cellStyle name="Normal 4 3 2 6 2 2 2 2 2 2" xfId="14168" xr:uid="{00000000-0005-0000-0000-00008A210000}"/>
    <cellStyle name="Normal 4 3 2 6 2 2 2 2 3" xfId="10989" xr:uid="{00000000-0005-0000-0000-00008B210000}"/>
    <cellStyle name="Normal 4 3 2 6 2 2 2 3" xfId="6223" xr:uid="{00000000-0005-0000-0000-00008C210000}"/>
    <cellStyle name="Normal 4 3 2 6 2 2 2 3 2" xfId="12584" xr:uid="{00000000-0005-0000-0000-00008D210000}"/>
    <cellStyle name="Normal 4 3 2 6 2 2 2 4" xfId="9405" xr:uid="{00000000-0005-0000-0000-00008E210000}"/>
    <cellStyle name="Normal 4 3 2 6 2 2 3" xfId="3787" xr:uid="{00000000-0005-0000-0000-00008F210000}"/>
    <cellStyle name="Normal 4 3 2 6 2 2 3 2" xfId="7015" xr:uid="{00000000-0005-0000-0000-000090210000}"/>
    <cellStyle name="Normal 4 3 2 6 2 2 3 2 2" xfId="13376" xr:uid="{00000000-0005-0000-0000-000091210000}"/>
    <cellStyle name="Normal 4 3 2 6 2 2 3 3" xfId="10197" xr:uid="{00000000-0005-0000-0000-000092210000}"/>
    <cellStyle name="Normal 4 3 2 6 2 2 4" xfId="5431" xr:uid="{00000000-0005-0000-0000-000093210000}"/>
    <cellStyle name="Normal 4 3 2 6 2 2 4 2" xfId="11792" xr:uid="{00000000-0005-0000-0000-000094210000}"/>
    <cellStyle name="Normal 4 3 2 6 2 2 5" xfId="8613" xr:uid="{00000000-0005-0000-0000-000095210000}"/>
    <cellStyle name="Normal 4 3 2 6 2 3" xfId="2599" xr:uid="{00000000-0005-0000-0000-000096210000}"/>
    <cellStyle name="Normal 4 3 2 6 2 3 2" xfId="4183" xr:uid="{00000000-0005-0000-0000-000097210000}"/>
    <cellStyle name="Normal 4 3 2 6 2 3 2 2" xfId="7411" xr:uid="{00000000-0005-0000-0000-000098210000}"/>
    <cellStyle name="Normal 4 3 2 6 2 3 2 2 2" xfId="13772" xr:uid="{00000000-0005-0000-0000-000099210000}"/>
    <cellStyle name="Normal 4 3 2 6 2 3 2 3" xfId="10593" xr:uid="{00000000-0005-0000-0000-00009A210000}"/>
    <cellStyle name="Normal 4 3 2 6 2 3 3" xfId="5827" xr:uid="{00000000-0005-0000-0000-00009B210000}"/>
    <cellStyle name="Normal 4 3 2 6 2 3 3 2" xfId="12188" xr:uid="{00000000-0005-0000-0000-00009C210000}"/>
    <cellStyle name="Normal 4 3 2 6 2 3 4" xfId="9009" xr:uid="{00000000-0005-0000-0000-00009D210000}"/>
    <cellStyle name="Normal 4 3 2 6 2 4" xfId="3391" xr:uid="{00000000-0005-0000-0000-00009E210000}"/>
    <cellStyle name="Normal 4 3 2 6 2 4 2" xfId="6619" xr:uid="{00000000-0005-0000-0000-00009F210000}"/>
    <cellStyle name="Normal 4 3 2 6 2 4 2 2" xfId="12980" xr:uid="{00000000-0005-0000-0000-0000A0210000}"/>
    <cellStyle name="Normal 4 3 2 6 2 4 3" xfId="9801" xr:uid="{00000000-0005-0000-0000-0000A1210000}"/>
    <cellStyle name="Normal 4 3 2 6 2 5" xfId="5035" xr:uid="{00000000-0005-0000-0000-0000A2210000}"/>
    <cellStyle name="Normal 4 3 2 6 2 5 2" xfId="11396" xr:uid="{00000000-0005-0000-0000-0000A3210000}"/>
    <cellStyle name="Normal 4 3 2 6 2 6" xfId="8217" xr:uid="{00000000-0005-0000-0000-0000A4210000}"/>
    <cellStyle name="Normal 4 3 2 6 3" xfId="2005" xr:uid="{00000000-0005-0000-0000-0000A5210000}"/>
    <cellStyle name="Normal 4 3 2 6 3 2" xfId="2797" xr:uid="{00000000-0005-0000-0000-0000A6210000}"/>
    <cellStyle name="Normal 4 3 2 6 3 2 2" xfId="4381" xr:uid="{00000000-0005-0000-0000-0000A7210000}"/>
    <cellStyle name="Normal 4 3 2 6 3 2 2 2" xfId="7609" xr:uid="{00000000-0005-0000-0000-0000A8210000}"/>
    <cellStyle name="Normal 4 3 2 6 3 2 2 2 2" xfId="13970" xr:uid="{00000000-0005-0000-0000-0000A9210000}"/>
    <cellStyle name="Normal 4 3 2 6 3 2 2 3" xfId="10791" xr:uid="{00000000-0005-0000-0000-0000AA210000}"/>
    <cellStyle name="Normal 4 3 2 6 3 2 3" xfId="6025" xr:uid="{00000000-0005-0000-0000-0000AB210000}"/>
    <cellStyle name="Normal 4 3 2 6 3 2 3 2" xfId="12386" xr:uid="{00000000-0005-0000-0000-0000AC210000}"/>
    <cellStyle name="Normal 4 3 2 6 3 2 4" xfId="9207" xr:uid="{00000000-0005-0000-0000-0000AD210000}"/>
    <cellStyle name="Normal 4 3 2 6 3 3" xfId="3589" xr:uid="{00000000-0005-0000-0000-0000AE210000}"/>
    <cellStyle name="Normal 4 3 2 6 3 3 2" xfId="6817" xr:uid="{00000000-0005-0000-0000-0000AF210000}"/>
    <cellStyle name="Normal 4 3 2 6 3 3 2 2" xfId="13178" xr:uid="{00000000-0005-0000-0000-0000B0210000}"/>
    <cellStyle name="Normal 4 3 2 6 3 3 3" xfId="9999" xr:uid="{00000000-0005-0000-0000-0000B1210000}"/>
    <cellStyle name="Normal 4 3 2 6 3 4" xfId="5233" xr:uid="{00000000-0005-0000-0000-0000B2210000}"/>
    <cellStyle name="Normal 4 3 2 6 3 4 2" xfId="11594" xr:uid="{00000000-0005-0000-0000-0000B3210000}"/>
    <cellStyle name="Normal 4 3 2 6 3 5" xfId="8415" xr:uid="{00000000-0005-0000-0000-0000B4210000}"/>
    <cellStyle name="Normal 4 3 2 6 4" xfId="2401" xr:uid="{00000000-0005-0000-0000-0000B5210000}"/>
    <cellStyle name="Normal 4 3 2 6 4 2" xfId="3985" xr:uid="{00000000-0005-0000-0000-0000B6210000}"/>
    <cellStyle name="Normal 4 3 2 6 4 2 2" xfId="7213" xr:uid="{00000000-0005-0000-0000-0000B7210000}"/>
    <cellStyle name="Normal 4 3 2 6 4 2 2 2" xfId="13574" xr:uid="{00000000-0005-0000-0000-0000B8210000}"/>
    <cellStyle name="Normal 4 3 2 6 4 2 3" xfId="10395" xr:uid="{00000000-0005-0000-0000-0000B9210000}"/>
    <cellStyle name="Normal 4 3 2 6 4 3" xfId="5629" xr:uid="{00000000-0005-0000-0000-0000BA210000}"/>
    <cellStyle name="Normal 4 3 2 6 4 3 2" xfId="11990" xr:uid="{00000000-0005-0000-0000-0000BB210000}"/>
    <cellStyle name="Normal 4 3 2 6 4 4" xfId="8811" xr:uid="{00000000-0005-0000-0000-0000BC210000}"/>
    <cellStyle name="Normal 4 3 2 6 5" xfId="3193" xr:uid="{00000000-0005-0000-0000-0000BD210000}"/>
    <cellStyle name="Normal 4 3 2 6 5 2" xfId="6421" xr:uid="{00000000-0005-0000-0000-0000BE210000}"/>
    <cellStyle name="Normal 4 3 2 6 5 2 2" xfId="12782" xr:uid="{00000000-0005-0000-0000-0000BF210000}"/>
    <cellStyle name="Normal 4 3 2 6 5 3" xfId="9603" xr:uid="{00000000-0005-0000-0000-0000C0210000}"/>
    <cellStyle name="Normal 4 3 2 6 6" xfId="4837" xr:uid="{00000000-0005-0000-0000-0000C1210000}"/>
    <cellStyle name="Normal 4 3 2 6 6 2" xfId="11198" xr:uid="{00000000-0005-0000-0000-0000C2210000}"/>
    <cellStyle name="Normal 4 3 2 6 7" xfId="8019" xr:uid="{00000000-0005-0000-0000-0000C3210000}"/>
    <cellStyle name="Normal 4 3 2 7" xfId="1674" xr:uid="{00000000-0005-0000-0000-0000C4210000}"/>
    <cellStyle name="Normal 4 3 2 7 2" xfId="2070" xr:uid="{00000000-0005-0000-0000-0000C5210000}"/>
    <cellStyle name="Normal 4 3 2 7 2 2" xfId="2862" xr:uid="{00000000-0005-0000-0000-0000C6210000}"/>
    <cellStyle name="Normal 4 3 2 7 2 2 2" xfId="4446" xr:uid="{00000000-0005-0000-0000-0000C7210000}"/>
    <cellStyle name="Normal 4 3 2 7 2 2 2 2" xfId="7674" xr:uid="{00000000-0005-0000-0000-0000C8210000}"/>
    <cellStyle name="Normal 4 3 2 7 2 2 2 2 2" xfId="14035" xr:uid="{00000000-0005-0000-0000-0000C9210000}"/>
    <cellStyle name="Normal 4 3 2 7 2 2 2 3" xfId="10856" xr:uid="{00000000-0005-0000-0000-0000CA210000}"/>
    <cellStyle name="Normal 4 3 2 7 2 2 3" xfId="6090" xr:uid="{00000000-0005-0000-0000-0000CB210000}"/>
    <cellStyle name="Normal 4 3 2 7 2 2 3 2" xfId="12451" xr:uid="{00000000-0005-0000-0000-0000CC210000}"/>
    <cellStyle name="Normal 4 3 2 7 2 2 4" xfId="9272" xr:uid="{00000000-0005-0000-0000-0000CD210000}"/>
    <cellStyle name="Normal 4 3 2 7 2 3" xfId="3654" xr:uid="{00000000-0005-0000-0000-0000CE210000}"/>
    <cellStyle name="Normal 4 3 2 7 2 3 2" xfId="6882" xr:uid="{00000000-0005-0000-0000-0000CF210000}"/>
    <cellStyle name="Normal 4 3 2 7 2 3 2 2" xfId="13243" xr:uid="{00000000-0005-0000-0000-0000D0210000}"/>
    <cellStyle name="Normal 4 3 2 7 2 3 3" xfId="10064" xr:uid="{00000000-0005-0000-0000-0000D1210000}"/>
    <cellStyle name="Normal 4 3 2 7 2 4" xfId="5298" xr:uid="{00000000-0005-0000-0000-0000D2210000}"/>
    <cellStyle name="Normal 4 3 2 7 2 4 2" xfId="11659" xr:uid="{00000000-0005-0000-0000-0000D3210000}"/>
    <cellStyle name="Normal 4 3 2 7 2 5" xfId="8480" xr:uid="{00000000-0005-0000-0000-0000D4210000}"/>
    <cellStyle name="Normal 4 3 2 7 3" xfId="2466" xr:uid="{00000000-0005-0000-0000-0000D5210000}"/>
    <cellStyle name="Normal 4 3 2 7 3 2" xfId="4050" xr:uid="{00000000-0005-0000-0000-0000D6210000}"/>
    <cellStyle name="Normal 4 3 2 7 3 2 2" xfId="7278" xr:uid="{00000000-0005-0000-0000-0000D7210000}"/>
    <cellStyle name="Normal 4 3 2 7 3 2 2 2" xfId="13639" xr:uid="{00000000-0005-0000-0000-0000D8210000}"/>
    <cellStyle name="Normal 4 3 2 7 3 2 3" xfId="10460" xr:uid="{00000000-0005-0000-0000-0000D9210000}"/>
    <cellStyle name="Normal 4 3 2 7 3 3" xfId="5694" xr:uid="{00000000-0005-0000-0000-0000DA210000}"/>
    <cellStyle name="Normal 4 3 2 7 3 3 2" xfId="12055" xr:uid="{00000000-0005-0000-0000-0000DB210000}"/>
    <cellStyle name="Normal 4 3 2 7 3 4" xfId="8876" xr:uid="{00000000-0005-0000-0000-0000DC210000}"/>
    <cellStyle name="Normal 4 3 2 7 4" xfId="3258" xr:uid="{00000000-0005-0000-0000-0000DD210000}"/>
    <cellStyle name="Normal 4 3 2 7 4 2" xfId="6486" xr:uid="{00000000-0005-0000-0000-0000DE210000}"/>
    <cellStyle name="Normal 4 3 2 7 4 2 2" xfId="12847" xr:uid="{00000000-0005-0000-0000-0000DF210000}"/>
    <cellStyle name="Normal 4 3 2 7 4 3" xfId="9668" xr:uid="{00000000-0005-0000-0000-0000E0210000}"/>
    <cellStyle name="Normal 4 3 2 7 5" xfId="4902" xr:uid="{00000000-0005-0000-0000-0000E1210000}"/>
    <cellStyle name="Normal 4 3 2 7 5 2" xfId="11263" xr:uid="{00000000-0005-0000-0000-0000E2210000}"/>
    <cellStyle name="Normal 4 3 2 7 6" xfId="8084" xr:uid="{00000000-0005-0000-0000-0000E3210000}"/>
    <cellStyle name="Normal 4 3 2 8" xfId="1872" xr:uid="{00000000-0005-0000-0000-0000E4210000}"/>
    <cellStyle name="Normal 4 3 2 8 2" xfId="2664" xr:uid="{00000000-0005-0000-0000-0000E5210000}"/>
    <cellStyle name="Normal 4 3 2 8 2 2" xfId="4248" xr:uid="{00000000-0005-0000-0000-0000E6210000}"/>
    <cellStyle name="Normal 4 3 2 8 2 2 2" xfId="7476" xr:uid="{00000000-0005-0000-0000-0000E7210000}"/>
    <cellStyle name="Normal 4 3 2 8 2 2 2 2" xfId="13837" xr:uid="{00000000-0005-0000-0000-0000E8210000}"/>
    <cellStyle name="Normal 4 3 2 8 2 2 3" xfId="10658" xr:uid="{00000000-0005-0000-0000-0000E9210000}"/>
    <cellStyle name="Normal 4 3 2 8 2 3" xfId="5892" xr:uid="{00000000-0005-0000-0000-0000EA210000}"/>
    <cellStyle name="Normal 4 3 2 8 2 3 2" xfId="12253" xr:uid="{00000000-0005-0000-0000-0000EB210000}"/>
    <cellStyle name="Normal 4 3 2 8 2 4" xfId="9074" xr:uid="{00000000-0005-0000-0000-0000EC210000}"/>
    <cellStyle name="Normal 4 3 2 8 3" xfId="3456" xr:uid="{00000000-0005-0000-0000-0000ED210000}"/>
    <cellStyle name="Normal 4 3 2 8 3 2" xfId="6684" xr:uid="{00000000-0005-0000-0000-0000EE210000}"/>
    <cellStyle name="Normal 4 3 2 8 3 2 2" xfId="13045" xr:uid="{00000000-0005-0000-0000-0000EF210000}"/>
    <cellStyle name="Normal 4 3 2 8 3 3" xfId="9866" xr:uid="{00000000-0005-0000-0000-0000F0210000}"/>
    <cellStyle name="Normal 4 3 2 8 4" xfId="5100" xr:uid="{00000000-0005-0000-0000-0000F1210000}"/>
    <cellStyle name="Normal 4 3 2 8 4 2" xfId="11461" xr:uid="{00000000-0005-0000-0000-0000F2210000}"/>
    <cellStyle name="Normal 4 3 2 8 5" xfId="8282" xr:uid="{00000000-0005-0000-0000-0000F3210000}"/>
    <cellStyle name="Normal 4 3 2 9" xfId="2268" xr:uid="{00000000-0005-0000-0000-0000F4210000}"/>
    <cellStyle name="Normal 4 3 2 9 2" xfId="3852" xr:uid="{00000000-0005-0000-0000-0000F5210000}"/>
    <cellStyle name="Normal 4 3 2 9 2 2" xfId="7080" xr:uid="{00000000-0005-0000-0000-0000F6210000}"/>
    <cellStyle name="Normal 4 3 2 9 2 2 2" xfId="13441" xr:uid="{00000000-0005-0000-0000-0000F7210000}"/>
    <cellStyle name="Normal 4 3 2 9 2 3" xfId="10262" xr:uid="{00000000-0005-0000-0000-0000F8210000}"/>
    <cellStyle name="Normal 4 3 2 9 3" xfId="5496" xr:uid="{00000000-0005-0000-0000-0000F9210000}"/>
    <cellStyle name="Normal 4 3 2 9 3 2" xfId="11857" xr:uid="{00000000-0005-0000-0000-0000FA210000}"/>
    <cellStyle name="Normal 4 3 2 9 4" xfId="8678" xr:uid="{00000000-0005-0000-0000-0000FB210000}"/>
    <cellStyle name="Normal 4 3 3" xfId="1433" xr:uid="{00000000-0005-0000-0000-0000FC210000}"/>
    <cellStyle name="Normal 4 3 3 10" xfId="4708" xr:uid="{00000000-0005-0000-0000-0000FD210000}"/>
    <cellStyle name="Normal 4 3 3 10 2" xfId="11069" xr:uid="{00000000-0005-0000-0000-0000FE210000}"/>
    <cellStyle name="Normal 4 3 3 11" xfId="7890" xr:uid="{00000000-0005-0000-0000-0000FF210000}"/>
    <cellStyle name="Normal 4 3 3 2" xfId="1449" xr:uid="{00000000-0005-0000-0000-000000220000}"/>
    <cellStyle name="Normal 4 3 3 2 10" xfId="7906" xr:uid="{00000000-0005-0000-0000-000001220000}"/>
    <cellStyle name="Normal 4 3 3 2 2" xfId="1481" xr:uid="{00000000-0005-0000-0000-000002220000}"/>
    <cellStyle name="Normal 4 3 3 2 2 2" xfId="1593" xr:uid="{00000000-0005-0000-0000-000003220000}"/>
    <cellStyle name="Normal 4 3 3 2 2 2 2" xfId="1791" xr:uid="{00000000-0005-0000-0000-000004220000}"/>
    <cellStyle name="Normal 4 3 3 2 2 2 2 2" xfId="2187" xr:uid="{00000000-0005-0000-0000-000005220000}"/>
    <cellStyle name="Normal 4 3 3 2 2 2 2 2 2" xfId="2979" xr:uid="{00000000-0005-0000-0000-000006220000}"/>
    <cellStyle name="Normal 4 3 3 2 2 2 2 2 2 2" xfId="4563" xr:uid="{00000000-0005-0000-0000-000007220000}"/>
    <cellStyle name="Normal 4 3 3 2 2 2 2 2 2 2 2" xfId="7791" xr:uid="{00000000-0005-0000-0000-000008220000}"/>
    <cellStyle name="Normal 4 3 3 2 2 2 2 2 2 2 2 2" xfId="14152" xr:uid="{00000000-0005-0000-0000-000009220000}"/>
    <cellStyle name="Normal 4 3 3 2 2 2 2 2 2 2 3" xfId="10973" xr:uid="{00000000-0005-0000-0000-00000A220000}"/>
    <cellStyle name="Normal 4 3 3 2 2 2 2 2 2 3" xfId="6207" xr:uid="{00000000-0005-0000-0000-00000B220000}"/>
    <cellStyle name="Normal 4 3 3 2 2 2 2 2 2 3 2" xfId="12568" xr:uid="{00000000-0005-0000-0000-00000C220000}"/>
    <cellStyle name="Normal 4 3 3 2 2 2 2 2 2 4" xfId="9389" xr:uid="{00000000-0005-0000-0000-00000D220000}"/>
    <cellStyle name="Normal 4 3 3 2 2 2 2 2 3" xfId="3771" xr:uid="{00000000-0005-0000-0000-00000E220000}"/>
    <cellStyle name="Normal 4 3 3 2 2 2 2 2 3 2" xfId="6999" xr:uid="{00000000-0005-0000-0000-00000F220000}"/>
    <cellStyle name="Normal 4 3 3 2 2 2 2 2 3 2 2" xfId="13360" xr:uid="{00000000-0005-0000-0000-000010220000}"/>
    <cellStyle name="Normal 4 3 3 2 2 2 2 2 3 3" xfId="10181" xr:uid="{00000000-0005-0000-0000-000011220000}"/>
    <cellStyle name="Normal 4 3 3 2 2 2 2 2 4" xfId="5415" xr:uid="{00000000-0005-0000-0000-000012220000}"/>
    <cellStyle name="Normal 4 3 3 2 2 2 2 2 4 2" xfId="11776" xr:uid="{00000000-0005-0000-0000-000013220000}"/>
    <cellStyle name="Normal 4 3 3 2 2 2 2 2 5" xfId="8597" xr:uid="{00000000-0005-0000-0000-000014220000}"/>
    <cellStyle name="Normal 4 3 3 2 2 2 2 3" xfId="2583" xr:uid="{00000000-0005-0000-0000-000015220000}"/>
    <cellStyle name="Normal 4 3 3 2 2 2 2 3 2" xfId="4167" xr:uid="{00000000-0005-0000-0000-000016220000}"/>
    <cellStyle name="Normal 4 3 3 2 2 2 2 3 2 2" xfId="7395" xr:uid="{00000000-0005-0000-0000-000017220000}"/>
    <cellStyle name="Normal 4 3 3 2 2 2 2 3 2 2 2" xfId="13756" xr:uid="{00000000-0005-0000-0000-000018220000}"/>
    <cellStyle name="Normal 4 3 3 2 2 2 2 3 2 3" xfId="10577" xr:uid="{00000000-0005-0000-0000-000019220000}"/>
    <cellStyle name="Normal 4 3 3 2 2 2 2 3 3" xfId="5811" xr:uid="{00000000-0005-0000-0000-00001A220000}"/>
    <cellStyle name="Normal 4 3 3 2 2 2 2 3 3 2" xfId="12172" xr:uid="{00000000-0005-0000-0000-00001B220000}"/>
    <cellStyle name="Normal 4 3 3 2 2 2 2 3 4" xfId="8993" xr:uid="{00000000-0005-0000-0000-00001C220000}"/>
    <cellStyle name="Normal 4 3 3 2 2 2 2 4" xfId="3375" xr:uid="{00000000-0005-0000-0000-00001D220000}"/>
    <cellStyle name="Normal 4 3 3 2 2 2 2 4 2" xfId="6603" xr:uid="{00000000-0005-0000-0000-00001E220000}"/>
    <cellStyle name="Normal 4 3 3 2 2 2 2 4 2 2" xfId="12964" xr:uid="{00000000-0005-0000-0000-00001F220000}"/>
    <cellStyle name="Normal 4 3 3 2 2 2 2 4 3" xfId="9785" xr:uid="{00000000-0005-0000-0000-000020220000}"/>
    <cellStyle name="Normal 4 3 3 2 2 2 2 5" xfId="5019" xr:uid="{00000000-0005-0000-0000-000021220000}"/>
    <cellStyle name="Normal 4 3 3 2 2 2 2 5 2" xfId="11380" xr:uid="{00000000-0005-0000-0000-000022220000}"/>
    <cellStyle name="Normal 4 3 3 2 2 2 2 6" xfId="8201" xr:uid="{00000000-0005-0000-0000-000023220000}"/>
    <cellStyle name="Normal 4 3 3 2 2 2 3" xfId="1989" xr:uid="{00000000-0005-0000-0000-000024220000}"/>
    <cellStyle name="Normal 4 3 3 2 2 2 3 2" xfId="2781" xr:uid="{00000000-0005-0000-0000-000025220000}"/>
    <cellStyle name="Normal 4 3 3 2 2 2 3 2 2" xfId="4365" xr:uid="{00000000-0005-0000-0000-000026220000}"/>
    <cellStyle name="Normal 4 3 3 2 2 2 3 2 2 2" xfId="7593" xr:uid="{00000000-0005-0000-0000-000027220000}"/>
    <cellStyle name="Normal 4 3 3 2 2 2 3 2 2 2 2" xfId="13954" xr:uid="{00000000-0005-0000-0000-000028220000}"/>
    <cellStyle name="Normal 4 3 3 2 2 2 3 2 2 3" xfId="10775" xr:uid="{00000000-0005-0000-0000-000029220000}"/>
    <cellStyle name="Normal 4 3 3 2 2 2 3 2 3" xfId="6009" xr:uid="{00000000-0005-0000-0000-00002A220000}"/>
    <cellStyle name="Normal 4 3 3 2 2 2 3 2 3 2" xfId="12370" xr:uid="{00000000-0005-0000-0000-00002B220000}"/>
    <cellStyle name="Normal 4 3 3 2 2 2 3 2 4" xfId="9191" xr:uid="{00000000-0005-0000-0000-00002C220000}"/>
    <cellStyle name="Normal 4 3 3 2 2 2 3 3" xfId="3573" xr:uid="{00000000-0005-0000-0000-00002D220000}"/>
    <cellStyle name="Normal 4 3 3 2 2 2 3 3 2" xfId="6801" xr:uid="{00000000-0005-0000-0000-00002E220000}"/>
    <cellStyle name="Normal 4 3 3 2 2 2 3 3 2 2" xfId="13162" xr:uid="{00000000-0005-0000-0000-00002F220000}"/>
    <cellStyle name="Normal 4 3 3 2 2 2 3 3 3" xfId="9983" xr:uid="{00000000-0005-0000-0000-000030220000}"/>
    <cellStyle name="Normal 4 3 3 2 2 2 3 4" xfId="5217" xr:uid="{00000000-0005-0000-0000-000031220000}"/>
    <cellStyle name="Normal 4 3 3 2 2 2 3 4 2" xfId="11578" xr:uid="{00000000-0005-0000-0000-000032220000}"/>
    <cellStyle name="Normal 4 3 3 2 2 2 3 5" xfId="8399" xr:uid="{00000000-0005-0000-0000-000033220000}"/>
    <cellStyle name="Normal 4 3 3 2 2 2 4" xfId="2385" xr:uid="{00000000-0005-0000-0000-000034220000}"/>
    <cellStyle name="Normal 4 3 3 2 2 2 4 2" xfId="3969" xr:uid="{00000000-0005-0000-0000-000035220000}"/>
    <cellStyle name="Normal 4 3 3 2 2 2 4 2 2" xfId="7197" xr:uid="{00000000-0005-0000-0000-000036220000}"/>
    <cellStyle name="Normal 4 3 3 2 2 2 4 2 2 2" xfId="13558" xr:uid="{00000000-0005-0000-0000-000037220000}"/>
    <cellStyle name="Normal 4 3 3 2 2 2 4 2 3" xfId="10379" xr:uid="{00000000-0005-0000-0000-000038220000}"/>
    <cellStyle name="Normal 4 3 3 2 2 2 4 3" xfId="5613" xr:uid="{00000000-0005-0000-0000-000039220000}"/>
    <cellStyle name="Normal 4 3 3 2 2 2 4 3 2" xfId="11974" xr:uid="{00000000-0005-0000-0000-00003A220000}"/>
    <cellStyle name="Normal 4 3 3 2 2 2 4 4" xfId="8795" xr:uid="{00000000-0005-0000-0000-00003B220000}"/>
    <cellStyle name="Normal 4 3 3 2 2 2 5" xfId="3177" xr:uid="{00000000-0005-0000-0000-00003C220000}"/>
    <cellStyle name="Normal 4 3 3 2 2 2 5 2" xfId="6405" xr:uid="{00000000-0005-0000-0000-00003D220000}"/>
    <cellStyle name="Normal 4 3 3 2 2 2 5 2 2" xfId="12766" xr:uid="{00000000-0005-0000-0000-00003E220000}"/>
    <cellStyle name="Normal 4 3 3 2 2 2 5 3" xfId="9587" xr:uid="{00000000-0005-0000-0000-00003F220000}"/>
    <cellStyle name="Normal 4 3 3 2 2 2 6" xfId="4821" xr:uid="{00000000-0005-0000-0000-000040220000}"/>
    <cellStyle name="Normal 4 3 3 2 2 2 6 2" xfId="11182" xr:uid="{00000000-0005-0000-0000-000041220000}"/>
    <cellStyle name="Normal 4 3 3 2 2 2 7" xfId="8003" xr:uid="{00000000-0005-0000-0000-000042220000}"/>
    <cellStyle name="Normal 4 3 3 2 2 3" xfId="1661" xr:uid="{00000000-0005-0000-0000-000043220000}"/>
    <cellStyle name="Normal 4 3 3 2 2 3 2" xfId="1859" xr:uid="{00000000-0005-0000-0000-000044220000}"/>
    <cellStyle name="Normal 4 3 3 2 2 3 2 2" xfId="2255" xr:uid="{00000000-0005-0000-0000-000045220000}"/>
    <cellStyle name="Normal 4 3 3 2 2 3 2 2 2" xfId="3047" xr:uid="{00000000-0005-0000-0000-000046220000}"/>
    <cellStyle name="Normal 4 3 3 2 2 3 2 2 2 2" xfId="4631" xr:uid="{00000000-0005-0000-0000-000047220000}"/>
    <cellStyle name="Normal 4 3 3 2 2 3 2 2 2 2 2" xfId="7859" xr:uid="{00000000-0005-0000-0000-000048220000}"/>
    <cellStyle name="Normal 4 3 3 2 2 3 2 2 2 2 2 2" xfId="14220" xr:uid="{00000000-0005-0000-0000-000049220000}"/>
    <cellStyle name="Normal 4 3 3 2 2 3 2 2 2 2 3" xfId="11041" xr:uid="{00000000-0005-0000-0000-00004A220000}"/>
    <cellStyle name="Normal 4 3 3 2 2 3 2 2 2 3" xfId="6275" xr:uid="{00000000-0005-0000-0000-00004B220000}"/>
    <cellStyle name="Normal 4 3 3 2 2 3 2 2 2 3 2" xfId="12636" xr:uid="{00000000-0005-0000-0000-00004C220000}"/>
    <cellStyle name="Normal 4 3 3 2 2 3 2 2 2 4" xfId="9457" xr:uid="{00000000-0005-0000-0000-00004D220000}"/>
    <cellStyle name="Normal 4 3 3 2 2 3 2 2 3" xfId="3839" xr:uid="{00000000-0005-0000-0000-00004E220000}"/>
    <cellStyle name="Normal 4 3 3 2 2 3 2 2 3 2" xfId="7067" xr:uid="{00000000-0005-0000-0000-00004F220000}"/>
    <cellStyle name="Normal 4 3 3 2 2 3 2 2 3 2 2" xfId="13428" xr:uid="{00000000-0005-0000-0000-000050220000}"/>
    <cellStyle name="Normal 4 3 3 2 2 3 2 2 3 3" xfId="10249" xr:uid="{00000000-0005-0000-0000-000051220000}"/>
    <cellStyle name="Normal 4 3 3 2 2 3 2 2 4" xfId="5483" xr:uid="{00000000-0005-0000-0000-000052220000}"/>
    <cellStyle name="Normal 4 3 3 2 2 3 2 2 4 2" xfId="11844" xr:uid="{00000000-0005-0000-0000-000053220000}"/>
    <cellStyle name="Normal 4 3 3 2 2 3 2 2 5" xfId="8665" xr:uid="{00000000-0005-0000-0000-000054220000}"/>
    <cellStyle name="Normal 4 3 3 2 2 3 2 3" xfId="2651" xr:uid="{00000000-0005-0000-0000-000055220000}"/>
    <cellStyle name="Normal 4 3 3 2 2 3 2 3 2" xfId="4235" xr:uid="{00000000-0005-0000-0000-000056220000}"/>
    <cellStyle name="Normal 4 3 3 2 2 3 2 3 2 2" xfId="7463" xr:uid="{00000000-0005-0000-0000-000057220000}"/>
    <cellStyle name="Normal 4 3 3 2 2 3 2 3 2 2 2" xfId="13824" xr:uid="{00000000-0005-0000-0000-000058220000}"/>
    <cellStyle name="Normal 4 3 3 2 2 3 2 3 2 3" xfId="10645" xr:uid="{00000000-0005-0000-0000-000059220000}"/>
    <cellStyle name="Normal 4 3 3 2 2 3 2 3 3" xfId="5879" xr:uid="{00000000-0005-0000-0000-00005A220000}"/>
    <cellStyle name="Normal 4 3 3 2 2 3 2 3 3 2" xfId="12240" xr:uid="{00000000-0005-0000-0000-00005B220000}"/>
    <cellStyle name="Normal 4 3 3 2 2 3 2 3 4" xfId="9061" xr:uid="{00000000-0005-0000-0000-00005C220000}"/>
    <cellStyle name="Normal 4 3 3 2 2 3 2 4" xfId="3443" xr:uid="{00000000-0005-0000-0000-00005D220000}"/>
    <cellStyle name="Normal 4 3 3 2 2 3 2 4 2" xfId="6671" xr:uid="{00000000-0005-0000-0000-00005E220000}"/>
    <cellStyle name="Normal 4 3 3 2 2 3 2 4 2 2" xfId="13032" xr:uid="{00000000-0005-0000-0000-00005F220000}"/>
    <cellStyle name="Normal 4 3 3 2 2 3 2 4 3" xfId="9853" xr:uid="{00000000-0005-0000-0000-000060220000}"/>
    <cellStyle name="Normal 4 3 3 2 2 3 2 5" xfId="5087" xr:uid="{00000000-0005-0000-0000-000061220000}"/>
    <cellStyle name="Normal 4 3 3 2 2 3 2 5 2" xfId="11448" xr:uid="{00000000-0005-0000-0000-000062220000}"/>
    <cellStyle name="Normal 4 3 3 2 2 3 2 6" xfId="8269" xr:uid="{00000000-0005-0000-0000-000063220000}"/>
    <cellStyle name="Normal 4 3 3 2 2 3 3" xfId="2057" xr:uid="{00000000-0005-0000-0000-000064220000}"/>
    <cellStyle name="Normal 4 3 3 2 2 3 3 2" xfId="2849" xr:uid="{00000000-0005-0000-0000-000065220000}"/>
    <cellStyle name="Normal 4 3 3 2 2 3 3 2 2" xfId="4433" xr:uid="{00000000-0005-0000-0000-000066220000}"/>
    <cellStyle name="Normal 4 3 3 2 2 3 3 2 2 2" xfId="7661" xr:uid="{00000000-0005-0000-0000-000067220000}"/>
    <cellStyle name="Normal 4 3 3 2 2 3 3 2 2 2 2" xfId="14022" xr:uid="{00000000-0005-0000-0000-000068220000}"/>
    <cellStyle name="Normal 4 3 3 2 2 3 3 2 2 3" xfId="10843" xr:uid="{00000000-0005-0000-0000-000069220000}"/>
    <cellStyle name="Normal 4 3 3 2 2 3 3 2 3" xfId="6077" xr:uid="{00000000-0005-0000-0000-00006A220000}"/>
    <cellStyle name="Normal 4 3 3 2 2 3 3 2 3 2" xfId="12438" xr:uid="{00000000-0005-0000-0000-00006B220000}"/>
    <cellStyle name="Normal 4 3 3 2 2 3 3 2 4" xfId="9259" xr:uid="{00000000-0005-0000-0000-00006C220000}"/>
    <cellStyle name="Normal 4 3 3 2 2 3 3 3" xfId="3641" xr:uid="{00000000-0005-0000-0000-00006D220000}"/>
    <cellStyle name="Normal 4 3 3 2 2 3 3 3 2" xfId="6869" xr:uid="{00000000-0005-0000-0000-00006E220000}"/>
    <cellStyle name="Normal 4 3 3 2 2 3 3 3 2 2" xfId="13230" xr:uid="{00000000-0005-0000-0000-00006F220000}"/>
    <cellStyle name="Normal 4 3 3 2 2 3 3 3 3" xfId="10051" xr:uid="{00000000-0005-0000-0000-000070220000}"/>
    <cellStyle name="Normal 4 3 3 2 2 3 3 4" xfId="5285" xr:uid="{00000000-0005-0000-0000-000071220000}"/>
    <cellStyle name="Normal 4 3 3 2 2 3 3 4 2" xfId="11646" xr:uid="{00000000-0005-0000-0000-000072220000}"/>
    <cellStyle name="Normal 4 3 3 2 2 3 3 5" xfId="8467" xr:uid="{00000000-0005-0000-0000-000073220000}"/>
    <cellStyle name="Normal 4 3 3 2 2 3 4" xfId="2453" xr:uid="{00000000-0005-0000-0000-000074220000}"/>
    <cellStyle name="Normal 4 3 3 2 2 3 4 2" xfId="4037" xr:uid="{00000000-0005-0000-0000-000075220000}"/>
    <cellStyle name="Normal 4 3 3 2 2 3 4 2 2" xfId="7265" xr:uid="{00000000-0005-0000-0000-000076220000}"/>
    <cellStyle name="Normal 4 3 3 2 2 3 4 2 2 2" xfId="13626" xr:uid="{00000000-0005-0000-0000-000077220000}"/>
    <cellStyle name="Normal 4 3 3 2 2 3 4 2 3" xfId="10447" xr:uid="{00000000-0005-0000-0000-000078220000}"/>
    <cellStyle name="Normal 4 3 3 2 2 3 4 3" xfId="5681" xr:uid="{00000000-0005-0000-0000-000079220000}"/>
    <cellStyle name="Normal 4 3 3 2 2 3 4 3 2" xfId="12042" xr:uid="{00000000-0005-0000-0000-00007A220000}"/>
    <cellStyle name="Normal 4 3 3 2 2 3 4 4" xfId="8863" xr:uid="{00000000-0005-0000-0000-00007B220000}"/>
    <cellStyle name="Normal 4 3 3 2 2 3 5" xfId="3245" xr:uid="{00000000-0005-0000-0000-00007C220000}"/>
    <cellStyle name="Normal 4 3 3 2 2 3 5 2" xfId="6473" xr:uid="{00000000-0005-0000-0000-00007D220000}"/>
    <cellStyle name="Normal 4 3 3 2 2 3 5 2 2" xfId="12834" xr:uid="{00000000-0005-0000-0000-00007E220000}"/>
    <cellStyle name="Normal 4 3 3 2 2 3 5 3" xfId="9655" xr:uid="{00000000-0005-0000-0000-00007F220000}"/>
    <cellStyle name="Normal 4 3 3 2 2 3 6" xfId="4889" xr:uid="{00000000-0005-0000-0000-000080220000}"/>
    <cellStyle name="Normal 4 3 3 2 2 3 6 2" xfId="11250" xr:uid="{00000000-0005-0000-0000-000081220000}"/>
    <cellStyle name="Normal 4 3 3 2 2 3 7" xfId="8071" xr:uid="{00000000-0005-0000-0000-000082220000}"/>
    <cellStyle name="Normal 4 3 3 2 2 4" xfId="1726" xr:uid="{00000000-0005-0000-0000-000083220000}"/>
    <cellStyle name="Normal 4 3 3 2 2 4 2" xfId="2122" xr:uid="{00000000-0005-0000-0000-000084220000}"/>
    <cellStyle name="Normal 4 3 3 2 2 4 2 2" xfId="2914" xr:uid="{00000000-0005-0000-0000-000085220000}"/>
    <cellStyle name="Normal 4 3 3 2 2 4 2 2 2" xfId="4498" xr:uid="{00000000-0005-0000-0000-000086220000}"/>
    <cellStyle name="Normal 4 3 3 2 2 4 2 2 2 2" xfId="7726" xr:uid="{00000000-0005-0000-0000-000087220000}"/>
    <cellStyle name="Normal 4 3 3 2 2 4 2 2 2 2 2" xfId="14087" xr:uid="{00000000-0005-0000-0000-000088220000}"/>
    <cellStyle name="Normal 4 3 3 2 2 4 2 2 2 3" xfId="10908" xr:uid="{00000000-0005-0000-0000-000089220000}"/>
    <cellStyle name="Normal 4 3 3 2 2 4 2 2 3" xfId="6142" xr:uid="{00000000-0005-0000-0000-00008A220000}"/>
    <cellStyle name="Normal 4 3 3 2 2 4 2 2 3 2" xfId="12503" xr:uid="{00000000-0005-0000-0000-00008B220000}"/>
    <cellStyle name="Normal 4 3 3 2 2 4 2 2 4" xfId="9324" xr:uid="{00000000-0005-0000-0000-00008C220000}"/>
    <cellStyle name="Normal 4 3 3 2 2 4 2 3" xfId="3706" xr:uid="{00000000-0005-0000-0000-00008D220000}"/>
    <cellStyle name="Normal 4 3 3 2 2 4 2 3 2" xfId="6934" xr:uid="{00000000-0005-0000-0000-00008E220000}"/>
    <cellStyle name="Normal 4 3 3 2 2 4 2 3 2 2" xfId="13295" xr:uid="{00000000-0005-0000-0000-00008F220000}"/>
    <cellStyle name="Normal 4 3 3 2 2 4 2 3 3" xfId="10116" xr:uid="{00000000-0005-0000-0000-000090220000}"/>
    <cellStyle name="Normal 4 3 3 2 2 4 2 4" xfId="5350" xr:uid="{00000000-0005-0000-0000-000091220000}"/>
    <cellStyle name="Normal 4 3 3 2 2 4 2 4 2" xfId="11711" xr:uid="{00000000-0005-0000-0000-000092220000}"/>
    <cellStyle name="Normal 4 3 3 2 2 4 2 5" xfId="8532" xr:uid="{00000000-0005-0000-0000-000093220000}"/>
    <cellStyle name="Normal 4 3 3 2 2 4 3" xfId="2518" xr:uid="{00000000-0005-0000-0000-000094220000}"/>
    <cellStyle name="Normal 4 3 3 2 2 4 3 2" xfId="4102" xr:uid="{00000000-0005-0000-0000-000095220000}"/>
    <cellStyle name="Normal 4 3 3 2 2 4 3 2 2" xfId="7330" xr:uid="{00000000-0005-0000-0000-000096220000}"/>
    <cellStyle name="Normal 4 3 3 2 2 4 3 2 2 2" xfId="13691" xr:uid="{00000000-0005-0000-0000-000097220000}"/>
    <cellStyle name="Normal 4 3 3 2 2 4 3 2 3" xfId="10512" xr:uid="{00000000-0005-0000-0000-000098220000}"/>
    <cellStyle name="Normal 4 3 3 2 2 4 3 3" xfId="5746" xr:uid="{00000000-0005-0000-0000-000099220000}"/>
    <cellStyle name="Normal 4 3 3 2 2 4 3 3 2" xfId="12107" xr:uid="{00000000-0005-0000-0000-00009A220000}"/>
    <cellStyle name="Normal 4 3 3 2 2 4 3 4" xfId="8928" xr:uid="{00000000-0005-0000-0000-00009B220000}"/>
    <cellStyle name="Normal 4 3 3 2 2 4 4" xfId="3310" xr:uid="{00000000-0005-0000-0000-00009C220000}"/>
    <cellStyle name="Normal 4 3 3 2 2 4 4 2" xfId="6538" xr:uid="{00000000-0005-0000-0000-00009D220000}"/>
    <cellStyle name="Normal 4 3 3 2 2 4 4 2 2" xfId="12899" xr:uid="{00000000-0005-0000-0000-00009E220000}"/>
    <cellStyle name="Normal 4 3 3 2 2 4 4 3" xfId="9720" xr:uid="{00000000-0005-0000-0000-00009F220000}"/>
    <cellStyle name="Normal 4 3 3 2 2 4 5" xfId="4954" xr:uid="{00000000-0005-0000-0000-0000A0220000}"/>
    <cellStyle name="Normal 4 3 3 2 2 4 5 2" xfId="11315" xr:uid="{00000000-0005-0000-0000-0000A1220000}"/>
    <cellStyle name="Normal 4 3 3 2 2 4 6" xfId="8136" xr:uid="{00000000-0005-0000-0000-0000A2220000}"/>
    <cellStyle name="Normal 4 3 3 2 2 5" xfId="1924" xr:uid="{00000000-0005-0000-0000-0000A3220000}"/>
    <cellStyle name="Normal 4 3 3 2 2 5 2" xfId="2716" xr:uid="{00000000-0005-0000-0000-0000A4220000}"/>
    <cellStyle name="Normal 4 3 3 2 2 5 2 2" xfId="4300" xr:uid="{00000000-0005-0000-0000-0000A5220000}"/>
    <cellStyle name="Normal 4 3 3 2 2 5 2 2 2" xfId="7528" xr:uid="{00000000-0005-0000-0000-0000A6220000}"/>
    <cellStyle name="Normal 4 3 3 2 2 5 2 2 2 2" xfId="13889" xr:uid="{00000000-0005-0000-0000-0000A7220000}"/>
    <cellStyle name="Normal 4 3 3 2 2 5 2 2 3" xfId="10710" xr:uid="{00000000-0005-0000-0000-0000A8220000}"/>
    <cellStyle name="Normal 4 3 3 2 2 5 2 3" xfId="5944" xr:uid="{00000000-0005-0000-0000-0000A9220000}"/>
    <cellStyle name="Normal 4 3 3 2 2 5 2 3 2" xfId="12305" xr:uid="{00000000-0005-0000-0000-0000AA220000}"/>
    <cellStyle name="Normal 4 3 3 2 2 5 2 4" xfId="9126" xr:uid="{00000000-0005-0000-0000-0000AB220000}"/>
    <cellStyle name="Normal 4 3 3 2 2 5 3" xfId="3508" xr:uid="{00000000-0005-0000-0000-0000AC220000}"/>
    <cellStyle name="Normal 4 3 3 2 2 5 3 2" xfId="6736" xr:uid="{00000000-0005-0000-0000-0000AD220000}"/>
    <cellStyle name="Normal 4 3 3 2 2 5 3 2 2" xfId="13097" xr:uid="{00000000-0005-0000-0000-0000AE220000}"/>
    <cellStyle name="Normal 4 3 3 2 2 5 3 3" xfId="9918" xr:uid="{00000000-0005-0000-0000-0000AF220000}"/>
    <cellStyle name="Normal 4 3 3 2 2 5 4" xfId="5152" xr:uid="{00000000-0005-0000-0000-0000B0220000}"/>
    <cellStyle name="Normal 4 3 3 2 2 5 4 2" xfId="11513" xr:uid="{00000000-0005-0000-0000-0000B1220000}"/>
    <cellStyle name="Normal 4 3 3 2 2 5 5" xfId="8334" xr:uid="{00000000-0005-0000-0000-0000B2220000}"/>
    <cellStyle name="Normal 4 3 3 2 2 6" xfId="2320" xr:uid="{00000000-0005-0000-0000-0000B3220000}"/>
    <cellStyle name="Normal 4 3 3 2 2 6 2" xfId="3904" xr:uid="{00000000-0005-0000-0000-0000B4220000}"/>
    <cellStyle name="Normal 4 3 3 2 2 6 2 2" xfId="7132" xr:uid="{00000000-0005-0000-0000-0000B5220000}"/>
    <cellStyle name="Normal 4 3 3 2 2 6 2 2 2" xfId="13493" xr:uid="{00000000-0005-0000-0000-0000B6220000}"/>
    <cellStyle name="Normal 4 3 3 2 2 6 2 3" xfId="10314" xr:uid="{00000000-0005-0000-0000-0000B7220000}"/>
    <cellStyle name="Normal 4 3 3 2 2 6 3" xfId="5548" xr:uid="{00000000-0005-0000-0000-0000B8220000}"/>
    <cellStyle name="Normal 4 3 3 2 2 6 3 2" xfId="11909" xr:uid="{00000000-0005-0000-0000-0000B9220000}"/>
    <cellStyle name="Normal 4 3 3 2 2 6 4" xfId="8730" xr:uid="{00000000-0005-0000-0000-0000BA220000}"/>
    <cellStyle name="Normal 4 3 3 2 2 7" xfId="3112" xr:uid="{00000000-0005-0000-0000-0000BB220000}"/>
    <cellStyle name="Normal 4 3 3 2 2 7 2" xfId="6340" xr:uid="{00000000-0005-0000-0000-0000BC220000}"/>
    <cellStyle name="Normal 4 3 3 2 2 7 2 2" xfId="12701" xr:uid="{00000000-0005-0000-0000-0000BD220000}"/>
    <cellStyle name="Normal 4 3 3 2 2 7 3" xfId="9522" xr:uid="{00000000-0005-0000-0000-0000BE220000}"/>
    <cellStyle name="Normal 4 3 3 2 2 8" xfId="4756" xr:uid="{00000000-0005-0000-0000-0000BF220000}"/>
    <cellStyle name="Normal 4 3 3 2 2 8 2" xfId="11117" xr:uid="{00000000-0005-0000-0000-0000C0220000}"/>
    <cellStyle name="Normal 4 3 3 2 2 9" xfId="7938" xr:uid="{00000000-0005-0000-0000-0000C1220000}"/>
    <cellStyle name="Normal 4 3 3 2 3" xfId="1561" xr:uid="{00000000-0005-0000-0000-0000C2220000}"/>
    <cellStyle name="Normal 4 3 3 2 3 2" xfId="1759" xr:uid="{00000000-0005-0000-0000-0000C3220000}"/>
    <cellStyle name="Normal 4 3 3 2 3 2 2" xfId="2155" xr:uid="{00000000-0005-0000-0000-0000C4220000}"/>
    <cellStyle name="Normal 4 3 3 2 3 2 2 2" xfId="2947" xr:uid="{00000000-0005-0000-0000-0000C5220000}"/>
    <cellStyle name="Normal 4 3 3 2 3 2 2 2 2" xfId="4531" xr:uid="{00000000-0005-0000-0000-0000C6220000}"/>
    <cellStyle name="Normal 4 3 3 2 3 2 2 2 2 2" xfId="7759" xr:uid="{00000000-0005-0000-0000-0000C7220000}"/>
    <cellStyle name="Normal 4 3 3 2 3 2 2 2 2 2 2" xfId="14120" xr:uid="{00000000-0005-0000-0000-0000C8220000}"/>
    <cellStyle name="Normal 4 3 3 2 3 2 2 2 2 3" xfId="10941" xr:uid="{00000000-0005-0000-0000-0000C9220000}"/>
    <cellStyle name="Normal 4 3 3 2 3 2 2 2 3" xfId="6175" xr:uid="{00000000-0005-0000-0000-0000CA220000}"/>
    <cellStyle name="Normal 4 3 3 2 3 2 2 2 3 2" xfId="12536" xr:uid="{00000000-0005-0000-0000-0000CB220000}"/>
    <cellStyle name="Normal 4 3 3 2 3 2 2 2 4" xfId="9357" xr:uid="{00000000-0005-0000-0000-0000CC220000}"/>
    <cellStyle name="Normal 4 3 3 2 3 2 2 3" xfId="3739" xr:uid="{00000000-0005-0000-0000-0000CD220000}"/>
    <cellStyle name="Normal 4 3 3 2 3 2 2 3 2" xfId="6967" xr:uid="{00000000-0005-0000-0000-0000CE220000}"/>
    <cellStyle name="Normal 4 3 3 2 3 2 2 3 2 2" xfId="13328" xr:uid="{00000000-0005-0000-0000-0000CF220000}"/>
    <cellStyle name="Normal 4 3 3 2 3 2 2 3 3" xfId="10149" xr:uid="{00000000-0005-0000-0000-0000D0220000}"/>
    <cellStyle name="Normal 4 3 3 2 3 2 2 4" xfId="5383" xr:uid="{00000000-0005-0000-0000-0000D1220000}"/>
    <cellStyle name="Normal 4 3 3 2 3 2 2 4 2" xfId="11744" xr:uid="{00000000-0005-0000-0000-0000D2220000}"/>
    <cellStyle name="Normal 4 3 3 2 3 2 2 5" xfId="8565" xr:uid="{00000000-0005-0000-0000-0000D3220000}"/>
    <cellStyle name="Normal 4 3 3 2 3 2 3" xfId="2551" xr:uid="{00000000-0005-0000-0000-0000D4220000}"/>
    <cellStyle name="Normal 4 3 3 2 3 2 3 2" xfId="4135" xr:uid="{00000000-0005-0000-0000-0000D5220000}"/>
    <cellStyle name="Normal 4 3 3 2 3 2 3 2 2" xfId="7363" xr:uid="{00000000-0005-0000-0000-0000D6220000}"/>
    <cellStyle name="Normal 4 3 3 2 3 2 3 2 2 2" xfId="13724" xr:uid="{00000000-0005-0000-0000-0000D7220000}"/>
    <cellStyle name="Normal 4 3 3 2 3 2 3 2 3" xfId="10545" xr:uid="{00000000-0005-0000-0000-0000D8220000}"/>
    <cellStyle name="Normal 4 3 3 2 3 2 3 3" xfId="5779" xr:uid="{00000000-0005-0000-0000-0000D9220000}"/>
    <cellStyle name="Normal 4 3 3 2 3 2 3 3 2" xfId="12140" xr:uid="{00000000-0005-0000-0000-0000DA220000}"/>
    <cellStyle name="Normal 4 3 3 2 3 2 3 4" xfId="8961" xr:uid="{00000000-0005-0000-0000-0000DB220000}"/>
    <cellStyle name="Normal 4 3 3 2 3 2 4" xfId="3343" xr:uid="{00000000-0005-0000-0000-0000DC220000}"/>
    <cellStyle name="Normal 4 3 3 2 3 2 4 2" xfId="6571" xr:uid="{00000000-0005-0000-0000-0000DD220000}"/>
    <cellStyle name="Normal 4 3 3 2 3 2 4 2 2" xfId="12932" xr:uid="{00000000-0005-0000-0000-0000DE220000}"/>
    <cellStyle name="Normal 4 3 3 2 3 2 4 3" xfId="9753" xr:uid="{00000000-0005-0000-0000-0000DF220000}"/>
    <cellStyle name="Normal 4 3 3 2 3 2 5" xfId="4987" xr:uid="{00000000-0005-0000-0000-0000E0220000}"/>
    <cellStyle name="Normal 4 3 3 2 3 2 5 2" xfId="11348" xr:uid="{00000000-0005-0000-0000-0000E1220000}"/>
    <cellStyle name="Normal 4 3 3 2 3 2 6" xfId="8169" xr:uid="{00000000-0005-0000-0000-0000E2220000}"/>
    <cellStyle name="Normal 4 3 3 2 3 3" xfId="1957" xr:uid="{00000000-0005-0000-0000-0000E3220000}"/>
    <cellStyle name="Normal 4 3 3 2 3 3 2" xfId="2749" xr:uid="{00000000-0005-0000-0000-0000E4220000}"/>
    <cellStyle name="Normal 4 3 3 2 3 3 2 2" xfId="4333" xr:uid="{00000000-0005-0000-0000-0000E5220000}"/>
    <cellStyle name="Normal 4 3 3 2 3 3 2 2 2" xfId="7561" xr:uid="{00000000-0005-0000-0000-0000E6220000}"/>
    <cellStyle name="Normal 4 3 3 2 3 3 2 2 2 2" xfId="13922" xr:uid="{00000000-0005-0000-0000-0000E7220000}"/>
    <cellStyle name="Normal 4 3 3 2 3 3 2 2 3" xfId="10743" xr:uid="{00000000-0005-0000-0000-0000E8220000}"/>
    <cellStyle name="Normal 4 3 3 2 3 3 2 3" xfId="5977" xr:uid="{00000000-0005-0000-0000-0000E9220000}"/>
    <cellStyle name="Normal 4 3 3 2 3 3 2 3 2" xfId="12338" xr:uid="{00000000-0005-0000-0000-0000EA220000}"/>
    <cellStyle name="Normal 4 3 3 2 3 3 2 4" xfId="9159" xr:uid="{00000000-0005-0000-0000-0000EB220000}"/>
    <cellStyle name="Normal 4 3 3 2 3 3 3" xfId="3541" xr:uid="{00000000-0005-0000-0000-0000EC220000}"/>
    <cellStyle name="Normal 4 3 3 2 3 3 3 2" xfId="6769" xr:uid="{00000000-0005-0000-0000-0000ED220000}"/>
    <cellStyle name="Normal 4 3 3 2 3 3 3 2 2" xfId="13130" xr:uid="{00000000-0005-0000-0000-0000EE220000}"/>
    <cellStyle name="Normal 4 3 3 2 3 3 3 3" xfId="9951" xr:uid="{00000000-0005-0000-0000-0000EF220000}"/>
    <cellStyle name="Normal 4 3 3 2 3 3 4" xfId="5185" xr:uid="{00000000-0005-0000-0000-0000F0220000}"/>
    <cellStyle name="Normal 4 3 3 2 3 3 4 2" xfId="11546" xr:uid="{00000000-0005-0000-0000-0000F1220000}"/>
    <cellStyle name="Normal 4 3 3 2 3 3 5" xfId="8367" xr:uid="{00000000-0005-0000-0000-0000F2220000}"/>
    <cellStyle name="Normal 4 3 3 2 3 4" xfId="2353" xr:uid="{00000000-0005-0000-0000-0000F3220000}"/>
    <cellStyle name="Normal 4 3 3 2 3 4 2" xfId="3937" xr:uid="{00000000-0005-0000-0000-0000F4220000}"/>
    <cellStyle name="Normal 4 3 3 2 3 4 2 2" xfId="7165" xr:uid="{00000000-0005-0000-0000-0000F5220000}"/>
    <cellStyle name="Normal 4 3 3 2 3 4 2 2 2" xfId="13526" xr:uid="{00000000-0005-0000-0000-0000F6220000}"/>
    <cellStyle name="Normal 4 3 3 2 3 4 2 3" xfId="10347" xr:uid="{00000000-0005-0000-0000-0000F7220000}"/>
    <cellStyle name="Normal 4 3 3 2 3 4 3" xfId="5581" xr:uid="{00000000-0005-0000-0000-0000F8220000}"/>
    <cellStyle name="Normal 4 3 3 2 3 4 3 2" xfId="11942" xr:uid="{00000000-0005-0000-0000-0000F9220000}"/>
    <cellStyle name="Normal 4 3 3 2 3 4 4" xfId="8763" xr:uid="{00000000-0005-0000-0000-0000FA220000}"/>
    <cellStyle name="Normal 4 3 3 2 3 5" xfId="3145" xr:uid="{00000000-0005-0000-0000-0000FB220000}"/>
    <cellStyle name="Normal 4 3 3 2 3 5 2" xfId="6373" xr:uid="{00000000-0005-0000-0000-0000FC220000}"/>
    <cellStyle name="Normal 4 3 3 2 3 5 2 2" xfId="12734" xr:uid="{00000000-0005-0000-0000-0000FD220000}"/>
    <cellStyle name="Normal 4 3 3 2 3 5 3" xfId="9555" xr:uid="{00000000-0005-0000-0000-0000FE220000}"/>
    <cellStyle name="Normal 4 3 3 2 3 6" xfId="4789" xr:uid="{00000000-0005-0000-0000-0000FF220000}"/>
    <cellStyle name="Normal 4 3 3 2 3 6 2" xfId="11150" xr:uid="{00000000-0005-0000-0000-000000230000}"/>
    <cellStyle name="Normal 4 3 3 2 3 7" xfId="7971" xr:uid="{00000000-0005-0000-0000-000001230000}"/>
    <cellStyle name="Normal 4 3 3 2 4" xfId="1629" xr:uid="{00000000-0005-0000-0000-000002230000}"/>
    <cellStyle name="Normal 4 3 3 2 4 2" xfId="1827" xr:uid="{00000000-0005-0000-0000-000003230000}"/>
    <cellStyle name="Normal 4 3 3 2 4 2 2" xfId="2223" xr:uid="{00000000-0005-0000-0000-000004230000}"/>
    <cellStyle name="Normal 4 3 3 2 4 2 2 2" xfId="3015" xr:uid="{00000000-0005-0000-0000-000005230000}"/>
    <cellStyle name="Normal 4 3 3 2 4 2 2 2 2" xfId="4599" xr:uid="{00000000-0005-0000-0000-000006230000}"/>
    <cellStyle name="Normal 4 3 3 2 4 2 2 2 2 2" xfId="7827" xr:uid="{00000000-0005-0000-0000-000007230000}"/>
    <cellStyle name="Normal 4 3 3 2 4 2 2 2 2 2 2" xfId="14188" xr:uid="{00000000-0005-0000-0000-000008230000}"/>
    <cellStyle name="Normal 4 3 3 2 4 2 2 2 2 3" xfId="11009" xr:uid="{00000000-0005-0000-0000-000009230000}"/>
    <cellStyle name="Normal 4 3 3 2 4 2 2 2 3" xfId="6243" xr:uid="{00000000-0005-0000-0000-00000A230000}"/>
    <cellStyle name="Normal 4 3 3 2 4 2 2 2 3 2" xfId="12604" xr:uid="{00000000-0005-0000-0000-00000B230000}"/>
    <cellStyle name="Normal 4 3 3 2 4 2 2 2 4" xfId="9425" xr:uid="{00000000-0005-0000-0000-00000C230000}"/>
    <cellStyle name="Normal 4 3 3 2 4 2 2 3" xfId="3807" xr:uid="{00000000-0005-0000-0000-00000D230000}"/>
    <cellStyle name="Normal 4 3 3 2 4 2 2 3 2" xfId="7035" xr:uid="{00000000-0005-0000-0000-00000E230000}"/>
    <cellStyle name="Normal 4 3 3 2 4 2 2 3 2 2" xfId="13396" xr:uid="{00000000-0005-0000-0000-00000F230000}"/>
    <cellStyle name="Normal 4 3 3 2 4 2 2 3 3" xfId="10217" xr:uid="{00000000-0005-0000-0000-000010230000}"/>
    <cellStyle name="Normal 4 3 3 2 4 2 2 4" xfId="5451" xr:uid="{00000000-0005-0000-0000-000011230000}"/>
    <cellStyle name="Normal 4 3 3 2 4 2 2 4 2" xfId="11812" xr:uid="{00000000-0005-0000-0000-000012230000}"/>
    <cellStyle name="Normal 4 3 3 2 4 2 2 5" xfId="8633" xr:uid="{00000000-0005-0000-0000-000013230000}"/>
    <cellStyle name="Normal 4 3 3 2 4 2 3" xfId="2619" xr:uid="{00000000-0005-0000-0000-000014230000}"/>
    <cellStyle name="Normal 4 3 3 2 4 2 3 2" xfId="4203" xr:uid="{00000000-0005-0000-0000-000015230000}"/>
    <cellStyle name="Normal 4 3 3 2 4 2 3 2 2" xfId="7431" xr:uid="{00000000-0005-0000-0000-000016230000}"/>
    <cellStyle name="Normal 4 3 3 2 4 2 3 2 2 2" xfId="13792" xr:uid="{00000000-0005-0000-0000-000017230000}"/>
    <cellStyle name="Normal 4 3 3 2 4 2 3 2 3" xfId="10613" xr:uid="{00000000-0005-0000-0000-000018230000}"/>
    <cellStyle name="Normal 4 3 3 2 4 2 3 3" xfId="5847" xr:uid="{00000000-0005-0000-0000-000019230000}"/>
    <cellStyle name="Normal 4 3 3 2 4 2 3 3 2" xfId="12208" xr:uid="{00000000-0005-0000-0000-00001A230000}"/>
    <cellStyle name="Normal 4 3 3 2 4 2 3 4" xfId="9029" xr:uid="{00000000-0005-0000-0000-00001B230000}"/>
    <cellStyle name="Normal 4 3 3 2 4 2 4" xfId="3411" xr:uid="{00000000-0005-0000-0000-00001C230000}"/>
    <cellStyle name="Normal 4 3 3 2 4 2 4 2" xfId="6639" xr:uid="{00000000-0005-0000-0000-00001D230000}"/>
    <cellStyle name="Normal 4 3 3 2 4 2 4 2 2" xfId="13000" xr:uid="{00000000-0005-0000-0000-00001E230000}"/>
    <cellStyle name="Normal 4 3 3 2 4 2 4 3" xfId="9821" xr:uid="{00000000-0005-0000-0000-00001F230000}"/>
    <cellStyle name="Normal 4 3 3 2 4 2 5" xfId="5055" xr:uid="{00000000-0005-0000-0000-000020230000}"/>
    <cellStyle name="Normal 4 3 3 2 4 2 5 2" xfId="11416" xr:uid="{00000000-0005-0000-0000-000021230000}"/>
    <cellStyle name="Normal 4 3 3 2 4 2 6" xfId="8237" xr:uid="{00000000-0005-0000-0000-000022230000}"/>
    <cellStyle name="Normal 4 3 3 2 4 3" xfId="2025" xr:uid="{00000000-0005-0000-0000-000023230000}"/>
    <cellStyle name="Normal 4 3 3 2 4 3 2" xfId="2817" xr:uid="{00000000-0005-0000-0000-000024230000}"/>
    <cellStyle name="Normal 4 3 3 2 4 3 2 2" xfId="4401" xr:uid="{00000000-0005-0000-0000-000025230000}"/>
    <cellStyle name="Normal 4 3 3 2 4 3 2 2 2" xfId="7629" xr:uid="{00000000-0005-0000-0000-000026230000}"/>
    <cellStyle name="Normal 4 3 3 2 4 3 2 2 2 2" xfId="13990" xr:uid="{00000000-0005-0000-0000-000027230000}"/>
    <cellStyle name="Normal 4 3 3 2 4 3 2 2 3" xfId="10811" xr:uid="{00000000-0005-0000-0000-000028230000}"/>
    <cellStyle name="Normal 4 3 3 2 4 3 2 3" xfId="6045" xr:uid="{00000000-0005-0000-0000-000029230000}"/>
    <cellStyle name="Normal 4 3 3 2 4 3 2 3 2" xfId="12406" xr:uid="{00000000-0005-0000-0000-00002A230000}"/>
    <cellStyle name="Normal 4 3 3 2 4 3 2 4" xfId="9227" xr:uid="{00000000-0005-0000-0000-00002B230000}"/>
    <cellStyle name="Normal 4 3 3 2 4 3 3" xfId="3609" xr:uid="{00000000-0005-0000-0000-00002C230000}"/>
    <cellStyle name="Normal 4 3 3 2 4 3 3 2" xfId="6837" xr:uid="{00000000-0005-0000-0000-00002D230000}"/>
    <cellStyle name="Normal 4 3 3 2 4 3 3 2 2" xfId="13198" xr:uid="{00000000-0005-0000-0000-00002E230000}"/>
    <cellStyle name="Normal 4 3 3 2 4 3 3 3" xfId="10019" xr:uid="{00000000-0005-0000-0000-00002F230000}"/>
    <cellStyle name="Normal 4 3 3 2 4 3 4" xfId="5253" xr:uid="{00000000-0005-0000-0000-000030230000}"/>
    <cellStyle name="Normal 4 3 3 2 4 3 4 2" xfId="11614" xr:uid="{00000000-0005-0000-0000-000031230000}"/>
    <cellStyle name="Normal 4 3 3 2 4 3 5" xfId="8435" xr:uid="{00000000-0005-0000-0000-000032230000}"/>
    <cellStyle name="Normal 4 3 3 2 4 4" xfId="2421" xr:uid="{00000000-0005-0000-0000-000033230000}"/>
    <cellStyle name="Normal 4 3 3 2 4 4 2" xfId="4005" xr:uid="{00000000-0005-0000-0000-000034230000}"/>
    <cellStyle name="Normal 4 3 3 2 4 4 2 2" xfId="7233" xr:uid="{00000000-0005-0000-0000-000035230000}"/>
    <cellStyle name="Normal 4 3 3 2 4 4 2 2 2" xfId="13594" xr:uid="{00000000-0005-0000-0000-000036230000}"/>
    <cellStyle name="Normal 4 3 3 2 4 4 2 3" xfId="10415" xr:uid="{00000000-0005-0000-0000-000037230000}"/>
    <cellStyle name="Normal 4 3 3 2 4 4 3" xfId="5649" xr:uid="{00000000-0005-0000-0000-000038230000}"/>
    <cellStyle name="Normal 4 3 3 2 4 4 3 2" xfId="12010" xr:uid="{00000000-0005-0000-0000-000039230000}"/>
    <cellStyle name="Normal 4 3 3 2 4 4 4" xfId="8831" xr:uid="{00000000-0005-0000-0000-00003A230000}"/>
    <cellStyle name="Normal 4 3 3 2 4 5" xfId="3213" xr:uid="{00000000-0005-0000-0000-00003B230000}"/>
    <cellStyle name="Normal 4 3 3 2 4 5 2" xfId="6441" xr:uid="{00000000-0005-0000-0000-00003C230000}"/>
    <cellStyle name="Normal 4 3 3 2 4 5 2 2" xfId="12802" xr:uid="{00000000-0005-0000-0000-00003D230000}"/>
    <cellStyle name="Normal 4 3 3 2 4 5 3" xfId="9623" xr:uid="{00000000-0005-0000-0000-00003E230000}"/>
    <cellStyle name="Normal 4 3 3 2 4 6" xfId="4857" xr:uid="{00000000-0005-0000-0000-00003F230000}"/>
    <cellStyle name="Normal 4 3 3 2 4 6 2" xfId="11218" xr:uid="{00000000-0005-0000-0000-000040230000}"/>
    <cellStyle name="Normal 4 3 3 2 4 7" xfId="8039" xr:uid="{00000000-0005-0000-0000-000041230000}"/>
    <cellStyle name="Normal 4 3 3 2 5" xfId="1694" xr:uid="{00000000-0005-0000-0000-000042230000}"/>
    <cellStyle name="Normal 4 3 3 2 5 2" xfId="2090" xr:uid="{00000000-0005-0000-0000-000043230000}"/>
    <cellStyle name="Normal 4 3 3 2 5 2 2" xfId="2882" xr:uid="{00000000-0005-0000-0000-000044230000}"/>
    <cellStyle name="Normal 4 3 3 2 5 2 2 2" xfId="4466" xr:uid="{00000000-0005-0000-0000-000045230000}"/>
    <cellStyle name="Normal 4 3 3 2 5 2 2 2 2" xfId="7694" xr:uid="{00000000-0005-0000-0000-000046230000}"/>
    <cellStyle name="Normal 4 3 3 2 5 2 2 2 2 2" xfId="14055" xr:uid="{00000000-0005-0000-0000-000047230000}"/>
    <cellStyle name="Normal 4 3 3 2 5 2 2 2 3" xfId="10876" xr:uid="{00000000-0005-0000-0000-000048230000}"/>
    <cellStyle name="Normal 4 3 3 2 5 2 2 3" xfId="6110" xr:uid="{00000000-0005-0000-0000-000049230000}"/>
    <cellStyle name="Normal 4 3 3 2 5 2 2 3 2" xfId="12471" xr:uid="{00000000-0005-0000-0000-00004A230000}"/>
    <cellStyle name="Normal 4 3 3 2 5 2 2 4" xfId="9292" xr:uid="{00000000-0005-0000-0000-00004B230000}"/>
    <cellStyle name="Normal 4 3 3 2 5 2 3" xfId="3674" xr:uid="{00000000-0005-0000-0000-00004C230000}"/>
    <cellStyle name="Normal 4 3 3 2 5 2 3 2" xfId="6902" xr:uid="{00000000-0005-0000-0000-00004D230000}"/>
    <cellStyle name="Normal 4 3 3 2 5 2 3 2 2" xfId="13263" xr:uid="{00000000-0005-0000-0000-00004E230000}"/>
    <cellStyle name="Normal 4 3 3 2 5 2 3 3" xfId="10084" xr:uid="{00000000-0005-0000-0000-00004F230000}"/>
    <cellStyle name="Normal 4 3 3 2 5 2 4" xfId="5318" xr:uid="{00000000-0005-0000-0000-000050230000}"/>
    <cellStyle name="Normal 4 3 3 2 5 2 4 2" xfId="11679" xr:uid="{00000000-0005-0000-0000-000051230000}"/>
    <cellStyle name="Normal 4 3 3 2 5 2 5" xfId="8500" xr:uid="{00000000-0005-0000-0000-000052230000}"/>
    <cellStyle name="Normal 4 3 3 2 5 3" xfId="2486" xr:uid="{00000000-0005-0000-0000-000053230000}"/>
    <cellStyle name="Normal 4 3 3 2 5 3 2" xfId="4070" xr:uid="{00000000-0005-0000-0000-000054230000}"/>
    <cellStyle name="Normal 4 3 3 2 5 3 2 2" xfId="7298" xr:uid="{00000000-0005-0000-0000-000055230000}"/>
    <cellStyle name="Normal 4 3 3 2 5 3 2 2 2" xfId="13659" xr:uid="{00000000-0005-0000-0000-000056230000}"/>
    <cellStyle name="Normal 4 3 3 2 5 3 2 3" xfId="10480" xr:uid="{00000000-0005-0000-0000-000057230000}"/>
    <cellStyle name="Normal 4 3 3 2 5 3 3" xfId="5714" xr:uid="{00000000-0005-0000-0000-000058230000}"/>
    <cellStyle name="Normal 4 3 3 2 5 3 3 2" xfId="12075" xr:uid="{00000000-0005-0000-0000-000059230000}"/>
    <cellStyle name="Normal 4 3 3 2 5 3 4" xfId="8896" xr:uid="{00000000-0005-0000-0000-00005A230000}"/>
    <cellStyle name="Normal 4 3 3 2 5 4" xfId="3278" xr:uid="{00000000-0005-0000-0000-00005B230000}"/>
    <cellStyle name="Normal 4 3 3 2 5 4 2" xfId="6506" xr:uid="{00000000-0005-0000-0000-00005C230000}"/>
    <cellStyle name="Normal 4 3 3 2 5 4 2 2" xfId="12867" xr:uid="{00000000-0005-0000-0000-00005D230000}"/>
    <cellStyle name="Normal 4 3 3 2 5 4 3" xfId="9688" xr:uid="{00000000-0005-0000-0000-00005E230000}"/>
    <cellStyle name="Normal 4 3 3 2 5 5" xfId="4922" xr:uid="{00000000-0005-0000-0000-00005F230000}"/>
    <cellStyle name="Normal 4 3 3 2 5 5 2" xfId="11283" xr:uid="{00000000-0005-0000-0000-000060230000}"/>
    <cellStyle name="Normal 4 3 3 2 5 6" xfId="8104" xr:uid="{00000000-0005-0000-0000-000061230000}"/>
    <cellStyle name="Normal 4 3 3 2 6" xfId="1892" xr:uid="{00000000-0005-0000-0000-000062230000}"/>
    <cellStyle name="Normal 4 3 3 2 6 2" xfId="2684" xr:uid="{00000000-0005-0000-0000-000063230000}"/>
    <cellStyle name="Normal 4 3 3 2 6 2 2" xfId="4268" xr:uid="{00000000-0005-0000-0000-000064230000}"/>
    <cellStyle name="Normal 4 3 3 2 6 2 2 2" xfId="7496" xr:uid="{00000000-0005-0000-0000-000065230000}"/>
    <cellStyle name="Normal 4 3 3 2 6 2 2 2 2" xfId="13857" xr:uid="{00000000-0005-0000-0000-000066230000}"/>
    <cellStyle name="Normal 4 3 3 2 6 2 2 3" xfId="10678" xr:uid="{00000000-0005-0000-0000-000067230000}"/>
    <cellStyle name="Normal 4 3 3 2 6 2 3" xfId="5912" xr:uid="{00000000-0005-0000-0000-000068230000}"/>
    <cellStyle name="Normal 4 3 3 2 6 2 3 2" xfId="12273" xr:uid="{00000000-0005-0000-0000-000069230000}"/>
    <cellStyle name="Normal 4 3 3 2 6 2 4" xfId="9094" xr:uid="{00000000-0005-0000-0000-00006A230000}"/>
    <cellStyle name="Normal 4 3 3 2 6 3" xfId="3476" xr:uid="{00000000-0005-0000-0000-00006B230000}"/>
    <cellStyle name="Normal 4 3 3 2 6 3 2" xfId="6704" xr:uid="{00000000-0005-0000-0000-00006C230000}"/>
    <cellStyle name="Normal 4 3 3 2 6 3 2 2" xfId="13065" xr:uid="{00000000-0005-0000-0000-00006D230000}"/>
    <cellStyle name="Normal 4 3 3 2 6 3 3" xfId="9886" xr:uid="{00000000-0005-0000-0000-00006E230000}"/>
    <cellStyle name="Normal 4 3 3 2 6 4" xfId="5120" xr:uid="{00000000-0005-0000-0000-00006F230000}"/>
    <cellStyle name="Normal 4 3 3 2 6 4 2" xfId="11481" xr:uid="{00000000-0005-0000-0000-000070230000}"/>
    <cellStyle name="Normal 4 3 3 2 6 5" xfId="8302" xr:uid="{00000000-0005-0000-0000-000071230000}"/>
    <cellStyle name="Normal 4 3 3 2 7" xfId="2288" xr:uid="{00000000-0005-0000-0000-000072230000}"/>
    <cellStyle name="Normal 4 3 3 2 7 2" xfId="3872" xr:uid="{00000000-0005-0000-0000-000073230000}"/>
    <cellStyle name="Normal 4 3 3 2 7 2 2" xfId="7100" xr:uid="{00000000-0005-0000-0000-000074230000}"/>
    <cellStyle name="Normal 4 3 3 2 7 2 2 2" xfId="13461" xr:uid="{00000000-0005-0000-0000-000075230000}"/>
    <cellStyle name="Normal 4 3 3 2 7 2 3" xfId="10282" xr:uid="{00000000-0005-0000-0000-000076230000}"/>
    <cellStyle name="Normal 4 3 3 2 7 3" xfId="5516" xr:uid="{00000000-0005-0000-0000-000077230000}"/>
    <cellStyle name="Normal 4 3 3 2 7 3 2" xfId="11877" xr:uid="{00000000-0005-0000-0000-000078230000}"/>
    <cellStyle name="Normal 4 3 3 2 7 4" xfId="8698" xr:uid="{00000000-0005-0000-0000-000079230000}"/>
    <cellStyle name="Normal 4 3 3 2 8" xfId="3080" xr:uid="{00000000-0005-0000-0000-00007A230000}"/>
    <cellStyle name="Normal 4 3 3 2 8 2" xfId="6308" xr:uid="{00000000-0005-0000-0000-00007B230000}"/>
    <cellStyle name="Normal 4 3 3 2 8 2 2" xfId="12669" xr:uid="{00000000-0005-0000-0000-00007C230000}"/>
    <cellStyle name="Normal 4 3 3 2 8 3" xfId="9490" xr:uid="{00000000-0005-0000-0000-00007D230000}"/>
    <cellStyle name="Normal 4 3 3 2 9" xfId="4724" xr:uid="{00000000-0005-0000-0000-00007E230000}"/>
    <cellStyle name="Normal 4 3 3 2 9 2" xfId="11085" xr:uid="{00000000-0005-0000-0000-00007F230000}"/>
    <cellStyle name="Normal 4 3 3 3" xfId="1465" xr:uid="{00000000-0005-0000-0000-000080230000}"/>
    <cellStyle name="Normal 4 3 3 3 2" xfId="1577" xr:uid="{00000000-0005-0000-0000-000081230000}"/>
    <cellStyle name="Normal 4 3 3 3 2 2" xfId="1775" xr:uid="{00000000-0005-0000-0000-000082230000}"/>
    <cellStyle name="Normal 4 3 3 3 2 2 2" xfId="2171" xr:uid="{00000000-0005-0000-0000-000083230000}"/>
    <cellStyle name="Normal 4 3 3 3 2 2 2 2" xfId="2963" xr:uid="{00000000-0005-0000-0000-000084230000}"/>
    <cellStyle name="Normal 4 3 3 3 2 2 2 2 2" xfId="4547" xr:uid="{00000000-0005-0000-0000-000085230000}"/>
    <cellStyle name="Normal 4 3 3 3 2 2 2 2 2 2" xfId="7775" xr:uid="{00000000-0005-0000-0000-000086230000}"/>
    <cellStyle name="Normal 4 3 3 3 2 2 2 2 2 2 2" xfId="14136" xr:uid="{00000000-0005-0000-0000-000087230000}"/>
    <cellStyle name="Normal 4 3 3 3 2 2 2 2 2 3" xfId="10957" xr:uid="{00000000-0005-0000-0000-000088230000}"/>
    <cellStyle name="Normal 4 3 3 3 2 2 2 2 3" xfId="6191" xr:uid="{00000000-0005-0000-0000-000089230000}"/>
    <cellStyle name="Normal 4 3 3 3 2 2 2 2 3 2" xfId="12552" xr:uid="{00000000-0005-0000-0000-00008A230000}"/>
    <cellStyle name="Normal 4 3 3 3 2 2 2 2 4" xfId="9373" xr:uid="{00000000-0005-0000-0000-00008B230000}"/>
    <cellStyle name="Normal 4 3 3 3 2 2 2 3" xfId="3755" xr:uid="{00000000-0005-0000-0000-00008C230000}"/>
    <cellStyle name="Normal 4 3 3 3 2 2 2 3 2" xfId="6983" xr:uid="{00000000-0005-0000-0000-00008D230000}"/>
    <cellStyle name="Normal 4 3 3 3 2 2 2 3 2 2" xfId="13344" xr:uid="{00000000-0005-0000-0000-00008E230000}"/>
    <cellStyle name="Normal 4 3 3 3 2 2 2 3 3" xfId="10165" xr:uid="{00000000-0005-0000-0000-00008F230000}"/>
    <cellStyle name="Normal 4 3 3 3 2 2 2 4" xfId="5399" xr:uid="{00000000-0005-0000-0000-000090230000}"/>
    <cellStyle name="Normal 4 3 3 3 2 2 2 4 2" xfId="11760" xr:uid="{00000000-0005-0000-0000-000091230000}"/>
    <cellStyle name="Normal 4 3 3 3 2 2 2 5" xfId="8581" xr:uid="{00000000-0005-0000-0000-000092230000}"/>
    <cellStyle name="Normal 4 3 3 3 2 2 3" xfId="2567" xr:uid="{00000000-0005-0000-0000-000093230000}"/>
    <cellStyle name="Normal 4 3 3 3 2 2 3 2" xfId="4151" xr:uid="{00000000-0005-0000-0000-000094230000}"/>
    <cellStyle name="Normal 4 3 3 3 2 2 3 2 2" xfId="7379" xr:uid="{00000000-0005-0000-0000-000095230000}"/>
    <cellStyle name="Normal 4 3 3 3 2 2 3 2 2 2" xfId="13740" xr:uid="{00000000-0005-0000-0000-000096230000}"/>
    <cellStyle name="Normal 4 3 3 3 2 2 3 2 3" xfId="10561" xr:uid="{00000000-0005-0000-0000-000097230000}"/>
    <cellStyle name="Normal 4 3 3 3 2 2 3 3" xfId="5795" xr:uid="{00000000-0005-0000-0000-000098230000}"/>
    <cellStyle name="Normal 4 3 3 3 2 2 3 3 2" xfId="12156" xr:uid="{00000000-0005-0000-0000-000099230000}"/>
    <cellStyle name="Normal 4 3 3 3 2 2 3 4" xfId="8977" xr:uid="{00000000-0005-0000-0000-00009A230000}"/>
    <cellStyle name="Normal 4 3 3 3 2 2 4" xfId="3359" xr:uid="{00000000-0005-0000-0000-00009B230000}"/>
    <cellStyle name="Normal 4 3 3 3 2 2 4 2" xfId="6587" xr:uid="{00000000-0005-0000-0000-00009C230000}"/>
    <cellStyle name="Normal 4 3 3 3 2 2 4 2 2" xfId="12948" xr:uid="{00000000-0005-0000-0000-00009D230000}"/>
    <cellStyle name="Normal 4 3 3 3 2 2 4 3" xfId="9769" xr:uid="{00000000-0005-0000-0000-00009E230000}"/>
    <cellStyle name="Normal 4 3 3 3 2 2 5" xfId="5003" xr:uid="{00000000-0005-0000-0000-00009F230000}"/>
    <cellStyle name="Normal 4 3 3 3 2 2 5 2" xfId="11364" xr:uid="{00000000-0005-0000-0000-0000A0230000}"/>
    <cellStyle name="Normal 4 3 3 3 2 2 6" xfId="8185" xr:uid="{00000000-0005-0000-0000-0000A1230000}"/>
    <cellStyle name="Normal 4 3 3 3 2 3" xfId="1973" xr:uid="{00000000-0005-0000-0000-0000A2230000}"/>
    <cellStyle name="Normal 4 3 3 3 2 3 2" xfId="2765" xr:uid="{00000000-0005-0000-0000-0000A3230000}"/>
    <cellStyle name="Normal 4 3 3 3 2 3 2 2" xfId="4349" xr:uid="{00000000-0005-0000-0000-0000A4230000}"/>
    <cellStyle name="Normal 4 3 3 3 2 3 2 2 2" xfId="7577" xr:uid="{00000000-0005-0000-0000-0000A5230000}"/>
    <cellStyle name="Normal 4 3 3 3 2 3 2 2 2 2" xfId="13938" xr:uid="{00000000-0005-0000-0000-0000A6230000}"/>
    <cellStyle name="Normal 4 3 3 3 2 3 2 2 3" xfId="10759" xr:uid="{00000000-0005-0000-0000-0000A7230000}"/>
    <cellStyle name="Normal 4 3 3 3 2 3 2 3" xfId="5993" xr:uid="{00000000-0005-0000-0000-0000A8230000}"/>
    <cellStyle name="Normal 4 3 3 3 2 3 2 3 2" xfId="12354" xr:uid="{00000000-0005-0000-0000-0000A9230000}"/>
    <cellStyle name="Normal 4 3 3 3 2 3 2 4" xfId="9175" xr:uid="{00000000-0005-0000-0000-0000AA230000}"/>
    <cellStyle name="Normal 4 3 3 3 2 3 3" xfId="3557" xr:uid="{00000000-0005-0000-0000-0000AB230000}"/>
    <cellStyle name="Normal 4 3 3 3 2 3 3 2" xfId="6785" xr:uid="{00000000-0005-0000-0000-0000AC230000}"/>
    <cellStyle name="Normal 4 3 3 3 2 3 3 2 2" xfId="13146" xr:uid="{00000000-0005-0000-0000-0000AD230000}"/>
    <cellStyle name="Normal 4 3 3 3 2 3 3 3" xfId="9967" xr:uid="{00000000-0005-0000-0000-0000AE230000}"/>
    <cellStyle name="Normal 4 3 3 3 2 3 4" xfId="5201" xr:uid="{00000000-0005-0000-0000-0000AF230000}"/>
    <cellStyle name="Normal 4 3 3 3 2 3 4 2" xfId="11562" xr:uid="{00000000-0005-0000-0000-0000B0230000}"/>
    <cellStyle name="Normal 4 3 3 3 2 3 5" xfId="8383" xr:uid="{00000000-0005-0000-0000-0000B1230000}"/>
    <cellStyle name="Normal 4 3 3 3 2 4" xfId="2369" xr:uid="{00000000-0005-0000-0000-0000B2230000}"/>
    <cellStyle name="Normal 4 3 3 3 2 4 2" xfId="3953" xr:uid="{00000000-0005-0000-0000-0000B3230000}"/>
    <cellStyle name="Normal 4 3 3 3 2 4 2 2" xfId="7181" xr:uid="{00000000-0005-0000-0000-0000B4230000}"/>
    <cellStyle name="Normal 4 3 3 3 2 4 2 2 2" xfId="13542" xr:uid="{00000000-0005-0000-0000-0000B5230000}"/>
    <cellStyle name="Normal 4 3 3 3 2 4 2 3" xfId="10363" xr:uid="{00000000-0005-0000-0000-0000B6230000}"/>
    <cellStyle name="Normal 4 3 3 3 2 4 3" xfId="5597" xr:uid="{00000000-0005-0000-0000-0000B7230000}"/>
    <cellStyle name="Normal 4 3 3 3 2 4 3 2" xfId="11958" xr:uid="{00000000-0005-0000-0000-0000B8230000}"/>
    <cellStyle name="Normal 4 3 3 3 2 4 4" xfId="8779" xr:uid="{00000000-0005-0000-0000-0000B9230000}"/>
    <cellStyle name="Normal 4 3 3 3 2 5" xfId="3161" xr:uid="{00000000-0005-0000-0000-0000BA230000}"/>
    <cellStyle name="Normal 4 3 3 3 2 5 2" xfId="6389" xr:uid="{00000000-0005-0000-0000-0000BB230000}"/>
    <cellStyle name="Normal 4 3 3 3 2 5 2 2" xfId="12750" xr:uid="{00000000-0005-0000-0000-0000BC230000}"/>
    <cellStyle name="Normal 4 3 3 3 2 5 3" xfId="9571" xr:uid="{00000000-0005-0000-0000-0000BD230000}"/>
    <cellStyle name="Normal 4 3 3 3 2 6" xfId="4805" xr:uid="{00000000-0005-0000-0000-0000BE230000}"/>
    <cellStyle name="Normal 4 3 3 3 2 6 2" xfId="11166" xr:uid="{00000000-0005-0000-0000-0000BF230000}"/>
    <cellStyle name="Normal 4 3 3 3 2 7" xfId="7987" xr:uid="{00000000-0005-0000-0000-0000C0230000}"/>
    <cellStyle name="Normal 4 3 3 3 3" xfId="1645" xr:uid="{00000000-0005-0000-0000-0000C1230000}"/>
    <cellStyle name="Normal 4 3 3 3 3 2" xfId="1843" xr:uid="{00000000-0005-0000-0000-0000C2230000}"/>
    <cellStyle name="Normal 4 3 3 3 3 2 2" xfId="2239" xr:uid="{00000000-0005-0000-0000-0000C3230000}"/>
    <cellStyle name="Normal 4 3 3 3 3 2 2 2" xfId="3031" xr:uid="{00000000-0005-0000-0000-0000C4230000}"/>
    <cellStyle name="Normal 4 3 3 3 3 2 2 2 2" xfId="4615" xr:uid="{00000000-0005-0000-0000-0000C5230000}"/>
    <cellStyle name="Normal 4 3 3 3 3 2 2 2 2 2" xfId="7843" xr:uid="{00000000-0005-0000-0000-0000C6230000}"/>
    <cellStyle name="Normal 4 3 3 3 3 2 2 2 2 2 2" xfId="14204" xr:uid="{00000000-0005-0000-0000-0000C7230000}"/>
    <cellStyle name="Normal 4 3 3 3 3 2 2 2 2 3" xfId="11025" xr:uid="{00000000-0005-0000-0000-0000C8230000}"/>
    <cellStyle name="Normal 4 3 3 3 3 2 2 2 3" xfId="6259" xr:uid="{00000000-0005-0000-0000-0000C9230000}"/>
    <cellStyle name="Normal 4 3 3 3 3 2 2 2 3 2" xfId="12620" xr:uid="{00000000-0005-0000-0000-0000CA230000}"/>
    <cellStyle name="Normal 4 3 3 3 3 2 2 2 4" xfId="9441" xr:uid="{00000000-0005-0000-0000-0000CB230000}"/>
    <cellStyle name="Normal 4 3 3 3 3 2 2 3" xfId="3823" xr:uid="{00000000-0005-0000-0000-0000CC230000}"/>
    <cellStyle name="Normal 4 3 3 3 3 2 2 3 2" xfId="7051" xr:uid="{00000000-0005-0000-0000-0000CD230000}"/>
    <cellStyle name="Normal 4 3 3 3 3 2 2 3 2 2" xfId="13412" xr:uid="{00000000-0005-0000-0000-0000CE230000}"/>
    <cellStyle name="Normal 4 3 3 3 3 2 2 3 3" xfId="10233" xr:uid="{00000000-0005-0000-0000-0000CF230000}"/>
    <cellStyle name="Normal 4 3 3 3 3 2 2 4" xfId="5467" xr:uid="{00000000-0005-0000-0000-0000D0230000}"/>
    <cellStyle name="Normal 4 3 3 3 3 2 2 4 2" xfId="11828" xr:uid="{00000000-0005-0000-0000-0000D1230000}"/>
    <cellStyle name="Normal 4 3 3 3 3 2 2 5" xfId="8649" xr:uid="{00000000-0005-0000-0000-0000D2230000}"/>
    <cellStyle name="Normal 4 3 3 3 3 2 3" xfId="2635" xr:uid="{00000000-0005-0000-0000-0000D3230000}"/>
    <cellStyle name="Normal 4 3 3 3 3 2 3 2" xfId="4219" xr:uid="{00000000-0005-0000-0000-0000D4230000}"/>
    <cellStyle name="Normal 4 3 3 3 3 2 3 2 2" xfId="7447" xr:uid="{00000000-0005-0000-0000-0000D5230000}"/>
    <cellStyle name="Normal 4 3 3 3 3 2 3 2 2 2" xfId="13808" xr:uid="{00000000-0005-0000-0000-0000D6230000}"/>
    <cellStyle name="Normal 4 3 3 3 3 2 3 2 3" xfId="10629" xr:uid="{00000000-0005-0000-0000-0000D7230000}"/>
    <cellStyle name="Normal 4 3 3 3 3 2 3 3" xfId="5863" xr:uid="{00000000-0005-0000-0000-0000D8230000}"/>
    <cellStyle name="Normal 4 3 3 3 3 2 3 3 2" xfId="12224" xr:uid="{00000000-0005-0000-0000-0000D9230000}"/>
    <cellStyle name="Normal 4 3 3 3 3 2 3 4" xfId="9045" xr:uid="{00000000-0005-0000-0000-0000DA230000}"/>
    <cellStyle name="Normal 4 3 3 3 3 2 4" xfId="3427" xr:uid="{00000000-0005-0000-0000-0000DB230000}"/>
    <cellStyle name="Normal 4 3 3 3 3 2 4 2" xfId="6655" xr:uid="{00000000-0005-0000-0000-0000DC230000}"/>
    <cellStyle name="Normal 4 3 3 3 3 2 4 2 2" xfId="13016" xr:uid="{00000000-0005-0000-0000-0000DD230000}"/>
    <cellStyle name="Normal 4 3 3 3 3 2 4 3" xfId="9837" xr:uid="{00000000-0005-0000-0000-0000DE230000}"/>
    <cellStyle name="Normal 4 3 3 3 3 2 5" xfId="5071" xr:uid="{00000000-0005-0000-0000-0000DF230000}"/>
    <cellStyle name="Normal 4 3 3 3 3 2 5 2" xfId="11432" xr:uid="{00000000-0005-0000-0000-0000E0230000}"/>
    <cellStyle name="Normal 4 3 3 3 3 2 6" xfId="8253" xr:uid="{00000000-0005-0000-0000-0000E1230000}"/>
    <cellStyle name="Normal 4 3 3 3 3 3" xfId="2041" xr:uid="{00000000-0005-0000-0000-0000E2230000}"/>
    <cellStyle name="Normal 4 3 3 3 3 3 2" xfId="2833" xr:uid="{00000000-0005-0000-0000-0000E3230000}"/>
    <cellStyle name="Normal 4 3 3 3 3 3 2 2" xfId="4417" xr:uid="{00000000-0005-0000-0000-0000E4230000}"/>
    <cellStyle name="Normal 4 3 3 3 3 3 2 2 2" xfId="7645" xr:uid="{00000000-0005-0000-0000-0000E5230000}"/>
    <cellStyle name="Normal 4 3 3 3 3 3 2 2 2 2" xfId="14006" xr:uid="{00000000-0005-0000-0000-0000E6230000}"/>
    <cellStyle name="Normal 4 3 3 3 3 3 2 2 3" xfId="10827" xr:uid="{00000000-0005-0000-0000-0000E7230000}"/>
    <cellStyle name="Normal 4 3 3 3 3 3 2 3" xfId="6061" xr:uid="{00000000-0005-0000-0000-0000E8230000}"/>
    <cellStyle name="Normal 4 3 3 3 3 3 2 3 2" xfId="12422" xr:uid="{00000000-0005-0000-0000-0000E9230000}"/>
    <cellStyle name="Normal 4 3 3 3 3 3 2 4" xfId="9243" xr:uid="{00000000-0005-0000-0000-0000EA230000}"/>
    <cellStyle name="Normal 4 3 3 3 3 3 3" xfId="3625" xr:uid="{00000000-0005-0000-0000-0000EB230000}"/>
    <cellStyle name="Normal 4 3 3 3 3 3 3 2" xfId="6853" xr:uid="{00000000-0005-0000-0000-0000EC230000}"/>
    <cellStyle name="Normal 4 3 3 3 3 3 3 2 2" xfId="13214" xr:uid="{00000000-0005-0000-0000-0000ED230000}"/>
    <cellStyle name="Normal 4 3 3 3 3 3 3 3" xfId="10035" xr:uid="{00000000-0005-0000-0000-0000EE230000}"/>
    <cellStyle name="Normal 4 3 3 3 3 3 4" xfId="5269" xr:uid="{00000000-0005-0000-0000-0000EF230000}"/>
    <cellStyle name="Normal 4 3 3 3 3 3 4 2" xfId="11630" xr:uid="{00000000-0005-0000-0000-0000F0230000}"/>
    <cellStyle name="Normal 4 3 3 3 3 3 5" xfId="8451" xr:uid="{00000000-0005-0000-0000-0000F1230000}"/>
    <cellStyle name="Normal 4 3 3 3 3 4" xfId="2437" xr:uid="{00000000-0005-0000-0000-0000F2230000}"/>
    <cellStyle name="Normal 4 3 3 3 3 4 2" xfId="4021" xr:uid="{00000000-0005-0000-0000-0000F3230000}"/>
    <cellStyle name="Normal 4 3 3 3 3 4 2 2" xfId="7249" xr:uid="{00000000-0005-0000-0000-0000F4230000}"/>
    <cellStyle name="Normal 4 3 3 3 3 4 2 2 2" xfId="13610" xr:uid="{00000000-0005-0000-0000-0000F5230000}"/>
    <cellStyle name="Normal 4 3 3 3 3 4 2 3" xfId="10431" xr:uid="{00000000-0005-0000-0000-0000F6230000}"/>
    <cellStyle name="Normal 4 3 3 3 3 4 3" xfId="5665" xr:uid="{00000000-0005-0000-0000-0000F7230000}"/>
    <cellStyle name="Normal 4 3 3 3 3 4 3 2" xfId="12026" xr:uid="{00000000-0005-0000-0000-0000F8230000}"/>
    <cellStyle name="Normal 4 3 3 3 3 4 4" xfId="8847" xr:uid="{00000000-0005-0000-0000-0000F9230000}"/>
    <cellStyle name="Normal 4 3 3 3 3 5" xfId="3229" xr:uid="{00000000-0005-0000-0000-0000FA230000}"/>
    <cellStyle name="Normal 4 3 3 3 3 5 2" xfId="6457" xr:uid="{00000000-0005-0000-0000-0000FB230000}"/>
    <cellStyle name="Normal 4 3 3 3 3 5 2 2" xfId="12818" xr:uid="{00000000-0005-0000-0000-0000FC230000}"/>
    <cellStyle name="Normal 4 3 3 3 3 5 3" xfId="9639" xr:uid="{00000000-0005-0000-0000-0000FD230000}"/>
    <cellStyle name="Normal 4 3 3 3 3 6" xfId="4873" xr:uid="{00000000-0005-0000-0000-0000FE230000}"/>
    <cellStyle name="Normal 4 3 3 3 3 6 2" xfId="11234" xr:uid="{00000000-0005-0000-0000-0000FF230000}"/>
    <cellStyle name="Normal 4 3 3 3 3 7" xfId="8055" xr:uid="{00000000-0005-0000-0000-000000240000}"/>
    <cellStyle name="Normal 4 3 3 3 4" xfId="1710" xr:uid="{00000000-0005-0000-0000-000001240000}"/>
    <cellStyle name="Normal 4 3 3 3 4 2" xfId="2106" xr:uid="{00000000-0005-0000-0000-000002240000}"/>
    <cellStyle name="Normal 4 3 3 3 4 2 2" xfId="2898" xr:uid="{00000000-0005-0000-0000-000003240000}"/>
    <cellStyle name="Normal 4 3 3 3 4 2 2 2" xfId="4482" xr:uid="{00000000-0005-0000-0000-000004240000}"/>
    <cellStyle name="Normal 4 3 3 3 4 2 2 2 2" xfId="7710" xr:uid="{00000000-0005-0000-0000-000005240000}"/>
    <cellStyle name="Normal 4 3 3 3 4 2 2 2 2 2" xfId="14071" xr:uid="{00000000-0005-0000-0000-000006240000}"/>
    <cellStyle name="Normal 4 3 3 3 4 2 2 2 3" xfId="10892" xr:uid="{00000000-0005-0000-0000-000007240000}"/>
    <cellStyle name="Normal 4 3 3 3 4 2 2 3" xfId="6126" xr:uid="{00000000-0005-0000-0000-000008240000}"/>
    <cellStyle name="Normal 4 3 3 3 4 2 2 3 2" xfId="12487" xr:uid="{00000000-0005-0000-0000-000009240000}"/>
    <cellStyle name="Normal 4 3 3 3 4 2 2 4" xfId="9308" xr:uid="{00000000-0005-0000-0000-00000A240000}"/>
    <cellStyle name="Normal 4 3 3 3 4 2 3" xfId="3690" xr:uid="{00000000-0005-0000-0000-00000B240000}"/>
    <cellStyle name="Normal 4 3 3 3 4 2 3 2" xfId="6918" xr:uid="{00000000-0005-0000-0000-00000C240000}"/>
    <cellStyle name="Normal 4 3 3 3 4 2 3 2 2" xfId="13279" xr:uid="{00000000-0005-0000-0000-00000D240000}"/>
    <cellStyle name="Normal 4 3 3 3 4 2 3 3" xfId="10100" xr:uid="{00000000-0005-0000-0000-00000E240000}"/>
    <cellStyle name="Normal 4 3 3 3 4 2 4" xfId="5334" xr:uid="{00000000-0005-0000-0000-00000F240000}"/>
    <cellStyle name="Normal 4 3 3 3 4 2 4 2" xfId="11695" xr:uid="{00000000-0005-0000-0000-000010240000}"/>
    <cellStyle name="Normal 4 3 3 3 4 2 5" xfId="8516" xr:uid="{00000000-0005-0000-0000-000011240000}"/>
    <cellStyle name="Normal 4 3 3 3 4 3" xfId="2502" xr:uid="{00000000-0005-0000-0000-000012240000}"/>
    <cellStyle name="Normal 4 3 3 3 4 3 2" xfId="4086" xr:uid="{00000000-0005-0000-0000-000013240000}"/>
    <cellStyle name="Normal 4 3 3 3 4 3 2 2" xfId="7314" xr:uid="{00000000-0005-0000-0000-000014240000}"/>
    <cellStyle name="Normal 4 3 3 3 4 3 2 2 2" xfId="13675" xr:uid="{00000000-0005-0000-0000-000015240000}"/>
    <cellStyle name="Normal 4 3 3 3 4 3 2 3" xfId="10496" xr:uid="{00000000-0005-0000-0000-000016240000}"/>
    <cellStyle name="Normal 4 3 3 3 4 3 3" xfId="5730" xr:uid="{00000000-0005-0000-0000-000017240000}"/>
    <cellStyle name="Normal 4 3 3 3 4 3 3 2" xfId="12091" xr:uid="{00000000-0005-0000-0000-000018240000}"/>
    <cellStyle name="Normal 4 3 3 3 4 3 4" xfId="8912" xr:uid="{00000000-0005-0000-0000-000019240000}"/>
    <cellStyle name="Normal 4 3 3 3 4 4" xfId="3294" xr:uid="{00000000-0005-0000-0000-00001A240000}"/>
    <cellStyle name="Normal 4 3 3 3 4 4 2" xfId="6522" xr:uid="{00000000-0005-0000-0000-00001B240000}"/>
    <cellStyle name="Normal 4 3 3 3 4 4 2 2" xfId="12883" xr:uid="{00000000-0005-0000-0000-00001C240000}"/>
    <cellStyle name="Normal 4 3 3 3 4 4 3" xfId="9704" xr:uid="{00000000-0005-0000-0000-00001D240000}"/>
    <cellStyle name="Normal 4 3 3 3 4 5" xfId="4938" xr:uid="{00000000-0005-0000-0000-00001E240000}"/>
    <cellStyle name="Normal 4 3 3 3 4 5 2" xfId="11299" xr:uid="{00000000-0005-0000-0000-00001F240000}"/>
    <cellStyle name="Normal 4 3 3 3 4 6" xfId="8120" xr:uid="{00000000-0005-0000-0000-000020240000}"/>
    <cellStyle name="Normal 4 3 3 3 5" xfId="1908" xr:uid="{00000000-0005-0000-0000-000021240000}"/>
    <cellStyle name="Normal 4 3 3 3 5 2" xfId="2700" xr:uid="{00000000-0005-0000-0000-000022240000}"/>
    <cellStyle name="Normal 4 3 3 3 5 2 2" xfId="4284" xr:uid="{00000000-0005-0000-0000-000023240000}"/>
    <cellStyle name="Normal 4 3 3 3 5 2 2 2" xfId="7512" xr:uid="{00000000-0005-0000-0000-000024240000}"/>
    <cellStyle name="Normal 4 3 3 3 5 2 2 2 2" xfId="13873" xr:uid="{00000000-0005-0000-0000-000025240000}"/>
    <cellStyle name="Normal 4 3 3 3 5 2 2 3" xfId="10694" xr:uid="{00000000-0005-0000-0000-000026240000}"/>
    <cellStyle name="Normal 4 3 3 3 5 2 3" xfId="5928" xr:uid="{00000000-0005-0000-0000-000027240000}"/>
    <cellStyle name="Normal 4 3 3 3 5 2 3 2" xfId="12289" xr:uid="{00000000-0005-0000-0000-000028240000}"/>
    <cellStyle name="Normal 4 3 3 3 5 2 4" xfId="9110" xr:uid="{00000000-0005-0000-0000-000029240000}"/>
    <cellStyle name="Normal 4 3 3 3 5 3" xfId="3492" xr:uid="{00000000-0005-0000-0000-00002A240000}"/>
    <cellStyle name="Normal 4 3 3 3 5 3 2" xfId="6720" xr:uid="{00000000-0005-0000-0000-00002B240000}"/>
    <cellStyle name="Normal 4 3 3 3 5 3 2 2" xfId="13081" xr:uid="{00000000-0005-0000-0000-00002C240000}"/>
    <cellStyle name="Normal 4 3 3 3 5 3 3" xfId="9902" xr:uid="{00000000-0005-0000-0000-00002D240000}"/>
    <cellStyle name="Normal 4 3 3 3 5 4" xfId="5136" xr:uid="{00000000-0005-0000-0000-00002E240000}"/>
    <cellStyle name="Normal 4 3 3 3 5 4 2" xfId="11497" xr:uid="{00000000-0005-0000-0000-00002F240000}"/>
    <cellStyle name="Normal 4 3 3 3 5 5" xfId="8318" xr:uid="{00000000-0005-0000-0000-000030240000}"/>
    <cellStyle name="Normal 4 3 3 3 6" xfId="2304" xr:uid="{00000000-0005-0000-0000-000031240000}"/>
    <cellStyle name="Normal 4 3 3 3 6 2" xfId="3888" xr:uid="{00000000-0005-0000-0000-000032240000}"/>
    <cellStyle name="Normal 4 3 3 3 6 2 2" xfId="7116" xr:uid="{00000000-0005-0000-0000-000033240000}"/>
    <cellStyle name="Normal 4 3 3 3 6 2 2 2" xfId="13477" xr:uid="{00000000-0005-0000-0000-000034240000}"/>
    <cellStyle name="Normal 4 3 3 3 6 2 3" xfId="10298" xr:uid="{00000000-0005-0000-0000-000035240000}"/>
    <cellStyle name="Normal 4 3 3 3 6 3" xfId="5532" xr:uid="{00000000-0005-0000-0000-000036240000}"/>
    <cellStyle name="Normal 4 3 3 3 6 3 2" xfId="11893" xr:uid="{00000000-0005-0000-0000-000037240000}"/>
    <cellStyle name="Normal 4 3 3 3 6 4" xfId="8714" xr:uid="{00000000-0005-0000-0000-000038240000}"/>
    <cellStyle name="Normal 4 3 3 3 7" xfId="3096" xr:uid="{00000000-0005-0000-0000-000039240000}"/>
    <cellStyle name="Normal 4 3 3 3 7 2" xfId="6324" xr:uid="{00000000-0005-0000-0000-00003A240000}"/>
    <cellStyle name="Normal 4 3 3 3 7 2 2" xfId="12685" xr:uid="{00000000-0005-0000-0000-00003B240000}"/>
    <cellStyle name="Normal 4 3 3 3 7 3" xfId="9506" xr:uid="{00000000-0005-0000-0000-00003C240000}"/>
    <cellStyle name="Normal 4 3 3 3 8" xfId="4740" xr:uid="{00000000-0005-0000-0000-00003D240000}"/>
    <cellStyle name="Normal 4 3 3 3 8 2" xfId="11101" xr:uid="{00000000-0005-0000-0000-00003E240000}"/>
    <cellStyle name="Normal 4 3 3 3 9" xfId="7922" xr:uid="{00000000-0005-0000-0000-00003F240000}"/>
    <cellStyle name="Normal 4 3 3 4" xfId="1545" xr:uid="{00000000-0005-0000-0000-000040240000}"/>
    <cellStyle name="Normal 4 3 3 4 2" xfId="1743" xr:uid="{00000000-0005-0000-0000-000041240000}"/>
    <cellStyle name="Normal 4 3 3 4 2 2" xfId="2139" xr:uid="{00000000-0005-0000-0000-000042240000}"/>
    <cellStyle name="Normal 4 3 3 4 2 2 2" xfId="2931" xr:uid="{00000000-0005-0000-0000-000043240000}"/>
    <cellStyle name="Normal 4 3 3 4 2 2 2 2" xfId="4515" xr:uid="{00000000-0005-0000-0000-000044240000}"/>
    <cellStyle name="Normal 4 3 3 4 2 2 2 2 2" xfId="7743" xr:uid="{00000000-0005-0000-0000-000045240000}"/>
    <cellStyle name="Normal 4 3 3 4 2 2 2 2 2 2" xfId="14104" xr:uid="{00000000-0005-0000-0000-000046240000}"/>
    <cellStyle name="Normal 4 3 3 4 2 2 2 2 3" xfId="10925" xr:uid="{00000000-0005-0000-0000-000047240000}"/>
    <cellStyle name="Normal 4 3 3 4 2 2 2 3" xfId="6159" xr:uid="{00000000-0005-0000-0000-000048240000}"/>
    <cellStyle name="Normal 4 3 3 4 2 2 2 3 2" xfId="12520" xr:uid="{00000000-0005-0000-0000-000049240000}"/>
    <cellStyle name="Normal 4 3 3 4 2 2 2 4" xfId="9341" xr:uid="{00000000-0005-0000-0000-00004A240000}"/>
    <cellStyle name="Normal 4 3 3 4 2 2 3" xfId="3723" xr:uid="{00000000-0005-0000-0000-00004B240000}"/>
    <cellStyle name="Normal 4 3 3 4 2 2 3 2" xfId="6951" xr:uid="{00000000-0005-0000-0000-00004C240000}"/>
    <cellStyle name="Normal 4 3 3 4 2 2 3 2 2" xfId="13312" xr:uid="{00000000-0005-0000-0000-00004D240000}"/>
    <cellStyle name="Normal 4 3 3 4 2 2 3 3" xfId="10133" xr:uid="{00000000-0005-0000-0000-00004E240000}"/>
    <cellStyle name="Normal 4 3 3 4 2 2 4" xfId="5367" xr:uid="{00000000-0005-0000-0000-00004F240000}"/>
    <cellStyle name="Normal 4 3 3 4 2 2 4 2" xfId="11728" xr:uid="{00000000-0005-0000-0000-000050240000}"/>
    <cellStyle name="Normal 4 3 3 4 2 2 5" xfId="8549" xr:uid="{00000000-0005-0000-0000-000051240000}"/>
    <cellStyle name="Normal 4 3 3 4 2 3" xfId="2535" xr:uid="{00000000-0005-0000-0000-000052240000}"/>
    <cellStyle name="Normal 4 3 3 4 2 3 2" xfId="4119" xr:uid="{00000000-0005-0000-0000-000053240000}"/>
    <cellStyle name="Normal 4 3 3 4 2 3 2 2" xfId="7347" xr:uid="{00000000-0005-0000-0000-000054240000}"/>
    <cellStyle name="Normal 4 3 3 4 2 3 2 2 2" xfId="13708" xr:uid="{00000000-0005-0000-0000-000055240000}"/>
    <cellStyle name="Normal 4 3 3 4 2 3 2 3" xfId="10529" xr:uid="{00000000-0005-0000-0000-000056240000}"/>
    <cellStyle name="Normal 4 3 3 4 2 3 3" xfId="5763" xr:uid="{00000000-0005-0000-0000-000057240000}"/>
    <cellStyle name="Normal 4 3 3 4 2 3 3 2" xfId="12124" xr:uid="{00000000-0005-0000-0000-000058240000}"/>
    <cellStyle name="Normal 4 3 3 4 2 3 4" xfId="8945" xr:uid="{00000000-0005-0000-0000-000059240000}"/>
    <cellStyle name="Normal 4 3 3 4 2 4" xfId="3327" xr:uid="{00000000-0005-0000-0000-00005A240000}"/>
    <cellStyle name="Normal 4 3 3 4 2 4 2" xfId="6555" xr:uid="{00000000-0005-0000-0000-00005B240000}"/>
    <cellStyle name="Normal 4 3 3 4 2 4 2 2" xfId="12916" xr:uid="{00000000-0005-0000-0000-00005C240000}"/>
    <cellStyle name="Normal 4 3 3 4 2 4 3" xfId="9737" xr:uid="{00000000-0005-0000-0000-00005D240000}"/>
    <cellStyle name="Normal 4 3 3 4 2 5" xfId="4971" xr:uid="{00000000-0005-0000-0000-00005E240000}"/>
    <cellStyle name="Normal 4 3 3 4 2 5 2" xfId="11332" xr:uid="{00000000-0005-0000-0000-00005F240000}"/>
    <cellStyle name="Normal 4 3 3 4 2 6" xfId="8153" xr:uid="{00000000-0005-0000-0000-000060240000}"/>
    <cellStyle name="Normal 4 3 3 4 3" xfId="1941" xr:uid="{00000000-0005-0000-0000-000061240000}"/>
    <cellStyle name="Normal 4 3 3 4 3 2" xfId="2733" xr:uid="{00000000-0005-0000-0000-000062240000}"/>
    <cellStyle name="Normal 4 3 3 4 3 2 2" xfId="4317" xr:uid="{00000000-0005-0000-0000-000063240000}"/>
    <cellStyle name="Normal 4 3 3 4 3 2 2 2" xfId="7545" xr:uid="{00000000-0005-0000-0000-000064240000}"/>
    <cellStyle name="Normal 4 3 3 4 3 2 2 2 2" xfId="13906" xr:uid="{00000000-0005-0000-0000-000065240000}"/>
    <cellStyle name="Normal 4 3 3 4 3 2 2 3" xfId="10727" xr:uid="{00000000-0005-0000-0000-000066240000}"/>
    <cellStyle name="Normal 4 3 3 4 3 2 3" xfId="5961" xr:uid="{00000000-0005-0000-0000-000067240000}"/>
    <cellStyle name="Normal 4 3 3 4 3 2 3 2" xfId="12322" xr:uid="{00000000-0005-0000-0000-000068240000}"/>
    <cellStyle name="Normal 4 3 3 4 3 2 4" xfId="9143" xr:uid="{00000000-0005-0000-0000-000069240000}"/>
    <cellStyle name="Normal 4 3 3 4 3 3" xfId="3525" xr:uid="{00000000-0005-0000-0000-00006A240000}"/>
    <cellStyle name="Normal 4 3 3 4 3 3 2" xfId="6753" xr:uid="{00000000-0005-0000-0000-00006B240000}"/>
    <cellStyle name="Normal 4 3 3 4 3 3 2 2" xfId="13114" xr:uid="{00000000-0005-0000-0000-00006C240000}"/>
    <cellStyle name="Normal 4 3 3 4 3 3 3" xfId="9935" xr:uid="{00000000-0005-0000-0000-00006D240000}"/>
    <cellStyle name="Normal 4 3 3 4 3 4" xfId="5169" xr:uid="{00000000-0005-0000-0000-00006E240000}"/>
    <cellStyle name="Normal 4 3 3 4 3 4 2" xfId="11530" xr:uid="{00000000-0005-0000-0000-00006F240000}"/>
    <cellStyle name="Normal 4 3 3 4 3 5" xfId="8351" xr:uid="{00000000-0005-0000-0000-000070240000}"/>
    <cellStyle name="Normal 4 3 3 4 4" xfId="2337" xr:uid="{00000000-0005-0000-0000-000071240000}"/>
    <cellStyle name="Normal 4 3 3 4 4 2" xfId="3921" xr:uid="{00000000-0005-0000-0000-000072240000}"/>
    <cellStyle name="Normal 4 3 3 4 4 2 2" xfId="7149" xr:uid="{00000000-0005-0000-0000-000073240000}"/>
    <cellStyle name="Normal 4 3 3 4 4 2 2 2" xfId="13510" xr:uid="{00000000-0005-0000-0000-000074240000}"/>
    <cellStyle name="Normal 4 3 3 4 4 2 3" xfId="10331" xr:uid="{00000000-0005-0000-0000-000075240000}"/>
    <cellStyle name="Normal 4 3 3 4 4 3" xfId="5565" xr:uid="{00000000-0005-0000-0000-000076240000}"/>
    <cellStyle name="Normal 4 3 3 4 4 3 2" xfId="11926" xr:uid="{00000000-0005-0000-0000-000077240000}"/>
    <cellStyle name="Normal 4 3 3 4 4 4" xfId="8747" xr:uid="{00000000-0005-0000-0000-000078240000}"/>
    <cellStyle name="Normal 4 3 3 4 5" xfId="3129" xr:uid="{00000000-0005-0000-0000-000079240000}"/>
    <cellStyle name="Normal 4 3 3 4 5 2" xfId="6357" xr:uid="{00000000-0005-0000-0000-00007A240000}"/>
    <cellStyle name="Normal 4 3 3 4 5 2 2" xfId="12718" xr:uid="{00000000-0005-0000-0000-00007B240000}"/>
    <cellStyle name="Normal 4 3 3 4 5 3" xfId="9539" xr:uid="{00000000-0005-0000-0000-00007C240000}"/>
    <cellStyle name="Normal 4 3 3 4 6" xfId="4773" xr:uid="{00000000-0005-0000-0000-00007D240000}"/>
    <cellStyle name="Normal 4 3 3 4 6 2" xfId="11134" xr:uid="{00000000-0005-0000-0000-00007E240000}"/>
    <cellStyle name="Normal 4 3 3 4 7" xfId="7955" xr:uid="{00000000-0005-0000-0000-00007F240000}"/>
    <cellStyle name="Normal 4 3 3 5" xfId="1613" xr:uid="{00000000-0005-0000-0000-000080240000}"/>
    <cellStyle name="Normal 4 3 3 5 2" xfId="1811" xr:uid="{00000000-0005-0000-0000-000081240000}"/>
    <cellStyle name="Normal 4 3 3 5 2 2" xfId="2207" xr:uid="{00000000-0005-0000-0000-000082240000}"/>
    <cellStyle name="Normal 4 3 3 5 2 2 2" xfId="2999" xr:uid="{00000000-0005-0000-0000-000083240000}"/>
    <cellStyle name="Normal 4 3 3 5 2 2 2 2" xfId="4583" xr:uid="{00000000-0005-0000-0000-000084240000}"/>
    <cellStyle name="Normal 4 3 3 5 2 2 2 2 2" xfId="7811" xr:uid="{00000000-0005-0000-0000-000085240000}"/>
    <cellStyle name="Normal 4 3 3 5 2 2 2 2 2 2" xfId="14172" xr:uid="{00000000-0005-0000-0000-000086240000}"/>
    <cellStyle name="Normal 4 3 3 5 2 2 2 2 3" xfId="10993" xr:uid="{00000000-0005-0000-0000-000087240000}"/>
    <cellStyle name="Normal 4 3 3 5 2 2 2 3" xfId="6227" xr:uid="{00000000-0005-0000-0000-000088240000}"/>
    <cellStyle name="Normal 4 3 3 5 2 2 2 3 2" xfId="12588" xr:uid="{00000000-0005-0000-0000-000089240000}"/>
    <cellStyle name="Normal 4 3 3 5 2 2 2 4" xfId="9409" xr:uid="{00000000-0005-0000-0000-00008A240000}"/>
    <cellStyle name="Normal 4 3 3 5 2 2 3" xfId="3791" xr:uid="{00000000-0005-0000-0000-00008B240000}"/>
    <cellStyle name="Normal 4 3 3 5 2 2 3 2" xfId="7019" xr:uid="{00000000-0005-0000-0000-00008C240000}"/>
    <cellStyle name="Normal 4 3 3 5 2 2 3 2 2" xfId="13380" xr:uid="{00000000-0005-0000-0000-00008D240000}"/>
    <cellStyle name="Normal 4 3 3 5 2 2 3 3" xfId="10201" xr:uid="{00000000-0005-0000-0000-00008E240000}"/>
    <cellStyle name="Normal 4 3 3 5 2 2 4" xfId="5435" xr:uid="{00000000-0005-0000-0000-00008F240000}"/>
    <cellStyle name="Normal 4 3 3 5 2 2 4 2" xfId="11796" xr:uid="{00000000-0005-0000-0000-000090240000}"/>
    <cellStyle name="Normal 4 3 3 5 2 2 5" xfId="8617" xr:uid="{00000000-0005-0000-0000-000091240000}"/>
    <cellStyle name="Normal 4 3 3 5 2 3" xfId="2603" xr:uid="{00000000-0005-0000-0000-000092240000}"/>
    <cellStyle name="Normal 4 3 3 5 2 3 2" xfId="4187" xr:uid="{00000000-0005-0000-0000-000093240000}"/>
    <cellStyle name="Normal 4 3 3 5 2 3 2 2" xfId="7415" xr:uid="{00000000-0005-0000-0000-000094240000}"/>
    <cellStyle name="Normal 4 3 3 5 2 3 2 2 2" xfId="13776" xr:uid="{00000000-0005-0000-0000-000095240000}"/>
    <cellStyle name="Normal 4 3 3 5 2 3 2 3" xfId="10597" xr:uid="{00000000-0005-0000-0000-000096240000}"/>
    <cellStyle name="Normal 4 3 3 5 2 3 3" xfId="5831" xr:uid="{00000000-0005-0000-0000-000097240000}"/>
    <cellStyle name="Normal 4 3 3 5 2 3 3 2" xfId="12192" xr:uid="{00000000-0005-0000-0000-000098240000}"/>
    <cellStyle name="Normal 4 3 3 5 2 3 4" xfId="9013" xr:uid="{00000000-0005-0000-0000-000099240000}"/>
    <cellStyle name="Normal 4 3 3 5 2 4" xfId="3395" xr:uid="{00000000-0005-0000-0000-00009A240000}"/>
    <cellStyle name="Normal 4 3 3 5 2 4 2" xfId="6623" xr:uid="{00000000-0005-0000-0000-00009B240000}"/>
    <cellStyle name="Normal 4 3 3 5 2 4 2 2" xfId="12984" xr:uid="{00000000-0005-0000-0000-00009C240000}"/>
    <cellStyle name="Normal 4 3 3 5 2 4 3" xfId="9805" xr:uid="{00000000-0005-0000-0000-00009D240000}"/>
    <cellStyle name="Normal 4 3 3 5 2 5" xfId="5039" xr:uid="{00000000-0005-0000-0000-00009E240000}"/>
    <cellStyle name="Normal 4 3 3 5 2 5 2" xfId="11400" xr:uid="{00000000-0005-0000-0000-00009F240000}"/>
    <cellStyle name="Normal 4 3 3 5 2 6" xfId="8221" xr:uid="{00000000-0005-0000-0000-0000A0240000}"/>
    <cellStyle name="Normal 4 3 3 5 3" xfId="2009" xr:uid="{00000000-0005-0000-0000-0000A1240000}"/>
    <cellStyle name="Normal 4 3 3 5 3 2" xfId="2801" xr:uid="{00000000-0005-0000-0000-0000A2240000}"/>
    <cellStyle name="Normal 4 3 3 5 3 2 2" xfId="4385" xr:uid="{00000000-0005-0000-0000-0000A3240000}"/>
    <cellStyle name="Normal 4 3 3 5 3 2 2 2" xfId="7613" xr:uid="{00000000-0005-0000-0000-0000A4240000}"/>
    <cellStyle name="Normal 4 3 3 5 3 2 2 2 2" xfId="13974" xr:uid="{00000000-0005-0000-0000-0000A5240000}"/>
    <cellStyle name="Normal 4 3 3 5 3 2 2 3" xfId="10795" xr:uid="{00000000-0005-0000-0000-0000A6240000}"/>
    <cellStyle name="Normal 4 3 3 5 3 2 3" xfId="6029" xr:uid="{00000000-0005-0000-0000-0000A7240000}"/>
    <cellStyle name="Normal 4 3 3 5 3 2 3 2" xfId="12390" xr:uid="{00000000-0005-0000-0000-0000A8240000}"/>
    <cellStyle name="Normal 4 3 3 5 3 2 4" xfId="9211" xr:uid="{00000000-0005-0000-0000-0000A9240000}"/>
    <cellStyle name="Normal 4 3 3 5 3 3" xfId="3593" xr:uid="{00000000-0005-0000-0000-0000AA240000}"/>
    <cellStyle name="Normal 4 3 3 5 3 3 2" xfId="6821" xr:uid="{00000000-0005-0000-0000-0000AB240000}"/>
    <cellStyle name="Normal 4 3 3 5 3 3 2 2" xfId="13182" xr:uid="{00000000-0005-0000-0000-0000AC240000}"/>
    <cellStyle name="Normal 4 3 3 5 3 3 3" xfId="10003" xr:uid="{00000000-0005-0000-0000-0000AD240000}"/>
    <cellStyle name="Normal 4 3 3 5 3 4" xfId="5237" xr:uid="{00000000-0005-0000-0000-0000AE240000}"/>
    <cellStyle name="Normal 4 3 3 5 3 4 2" xfId="11598" xr:uid="{00000000-0005-0000-0000-0000AF240000}"/>
    <cellStyle name="Normal 4 3 3 5 3 5" xfId="8419" xr:uid="{00000000-0005-0000-0000-0000B0240000}"/>
    <cellStyle name="Normal 4 3 3 5 4" xfId="2405" xr:uid="{00000000-0005-0000-0000-0000B1240000}"/>
    <cellStyle name="Normal 4 3 3 5 4 2" xfId="3989" xr:uid="{00000000-0005-0000-0000-0000B2240000}"/>
    <cellStyle name="Normal 4 3 3 5 4 2 2" xfId="7217" xr:uid="{00000000-0005-0000-0000-0000B3240000}"/>
    <cellStyle name="Normal 4 3 3 5 4 2 2 2" xfId="13578" xr:uid="{00000000-0005-0000-0000-0000B4240000}"/>
    <cellStyle name="Normal 4 3 3 5 4 2 3" xfId="10399" xr:uid="{00000000-0005-0000-0000-0000B5240000}"/>
    <cellStyle name="Normal 4 3 3 5 4 3" xfId="5633" xr:uid="{00000000-0005-0000-0000-0000B6240000}"/>
    <cellStyle name="Normal 4 3 3 5 4 3 2" xfId="11994" xr:uid="{00000000-0005-0000-0000-0000B7240000}"/>
    <cellStyle name="Normal 4 3 3 5 4 4" xfId="8815" xr:uid="{00000000-0005-0000-0000-0000B8240000}"/>
    <cellStyle name="Normal 4 3 3 5 5" xfId="3197" xr:uid="{00000000-0005-0000-0000-0000B9240000}"/>
    <cellStyle name="Normal 4 3 3 5 5 2" xfId="6425" xr:uid="{00000000-0005-0000-0000-0000BA240000}"/>
    <cellStyle name="Normal 4 3 3 5 5 2 2" xfId="12786" xr:uid="{00000000-0005-0000-0000-0000BB240000}"/>
    <cellStyle name="Normal 4 3 3 5 5 3" xfId="9607" xr:uid="{00000000-0005-0000-0000-0000BC240000}"/>
    <cellStyle name="Normal 4 3 3 5 6" xfId="4841" xr:uid="{00000000-0005-0000-0000-0000BD240000}"/>
    <cellStyle name="Normal 4 3 3 5 6 2" xfId="11202" xr:uid="{00000000-0005-0000-0000-0000BE240000}"/>
    <cellStyle name="Normal 4 3 3 5 7" xfId="8023" xr:uid="{00000000-0005-0000-0000-0000BF240000}"/>
    <cellStyle name="Normal 4 3 3 6" xfId="1678" xr:uid="{00000000-0005-0000-0000-0000C0240000}"/>
    <cellStyle name="Normal 4 3 3 6 2" xfId="2074" xr:uid="{00000000-0005-0000-0000-0000C1240000}"/>
    <cellStyle name="Normal 4 3 3 6 2 2" xfId="2866" xr:uid="{00000000-0005-0000-0000-0000C2240000}"/>
    <cellStyle name="Normal 4 3 3 6 2 2 2" xfId="4450" xr:uid="{00000000-0005-0000-0000-0000C3240000}"/>
    <cellStyle name="Normal 4 3 3 6 2 2 2 2" xfId="7678" xr:uid="{00000000-0005-0000-0000-0000C4240000}"/>
    <cellStyle name="Normal 4 3 3 6 2 2 2 2 2" xfId="14039" xr:uid="{00000000-0005-0000-0000-0000C5240000}"/>
    <cellStyle name="Normal 4 3 3 6 2 2 2 3" xfId="10860" xr:uid="{00000000-0005-0000-0000-0000C6240000}"/>
    <cellStyle name="Normal 4 3 3 6 2 2 3" xfId="6094" xr:uid="{00000000-0005-0000-0000-0000C7240000}"/>
    <cellStyle name="Normal 4 3 3 6 2 2 3 2" xfId="12455" xr:uid="{00000000-0005-0000-0000-0000C8240000}"/>
    <cellStyle name="Normal 4 3 3 6 2 2 4" xfId="9276" xr:uid="{00000000-0005-0000-0000-0000C9240000}"/>
    <cellStyle name="Normal 4 3 3 6 2 3" xfId="3658" xr:uid="{00000000-0005-0000-0000-0000CA240000}"/>
    <cellStyle name="Normal 4 3 3 6 2 3 2" xfId="6886" xr:uid="{00000000-0005-0000-0000-0000CB240000}"/>
    <cellStyle name="Normal 4 3 3 6 2 3 2 2" xfId="13247" xr:uid="{00000000-0005-0000-0000-0000CC240000}"/>
    <cellStyle name="Normal 4 3 3 6 2 3 3" xfId="10068" xr:uid="{00000000-0005-0000-0000-0000CD240000}"/>
    <cellStyle name="Normal 4 3 3 6 2 4" xfId="5302" xr:uid="{00000000-0005-0000-0000-0000CE240000}"/>
    <cellStyle name="Normal 4 3 3 6 2 4 2" xfId="11663" xr:uid="{00000000-0005-0000-0000-0000CF240000}"/>
    <cellStyle name="Normal 4 3 3 6 2 5" xfId="8484" xr:uid="{00000000-0005-0000-0000-0000D0240000}"/>
    <cellStyle name="Normal 4 3 3 6 3" xfId="2470" xr:uid="{00000000-0005-0000-0000-0000D1240000}"/>
    <cellStyle name="Normal 4 3 3 6 3 2" xfId="4054" xr:uid="{00000000-0005-0000-0000-0000D2240000}"/>
    <cellStyle name="Normal 4 3 3 6 3 2 2" xfId="7282" xr:uid="{00000000-0005-0000-0000-0000D3240000}"/>
    <cellStyle name="Normal 4 3 3 6 3 2 2 2" xfId="13643" xr:uid="{00000000-0005-0000-0000-0000D4240000}"/>
    <cellStyle name="Normal 4 3 3 6 3 2 3" xfId="10464" xr:uid="{00000000-0005-0000-0000-0000D5240000}"/>
    <cellStyle name="Normal 4 3 3 6 3 3" xfId="5698" xr:uid="{00000000-0005-0000-0000-0000D6240000}"/>
    <cellStyle name="Normal 4 3 3 6 3 3 2" xfId="12059" xr:uid="{00000000-0005-0000-0000-0000D7240000}"/>
    <cellStyle name="Normal 4 3 3 6 3 4" xfId="8880" xr:uid="{00000000-0005-0000-0000-0000D8240000}"/>
    <cellStyle name="Normal 4 3 3 6 4" xfId="3262" xr:uid="{00000000-0005-0000-0000-0000D9240000}"/>
    <cellStyle name="Normal 4 3 3 6 4 2" xfId="6490" xr:uid="{00000000-0005-0000-0000-0000DA240000}"/>
    <cellStyle name="Normal 4 3 3 6 4 2 2" xfId="12851" xr:uid="{00000000-0005-0000-0000-0000DB240000}"/>
    <cellStyle name="Normal 4 3 3 6 4 3" xfId="9672" xr:uid="{00000000-0005-0000-0000-0000DC240000}"/>
    <cellStyle name="Normal 4 3 3 6 5" xfId="4906" xr:uid="{00000000-0005-0000-0000-0000DD240000}"/>
    <cellStyle name="Normal 4 3 3 6 5 2" xfId="11267" xr:uid="{00000000-0005-0000-0000-0000DE240000}"/>
    <cellStyle name="Normal 4 3 3 6 6" xfId="8088" xr:uid="{00000000-0005-0000-0000-0000DF240000}"/>
    <cellStyle name="Normal 4 3 3 7" xfId="1876" xr:uid="{00000000-0005-0000-0000-0000E0240000}"/>
    <cellStyle name="Normal 4 3 3 7 2" xfId="2668" xr:uid="{00000000-0005-0000-0000-0000E1240000}"/>
    <cellStyle name="Normal 4 3 3 7 2 2" xfId="4252" xr:uid="{00000000-0005-0000-0000-0000E2240000}"/>
    <cellStyle name="Normal 4 3 3 7 2 2 2" xfId="7480" xr:uid="{00000000-0005-0000-0000-0000E3240000}"/>
    <cellStyle name="Normal 4 3 3 7 2 2 2 2" xfId="13841" xr:uid="{00000000-0005-0000-0000-0000E4240000}"/>
    <cellStyle name="Normal 4 3 3 7 2 2 3" xfId="10662" xr:uid="{00000000-0005-0000-0000-0000E5240000}"/>
    <cellStyle name="Normal 4 3 3 7 2 3" xfId="5896" xr:uid="{00000000-0005-0000-0000-0000E6240000}"/>
    <cellStyle name="Normal 4 3 3 7 2 3 2" xfId="12257" xr:uid="{00000000-0005-0000-0000-0000E7240000}"/>
    <cellStyle name="Normal 4 3 3 7 2 4" xfId="9078" xr:uid="{00000000-0005-0000-0000-0000E8240000}"/>
    <cellStyle name="Normal 4 3 3 7 3" xfId="3460" xr:uid="{00000000-0005-0000-0000-0000E9240000}"/>
    <cellStyle name="Normal 4 3 3 7 3 2" xfId="6688" xr:uid="{00000000-0005-0000-0000-0000EA240000}"/>
    <cellStyle name="Normal 4 3 3 7 3 2 2" xfId="13049" xr:uid="{00000000-0005-0000-0000-0000EB240000}"/>
    <cellStyle name="Normal 4 3 3 7 3 3" xfId="9870" xr:uid="{00000000-0005-0000-0000-0000EC240000}"/>
    <cellStyle name="Normal 4 3 3 7 4" xfId="5104" xr:uid="{00000000-0005-0000-0000-0000ED240000}"/>
    <cellStyle name="Normal 4 3 3 7 4 2" xfId="11465" xr:uid="{00000000-0005-0000-0000-0000EE240000}"/>
    <cellStyle name="Normal 4 3 3 7 5" xfId="8286" xr:uid="{00000000-0005-0000-0000-0000EF240000}"/>
    <cellStyle name="Normal 4 3 3 8" xfId="2272" xr:uid="{00000000-0005-0000-0000-0000F0240000}"/>
    <cellStyle name="Normal 4 3 3 8 2" xfId="3856" xr:uid="{00000000-0005-0000-0000-0000F1240000}"/>
    <cellStyle name="Normal 4 3 3 8 2 2" xfId="7084" xr:uid="{00000000-0005-0000-0000-0000F2240000}"/>
    <cellStyle name="Normal 4 3 3 8 2 2 2" xfId="13445" xr:uid="{00000000-0005-0000-0000-0000F3240000}"/>
    <cellStyle name="Normal 4 3 3 8 2 3" xfId="10266" xr:uid="{00000000-0005-0000-0000-0000F4240000}"/>
    <cellStyle name="Normal 4 3 3 8 3" xfId="5500" xr:uid="{00000000-0005-0000-0000-0000F5240000}"/>
    <cellStyle name="Normal 4 3 3 8 3 2" xfId="11861" xr:uid="{00000000-0005-0000-0000-0000F6240000}"/>
    <cellStyle name="Normal 4 3 3 8 4" xfId="8682" xr:uid="{00000000-0005-0000-0000-0000F7240000}"/>
    <cellStyle name="Normal 4 3 3 9" xfId="3064" xr:uid="{00000000-0005-0000-0000-0000F8240000}"/>
    <cellStyle name="Normal 4 3 3 9 2" xfId="6292" xr:uid="{00000000-0005-0000-0000-0000F9240000}"/>
    <cellStyle name="Normal 4 3 3 9 2 2" xfId="12653" xr:uid="{00000000-0005-0000-0000-0000FA240000}"/>
    <cellStyle name="Normal 4 3 3 9 3" xfId="9474" xr:uid="{00000000-0005-0000-0000-0000FB240000}"/>
    <cellStyle name="Normal 4 3 4" xfId="1441" xr:uid="{00000000-0005-0000-0000-0000FC240000}"/>
    <cellStyle name="Normal 4 3 4 10" xfId="7898" xr:uid="{00000000-0005-0000-0000-0000FD240000}"/>
    <cellStyle name="Normal 4 3 4 2" xfId="1473" xr:uid="{00000000-0005-0000-0000-0000FE240000}"/>
    <cellStyle name="Normal 4 3 4 2 2" xfId="1585" xr:uid="{00000000-0005-0000-0000-0000FF240000}"/>
    <cellStyle name="Normal 4 3 4 2 2 2" xfId="1783" xr:uid="{00000000-0005-0000-0000-000000250000}"/>
    <cellStyle name="Normal 4 3 4 2 2 2 2" xfId="2179" xr:uid="{00000000-0005-0000-0000-000001250000}"/>
    <cellStyle name="Normal 4 3 4 2 2 2 2 2" xfId="2971" xr:uid="{00000000-0005-0000-0000-000002250000}"/>
    <cellStyle name="Normal 4 3 4 2 2 2 2 2 2" xfId="4555" xr:uid="{00000000-0005-0000-0000-000003250000}"/>
    <cellStyle name="Normal 4 3 4 2 2 2 2 2 2 2" xfId="7783" xr:uid="{00000000-0005-0000-0000-000004250000}"/>
    <cellStyle name="Normal 4 3 4 2 2 2 2 2 2 2 2" xfId="14144" xr:uid="{00000000-0005-0000-0000-000005250000}"/>
    <cellStyle name="Normal 4 3 4 2 2 2 2 2 2 3" xfId="10965" xr:uid="{00000000-0005-0000-0000-000006250000}"/>
    <cellStyle name="Normal 4 3 4 2 2 2 2 2 3" xfId="6199" xr:uid="{00000000-0005-0000-0000-000007250000}"/>
    <cellStyle name="Normal 4 3 4 2 2 2 2 2 3 2" xfId="12560" xr:uid="{00000000-0005-0000-0000-000008250000}"/>
    <cellStyle name="Normal 4 3 4 2 2 2 2 2 4" xfId="9381" xr:uid="{00000000-0005-0000-0000-000009250000}"/>
    <cellStyle name="Normal 4 3 4 2 2 2 2 3" xfId="3763" xr:uid="{00000000-0005-0000-0000-00000A250000}"/>
    <cellStyle name="Normal 4 3 4 2 2 2 2 3 2" xfId="6991" xr:uid="{00000000-0005-0000-0000-00000B250000}"/>
    <cellStyle name="Normal 4 3 4 2 2 2 2 3 2 2" xfId="13352" xr:uid="{00000000-0005-0000-0000-00000C250000}"/>
    <cellStyle name="Normal 4 3 4 2 2 2 2 3 3" xfId="10173" xr:uid="{00000000-0005-0000-0000-00000D250000}"/>
    <cellStyle name="Normal 4 3 4 2 2 2 2 4" xfId="5407" xr:uid="{00000000-0005-0000-0000-00000E250000}"/>
    <cellStyle name="Normal 4 3 4 2 2 2 2 4 2" xfId="11768" xr:uid="{00000000-0005-0000-0000-00000F250000}"/>
    <cellStyle name="Normal 4 3 4 2 2 2 2 5" xfId="8589" xr:uid="{00000000-0005-0000-0000-000010250000}"/>
    <cellStyle name="Normal 4 3 4 2 2 2 3" xfId="2575" xr:uid="{00000000-0005-0000-0000-000011250000}"/>
    <cellStyle name="Normal 4 3 4 2 2 2 3 2" xfId="4159" xr:uid="{00000000-0005-0000-0000-000012250000}"/>
    <cellStyle name="Normal 4 3 4 2 2 2 3 2 2" xfId="7387" xr:uid="{00000000-0005-0000-0000-000013250000}"/>
    <cellStyle name="Normal 4 3 4 2 2 2 3 2 2 2" xfId="13748" xr:uid="{00000000-0005-0000-0000-000014250000}"/>
    <cellStyle name="Normal 4 3 4 2 2 2 3 2 3" xfId="10569" xr:uid="{00000000-0005-0000-0000-000015250000}"/>
    <cellStyle name="Normal 4 3 4 2 2 2 3 3" xfId="5803" xr:uid="{00000000-0005-0000-0000-000016250000}"/>
    <cellStyle name="Normal 4 3 4 2 2 2 3 3 2" xfId="12164" xr:uid="{00000000-0005-0000-0000-000017250000}"/>
    <cellStyle name="Normal 4 3 4 2 2 2 3 4" xfId="8985" xr:uid="{00000000-0005-0000-0000-000018250000}"/>
    <cellStyle name="Normal 4 3 4 2 2 2 4" xfId="3367" xr:uid="{00000000-0005-0000-0000-000019250000}"/>
    <cellStyle name="Normal 4 3 4 2 2 2 4 2" xfId="6595" xr:uid="{00000000-0005-0000-0000-00001A250000}"/>
    <cellStyle name="Normal 4 3 4 2 2 2 4 2 2" xfId="12956" xr:uid="{00000000-0005-0000-0000-00001B250000}"/>
    <cellStyle name="Normal 4 3 4 2 2 2 4 3" xfId="9777" xr:uid="{00000000-0005-0000-0000-00001C250000}"/>
    <cellStyle name="Normal 4 3 4 2 2 2 5" xfId="5011" xr:uid="{00000000-0005-0000-0000-00001D250000}"/>
    <cellStyle name="Normal 4 3 4 2 2 2 5 2" xfId="11372" xr:uid="{00000000-0005-0000-0000-00001E250000}"/>
    <cellStyle name="Normal 4 3 4 2 2 2 6" xfId="8193" xr:uid="{00000000-0005-0000-0000-00001F250000}"/>
    <cellStyle name="Normal 4 3 4 2 2 3" xfId="1981" xr:uid="{00000000-0005-0000-0000-000020250000}"/>
    <cellStyle name="Normal 4 3 4 2 2 3 2" xfId="2773" xr:uid="{00000000-0005-0000-0000-000021250000}"/>
    <cellStyle name="Normal 4 3 4 2 2 3 2 2" xfId="4357" xr:uid="{00000000-0005-0000-0000-000022250000}"/>
    <cellStyle name="Normal 4 3 4 2 2 3 2 2 2" xfId="7585" xr:uid="{00000000-0005-0000-0000-000023250000}"/>
    <cellStyle name="Normal 4 3 4 2 2 3 2 2 2 2" xfId="13946" xr:uid="{00000000-0005-0000-0000-000024250000}"/>
    <cellStyle name="Normal 4 3 4 2 2 3 2 2 3" xfId="10767" xr:uid="{00000000-0005-0000-0000-000025250000}"/>
    <cellStyle name="Normal 4 3 4 2 2 3 2 3" xfId="6001" xr:uid="{00000000-0005-0000-0000-000026250000}"/>
    <cellStyle name="Normal 4 3 4 2 2 3 2 3 2" xfId="12362" xr:uid="{00000000-0005-0000-0000-000027250000}"/>
    <cellStyle name="Normal 4 3 4 2 2 3 2 4" xfId="9183" xr:uid="{00000000-0005-0000-0000-000028250000}"/>
    <cellStyle name="Normal 4 3 4 2 2 3 3" xfId="3565" xr:uid="{00000000-0005-0000-0000-000029250000}"/>
    <cellStyle name="Normal 4 3 4 2 2 3 3 2" xfId="6793" xr:uid="{00000000-0005-0000-0000-00002A250000}"/>
    <cellStyle name="Normal 4 3 4 2 2 3 3 2 2" xfId="13154" xr:uid="{00000000-0005-0000-0000-00002B250000}"/>
    <cellStyle name="Normal 4 3 4 2 2 3 3 3" xfId="9975" xr:uid="{00000000-0005-0000-0000-00002C250000}"/>
    <cellStyle name="Normal 4 3 4 2 2 3 4" xfId="5209" xr:uid="{00000000-0005-0000-0000-00002D250000}"/>
    <cellStyle name="Normal 4 3 4 2 2 3 4 2" xfId="11570" xr:uid="{00000000-0005-0000-0000-00002E250000}"/>
    <cellStyle name="Normal 4 3 4 2 2 3 5" xfId="8391" xr:uid="{00000000-0005-0000-0000-00002F250000}"/>
    <cellStyle name="Normal 4 3 4 2 2 4" xfId="2377" xr:uid="{00000000-0005-0000-0000-000030250000}"/>
    <cellStyle name="Normal 4 3 4 2 2 4 2" xfId="3961" xr:uid="{00000000-0005-0000-0000-000031250000}"/>
    <cellStyle name="Normal 4 3 4 2 2 4 2 2" xfId="7189" xr:uid="{00000000-0005-0000-0000-000032250000}"/>
    <cellStyle name="Normal 4 3 4 2 2 4 2 2 2" xfId="13550" xr:uid="{00000000-0005-0000-0000-000033250000}"/>
    <cellStyle name="Normal 4 3 4 2 2 4 2 3" xfId="10371" xr:uid="{00000000-0005-0000-0000-000034250000}"/>
    <cellStyle name="Normal 4 3 4 2 2 4 3" xfId="5605" xr:uid="{00000000-0005-0000-0000-000035250000}"/>
    <cellStyle name="Normal 4 3 4 2 2 4 3 2" xfId="11966" xr:uid="{00000000-0005-0000-0000-000036250000}"/>
    <cellStyle name="Normal 4 3 4 2 2 4 4" xfId="8787" xr:uid="{00000000-0005-0000-0000-000037250000}"/>
    <cellStyle name="Normal 4 3 4 2 2 5" xfId="3169" xr:uid="{00000000-0005-0000-0000-000038250000}"/>
    <cellStyle name="Normal 4 3 4 2 2 5 2" xfId="6397" xr:uid="{00000000-0005-0000-0000-000039250000}"/>
    <cellStyle name="Normal 4 3 4 2 2 5 2 2" xfId="12758" xr:uid="{00000000-0005-0000-0000-00003A250000}"/>
    <cellStyle name="Normal 4 3 4 2 2 5 3" xfId="9579" xr:uid="{00000000-0005-0000-0000-00003B250000}"/>
    <cellStyle name="Normal 4 3 4 2 2 6" xfId="4813" xr:uid="{00000000-0005-0000-0000-00003C250000}"/>
    <cellStyle name="Normal 4 3 4 2 2 6 2" xfId="11174" xr:uid="{00000000-0005-0000-0000-00003D250000}"/>
    <cellStyle name="Normal 4 3 4 2 2 7" xfId="7995" xr:uid="{00000000-0005-0000-0000-00003E250000}"/>
    <cellStyle name="Normal 4 3 4 2 3" xfId="1653" xr:uid="{00000000-0005-0000-0000-00003F250000}"/>
    <cellStyle name="Normal 4 3 4 2 3 2" xfId="1851" xr:uid="{00000000-0005-0000-0000-000040250000}"/>
    <cellStyle name="Normal 4 3 4 2 3 2 2" xfId="2247" xr:uid="{00000000-0005-0000-0000-000041250000}"/>
    <cellStyle name="Normal 4 3 4 2 3 2 2 2" xfId="3039" xr:uid="{00000000-0005-0000-0000-000042250000}"/>
    <cellStyle name="Normal 4 3 4 2 3 2 2 2 2" xfId="4623" xr:uid="{00000000-0005-0000-0000-000043250000}"/>
    <cellStyle name="Normal 4 3 4 2 3 2 2 2 2 2" xfId="7851" xr:uid="{00000000-0005-0000-0000-000044250000}"/>
    <cellStyle name="Normal 4 3 4 2 3 2 2 2 2 2 2" xfId="14212" xr:uid="{00000000-0005-0000-0000-000045250000}"/>
    <cellStyle name="Normal 4 3 4 2 3 2 2 2 2 3" xfId="11033" xr:uid="{00000000-0005-0000-0000-000046250000}"/>
    <cellStyle name="Normal 4 3 4 2 3 2 2 2 3" xfId="6267" xr:uid="{00000000-0005-0000-0000-000047250000}"/>
    <cellStyle name="Normal 4 3 4 2 3 2 2 2 3 2" xfId="12628" xr:uid="{00000000-0005-0000-0000-000048250000}"/>
    <cellStyle name="Normal 4 3 4 2 3 2 2 2 4" xfId="9449" xr:uid="{00000000-0005-0000-0000-000049250000}"/>
    <cellStyle name="Normal 4 3 4 2 3 2 2 3" xfId="3831" xr:uid="{00000000-0005-0000-0000-00004A250000}"/>
    <cellStyle name="Normal 4 3 4 2 3 2 2 3 2" xfId="7059" xr:uid="{00000000-0005-0000-0000-00004B250000}"/>
    <cellStyle name="Normal 4 3 4 2 3 2 2 3 2 2" xfId="13420" xr:uid="{00000000-0005-0000-0000-00004C250000}"/>
    <cellStyle name="Normal 4 3 4 2 3 2 2 3 3" xfId="10241" xr:uid="{00000000-0005-0000-0000-00004D250000}"/>
    <cellStyle name="Normal 4 3 4 2 3 2 2 4" xfId="5475" xr:uid="{00000000-0005-0000-0000-00004E250000}"/>
    <cellStyle name="Normal 4 3 4 2 3 2 2 4 2" xfId="11836" xr:uid="{00000000-0005-0000-0000-00004F250000}"/>
    <cellStyle name="Normal 4 3 4 2 3 2 2 5" xfId="8657" xr:uid="{00000000-0005-0000-0000-000050250000}"/>
    <cellStyle name="Normal 4 3 4 2 3 2 3" xfId="2643" xr:uid="{00000000-0005-0000-0000-000051250000}"/>
    <cellStyle name="Normal 4 3 4 2 3 2 3 2" xfId="4227" xr:uid="{00000000-0005-0000-0000-000052250000}"/>
    <cellStyle name="Normal 4 3 4 2 3 2 3 2 2" xfId="7455" xr:uid="{00000000-0005-0000-0000-000053250000}"/>
    <cellStyle name="Normal 4 3 4 2 3 2 3 2 2 2" xfId="13816" xr:uid="{00000000-0005-0000-0000-000054250000}"/>
    <cellStyle name="Normal 4 3 4 2 3 2 3 2 3" xfId="10637" xr:uid="{00000000-0005-0000-0000-000055250000}"/>
    <cellStyle name="Normal 4 3 4 2 3 2 3 3" xfId="5871" xr:uid="{00000000-0005-0000-0000-000056250000}"/>
    <cellStyle name="Normal 4 3 4 2 3 2 3 3 2" xfId="12232" xr:uid="{00000000-0005-0000-0000-000057250000}"/>
    <cellStyle name="Normal 4 3 4 2 3 2 3 4" xfId="9053" xr:uid="{00000000-0005-0000-0000-000058250000}"/>
    <cellStyle name="Normal 4 3 4 2 3 2 4" xfId="3435" xr:uid="{00000000-0005-0000-0000-000059250000}"/>
    <cellStyle name="Normal 4 3 4 2 3 2 4 2" xfId="6663" xr:uid="{00000000-0005-0000-0000-00005A250000}"/>
    <cellStyle name="Normal 4 3 4 2 3 2 4 2 2" xfId="13024" xr:uid="{00000000-0005-0000-0000-00005B250000}"/>
    <cellStyle name="Normal 4 3 4 2 3 2 4 3" xfId="9845" xr:uid="{00000000-0005-0000-0000-00005C250000}"/>
    <cellStyle name="Normal 4 3 4 2 3 2 5" xfId="5079" xr:uid="{00000000-0005-0000-0000-00005D250000}"/>
    <cellStyle name="Normal 4 3 4 2 3 2 5 2" xfId="11440" xr:uid="{00000000-0005-0000-0000-00005E250000}"/>
    <cellStyle name="Normal 4 3 4 2 3 2 6" xfId="8261" xr:uid="{00000000-0005-0000-0000-00005F250000}"/>
    <cellStyle name="Normal 4 3 4 2 3 3" xfId="2049" xr:uid="{00000000-0005-0000-0000-000060250000}"/>
    <cellStyle name="Normal 4 3 4 2 3 3 2" xfId="2841" xr:uid="{00000000-0005-0000-0000-000061250000}"/>
    <cellStyle name="Normal 4 3 4 2 3 3 2 2" xfId="4425" xr:uid="{00000000-0005-0000-0000-000062250000}"/>
    <cellStyle name="Normal 4 3 4 2 3 3 2 2 2" xfId="7653" xr:uid="{00000000-0005-0000-0000-000063250000}"/>
    <cellStyle name="Normal 4 3 4 2 3 3 2 2 2 2" xfId="14014" xr:uid="{00000000-0005-0000-0000-000064250000}"/>
    <cellStyle name="Normal 4 3 4 2 3 3 2 2 3" xfId="10835" xr:uid="{00000000-0005-0000-0000-000065250000}"/>
    <cellStyle name="Normal 4 3 4 2 3 3 2 3" xfId="6069" xr:uid="{00000000-0005-0000-0000-000066250000}"/>
    <cellStyle name="Normal 4 3 4 2 3 3 2 3 2" xfId="12430" xr:uid="{00000000-0005-0000-0000-000067250000}"/>
    <cellStyle name="Normal 4 3 4 2 3 3 2 4" xfId="9251" xr:uid="{00000000-0005-0000-0000-000068250000}"/>
    <cellStyle name="Normal 4 3 4 2 3 3 3" xfId="3633" xr:uid="{00000000-0005-0000-0000-000069250000}"/>
    <cellStyle name="Normal 4 3 4 2 3 3 3 2" xfId="6861" xr:uid="{00000000-0005-0000-0000-00006A250000}"/>
    <cellStyle name="Normal 4 3 4 2 3 3 3 2 2" xfId="13222" xr:uid="{00000000-0005-0000-0000-00006B250000}"/>
    <cellStyle name="Normal 4 3 4 2 3 3 3 3" xfId="10043" xr:uid="{00000000-0005-0000-0000-00006C250000}"/>
    <cellStyle name="Normal 4 3 4 2 3 3 4" xfId="5277" xr:uid="{00000000-0005-0000-0000-00006D250000}"/>
    <cellStyle name="Normal 4 3 4 2 3 3 4 2" xfId="11638" xr:uid="{00000000-0005-0000-0000-00006E250000}"/>
    <cellStyle name="Normal 4 3 4 2 3 3 5" xfId="8459" xr:uid="{00000000-0005-0000-0000-00006F250000}"/>
    <cellStyle name="Normal 4 3 4 2 3 4" xfId="2445" xr:uid="{00000000-0005-0000-0000-000070250000}"/>
    <cellStyle name="Normal 4 3 4 2 3 4 2" xfId="4029" xr:uid="{00000000-0005-0000-0000-000071250000}"/>
    <cellStyle name="Normal 4 3 4 2 3 4 2 2" xfId="7257" xr:uid="{00000000-0005-0000-0000-000072250000}"/>
    <cellStyle name="Normal 4 3 4 2 3 4 2 2 2" xfId="13618" xr:uid="{00000000-0005-0000-0000-000073250000}"/>
    <cellStyle name="Normal 4 3 4 2 3 4 2 3" xfId="10439" xr:uid="{00000000-0005-0000-0000-000074250000}"/>
    <cellStyle name="Normal 4 3 4 2 3 4 3" xfId="5673" xr:uid="{00000000-0005-0000-0000-000075250000}"/>
    <cellStyle name="Normal 4 3 4 2 3 4 3 2" xfId="12034" xr:uid="{00000000-0005-0000-0000-000076250000}"/>
    <cellStyle name="Normal 4 3 4 2 3 4 4" xfId="8855" xr:uid="{00000000-0005-0000-0000-000077250000}"/>
    <cellStyle name="Normal 4 3 4 2 3 5" xfId="3237" xr:uid="{00000000-0005-0000-0000-000078250000}"/>
    <cellStyle name="Normal 4 3 4 2 3 5 2" xfId="6465" xr:uid="{00000000-0005-0000-0000-000079250000}"/>
    <cellStyle name="Normal 4 3 4 2 3 5 2 2" xfId="12826" xr:uid="{00000000-0005-0000-0000-00007A250000}"/>
    <cellStyle name="Normal 4 3 4 2 3 5 3" xfId="9647" xr:uid="{00000000-0005-0000-0000-00007B250000}"/>
    <cellStyle name="Normal 4 3 4 2 3 6" xfId="4881" xr:uid="{00000000-0005-0000-0000-00007C250000}"/>
    <cellStyle name="Normal 4 3 4 2 3 6 2" xfId="11242" xr:uid="{00000000-0005-0000-0000-00007D250000}"/>
    <cellStyle name="Normal 4 3 4 2 3 7" xfId="8063" xr:uid="{00000000-0005-0000-0000-00007E250000}"/>
    <cellStyle name="Normal 4 3 4 2 4" xfId="1718" xr:uid="{00000000-0005-0000-0000-00007F250000}"/>
    <cellStyle name="Normal 4 3 4 2 4 2" xfId="2114" xr:uid="{00000000-0005-0000-0000-000080250000}"/>
    <cellStyle name="Normal 4 3 4 2 4 2 2" xfId="2906" xr:uid="{00000000-0005-0000-0000-000081250000}"/>
    <cellStyle name="Normal 4 3 4 2 4 2 2 2" xfId="4490" xr:uid="{00000000-0005-0000-0000-000082250000}"/>
    <cellStyle name="Normal 4 3 4 2 4 2 2 2 2" xfId="7718" xr:uid="{00000000-0005-0000-0000-000083250000}"/>
    <cellStyle name="Normal 4 3 4 2 4 2 2 2 2 2" xfId="14079" xr:uid="{00000000-0005-0000-0000-000084250000}"/>
    <cellStyle name="Normal 4 3 4 2 4 2 2 2 3" xfId="10900" xr:uid="{00000000-0005-0000-0000-000085250000}"/>
    <cellStyle name="Normal 4 3 4 2 4 2 2 3" xfId="6134" xr:uid="{00000000-0005-0000-0000-000086250000}"/>
    <cellStyle name="Normal 4 3 4 2 4 2 2 3 2" xfId="12495" xr:uid="{00000000-0005-0000-0000-000087250000}"/>
    <cellStyle name="Normal 4 3 4 2 4 2 2 4" xfId="9316" xr:uid="{00000000-0005-0000-0000-000088250000}"/>
    <cellStyle name="Normal 4 3 4 2 4 2 3" xfId="3698" xr:uid="{00000000-0005-0000-0000-000089250000}"/>
    <cellStyle name="Normal 4 3 4 2 4 2 3 2" xfId="6926" xr:uid="{00000000-0005-0000-0000-00008A250000}"/>
    <cellStyle name="Normal 4 3 4 2 4 2 3 2 2" xfId="13287" xr:uid="{00000000-0005-0000-0000-00008B250000}"/>
    <cellStyle name="Normal 4 3 4 2 4 2 3 3" xfId="10108" xr:uid="{00000000-0005-0000-0000-00008C250000}"/>
    <cellStyle name="Normal 4 3 4 2 4 2 4" xfId="5342" xr:uid="{00000000-0005-0000-0000-00008D250000}"/>
    <cellStyle name="Normal 4 3 4 2 4 2 4 2" xfId="11703" xr:uid="{00000000-0005-0000-0000-00008E250000}"/>
    <cellStyle name="Normal 4 3 4 2 4 2 5" xfId="8524" xr:uid="{00000000-0005-0000-0000-00008F250000}"/>
    <cellStyle name="Normal 4 3 4 2 4 3" xfId="2510" xr:uid="{00000000-0005-0000-0000-000090250000}"/>
    <cellStyle name="Normal 4 3 4 2 4 3 2" xfId="4094" xr:uid="{00000000-0005-0000-0000-000091250000}"/>
    <cellStyle name="Normal 4 3 4 2 4 3 2 2" xfId="7322" xr:uid="{00000000-0005-0000-0000-000092250000}"/>
    <cellStyle name="Normal 4 3 4 2 4 3 2 2 2" xfId="13683" xr:uid="{00000000-0005-0000-0000-000093250000}"/>
    <cellStyle name="Normal 4 3 4 2 4 3 2 3" xfId="10504" xr:uid="{00000000-0005-0000-0000-000094250000}"/>
    <cellStyle name="Normal 4 3 4 2 4 3 3" xfId="5738" xr:uid="{00000000-0005-0000-0000-000095250000}"/>
    <cellStyle name="Normal 4 3 4 2 4 3 3 2" xfId="12099" xr:uid="{00000000-0005-0000-0000-000096250000}"/>
    <cellStyle name="Normal 4 3 4 2 4 3 4" xfId="8920" xr:uid="{00000000-0005-0000-0000-000097250000}"/>
    <cellStyle name="Normal 4 3 4 2 4 4" xfId="3302" xr:uid="{00000000-0005-0000-0000-000098250000}"/>
    <cellStyle name="Normal 4 3 4 2 4 4 2" xfId="6530" xr:uid="{00000000-0005-0000-0000-000099250000}"/>
    <cellStyle name="Normal 4 3 4 2 4 4 2 2" xfId="12891" xr:uid="{00000000-0005-0000-0000-00009A250000}"/>
    <cellStyle name="Normal 4 3 4 2 4 4 3" xfId="9712" xr:uid="{00000000-0005-0000-0000-00009B250000}"/>
    <cellStyle name="Normal 4 3 4 2 4 5" xfId="4946" xr:uid="{00000000-0005-0000-0000-00009C250000}"/>
    <cellStyle name="Normal 4 3 4 2 4 5 2" xfId="11307" xr:uid="{00000000-0005-0000-0000-00009D250000}"/>
    <cellStyle name="Normal 4 3 4 2 4 6" xfId="8128" xr:uid="{00000000-0005-0000-0000-00009E250000}"/>
    <cellStyle name="Normal 4 3 4 2 5" xfId="1916" xr:uid="{00000000-0005-0000-0000-00009F250000}"/>
    <cellStyle name="Normal 4 3 4 2 5 2" xfId="2708" xr:uid="{00000000-0005-0000-0000-0000A0250000}"/>
    <cellStyle name="Normal 4 3 4 2 5 2 2" xfId="4292" xr:uid="{00000000-0005-0000-0000-0000A1250000}"/>
    <cellStyle name="Normal 4 3 4 2 5 2 2 2" xfId="7520" xr:uid="{00000000-0005-0000-0000-0000A2250000}"/>
    <cellStyle name="Normal 4 3 4 2 5 2 2 2 2" xfId="13881" xr:uid="{00000000-0005-0000-0000-0000A3250000}"/>
    <cellStyle name="Normal 4 3 4 2 5 2 2 3" xfId="10702" xr:uid="{00000000-0005-0000-0000-0000A4250000}"/>
    <cellStyle name="Normal 4 3 4 2 5 2 3" xfId="5936" xr:uid="{00000000-0005-0000-0000-0000A5250000}"/>
    <cellStyle name="Normal 4 3 4 2 5 2 3 2" xfId="12297" xr:uid="{00000000-0005-0000-0000-0000A6250000}"/>
    <cellStyle name="Normal 4 3 4 2 5 2 4" xfId="9118" xr:uid="{00000000-0005-0000-0000-0000A7250000}"/>
    <cellStyle name="Normal 4 3 4 2 5 3" xfId="3500" xr:uid="{00000000-0005-0000-0000-0000A8250000}"/>
    <cellStyle name="Normal 4 3 4 2 5 3 2" xfId="6728" xr:uid="{00000000-0005-0000-0000-0000A9250000}"/>
    <cellStyle name="Normal 4 3 4 2 5 3 2 2" xfId="13089" xr:uid="{00000000-0005-0000-0000-0000AA250000}"/>
    <cellStyle name="Normal 4 3 4 2 5 3 3" xfId="9910" xr:uid="{00000000-0005-0000-0000-0000AB250000}"/>
    <cellStyle name="Normal 4 3 4 2 5 4" xfId="5144" xr:uid="{00000000-0005-0000-0000-0000AC250000}"/>
    <cellStyle name="Normal 4 3 4 2 5 4 2" xfId="11505" xr:uid="{00000000-0005-0000-0000-0000AD250000}"/>
    <cellStyle name="Normal 4 3 4 2 5 5" xfId="8326" xr:uid="{00000000-0005-0000-0000-0000AE250000}"/>
    <cellStyle name="Normal 4 3 4 2 6" xfId="2312" xr:uid="{00000000-0005-0000-0000-0000AF250000}"/>
    <cellStyle name="Normal 4 3 4 2 6 2" xfId="3896" xr:uid="{00000000-0005-0000-0000-0000B0250000}"/>
    <cellStyle name="Normal 4 3 4 2 6 2 2" xfId="7124" xr:uid="{00000000-0005-0000-0000-0000B1250000}"/>
    <cellStyle name="Normal 4 3 4 2 6 2 2 2" xfId="13485" xr:uid="{00000000-0005-0000-0000-0000B2250000}"/>
    <cellStyle name="Normal 4 3 4 2 6 2 3" xfId="10306" xr:uid="{00000000-0005-0000-0000-0000B3250000}"/>
    <cellStyle name="Normal 4 3 4 2 6 3" xfId="5540" xr:uid="{00000000-0005-0000-0000-0000B4250000}"/>
    <cellStyle name="Normal 4 3 4 2 6 3 2" xfId="11901" xr:uid="{00000000-0005-0000-0000-0000B5250000}"/>
    <cellStyle name="Normal 4 3 4 2 6 4" xfId="8722" xr:uid="{00000000-0005-0000-0000-0000B6250000}"/>
    <cellStyle name="Normal 4 3 4 2 7" xfId="3104" xr:uid="{00000000-0005-0000-0000-0000B7250000}"/>
    <cellStyle name="Normal 4 3 4 2 7 2" xfId="6332" xr:uid="{00000000-0005-0000-0000-0000B8250000}"/>
    <cellStyle name="Normal 4 3 4 2 7 2 2" xfId="12693" xr:uid="{00000000-0005-0000-0000-0000B9250000}"/>
    <cellStyle name="Normal 4 3 4 2 7 3" xfId="9514" xr:uid="{00000000-0005-0000-0000-0000BA250000}"/>
    <cellStyle name="Normal 4 3 4 2 8" xfId="4748" xr:uid="{00000000-0005-0000-0000-0000BB250000}"/>
    <cellStyle name="Normal 4 3 4 2 8 2" xfId="11109" xr:uid="{00000000-0005-0000-0000-0000BC250000}"/>
    <cellStyle name="Normal 4 3 4 2 9" xfId="7930" xr:uid="{00000000-0005-0000-0000-0000BD250000}"/>
    <cellStyle name="Normal 4 3 4 3" xfId="1553" xr:uid="{00000000-0005-0000-0000-0000BE250000}"/>
    <cellStyle name="Normal 4 3 4 3 2" xfId="1751" xr:uid="{00000000-0005-0000-0000-0000BF250000}"/>
    <cellStyle name="Normal 4 3 4 3 2 2" xfId="2147" xr:uid="{00000000-0005-0000-0000-0000C0250000}"/>
    <cellStyle name="Normal 4 3 4 3 2 2 2" xfId="2939" xr:uid="{00000000-0005-0000-0000-0000C1250000}"/>
    <cellStyle name="Normal 4 3 4 3 2 2 2 2" xfId="4523" xr:uid="{00000000-0005-0000-0000-0000C2250000}"/>
    <cellStyle name="Normal 4 3 4 3 2 2 2 2 2" xfId="7751" xr:uid="{00000000-0005-0000-0000-0000C3250000}"/>
    <cellStyle name="Normal 4 3 4 3 2 2 2 2 2 2" xfId="14112" xr:uid="{00000000-0005-0000-0000-0000C4250000}"/>
    <cellStyle name="Normal 4 3 4 3 2 2 2 2 3" xfId="10933" xr:uid="{00000000-0005-0000-0000-0000C5250000}"/>
    <cellStyle name="Normal 4 3 4 3 2 2 2 3" xfId="6167" xr:uid="{00000000-0005-0000-0000-0000C6250000}"/>
    <cellStyle name="Normal 4 3 4 3 2 2 2 3 2" xfId="12528" xr:uid="{00000000-0005-0000-0000-0000C7250000}"/>
    <cellStyle name="Normal 4 3 4 3 2 2 2 4" xfId="9349" xr:uid="{00000000-0005-0000-0000-0000C8250000}"/>
    <cellStyle name="Normal 4 3 4 3 2 2 3" xfId="3731" xr:uid="{00000000-0005-0000-0000-0000C9250000}"/>
    <cellStyle name="Normal 4 3 4 3 2 2 3 2" xfId="6959" xr:uid="{00000000-0005-0000-0000-0000CA250000}"/>
    <cellStyle name="Normal 4 3 4 3 2 2 3 2 2" xfId="13320" xr:uid="{00000000-0005-0000-0000-0000CB250000}"/>
    <cellStyle name="Normal 4 3 4 3 2 2 3 3" xfId="10141" xr:uid="{00000000-0005-0000-0000-0000CC250000}"/>
    <cellStyle name="Normal 4 3 4 3 2 2 4" xfId="5375" xr:uid="{00000000-0005-0000-0000-0000CD250000}"/>
    <cellStyle name="Normal 4 3 4 3 2 2 4 2" xfId="11736" xr:uid="{00000000-0005-0000-0000-0000CE250000}"/>
    <cellStyle name="Normal 4 3 4 3 2 2 5" xfId="8557" xr:uid="{00000000-0005-0000-0000-0000CF250000}"/>
    <cellStyle name="Normal 4 3 4 3 2 3" xfId="2543" xr:uid="{00000000-0005-0000-0000-0000D0250000}"/>
    <cellStyle name="Normal 4 3 4 3 2 3 2" xfId="4127" xr:uid="{00000000-0005-0000-0000-0000D1250000}"/>
    <cellStyle name="Normal 4 3 4 3 2 3 2 2" xfId="7355" xr:uid="{00000000-0005-0000-0000-0000D2250000}"/>
    <cellStyle name="Normal 4 3 4 3 2 3 2 2 2" xfId="13716" xr:uid="{00000000-0005-0000-0000-0000D3250000}"/>
    <cellStyle name="Normal 4 3 4 3 2 3 2 3" xfId="10537" xr:uid="{00000000-0005-0000-0000-0000D4250000}"/>
    <cellStyle name="Normal 4 3 4 3 2 3 3" xfId="5771" xr:uid="{00000000-0005-0000-0000-0000D5250000}"/>
    <cellStyle name="Normal 4 3 4 3 2 3 3 2" xfId="12132" xr:uid="{00000000-0005-0000-0000-0000D6250000}"/>
    <cellStyle name="Normal 4 3 4 3 2 3 4" xfId="8953" xr:uid="{00000000-0005-0000-0000-0000D7250000}"/>
    <cellStyle name="Normal 4 3 4 3 2 4" xfId="3335" xr:uid="{00000000-0005-0000-0000-0000D8250000}"/>
    <cellStyle name="Normal 4 3 4 3 2 4 2" xfId="6563" xr:uid="{00000000-0005-0000-0000-0000D9250000}"/>
    <cellStyle name="Normal 4 3 4 3 2 4 2 2" xfId="12924" xr:uid="{00000000-0005-0000-0000-0000DA250000}"/>
    <cellStyle name="Normal 4 3 4 3 2 4 3" xfId="9745" xr:uid="{00000000-0005-0000-0000-0000DB250000}"/>
    <cellStyle name="Normal 4 3 4 3 2 5" xfId="4979" xr:uid="{00000000-0005-0000-0000-0000DC250000}"/>
    <cellStyle name="Normal 4 3 4 3 2 5 2" xfId="11340" xr:uid="{00000000-0005-0000-0000-0000DD250000}"/>
    <cellStyle name="Normal 4 3 4 3 2 6" xfId="8161" xr:uid="{00000000-0005-0000-0000-0000DE250000}"/>
    <cellStyle name="Normal 4 3 4 3 3" xfId="1949" xr:uid="{00000000-0005-0000-0000-0000DF250000}"/>
    <cellStyle name="Normal 4 3 4 3 3 2" xfId="2741" xr:uid="{00000000-0005-0000-0000-0000E0250000}"/>
    <cellStyle name="Normal 4 3 4 3 3 2 2" xfId="4325" xr:uid="{00000000-0005-0000-0000-0000E1250000}"/>
    <cellStyle name="Normal 4 3 4 3 3 2 2 2" xfId="7553" xr:uid="{00000000-0005-0000-0000-0000E2250000}"/>
    <cellStyle name="Normal 4 3 4 3 3 2 2 2 2" xfId="13914" xr:uid="{00000000-0005-0000-0000-0000E3250000}"/>
    <cellStyle name="Normal 4 3 4 3 3 2 2 3" xfId="10735" xr:uid="{00000000-0005-0000-0000-0000E4250000}"/>
    <cellStyle name="Normal 4 3 4 3 3 2 3" xfId="5969" xr:uid="{00000000-0005-0000-0000-0000E5250000}"/>
    <cellStyle name="Normal 4 3 4 3 3 2 3 2" xfId="12330" xr:uid="{00000000-0005-0000-0000-0000E6250000}"/>
    <cellStyle name="Normal 4 3 4 3 3 2 4" xfId="9151" xr:uid="{00000000-0005-0000-0000-0000E7250000}"/>
    <cellStyle name="Normal 4 3 4 3 3 3" xfId="3533" xr:uid="{00000000-0005-0000-0000-0000E8250000}"/>
    <cellStyle name="Normal 4 3 4 3 3 3 2" xfId="6761" xr:uid="{00000000-0005-0000-0000-0000E9250000}"/>
    <cellStyle name="Normal 4 3 4 3 3 3 2 2" xfId="13122" xr:uid="{00000000-0005-0000-0000-0000EA250000}"/>
    <cellStyle name="Normal 4 3 4 3 3 3 3" xfId="9943" xr:uid="{00000000-0005-0000-0000-0000EB250000}"/>
    <cellStyle name="Normal 4 3 4 3 3 4" xfId="5177" xr:uid="{00000000-0005-0000-0000-0000EC250000}"/>
    <cellStyle name="Normal 4 3 4 3 3 4 2" xfId="11538" xr:uid="{00000000-0005-0000-0000-0000ED250000}"/>
    <cellStyle name="Normal 4 3 4 3 3 5" xfId="8359" xr:uid="{00000000-0005-0000-0000-0000EE250000}"/>
    <cellStyle name="Normal 4 3 4 3 4" xfId="2345" xr:uid="{00000000-0005-0000-0000-0000EF250000}"/>
    <cellStyle name="Normal 4 3 4 3 4 2" xfId="3929" xr:uid="{00000000-0005-0000-0000-0000F0250000}"/>
    <cellStyle name="Normal 4 3 4 3 4 2 2" xfId="7157" xr:uid="{00000000-0005-0000-0000-0000F1250000}"/>
    <cellStyle name="Normal 4 3 4 3 4 2 2 2" xfId="13518" xr:uid="{00000000-0005-0000-0000-0000F2250000}"/>
    <cellStyle name="Normal 4 3 4 3 4 2 3" xfId="10339" xr:uid="{00000000-0005-0000-0000-0000F3250000}"/>
    <cellStyle name="Normal 4 3 4 3 4 3" xfId="5573" xr:uid="{00000000-0005-0000-0000-0000F4250000}"/>
    <cellStyle name="Normal 4 3 4 3 4 3 2" xfId="11934" xr:uid="{00000000-0005-0000-0000-0000F5250000}"/>
    <cellStyle name="Normal 4 3 4 3 4 4" xfId="8755" xr:uid="{00000000-0005-0000-0000-0000F6250000}"/>
    <cellStyle name="Normal 4 3 4 3 5" xfId="3137" xr:uid="{00000000-0005-0000-0000-0000F7250000}"/>
    <cellStyle name="Normal 4 3 4 3 5 2" xfId="6365" xr:uid="{00000000-0005-0000-0000-0000F8250000}"/>
    <cellStyle name="Normal 4 3 4 3 5 2 2" xfId="12726" xr:uid="{00000000-0005-0000-0000-0000F9250000}"/>
    <cellStyle name="Normal 4 3 4 3 5 3" xfId="9547" xr:uid="{00000000-0005-0000-0000-0000FA250000}"/>
    <cellStyle name="Normal 4 3 4 3 6" xfId="4781" xr:uid="{00000000-0005-0000-0000-0000FB250000}"/>
    <cellStyle name="Normal 4 3 4 3 6 2" xfId="11142" xr:uid="{00000000-0005-0000-0000-0000FC250000}"/>
    <cellStyle name="Normal 4 3 4 3 7" xfId="7963" xr:uid="{00000000-0005-0000-0000-0000FD250000}"/>
    <cellStyle name="Normal 4 3 4 4" xfId="1621" xr:uid="{00000000-0005-0000-0000-0000FE250000}"/>
    <cellStyle name="Normal 4 3 4 4 2" xfId="1819" xr:uid="{00000000-0005-0000-0000-0000FF250000}"/>
    <cellStyle name="Normal 4 3 4 4 2 2" xfId="2215" xr:uid="{00000000-0005-0000-0000-000000260000}"/>
    <cellStyle name="Normal 4 3 4 4 2 2 2" xfId="3007" xr:uid="{00000000-0005-0000-0000-000001260000}"/>
    <cellStyle name="Normal 4 3 4 4 2 2 2 2" xfId="4591" xr:uid="{00000000-0005-0000-0000-000002260000}"/>
    <cellStyle name="Normal 4 3 4 4 2 2 2 2 2" xfId="7819" xr:uid="{00000000-0005-0000-0000-000003260000}"/>
    <cellStyle name="Normal 4 3 4 4 2 2 2 2 2 2" xfId="14180" xr:uid="{00000000-0005-0000-0000-000004260000}"/>
    <cellStyle name="Normal 4 3 4 4 2 2 2 2 3" xfId="11001" xr:uid="{00000000-0005-0000-0000-000005260000}"/>
    <cellStyle name="Normal 4 3 4 4 2 2 2 3" xfId="6235" xr:uid="{00000000-0005-0000-0000-000006260000}"/>
    <cellStyle name="Normal 4 3 4 4 2 2 2 3 2" xfId="12596" xr:uid="{00000000-0005-0000-0000-000007260000}"/>
    <cellStyle name="Normal 4 3 4 4 2 2 2 4" xfId="9417" xr:uid="{00000000-0005-0000-0000-000008260000}"/>
    <cellStyle name="Normal 4 3 4 4 2 2 3" xfId="3799" xr:uid="{00000000-0005-0000-0000-000009260000}"/>
    <cellStyle name="Normal 4 3 4 4 2 2 3 2" xfId="7027" xr:uid="{00000000-0005-0000-0000-00000A260000}"/>
    <cellStyle name="Normal 4 3 4 4 2 2 3 2 2" xfId="13388" xr:uid="{00000000-0005-0000-0000-00000B260000}"/>
    <cellStyle name="Normal 4 3 4 4 2 2 3 3" xfId="10209" xr:uid="{00000000-0005-0000-0000-00000C260000}"/>
    <cellStyle name="Normal 4 3 4 4 2 2 4" xfId="5443" xr:uid="{00000000-0005-0000-0000-00000D260000}"/>
    <cellStyle name="Normal 4 3 4 4 2 2 4 2" xfId="11804" xr:uid="{00000000-0005-0000-0000-00000E260000}"/>
    <cellStyle name="Normal 4 3 4 4 2 2 5" xfId="8625" xr:uid="{00000000-0005-0000-0000-00000F260000}"/>
    <cellStyle name="Normal 4 3 4 4 2 3" xfId="2611" xr:uid="{00000000-0005-0000-0000-000010260000}"/>
    <cellStyle name="Normal 4 3 4 4 2 3 2" xfId="4195" xr:uid="{00000000-0005-0000-0000-000011260000}"/>
    <cellStyle name="Normal 4 3 4 4 2 3 2 2" xfId="7423" xr:uid="{00000000-0005-0000-0000-000012260000}"/>
    <cellStyle name="Normal 4 3 4 4 2 3 2 2 2" xfId="13784" xr:uid="{00000000-0005-0000-0000-000013260000}"/>
    <cellStyle name="Normal 4 3 4 4 2 3 2 3" xfId="10605" xr:uid="{00000000-0005-0000-0000-000014260000}"/>
    <cellStyle name="Normal 4 3 4 4 2 3 3" xfId="5839" xr:uid="{00000000-0005-0000-0000-000015260000}"/>
    <cellStyle name="Normal 4 3 4 4 2 3 3 2" xfId="12200" xr:uid="{00000000-0005-0000-0000-000016260000}"/>
    <cellStyle name="Normal 4 3 4 4 2 3 4" xfId="9021" xr:uid="{00000000-0005-0000-0000-000017260000}"/>
    <cellStyle name="Normal 4 3 4 4 2 4" xfId="3403" xr:uid="{00000000-0005-0000-0000-000018260000}"/>
    <cellStyle name="Normal 4 3 4 4 2 4 2" xfId="6631" xr:uid="{00000000-0005-0000-0000-000019260000}"/>
    <cellStyle name="Normal 4 3 4 4 2 4 2 2" xfId="12992" xr:uid="{00000000-0005-0000-0000-00001A260000}"/>
    <cellStyle name="Normal 4 3 4 4 2 4 3" xfId="9813" xr:uid="{00000000-0005-0000-0000-00001B260000}"/>
    <cellStyle name="Normal 4 3 4 4 2 5" xfId="5047" xr:uid="{00000000-0005-0000-0000-00001C260000}"/>
    <cellStyle name="Normal 4 3 4 4 2 5 2" xfId="11408" xr:uid="{00000000-0005-0000-0000-00001D260000}"/>
    <cellStyle name="Normal 4 3 4 4 2 6" xfId="8229" xr:uid="{00000000-0005-0000-0000-00001E260000}"/>
    <cellStyle name="Normal 4 3 4 4 3" xfId="2017" xr:uid="{00000000-0005-0000-0000-00001F260000}"/>
    <cellStyle name="Normal 4 3 4 4 3 2" xfId="2809" xr:uid="{00000000-0005-0000-0000-000020260000}"/>
    <cellStyle name="Normal 4 3 4 4 3 2 2" xfId="4393" xr:uid="{00000000-0005-0000-0000-000021260000}"/>
    <cellStyle name="Normal 4 3 4 4 3 2 2 2" xfId="7621" xr:uid="{00000000-0005-0000-0000-000022260000}"/>
    <cellStyle name="Normal 4 3 4 4 3 2 2 2 2" xfId="13982" xr:uid="{00000000-0005-0000-0000-000023260000}"/>
    <cellStyle name="Normal 4 3 4 4 3 2 2 3" xfId="10803" xr:uid="{00000000-0005-0000-0000-000024260000}"/>
    <cellStyle name="Normal 4 3 4 4 3 2 3" xfId="6037" xr:uid="{00000000-0005-0000-0000-000025260000}"/>
    <cellStyle name="Normal 4 3 4 4 3 2 3 2" xfId="12398" xr:uid="{00000000-0005-0000-0000-000026260000}"/>
    <cellStyle name="Normal 4 3 4 4 3 2 4" xfId="9219" xr:uid="{00000000-0005-0000-0000-000027260000}"/>
    <cellStyle name="Normal 4 3 4 4 3 3" xfId="3601" xr:uid="{00000000-0005-0000-0000-000028260000}"/>
    <cellStyle name="Normal 4 3 4 4 3 3 2" xfId="6829" xr:uid="{00000000-0005-0000-0000-000029260000}"/>
    <cellStyle name="Normal 4 3 4 4 3 3 2 2" xfId="13190" xr:uid="{00000000-0005-0000-0000-00002A260000}"/>
    <cellStyle name="Normal 4 3 4 4 3 3 3" xfId="10011" xr:uid="{00000000-0005-0000-0000-00002B260000}"/>
    <cellStyle name="Normal 4 3 4 4 3 4" xfId="5245" xr:uid="{00000000-0005-0000-0000-00002C260000}"/>
    <cellStyle name="Normal 4 3 4 4 3 4 2" xfId="11606" xr:uid="{00000000-0005-0000-0000-00002D260000}"/>
    <cellStyle name="Normal 4 3 4 4 3 5" xfId="8427" xr:uid="{00000000-0005-0000-0000-00002E260000}"/>
    <cellStyle name="Normal 4 3 4 4 4" xfId="2413" xr:uid="{00000000-0005-0000-0000-00002F260000}"/>
    <cellStyle name="Normal 4 3 4 4 4 2" xfId="3997" xr:uid="{00000000-0005-0000-0000-000030260000}"/>
    <cellStyle name="Normal 4 3 4 4 4 2 2" xfId="7225" xr:uid="{00000000-0005-0000-0000-000031260000}"/>
    <cellStyle name="Normal 4 3 4 4 4 2 2 2" xfId="13586" xr:uid="{00000000-0005-0000-0000-000032260000}"/>
    <cellStyle name="Normal 4 3 4 4 4 2 3" xfId="10407" xr:uid="{00000000-0005-0000-0000-000033260000}"/>
    <cellStyle name="Normal 4 3 4 4 4 3" xfId="5641" xr:uid="{00000000-0005-0000-0000-000034260000}"/>
    <cellStyle name="Normal 4 3 4 4 4 3 2" xfId="12002" xr:uid="{00000000-0005-0000-0000-000035260000}"/>
    <cellStyle name="Normal 4 3 4 4 4 4" xfId="8823" xr:uid="{00000000-0005-0000-0000-000036260000}"/>
    <cellStyle name="Normal 4 3 4 4 5" xfId="3205" xr:uid="{00000000-0005-0000-0000-000037260000}"/>
    <cellStyle name="Normal 4 3 4 4 5 2" xfId="6433" xr:uid="{00000000-0005-0000-0000-000038260000}"/>
    <cellStyle name="Normal 4 3 4 4 5 2 2" xfId="12794" xr:uid="{00000000-0005-0000-0000-000039260000}"/>
    <cellStyle name="Normal 4 3 4 4 5 3" xfId="9615" xr:uid="{00000000-0005-0000-0000-00003A260000}"/>
    <cellStyle name="Normal 4 3 4 4 6" xfId="4849" xr:uid="{00000000-0005-0000-0000-00003B260000}"/>
    <cellStyle name="Normal 4 3 4 4 6 2" xfId="11210" xr:uid="{00000000-0005-0000-0000-00003C260000}"/>
    <cellStyle name="Normal 4 3 4 4 7" xfId="8031" xr:uid="{00000000-0005-0000-0000-00003D260000}"/>
    <cellStyle name="Normal 4 3 4 5" xfId="1686" xr:uid="{00000000-0005-0000-0000-00003E260000}"/>
    <cellStyle name="Normal 4 3 4 5 2" xfId="2082" xr:uid="{00000000-0005-0000-0000-00003F260000}"/>
    <cellStyle name="Normal 4 3 4 5 2 2" xfId="2874" xr:uid="{00000000-0005-0000-0000-000040260000}"/>
    <cellStyle name="Normal 4 3 4 5 2 2 2" xfId="4458" xr:uid="{00000000-0005-0000-0000-000041260000}"/>
    <cellStyle name="Normal 4 3 4 5 2 2 2 2" xfId="7686" xr:uid="{00000000-0005-0000-0000-000042260000}"/>
    <cellStyle name="Normal 4 3 4 5 2 2 2 2 2" xfId="14047" xr:uid="{00000000-0005-0000-0000-000043260000}"/>
    <cellStyle name="Normal 4 3 4 5 2 2 2 3" xfId="10868" xr:uid="{00000000-0005-0000-0000-000044260000}"/>
    <cellStyle name="Normal 4 3 4 5 2 2 3" xfId="6102" xr:uid="{00000000-0005-0000-0000-000045260000}"/>
    <cellStyle name="Normal 4 3 4 5 2 2 3 2" xfId="12463" xr:uid="{00000000-0005-0000-0000-000046260000}"/>
    <cellStyle name="Normal 4 3 4 5 2 2 4" xfId="9284" xr:uid="{00000000-0005-0000-0000-000047260000}"/>
    <cellStyle name="Normal 4 3 4 5 2 3" xfId="3666" xr:uid="{00000000-0005-0000-0000-000048260000}"/>
    <cellStyle name="Normal 4 3 4 5 2 3 2" xfId="6894" xr:uid="{00000000-0005-0000-0000-000049260000}"/>
    <cellStyle name="Normal 4 3 4 5 2 3 2 2" xfId="13255" xr:uid="{00000000-0005-0000-0000-00004A260000}"/>
    <cellStyle name="Normal 4 3 4 5 2 3 3" xfId="10076" xr:uid="{00000000-0005-0000-0000-00004B260000}"/>
    <cellStyle name="Normal 4 3 4 5 2 4" xfId="5310" xr:uid="{00000000-0005-0000-0000-00004C260000}"/>
    <cellStyle name="Normal 4 3 4 5 2 4 2" xfId="11671" xr:uid="{00000000-0005-0000-0000-00004D260000}"/>
    <cellStyle name="Normal 4 3 4 5 2 5" xfId="8492" xr:uid="{00000000-0005-0000-0000-00004E260000}"/>
    <cellStyle name="Normal 4 3 4 5 3" xfId="2478" xr:uid="{00000000-0005-0000-0000-00004F260000}"/>
    <cellStyle name="Normal 4 3 4 5 3 2" xfId="4062" xr:uid="{00000000-0005-0000-0000-000050260000}"/>
    <cellStyle name="Normal 4 3 4 5 3 2 2" xfId="7290" xr:uid="{00000000-0005-0000-0000-000051260000}"/>
    <cellStyle name="Normal 4 3 4 5 3 2 2 2" xfId="13651" xr:uid="{00000000-0005-0000-0000-000052260000}"/>
    <cellStyle name="Normal 4 3 4 5 3 2 3" xfId="10472" xr:uid="{00000000-0005-0000-0000-000053260000}"/>
    <cellStyle name="Normal 4 3 4 5 3 3" xfId="5706" xr:uid="{00000000-0005-0000-0000-000054260000}"/>
    <cellStyle name="Normal 4 3 4 5 3 3 2" xfId="12067" xr:uid="{00000000-0005-0000-0000-000055260000}"/>
    <cellStyle name="Normal 4 3 4 5 3 4" xfId="8888" xr:uid="{00000000-0005-0000-0000-000056260000}"/>
    <cellStyle name="Normal 4 3 4 5 4" xfId="3270" xr:uid="{00000000-0005-0000-0000-000057260000}"/>
    <cellStyle name="Normal 4 3 4 5 4 2" xfId="6498" xr:uid="{00000000-0005-0000-0000-000058260000}"/>
    <cellStyle name="Normal 4 3 4 5 4 2 2" xfId="12859" xr:uid="{00000000-0005-0000-0000-000059260000}"/>
    <cellStyle name="Normal 4 3 4 5 4 3" xfId="9680" xr:uid="{00000000-0005-0000-0000-00005A260000}"/>
    <cellStyle name="Normal 4 3 4 5 5" xfId="4914" xr:uid="{00000000-0005-0000-0000-00005B260000}"/>
    <cellStyle name="Normal 4 3 4 5 5 2" xfId="11275" xr:uid="{00000000-0005-0000-0000-00005C260000}"/>
    <cellStyle name="Normal 4 3 4 5 6" xfId="8096" xr:uid="{00000000-0005-0000-0000-00005D260000}"/>
    <cellStyle name="Normal 4 3 4 6" xfId="1884" xr:uid="{00000000-0005-0000-0000-00005E260000}"/>
    <cellStyle name="Normal 4 3 4 6 2" xfId="2676" xr:uid="{00000000-0005-0000-0000-00005F260000}"/>
    <cellStyle name="Normal 4 3 4 6 2 2" xfId="4260" xr:uid="{00000000-0005-0000-0000-000060260000}"/>
    <cellStyle name="Normal 4 3 4 6 2 2 2" xfId="7488" xr:uid="{00000000-0005-0000-0000-000061260000}"/>
    <cellStyle name="Normal 4 3 4 6 2 2 2 2" xfId="13849" xr:uid="{00000000-0005-0000-0000-000062260000}"/>
    <cellStyle name="Normal 4 3 4 6 2 2 3" xfId="10670" xr:uid="{00000000-0005-0000-0000-000063260000}"/>
    <cellStyle name="Normal 4 3 4 6 2 3" xfId="5904" xr:uid="{00000000-0005-0000-0000-000064260000}"/>
    <cellStyle name="Normal 4 3 4 6 2 3 2" xfId="12265" xr:uid="{00000000-0005-0000-0000-000065260000}"/>
    <cellStyle name="Normal 4 3 4 6 2 4" xfId="9086" xr:uid="{00000000-0005-0000-0000-000066260000}"/>
    <cellStyle name="Normal 4 3 4 6 3" xfId="3468" xr:uid="{00000000-0005-0000-0000-000067260000}"/>
    <cellStyle name="Normal 4 3 4 6 3 2" xfId="6696" xr:uid="{00000000-0005-0000-0000-000068260000}"/>
    <cellStyle name="Normal 4 3 4 6 3 2 2" xfId="13057" xr:uid="{00000000-0005-0000-0000-000069260000}"/>
    <cellStyle name="Normal 4 3 4 6 3 3" xfId="9878" xr:uid="{00000000-0005-0000-0000-00006A260000}"/>
    <cellStyle name="Normal 4 3 4 6 4" xfId="5112" xr:uid="{00000000-0005-0000-0000-00006B260000}"/>
    <cellStyle name="Normal 4 3 4 6 4 2" xfId="11473" xr:uid="{00000000-0005-0000-0000-00006C260000}"/>
    <cellStyle name="Normal 4 3 4 6 5" xfId="8294" xr:uid="{00000000-0005-0000-0000-00006D260000}"/>
    <cellStyle name="Normal 4 3 4 7" xfId="2280" xr:uid="{00000000-0005-0000-0000-00006E260000}"/>
    <cellStyle name="Normal 4 3 4 7 2" xfId="3864" xr:uid="{00000000-0005-0000-0000-00006F260000}"/>
    <cellStyle name="Normal 4 3 4 7 2 2" xfId="7092" xr:uid="{00000000-0005-0000-0000-000070260000}"/>
    <cellStyle name="Normal 4 3 4 7 2 2 2" xfId="13453" xr:uid="{00000000-0005-0000-0000-000071260000}"/>
    <cellStyle name="Normal 4 3 4 7 2 3" xfId="10274" xr:uid="{00000000-0005-0000-0000-000072260000}"/>
    <cellStyle name="Normal 4 3 4 7 3" xfId="5508" xr:uid="{00000000-0005-0000-0000-000073260000}"/>
    <cellStyle name="Normal 4 3 4 7 3 2" xfId="11869" xr:uid="{00000000-0005-0000-0000-000074260000}"/>
    <cellStyle name="Normal 4 3 4 7 4" xfId="8690" xr:uid="{00000000-0005-0000-0000-000075260000}"/>
    <cellStyle name="Normal 4 3 4 8" xfId="3072" xr:uid="{00000000-0005-0000-0000-000076260000}"/>
    <cellStyle name="Normal 4 3 4 8 2" xfId="6300" xr:uid="{00000000-0005-0000-0000-000077260000}"/>
    <cellStyle name="Normal 4 3 4 8 2 2" xfId="12661" xr:uid="{00000000-0005-0000-0000-000078260000}"/>
    <cellStyle name="Normal 4 3 4 8 3" xfId="9482" xr:uid="{00000000-0005-0000-0000-000079260000}"/>
    <cellStyle name="Normal 4 3 4 9" xfId="4716" xr:uid="{00000000-0005-0000-0000-00007A260000}"/>
    <cellStyle name="Normal 4 3 4 9 2" xfId="11077" xr:uid="{00000000-0005-0000-0000-00007B260000}"/>
    <cellStyle name="Normal 4 3 5" xfId="1457" xr:uid="{00000000-0005-0000-0000-00007C260000}"/>
    <cellStyle name="Normal 4 3 5 2" xfId="1569" xr:uid="{00000000-0005-0000-0000-00007D260000}"/>
    <cellStyle name="Normal 4 3 5 2 2" xfId="1767" xr:uid="{00000000-0005-0000-0000-00007E260000}"/>
    <cellStyle name="Normal 4 3 5 2 2 2" xfId="2163" xr:uid="{00000000-0005-0000-0000-00007F260000}"/>
    <cellStyle name="Normal 4 3 5 2 2 2 2" xfId="2955" xr:uid="{00000000-0005-0000-0000-000080260000}"/>
    <cellStyle name="Normal 4 3 5 2 2 2 2 2" xfId="4539" xr:uid="{00000000-0005-0000-0000-000081260000}"/>
    <cellStyle name="Normal 4 3 5 2 2 2 2 2 2" xfId="7767" xr:uid="{00000000-0005-0000-0000-000082260000}"/>
    <cellStyle name="Normal 4 3 5 2 2 2 2 2 2 2" xfId="14128" xr:uid="{00000000-0005-0000-0000-000083260000}"/>
    <cellStyle name="Normal 4 3 5 2 2 2 2 2 3" xfId="10949" xr:uid="{00000000-0005-0000-0000-000084260000}"/>
    <cellStyle name="Normal 4 3 5 2 2 2 2 3" xfId="6183" xr:uid="{00000000-0005-0000-0000-000085260000}"/>
    <cellStyle name="Normal 4 3 5 2 2 2 2 3 2" xfId="12544" xr:uid="{00000000-0005-0000-0000-000086260000}"/>
    <cellStyle name="Normal 4 3 5 2 2 2 2 4" xfId="9365" xr:uid="{00000000-0005-0000-0000-000087260000}"/>
    <cellStyle name="Normal 4 3 5 2 2 2 3" xfId="3747" xr:uid="{00000000-0005-0000-0000-000088260000}"/>
    <cellStyle name="Normal 4 3 5 2 2 2 3 2" xfId="6975" xr:uid="{00000000-0005-0000-0000-000089260000}"/>
    <cellStyle name="Normal 4 3 5 2 2 2 3 2 2" xfId="13336" xr:uid="{00000000-0005-0000-0000-00008A260000}"/>
    <cellStyle name="Normal 4 3 5 2 2 2 3 3" xfId="10157" xr:uid="{00000000-0005-0000-0000-00008B260000}"/>
    <cellStyle name="Normal 4 3 5 2 2 2 4" xfId="5391" xr:uid="{00000000-0005-0000-0000-00008C260000}"/>
    <cellStyle name="Normal 4 3 5 2 2 2 4 2" xfId="11752" xr:uid="{00000000-0005-0000-0000-00008D260000}"/>
    <cellStyle name="Normal 4 3 5 2 2 2 5" xfId="8573" xr:uid="{00000000-0005-0000-0000-00008E260000}"/>
    <cellStyle name="Normal 4 3 5 2 2 3" xfId="2559" xr:uid="{00000000-0005-0000-0000-00008F260000}"/>
    <cellStyle name="Normal 4 3 5 2 2 3 2" xfId="4143" xr:uid="{00000000-0005-0000-0000-000090260000}"/>
    <cellStyle name="Normal 4 3 5 2 2 3 2 2" xfId="7371" xr:uid="{00000000-0005-0000-0000-000091260000}"/>
    <cellStyle name="Normal 4 3 5 2 2 3 2 2 2" xfId="13732" xr:uid="{00000000-0005-0000-0000-000092260000}"/>
    <cellStyle name="Normal 4 3 5 2 2 3 2 3" xfId="10553" xr:uid="{00000000-0005-0000-0000-000093260000}"/>
    <cellStyle name="Normal 4 3 5 2 2 3 3" xfId="5787" xr:uid="{00000000-0005-0000-0000-000094260000}"/>
    <cellStyle name="Normal 4 3 5 2 2 3 3 2" xfId="12148" xr:uid="{00000000-0005-0000-0000-000095260000}"/>
    <cellStyle name="Normal 4 3 5 2 2 3 4" xfId="8969" xr:uid="{00000000-0005-0000-0000-000096260000}"/>
    <cellStyle name="Normal 4 3 5 2 2 4" xfId="3351" xr:uid="{00000000-0005-0000-0000-000097260000}"/>
    <cellStyle name="Normal 4 3 5 2 2 4 2" xfId="6579" xr:uid="{00000000-0005-0000-0000-000098260000}"/>
    <cellStyle name="Normal 4 3 5 2 2 4 2 2" xfId="12940" xr:uid="{00000000-0005-0000-0000-000099260000}"/>
    <cellStyle name="Normal 4 3 5 2 2 4 3" xfId="9761" xr:uid="{00000000-0005-0000-0000-00009A260000}"/>
    <cellStyle name="Normal 4 3 5 2 2 5" xfId="4995" xr:uid="{00000000-0005-0000-0000-00009B260000}"/>
    <cellStyle name="Normal 4 3 5 2 2 5 2" xfId="11356" xr:uid="{00000000-0005-0000-0000-00009C260000}"/>
    <cellStyle name="Normal 4 3 5 2 2 6" xfId="8177" xr:uid="{00000000-0005-0000-0000-00009D260000}"/>
    <cellStyle name="Normal 4 3 5 2 3" xfId="1965" xr:uid="{00000000-0005-0000-0000-00009E260000}"/>
    <cellStyle name="Normal 4 3 5 2 3 2" xfId="2757" xr:uid="{00000000-0005-0000-0000-00009F260000}"/>
    <cellStyle name="Normal 4 3 5 2 3 2 2" xfId="4341" xr:uid="{00000000-0005-0000-0000-0000A0260000}"/>
    <cellStyle name="Normal 4 3 5 2 3 2 2 2" xfId="7569" xr:uid="{00000000-0005-0000-0000-0000A1260000}"/>
    <cellStyle name="Normal 4 3 5 2 3 2 2 2 2" xfId="13930" xr:uid="{00000000-0005-0000-0000-0000A2260000}"/>
    <cellStyle name="Normal 4 3 5 2 3 2 2 3" xfId="10751" xr:uid="{00000000-0005-0000-0000-0000A3260000}"/>
    <cellStyle name="Normal 4 3 5 2 3 2 3" xfId="5985" xr:uid="{00000000-0005-0000-0000-0000A4260000}"/>
    <cellStyle name="Normal 4 3 5 2 3 2 3 2" xfId="12346" xr:uid="{00000000-0005-0000-0000-0000A5260000}"/>
    <cellStyle name="Normal 4 3 5 2 3 2 4" xfId="9167" xr:uid="{00000000-0005-0000-0000-0000A6260000}"/>
    <cellStyle name="Normal 4 3 5 2 3 3" xfId="3549" xr:uid="{00000000-0005-0000-0000-0000A7260000}"/>
    <cellStyle name="Normal 4 3 5 2 3 3 2" xfId="6777" xr:uid="{00000000-0005-0000-0000-0000A8260000}"/>
    <cellStyle name="Normal 4 3 5 2 3 3 2 2" xfId="13138" xr:uid="{00000000-0005-0000-0000-0000A9260000}"/>
    <cellStyle name="Normal 4 3 5 2 3 3 3" xfId="9959" xr:uid="{00000000-0005-0000-0000-0000AA260000}"/>
    <cellStyle name="Normal 4 3 5 2 3 4" xfId="5193" xr:uid="{00000000-0005-0000-0000-0000AB260000}"/>
    <cellStyle name="Normal 4 3 5 2 3 4 2" xfId="11554" xr:uid="{00000000-0005-0000-0000-0000AC260000}"/>
    <cellStyle name="Normal 4 3 5 2 3 5" xfId="8375" xr:uid="{00000000-0005-0000-0000-0000AD260000}"/>
    <cellStyle name="Normal 4 3 5 2 4" xfId="2361" xr:uid="{00000000-0005-0000-0000-0000AE260000}"/>
    <cellStyle name="Normal 4 3 5 2 4 2" xfId="3945" xr:uid="{00000000-0005-0000-0000-0000AF260000}"/>
    <cellStyle name="Normal 4 3 5 2 4 2 2" xfId="7173" xr:uid="{00000000-0005-0000-0000-0000B0260000}"/>
    <cellStyle name="Normal 4 3 5 2 4 2 2 2" xfId="13534" xr:uid="{00000000-0005-0000-0000-0000B1260000}"/>
    <cellStyle name="Normal 4 3 5 2 4 2 3" xfId="10355" xr:uid="{00000000-0005-0000-0000-0000B2260000}"/>
    <cellStyle name="Normal 4 3 5 2 4 3" xfId="5589" xr:uid="{00000000-0005-0000-0000-0000B3260000}"/>
    <cellStyle name="Normal 4 3 5 2 4 3 2" xfId="11950" xr:uid="{00000000-0005-0000-0000-0000B4260000}"/>
    <cellStyle name="Normal 4 3 5 2 4 4" xfId="8771" xr:uid="{00000000-0005-0000-0000-0000B5260000}"/>
    <cellStyle name="Normal 4 3 5 2 5" xfId="3153" xr:uid="{00000000-0005-0000-0000-0000B6260000}"/>
    <cellStyle name="Normal 4 3 5 2 5 2" xfId="6381" xr:uid="{00000000-0005-0000-0000-0000B7260000}"/>
    <cellStyle name="Normal 4 3 5 2 5 2 2" xfId="12742" xr:uid="{00000000-0005-0000-0000-0000B8260000}"/>
    <cellStyle name="Normal 4 3 5 2 5 3" xfId="9563" xr:uid="{00000000-0005-0000-0000-0000B9260000}"/>
    <cellStyle name="Normal 4 3 5 2 6" xfId="4797" xr:uid="{00000000-0005-0000-0000-0000BA260000}"/>
    <cellStyle name="Normal 4 3 5 2 6 2" xfId="11158" xr:uid="{00000000-0005-0000-0000-0000BB260000}"/>
    <cellStyle name="Normal 4 3 5 2 7" xfId="7979" xr:uid="{00000000-0005-0000-0000-0000BC260000}"/>
    <cellStyle name="Normal 4 3 5 3" xfId="1637" xr:uid="{00000000-0005-0000-0000-0000BD260000}"/>
    <cellStyle name="Normal 4 3 5 3 2" xfId="1835" xr:uid="{00000000-0005-0000-0000-0000BE260000}"/>
    <cellStyle name="Normal 4 3 5 3 2 2" xfId="2231" xr:uid="{00000000-0005-0000-0000-0000BF260000}"/>
    <cellStyle name="Normal 4 3 5 3 2 2 2" xfId="3023" xr:uid="{00000000-0005-0000-0000-0000C0260000}"/>
    <cellStyle name="Normal 4 3 5 3 2 2 2 2" xfId="4607" xr:uid="{00000000-0005-0000-0000-0000C1260000}"/>
    <cellStyle name="Normal 4 3 5 3 2 2 2 2 2" xfId="7835" xr:uid="{00000000-0005-0000-0000-0000C2260000}"/>
    <cellStyle name="Normal 4 3 5 3 2 2 2 2 2 2" xfId="14196" xr:uid="{00000000-0005-0000-0000-0000C3260000}"/>
    <cellStyle name="Normal 4 3 5 3 2 2 2 2 3" xfId="11017" xr:uid="{00000000-0005-0000-0000-0000C4260000}"/>
    <cellStyle name="Normal 4 3 5 3 2 2 2 3" xfId="6251" xr:uid="{00000000-0005-0000-0000-0000C5260000}"/>
    <cellStyle name="Normal 4 3 5 3 2 2 2 3 2" xfId="12612" xr:uid="{00000000-0005-0000-0000-0000C6260000}"/>
    <cellStyle name="Normal 4 3 5 3 2 2 2 4" xfId="9433" xr:uid="{00000000-0005-0000-0000-0000C7260000}"/>
    <cellStyle name="Normal 4 3 5 3 2 2 3" xfId="3815" xr:uid="{00000000-0005-0000-0000-0000C8260000}"/>
    <cellStyle name="Normal 4 3 5 3 2 2 3 2" xfId="7043" xr:uid="{00000000-0005-0000-0000-0000C9260000}"/>
    <cellStyle name="Normal 4 3 5 3 2 2 3 2 2" xfId="13404" xr:uid="{00000000-0005-0000-0000-0000CA260000}"/>
    <cellStyle name="Normal 4 3 5 3 2 2 3 3" xfId="10225" xr:uid="{00000000-0005-0000-0000-0000CB260000}"/>
    <cellStyle name="Normal 4 3 5 3 2 2 4" xfId="5459" xr:uid="{00000000-0005-0000-0000-0000CC260000}"/>
    <cellStyle name="Normal 4 3 5 3 2 2 4 2" xfId="11820" xr:uid="{00000000-0005-0000-0000-0000CD260000}"/>
    <cellStyle name="Normal 4 3 5 3 2 2 5" xfId="8641" xr:uid="{00000000-0005-0000-0000-0000CE260000}"/>
    <cellStyle name="Normal 4 3 5 3 2 3" xfId="2627" xr:uid="{00000000-0005-0000-0000-0000CF260000}"/>
    <cellStyle name="Normal 4 3 5 3 2 3 2" xfId="4211" xr:uid="{00000000-0005-0000-0000-0000D0260000}"/>
    <cellStyle name="Normal 4 3 5 3 2 3 2 2" xfId="7439" xr:uid="{00000000-0005-0000-0000-0000D1260000}"/>
    <cellStyle name="Normal 4 3 5 3 2 3 2 2 2" xfId="13800" xr:uid="{00000000-0005-0000-0000-0000D2260000}"/>
    <cellStyle name="Normal 4 3 5 3 2 3 2 3" xfId="10621" xr:uid="{00000000-0005-0000-0000-0000D3260000}"/>
    <cellStyle name="Normal 4 3 5 3 2 3 3" xfId="5855" xr:uid="{00000000-0005-0000-0000-0000D4260000}"/>
    <cellStyle name="Normal 4 3 5 3 2 3 3 2" xfId="12216" xr:uid="{00000000-0005-0000-0000-0000D5260000}"/>
    <cellStyle name="Normal 4 3 5 3 2 3 4" xfId="9037" xr:uid="{00000000-0005-0000-0000-0000D6260000}"/>
    <cellStyle name="Normal 4 3 5 3 2 4" xfId="3419" xr:uid="{00000000-0005-0000-0000-0000D7260000}"/>
    <cellStyle name="Normal 4 3 5 3 2 4 2" xfId="6647" xr:uid="{00000000-0005-0000-0000-0000D8260000}"/>
    <cellStyle name="Normal 4 3 5 3 2 4 2 2" xfId="13008" xr:uid="{00000000-0005-0000-0000-0000D9260000}"/>
    <cellStyle name="Normal 4 3 5 3 2 4 3" xfId="9829" xr:uid="{00000000-0005-0000-0000-0000DA260000}"/>
    <cellStyle name="Normal 4 3 5 3 2 5" xfId="5063" xr:uid="{00000000-0005-0000-0000-0000DB260000}"/>
    <cellStyle name="Normal 4 3 5 3 2 5 2" xfId="11424" xr:uid="{00000000-0005-0000-0000-0000DC260000}"/>
    <cellStyle name="Normal 4 3 5 3 2 6" xfId="8245" xr:uid="{00000000-0005-0000-0000-0000DD260000}"/>
    <cellStyle name="Normal 4 3 5 3 3" xfId="2033" xr:uid="{00000000-0005-0000-0000-0000DE260000}"/>
    <cellStyle name="Normal 4 3 5 3 3 2" xfId="2825" xr:uid="{00000000-0005-0000-0000-0000DF260000}"/>
    <cellStyle name="Normal 4 3 5 3 3 2 2" xfId="4409" xr:uid="{00000000-0005-0000-0000-0000E0260000}"/>
    <cellStyle name="Normal 4 3 5 3 3 2 2 2" xfId="7637" xr:uid="{00000000-0005-0000-0000-0000E1260000}"/>
    <cellStyle name="Normal 4 3 5 3 3 2 2 2 2" xfId="13998" xr:uid="{00000000-0005-0000-0000-0000E2260000}"/>
    <cellStyle name="Normal 4 3 5 3 3 2 2 3" xfId="10819" xr:uid="{00000000-0005-0000-0000-0000E3260000}"/>
    <cellStyle name="Normal 4 3 5 3 3 2 3" xfId="6053" xr:uid="{00000000-0005-0000-0000-0000E4260000}"/>
    <cellStyle name="Normal 4 3 5 3 3 2 3 2" xfId="12414" xr:uid="{00000000-0005-0000-0000-0000E5260000}"/>
    <cellStyle name="Normal 4 3 5 3 3 2 4" xfId="9235" xr:uid="{00000000-0005-0000-0000-0000E6260000}"/>
    <cellStyle name="Normal 4 3 5 3 3 3" xfId="3617" xr:uid="{00000000-0005-0000-0000-0000E7260000}"/>
    <cellStyle name="Normal 4 3 5 3 3 3 2" xfId="6845" xr:uid="{00000000-0005-0000-0000-0000E8260000}"/>
    <cellStyle name="Normal 4 3 5 3 3 3 2 2" xfId="13206" xr:uid="{00000000-0005-0000-0000-0000E9260000}"/>
    <cellStyle name="Normal 4 3 5 3 3 3 3" xfId="10027" xr:uid="{00000000-0005-0000-0000-0000EA260000}"/>
    <cellStyle name="Normal 4 3 5 3 3 4" xfId="5261" xr:uid="{00000000-0005-0000-0000-0000EB260000}"/>
    <cellStyle name="Normal 4 3 5 3 3 4 2" xfId="11622" xr:uid="{00000000-0005-0000-0000-0000EC260000}"/>
    <cellStyle name="Normal 4 3 5 3 3 5" xfId="8443" xr:uid="{00000000-0005-0000-0000-0000ED260000}"/>
    <cellStyle name="Normal 4 3 5 3 4" xfId="2429" xr:uid="{00000000-0005-0000-0000-0000EE260000}"/>
    <cellStyle name="Normal 4 3 5 3 4 2" xfId="4013" xr:uid="{00000000-0005-0000-0000-0000EF260000}"/>
    <cellStyle name="Normal 4 3 5 3 4 2 2" xfId="7241" xr:uid="{00000000-0005-0000-0000-0000F0260000}"/>
    <cellStyle name="Normal 4 3 5 3 4 2 2 2" xfId="13602" xr:uid="{00000000-0005-0000-0000-0000F1260000}"/>
    <cellStyle name="Normal 4 3 5 3 4 2 3" xfId="10423" xr:uid="{00000000-0005-0000-0000-0000F2260000}"/>
    <cellStyle name="Normal 4 3 5 3 4 3" xfId="5657" xr:uid="{00000000-0005-0000-0000-0000F3260000}"/>
    <cellStyle name="Normal 4 3 5 3 4 3 2" xfId="12018" xr:uid="{00000000-0005-0000-0000-0000F4260000}"/>
    <cellStyle name="Normal 4 3 5 3 4 4" xfId="8839" xr:uid="{00000000-0005-0000-0000-0000F5260000}"/>
    <cellStyle name="Normal 4 3 5 3 5" xfId="3221" xr:uid="{00000000-0005-0000-0000-0000F6260000}"/>
    <cellStyle name="Normal 4 3 5 3 5 2" xfId="6449" xr:uid="{00000000-0005-0000-0000-0000F7260000}"/>
    <cellStyle name="Normal 4 3 5 3 5 2 2" xfId="12810" xr:uid="{00000000-0005-0000-0000-0000F8260000}"/>
    <cellStyle name="Normal 4 3 5 3 5 3" xfId="9631" xr:uid="{00000000-0005-0000-0000-0000F9260000}"/>
    <cellStyle name="Normal 4 3 5 3 6" xfId="4865" xr:uid="{00000000-0005-0000-0000-0000FA260000}"/>
    <cellStyle name="Normal 4 3 5 3 6 2" xfId="11226" xr:uid="{00000000-0005-0000-0000-0000FB260000}"/>
    <cellStyle name="Normal 4 3 5 3 7" xfId="8047" xr:uid="{00000000-0005-0000-0000-0000FC260000}"/>
    <cellStyle name="Normal 4 3 5 4" xfId="1702" xr:uid="{00000000-0005-0000-0000-0000FD260000}"/>
    <cellStyle name="Normal 4 3 5 4 2" xfId="2098" xr:uid="{00000000-0005-0000-0000-0000FE260000}"/>
    <cellStyle name="Normal 4 3 5 4 2 2" xfId="2890" xr:uid="{00000000-0005-0000-0000-0000FF260000}"/>
    <cellStyle name="Normal 4 3 5 4 2 2 2" xfId="4474" xr:uid="{00000000-0005-0000-0000-000000270000}"/>
    <cellStyle name="Normal 4 3 5 4 2 2 2 2" xfId="7702" xr:uid="{00000000-0005-0000-0000-000001270000}"/>
    <cellStyle name="Normal 4 3 5 4 2 2 2 2 2" xfId="14063" xr:uid="{00000000-0005-0000-0000-000002270000}"/>
    <cellStyle name="Normal 4 3 5 4 2 2 2 3" xfId="10884" xr:uid="{00000000-0005-0000-0000-000003270000}"/>
    <cellStyle name="Normal 4 3 5 4 2 2 3" xfId="6118" xr:uid="{00000000-0005-0000-0000-000004270000}"/>
    <cellStyle name="Normal 4 3 5 4 2 2 3 2" xfId="12479" xr:uid="{00000000-0005-0000-0000-000005270000}"/>
    <cellStyle name="Normal 4 3 5 4 2 2 4" xfId="9300" xr:uid="{00000000-0005-0000-0000-000006270000}"/>
    <cellStyle name="Normal 4 3 5 4 2 3" xfId="3682" xr:uid="{00000000-0005-0000-0000-000007270000}"/>
    <cellStyle name="Normal 4 3 5 4 2 3 2" xfId="6910" xr:uid="{00000000-0005-0000-0000-000008270000}"/>
    <cellStyle name="Normal 4 3 5 4 2 3 2 2" xfId="13271" xr:uid="{00000000-0005-0000-0000-000009270000}"/>
    <cellStyle name="Normal 4 3 5 4 2 3 3" xfId="10092" xr:uid="{00000000-0005-0000-0000-00000A270000}"/>
    <cellStyle name="Normal 4 3 5 4 2 4" xfId="5326" xr:uid="{00000000-0005-0000-0000-00000B270000}"/>
    <cellStyle name="Normal 4 3 5 4 2 4 2" xfId="11687" xr:uid="{00000000-0005-0000-0000-00000C270000}"/>
    <cellStyle name="Normal 4 3 5 4 2 5" xfId="8508" xr:uid="{00000000-0005-0000-0000-00000D270000}"/>
    <cellStyle name="Normal 4 3 5 4 3" xfId="2494" xr:uid="{00000000-0005-0000-0000-00000E270000}"/>
    <cellStyle name="Normal 4 3 5 4 3 2" xfId="4078" xr:uid="{00000000-0005-0000-0000-00000F270000}"/>
    <cellStyle name="Normal 4 3 5 4 3 2 2" xfId="7306" xr:uid="{00000000-0005-0000-0000-000010270000}"/>
    <cellStyle name="Normal 4 3 5 4 3 2 2 2" xfId="13667" xr:uid="{00000000-0005-0000-0000-000011270000}"/>
    <cellStyle name="Normal 4 3 5 4 3 2 3" xfId="10488" xr:uid="{00000000-0005-0000-0000-000012270000}"/>
    <cellStyle name="Normal 4 3 5 4 3 3" xfId="5722" xr:uid="{00000000-0005-0000-0000-000013270000}"/>
    <cellStyle name="Normal 4 3 5 4 3 3 2" xfId="12083" xr:uid="{00000000-0005-0000-0000-000014270000}"/>
    <cellStyle name="Normal 4 3 5 4 3 4" xfId="8904" xr:uid="{00000000-0005-0000-0000-000015270000}"/>
    <cellStyle name="Normal 4 3 5 4 4" xfId="3286" xr:uid="{00000000-0005-0000-0000-000016270000}"/>
    <cellStyle name="Normal 4 3 5 4 4 2" xfId="6514" xr:uid="{00000000-0005-0000-0000-000017270000}"/>
    <cellStyle name="Normal 4 3 5 4 4 2 2" xfId="12875" xr:uid="{00000000-0005-0000-0000-000018270000}"/>
    <cellStyle name="Normal 4 3 5 4 4 3" xfId="9696" xr:uid="{00000000-0005-0000-0000-000019270000}"/>
    <cellStyle name="Normal 4 3 5 4 5" xfId="4930" xr:uid="{00000000-0005-0000-0000-00001A270000}"/>
    <cellStyle name="Normal 4 3 5 4 5 2" xfId="11291" xr:uid="{00000000-0005-0000-0000-00001B270000}"/>
    <cellStyle name="Normal 4 3 5 4 6" xfId="8112" xr:uid="{00000000-0005-0000-0000-00001C270000}"/>
    <cellStyle name="Normal 4 3 5 5" xfId="1900" xr:uid="{00000000-0005-0000-0000-00001D270000}"/>
    <cellStyle name="Normal 4 3 5 5 2" xfId="2692" xr:uid="{00000000-0005-0000-0000-00001E270000}"/>
    <cellStyle name="Normal 4 3 5 5 2 2" xfId="4276" xr:uid="{00000000-0005-0000-0000-00001F270000}"/>
    <cellStyle name="Normal 4 3 5 5 2 2 2" xfId="7504" xr:uid="{00000000-0005-0000-0000-000020270000}"/>
    <cellStyle name="Normal 4 3 5 5 2 2 2 2" xfId="13865" xr:uid="{00000000-0005-0000-0000-000021270000}"/>
    <cellStyle name="Normal 4 3 5 5 2 2 3" xfId="10686" xr:uid="{00000000-0005-0000-0000-000022270000}"/>
    <cellStyle name="Normal 4 3 5 5 2 3" xfId="5920" xr:uid="{00000000-0005-0000-0000-000023270000}"/>
    <cellStyle name="Normal 4 3 5 5 2 3 2" xfId="12281" xr:uid="{00000000-0005-0000-0000-000024270000}"/>
    <cellStyle name="Normal 4 3 5 5 2 4" xfId="9102" xr:uid="{00000000-0005-0000-0000-000025270000}"/>
    <cellStyle name="Normal 4 3 5 5 3" xfId="3484" xr:uid="{00000000-0005-0000-0000-000026270000}"/>
    <cellStyle name="Normal 4 3 5 5 3 2" xfId="6712" xr:uid="{00000000-0005-0000-0000-000027270000}"/>
    <cellStyle name="Normal 4 3 5 5 3 2 2" xfId="13073" xr:uid="{00000000-0005-0000-0000-000028270000}"/>
    <cellStyle name="Normal 4 3 5 5 3 3" xfId="9894" xr:uid="{00000000-0005-0000-0000-000029270000}"/>
    <cellStyle name="Normal 4 3 5 5 4" xfId="5128" xr:uid="{00000000-0005-0000-0000-00002A270000}"/>
    <cellStyle name="Normal 4 3 5 5 4 2" xfId="11489" xr:uid="{00000000-0005-0000-0000-00002B270000}"/>
    <cellStyle name="Normal 4 3 5 5 5" xfId="8310" xr:uid="{00000000-0005-0000-0000-00002C270000}"/>
    <cellStyle name="Normal 4 3 5 6" xfId="2296" xr:uid="{00000000-0005-0000-0000-00002D270000}"/>
    <cellStyle name="Normal 4 3 5 6 2" xfId="3880" xr:uid="{00000000-0005-0000-0000-00002E270000}"/>
    <cellStyle name="Normal 4 3 5 6 2 2" xfId="7108" xr:uid="{00000000-0005-0000-0000-00002F270000}"/>
    <cellStyle name="Normal 4 3 5 6 2 2 2" xfId="13469" xr:uid="{00000000-0005-0000-0000-000030270000}"/>
    <cellStyle name="Normal 4 3 5 6 2 3" xfId="10290" xr:uid="{00000000-0005-0000-0000-000031270000}"/>
    <cellStyle name="Normal 4 3 5 6 3" xfId="5524" xr:uid="{00000000-0005-0000-0000-000032270000}"/>
    <cellStyle name="Normal 4 3 5 6 3 2" xfId="11885" xr:uid="{00000000-0005-0000-0000-000033270000}"/>
    <cellStyle name="Normal 4 3 5 6 4" xfId="8706" xr:uid="{00000000-0005-0000-0000-000034270000}"/>
    <cellStyle name="Normal 4 3 5 7" xfId="3088" xr:uid="{00000000-0005-0000-0000-000035270000}"/>
    <cellStyle name="Normal 4 3 5 7 2" xfId="6316" xr:uid="{00000000-0005-0000-0000-000036270000}"/>
    <cellStyle name="Normal 4 3 5 7 2 2" xfId="12677" xr:uid="{00000000-0005-0000-0000-000037270000}"/>
    <cellStyle name="Normal 4 3 5 7 3" xfId="9498" xr:uid="{00000000-0005-0000-0000-000038270000}"/>
    <cellStyle name="Normal 4 3 5 8" xfId="4732" xr:uid="{00000000-0005-0000-0000-000039270000}"/>
    <cellStyle name="Normal 4 3 5 8 2" xfId="11093" xr:uid="{00000000-0005-0000-0000-00003A270000}"/>
    <cellStyle name="Normal 4 3 5 9" xfId="7914" xr:uid="{00000000-0005-0000-0000-00003B270000}"/>
    <cellStyle name="Normal 4 3 6" xfId="1537" xr:uid="{00000000-0005-0000-0000-00003C270000}"/>
    <cellStyle name="Normal 4 3 6 2" xfId="1735" xr:uid="{00000000-0005-0000-0000-00003D270000}"/>
    <cellStyle name="Normal 4 3 6 2 2" xfId="2131" xr:uid="{00000000-0005-0000-0000-00003E270000}"/>
    <cellStyle name="Normal 4 3 6 2 2 2" xfId="2923" xr:uid="{00000000-0005-0000-0000-00003F270000}"/>
    <cellStyle name="Normal 4 3 6 2 2 2 2" xfId="4507" xr:uid="{00000000-0005-0000-0000-000040270000}"/>
    <cellStyle name="Normal 4 3 6 2 2 2 2 2" xfId="7735" xr:uid="{00000000-0005-0000-0000-000041270000}"/>
    <cellStyle name="Normal 4 3 6 2 2 2 2 2 2" xfId="14096" xr:uid="{00000000-0005-0000-0000-000042270000}"/>
    <cellStyle name="Normal 4 3 6 2 2 2 2 3" xfId="10917" xr:uid="{00000000-0005-0000-0000-000043270000}"/>
    <cellStyle name="Normal 4 3 6 2 2 2 3" xfId="6151" xr:uid="{00000000-0005-0000-0000-000044270000}"/>
    <cellStyle name="Normal 4 3 6 2 2 2 3 2" xfId="12512" xr:uid="{00000000-0005-0000-0000-000045270000}"/>
    <cellStyle name="Normal 4 3 6 2 2 2 4" xfId="9333" xr:uid="{00000000-0005-0000-0000-000046270000}"/>
    <cellStyle name="Normal 4 3 6 2 2 3" xfId="3715" xr:uid="{00000000-0005-0000-0000-000047270000}"/>
    <cellStyle name="Normal 4 3 6 2 2 3 2" xfId="6943" xr:uid="{00000000-0005-0000-0000-000048270000}"/>
    <cellStyle name="Normal 4 3 6 2 2 3 2 2" xfId="13304" xr:uid="{00000000-0005-0000-0000-000049270000}"/>
    <cellStyle name="Normal 4 3 6 2 2 3 3" xfId="10125" xr:uid="{00000000-0005-0000-0000-00004A270000}"/>
    <cellStyle name="Normal 4 3 6 2 2 4" xfId="5359" xr:uid="{00000000-0005-0000-0000-00004B270000}"/>
    <cellStyle name="Normal 4 3 6 2 2 4 2" xfId="11720" xr:uid="{00000000-0005-0000-0000-00004C270000}"/>
    <cellStyle name="Normal 4 3 6 2 2 5" xfId="8541" xr:uid="{00000000-0005-0000-0000-00004D270000}"/>
    <cellStyle name="Normal 4 3 6 2 3" xfId="2527" xr:uid="{00000000-0005-0000-0000-00004E270000}"/>
    <cellStyle name="Normal 4 3 6 2 3 2" xfId="4111" xr:uid="{00000000-0005-0000-0000-00004F270000}"/>
    <cellStyle name="Normal 4 3 6 2 3 2 2" xfId="7339" xr:uid="{00000000-0005-0000-0000-000050270000}"/>
    <cellStyle name="Normal 4 3 6 2 3 2 2 2" xfId="13700" xr:uid="{00000000-0005-0000-0000-000051270000}"/>
    <cellStyle name="Normal 4 3 6 2 3 2 3" xfId="10521" xr:uid="{00000000-0005-0000-0000-000052270000}"/>
    <cellStyle name="Normal 4 3 6 2 3 3" xfId="5755" xr:uid="{00000000-0005-0000-0000-000053270000}"/>
    <cellStyle name="Normal 4 3 6 2 3 3 2" xfId="12116" xr:uid="{00000000-0005-0000-0000-000054270000}"/>
    <cellStyle name="Normal 4 3 6 2 3 4" xfId="8937" xr:uid="{00000000-0005-0000-0000-000055270000}"/>
    <cellStyle name="Normal 4 3 6 2 4" xfId="3319" xr:uid="{00000000-0005-0000-0000-000056270000}"/>
    <cellStyle name="Normal 4 3 6 2 4 2" xfId="6547" xr:uid="{00000000-0005-0000-0000-000057270000}"/>
    <cellStyle name="Normal 4 3 6 2 4 2 2" xfId="12908" xr:uid="{00000000-0005-0000-0000-000058270000}"/>
    <cellStyle name="Normal 4 3 6 2 4 3" xfId="9729" xr:uid="{00000000-0005-0000-0000-000059270000}"/>
    <cellStyle name="Normal 4 3 6 2 5" xfId="4963" xr:uid="{00000000-0005-0000-0000-00005A270000}"/>
    <cellStyle name="Normal 4 3 6 2 5 2" xfId="11324" xr:uid="{00000000-0005-0000-0000-00005B270000}"/>
    <cellStyle name="Normal 4 3 6 2 6" xfId="8145" xr:uid="{00000000-0005-0000-0000-00005C270000}"/>
    <cellStyle name="Normal 4 3 6 3" xfId="1933" xr:uid="{00000000-0005-0000-0000-00005D270000}"/>
    <cellStyle name="Normal 4 3 6 3 2" xfId="2725" xr:uid="{00000000-0005-0000-0000-00005E270000}"/>
    <cellStyle name="Normal 4 3 6 3 2 2" xfId="4309" xr:uid="{00000000-0005-0000-0000-00005F270000}"/>
    <cellStyle name="Normal 4 3 6 3 2 2 2" xfId="7537" xr:uid="{00000000-0005-0000-0000-000060270000}"/>
    <cellStyle name="Normal 4 3 6 3 2 2 2 2" xfId="13898" xr:uid="{00000000-0005-0000-0000-000061270000}"/>
    <cellStyle name="Normal 4 3 6 3 2 2 3" xfId="10719" xr:uid="{00000000-0005-0000-0000-000062270000}"/>
    <cellStyle name="Normal 4 3 6 3 2 3" xfId="5953" xr:uid="{00000000-0005-0000-0000-000063270000}"/>
    <cellStyle name="Normal 4 3 6 3 2 3 2" xfId="12314" xr:uid="{00000000-0005-0000-0000-000064270000}"/>
    <cellStyle name="Normal 4 3 6 3 2 4" xfId="9135" xr:uid="{00000000-0005-0000-0000-000065270000}"/>
    <cellStyle name="Normal 4 3 6 3 3" xfId="3517" xr:uid="{00000000-0005-0000-0000-000066270000}"/>
    <cellStyle name="Normal 4 3 6 3 3 2" xfId="6745" xr:uid="{00000000-0005-0000-0000-000067270000}"/>
    <cellStyle name="Normal 4 3 6 3 3 2 2" xfId="13106" xr:uid="{00000000-0005-0000-0000-000068270000}"/>
    <cellStyle name="Normal 4 3 6 3 3 3" xfId="9927" xr:uid="{00000000-0005-0000-0000-000069270000}"/>
    <cellStyle name="Normal 4 3 6 3 4" xfId="5161" xr:uid="{00000000-0005-0000-0000-00006A270000}"/>
    <cellStyle name="Normal 4 3 6 3 4 2" xfId="11522" xr:uid="{00000000-0005-0000-0000-00006B270000}"/>
    <cellStyle name="Normal 4 3 6 3 5" xfId="8343" xr:uid="{00000000-0005-0000-0000-00006C270000}"/>
    <cellStyle name="Normal 4 3 6 4" xfId="2329" xr:uid="{00000000-0005-0000-0000-00006D270000}"/>
    <cellStyle name="Normal 4 3 6 4 2" xfId="3913" xr:uid="{00000000-0005-0000-0000-00006E270000}"/>
    <cellStyle name="Normal 4 3 6 4 2 2" xfId="7141" xr:uid="{00000000-0005-0000-0000-00006F270000}"/>
    <cellStyle name="Normal 4 3 6 4 2 2 2" xfId="13502" xr:uid="{00000000-0005-0000-0000-000070270000}"/>
    <cellStyle name="Normal 4 3 6 4 2 3" xfId="10323" xr:uid="{00000000-0005-0000-0000-000071270000}"/>
    <cellStyle name="Normal 4 3 6 4 3" xfId="5557" xr:uid="{00000000-0005-0000-0000-000072270000}"/>
    <cellStyle name="Normal 4 3 6 4 3 2" xfId="11918" xr:uid="{00000000-0005-0000-0000-000073270000}"/>
    <cellStyle name="Normal 4 3 6 4 4" xfId="8739" xr:uid="{00000000-0005-0000-0000-000074270000}"/>
    <cellStyle name="Normal 4 3 6 5" xfId="3121" xr:uid="{00000000-0005-0000-0000-000075270000}"/>
    <cellStyle name="Normal 4 3 6 5 2" xfId="6349" xr:uid="{00000000-0005-0000-0000-000076270000}"/>
    <cellStyle name="Normal 4 3 6 5 2 2" xfId="12710" xr:uid="{00000000-0005-0000-0000-000077270000}"/>
    <cellStyle name="Normal 4 3 6 5 3" xfId="9531" xr:uid="{00000000-0005-0000-0000-000078270000}"/>
    <cellStyle name="Normal 4 3 6 6" xfId="4765" xr:uid="{00000000-0005-0000-0000-000079270000}"/>
    <cellStyle name="Normal 4 3 6 6 2" xfId="11126" xr:uid="{00000000-0005-0000-0000-00007A270000}"/>
    <cellStyle name="Normal 4 3 6 7" xfId="7947" xr:uid="{00000000-0005-0000-0000-00007B270000}"/>
    <cellStyle name="Normal 4 3 7" xfId="1605" xr:uid="{00000000-0005-0000-0000-00007C270000}"/>
    <cellStyle name="Normal 4 3 7 2" xfId="1803" xr:uid="{00000000-0005-0000-0000-00007D270000}"/>
    <cellStyle name="Normal 4 3 7 2 2" xfId="2199" xr:uid="{00000000-0005-0000-0000-00007E270000}"/>
    <cellStyle name="Normal 4 3 7 2 2 2" xfId="2991" xr:uid="{00000000-0005-0000-0000-00007F270000}"/>
    <cellStyle name="Normal 4 3 7 2 2 2 2" xfId="4575" xr:uid="{00000000-0005-0000-0000-000080270000}"/>
    <cellStyle name="Normal 4 3 7 2 2 2 2 2" xfId="7803" xr:uid="{00000000-0005-0000-0000-000081270000}"/>
    <cellStyle name="Normal 4 3 7 2 2 2 2 2 2" xfId="14164" xr:uid="{00000000-0005-0000-0000-000082270000}"/>
    <cellStyle name="Normal 4 3 7 2 2 2 2 3" xfId="10985" xr:uid="{00000000-0005-0000-0000-000083270000}"/>
    <cellStyle name="Normal 4 3 7 2 2 2 3" xfId="6219" xr:uid="{00000000-0005-0000-0000-000084270000}"/>
    <cellStyle name="Normal 4 3 7 2 2 2 3 2" xfId="12580" xr:uid="{00000000-0005-0000-0000-000085270000}"/>
    <cellStyle name="Normal 4 3 7 2 2 2 4" xfId="9401" xr:uid="{00000000-0005-0000-0000-000086270000}"/>
    <cellStyle name="Normal 4 3 7 2 2 3" xfId="3783" xr:uid="{00000000-0005-0000-0000-000087270000}"/>
    <cellStyle name="Normal 4 3 7 2 2 3 2" xfId="7011" xr:uid="{00000000-0005-0000-0000-000088270000}"/>
    <cellStyle name="Normal 4 3 7 2 2 3 2 2" xfId="13372" xr:uid="{00000000-0005-0000-0000-000089270000}"/>
    <cellStyle name="Normal 4 3 7 2 2 3 3" xfId="10193" xr:uid="{00000000-0005-0000-0000-00008A270000}"/>
    <cellStyle name="Normal 4 3 7 2 2 4" xfId="5427" xr:uid="{00000000-0005-0000-0000-00008B270000}"/>
    <cellStyle name="Normal 4 3 7 2 2 4 2" xfId="11788" xr:uid="{00000000-0005-0000-0000-00008C270000}"/>
    <cellStyle name="Normal 4 3 7 2 2 5" xfId="8609" xr:uid="{00000000-0005-0000-0000-00008D270000}"/>
    <cellStyle name="Normal 4 3 7 2 3" xfId="2595" xr:uid="{00000000-0005-0000-0000-00008E270000}"/>
    <cellStyle name="Normal 4 3 7 2 3 2" xfId="4179" xr:uid="{00000000-0005-0000-0000-00008F270000}"/>
    <cellStyle name="Normal 4 3 7 2 3 2 2" xfId="7407" xr:uid="{00000000-0005-0000-0000-000090270000}"/>
    <cellStyle name="Normal 4 3 7 2 3 2 2 2" xfId="13768" xr:uid="{00000000-0005-0000-0000-000091270000}"/>
    <cellStyle name="Normal 4 3 7 2 3 2 3" xfId="10589" xr:uid="{00000000-0005-0000-0000-000092270000}"/>
    <cellStyle name="Normal 4 3 7 2 3 3" xfId="5823" xr:uid="{00000000-0005-0000-0000-000093270000}"/>
    <cellStyle name="Normal 4 3 7 2 3 3 2" xfId="12184" xr:uid="{00000000-0005-0000-0000-000094270000}"/>
    <cellStyle name="Normal 4 3 7 2 3 4" xfId="9005" xr:uid="{00000000-0005-0000-0000-000095270000}"/>
    <cellStyle name="Normal 4 3 7 2 4" xfId="3387" xr:uid="{00000000-0005-0000-0000-000096270000}"/>
    <cellStyle name="Normal 4 3 7 2 4 2" xfId="6615" xr:uid="{00000000-0005-0000-0000-000097270000}"/>
    <cellStyle name="Normal 4 3 7 2 4 2 2" xfId="12976" xr:uid="{00000000-0005-0000-0000-000098270000}"/>
    <cellStyle name="Normal 4 3 7 2 4 3" xfId="9797" xr:uid="{00000000-0005-0000-0000-000099270000}"/>
    <cellStyle name="Normal 4 3 7 2 5" xfId="5031" xr:uid="{00000000-0005-0000-0000-00009A270000}"/>
    <cellStyle name="Normal 4 3 7 2 5 2" xfId="11392" xr:uid="{00000000-0005-0000-0000-00009B270000}"/>
    <cellStyle name="Normal 4 3 7 2 6" xfId="8213" xr:uid="{00000000-0005-0000-0000-00009C270000}"/>
    <cellStyle name="Normal 4 3 7 3" xfId="2001" xr:uid="{00000000-0005-0000-0000-00009D270000}"/>
    <cellStyle name="Normal 4 3 7 3 2" xfId="2793" xr:uid="{00000000-0005-0000-0000-00009E270000}"/>
    <cellStyle name="Normal 4 3 7 3 2 2" xfId="4377" xr:uid="{00000000-0005-0000-0000-00009F270000}"/>
    <cellStyle name="Normal 4 3 7 3 2 2 2" xfId="7605" xr:uid="{00000000-0005-0000-0000-0000A0270000}"/>
    <cellStyle name="Normal 4 3 7 3 2 2 2 2" xfId="13966" xr:uid="{00000000-0005-0000-0000-0000A1270000}"/>
    <cellStyle name="Normal 4 3 7 3 2 2 3" xfId="10787" xr:uid="{00000000-0005-0000-0000-0000A2270000}"/>
    <cellStyle name="Normal 4 3 7 3 2 3" xfId="6021" xr:uid="{00000000-0005-0000-0000-0000A3270000}"/>
    <cellStyle name="Normal 4 3 7 3 2 3 2" xfId="12382" xr:uid="{00000000-0005-0000-0000-0000A4270000}"/>
    <cellStyle name="Normal 4 3 7 3 2 4" xfId="9203" xr:uid="{00000000-0005-0000-0000-0000A5270000}"/>
    <cellStyle name="Normal 4 3 7 3 3" xfId="3585" xr:uid="{00000000-0005-0000-0000-0000A6270000}"/>
    <cellStyle name="Normal 4 3 7 3 3 2" xfId="6813" xr:uid="{00000000-0005-0000-0000-0000A7270000}"/>
    <cellStyle name="Normal 4 3 7 3 3 2 2" xfId="13174" xr:uid="{00000000-0005-0000-0000-0000A8270000}"/>
    <cellStyle name="Normal 4 3 7 3 3 3" xfId="9995" xr:uid="{00000000-0005-0000-0000-0000A9270000}"/>
    <cellStyle name="Normal 4 3 7 3 4" xfId="5229" xr:uid="{00000000-0005-0000-0000-0000AA270000}"/>
    <cellStyle name="Normal 4 3 7 3 4 2" xfId="11590" xr:uid="{00000000-0005-0000-0000-0000AB270000}"/>
    <cellStyle name="Normal 4 3 7 3 5" xfId="8411" xr:uid="{00000000-0005-0000-0000-0000AC270000}"/>
    <cellStyle name="Normal 4 3 7 4" xfId="2397" xr:uid="{00000000-0005-0000-0000-0000AD270000}"/>
    <cellStyle name="Normal 4 3 7 4 2" xfId="3981" xr:uid="{00000000-0005-0000-0000-0000AE270000}"/>
    <cellStyle name="Normal 4 3 7 4 2 2" xfId="7209" xr:uid="{00000000-0005-0000-0000-0000AF270000}"/>
    <cellStyle name="Normal 4 3 7 4 2 2 2" xfId="13570" xr:uid="{00000000-0005-0000-0000-0000B0270000}"/>
    <cellStyle name="Normal 4 3 7 4 2 3" xfId="10391" xr:uid="{00000000-0005-0000-0000-0000B1270000}"/>
    <cellStyle name="Normal 4 3 7 4 3" xfId="5625" xr:uid="{00000000-0005-0000-0000-0000B2270000}"/>
    <cellStyle name="Normal 4 3 7 4 3 2" xfId="11986" xr:uid="{00000000-0005-0000-0000-0000B3270000}"/>
    <cellStyle name="Normal 4 3 7 4 4" xfId="8807" xr:uid="{00000000-0005-0000-0000-0000B4270000}"/>
    <cellStyle name="Normal 4 3 7 5" xfId="3189" xr:uid="{00000000-0005-0000-0000-0000B5270000}"/>
    <cellStyle name="Normal 4 3 7 5 2" xfId="6417" xr:uid="{00000000-0005-0000-0000-0000B6270000}"/>
    <cellStyle name="Normal 4 3 7 5 2 2" xfId="12778" xr:uid="{00000000-0005-0000-0000-0000B7270000}"/>
    <cellStyle name="Normal 4 3 7 5 3" xfId="9599" xr:uid="{00000000-0005-0000-0000-0000B8270000}"/>
    <cellStyle name="Normal 4 3 7 6" xfId="4833" xr:uid="{00000000-0005-0000-0000-0000B9270000}"/>
    <cellStyle name="Normal 4 3 7 6 2" xfId="11194" xr:uid="{00000000-0005-0000-0000-0000BA270000}"/>
    <cellStyle name="Normal 4 3 7 7" xfId="8015" xr:uid="{00000000-0005-0000-0000-0000BB270000}"/>
    <cellStyle name="Normal 4 3 8" xfId="1670" xr:uid="{00000000-0005-0000-0000-0000BC270000}"/>
    <cellStyle name="Normal 4 3 8 2" xfId="2066" xr:uid="{00000000-0005-0000-0000-0000BD270000}"/>
    <cellStyle name="Normal 4 3 8 2 2" xfId="2858" xr:uid="{00000000-0005-0000-0000-0000BE270000}"/>
    <cellStyle name="Normal 4 3 8 2 2 2" xfId="4442" xr:uid="{00000000-0005-0000-0000-0000BF270000}"/>
    <cellStyle name="Normal 4 3 8 2 2 2 2" xfId="7670" xr:uid="{00000000-0005-0000-0000-0000C0270000}"/>
    <cellStyle name="Normal 4 3 8 2 2 2 2 2" xfId="14031" xr:uid="{00000000-0005-0000-0000-0000C1270000}"/>
    <cellStyle name="Normal 4 3 8 2 2 2 3" xfId="10852" xr:uid="{00000000-0005-0000-0000-0000C2270000}"/>
    <cellStyle name="Normal 4 3 8 2 2 3" xfId="6086" xr:uid="{00000000-0005-0000-0000-0000C3270000}"/>
    <cellStyle name="Normal 4 3 8 2 2 3 2" xfId="12447" xr:uid="{00000000-0005-0000-0000-0000C4270000}"/>
    <cellStyle name="Normal 4 3 8 2 2 4" xfId="9268" xr:uid="{00000000-0005-0000-0000-0000C5270000}"/>
    <cellStyle name="Normal 4 3 8 2 3" xfId="3650" xr:uid="{00000000-0005-0000-0000-0000C6270000}"/>
    <cellStyle name="Normal 4 3 8 2 3 2" xfId="6878" xr:uid="{00000000-0005-0000-0000-0000C7270000}"/>
    <cellStyle name="Normal 4 3 8 2 3 2 2" xfId="13239" xr:uid="{00000000-0005-0000-0000-0000C8270000}"/>
    <cellStyle name="Normal 4 3 8 2 3 3" xfId="10060" xr:uid="{00000000-0005-0000-0000-0000C9270000}"/>
    <cellStyle name="Normal 4 3 8 2 4" xfId="5294" xr:uid="{00000000-0005-0000-0000-0000CA270000}"/>
    <cellStyle name="Normal 4 3 8 2 4 2" xfId="11655" xr:uid="{00000000-0005-0000-0000-0000CB270000}"/>
    <cellStyle name="Normal 4 3 8 2 5" xfId="8476" xr:uid="{00000000-0005-0000-0000-0000CC270000}"/>
    <cellStyle name="Normal 4 3 8 3" xfId="2462" xr:uid="{00000000-0005-0000-0000-0000CD270000}"/>
    <cellStyle name="Normal 4 3 8 3 2" xfId="4046" xr:uid="{00000000-0005-0000-0000-0000CE270000}"/>
    <cellStyle name="Normal 4 3 8 3 2 2" xfId="7274" xr:uid="{00000000-0005-0000-0000-0000CF270000}"/>
    <cellStyle name="Normal 4 3 8 3 2 2 2" xfId="13635" xr:uid="{00000000-0005-0000-0000-0000D0270000}"/>
    <cellStyle name="Normal 4 3 8 3 2 3" xfId="10456" xr:uid="{00000000-0005-0000-0000-0000D1270000}"/>
    <cellStyle name="Normal 4 3 8 3 3" xfId="5690" xr:uid="{00000000-0005-0000-0000-0000D2270000}"/>
    <cellStyle name="Normal 4 3 8 3 3 2" xfId="12051" xr:uid="{00000000-0005-0000-0000-0000D3270000}"/>
    <cellStyle name="Normal 4 3 8 3 4" xfId="8872" xr:uid="{00000000-0005-0000-0000-0000D4270000}"/>
    <cellStyle name="Normal 4 3 8 4" xfId="3254" xr:uid="{00000000-0005-0000-0000-0000D5270000}"/>
    <cellStyle name="Normal 4 3 8 4 2" xfId="6482" xr:uid="{00000000-0005-0000-0000-0000D6270000}"/>
    <cellStyle name="Normal 4 3 8 4 2 2" xfId="12843" xr:uid="{00000000-0005-0000-0000-0000D7270000}"/>
    <cellStyle name="Normal 4 3 8 4 3" xfId="9664" xr:uid="{00000000-0005-0000-0000-0000D8270000}"/>
    <cellStyle name="Normal 4 3 8 5" xfId="4898" xr:uid="{00000000-0005-0000-0000-0000D9270000}"/>
    <cellStyle name="Normal 4 3 8 5 2" xfId="11259" xr:uid="{00000000-0005-0000-0000-0000DA270000}"/>
    <cellStyle name="Normal 4 3 8 6" xfId="8080" xr:uid="{00000000-0005-0000-0000-0000DB270000}"/>
    <cellStyle name="Normal 4 3 9" xfId="1868" xr:uid="{00000000-0005-0000-0000-0000DC270000}"/>
    <cellStyle name="Normal 4 3 9 2" xfId="2660" xr:uid="{00000000-0005-0000-0000-0000DD270000}"/>
    <cellStyle name="Normal 4 3 9 2 2" xfId="4244" xr:uid="{00000000-0005-0000-0000-0000DE270000}"/>
    <cellStyle name="Normal 4 3 9 2 2 2" xfId="7472" xr:uid="{00000000-0005-0000-0000-0000DF270000}"/>
    <cellStyle name="Normal 4 3 9 2 2 2 2" xfId="13833" xr:uid="{00000000-0005-0000-0000-0000E0270000}"/>
    <cellStyle name="Normal 4 3 9 2 2 3" xfId="10654" xr:uid="{00000000-0005-0000-0000-0000E1270000}"/>
    <cellStyle name="Normal 4 3 9 2 3" xfId="5888" xr:uid="{00000000-0005-0000-0000-0000E2270000}"/>
    <cellStyle name="Normal 4 3 9 2 3 2" xfId="12249" xr:uid="{00000000-0005-0000-0000-0000E3270000}"/>
    <cellStyle name="Normal 4 3 9 2 4" xfId="9070" xr:uid="{00000000-0005-0000-0000-0000E4270000}"/>
    <cellStyle name="Normal 4 3 9 3" xfId="3452" xr:uid="{00000000-0005-0000-0000-0000E5270000}"/>
    <cellStyle name="Normal 4 3 9 3 2" xfId="6680" xr:uid="{00000000-0005-0000-0000-0000E6270000}"/>
    <cellStyle name="Normal 4 3 9 3 2 2" xfId="13041" xr:uid="{00000000-0005-0000-0000-0000E7270000}"/>
    <cellStyle name="Normal 4 3 9 3 3" xfId="9862" xr:uid="{00000000-0005-0000-0000-0000E8270000}"/>
    <cellStyle name="Normal 4 3 9 4" xfId="5096" xr:uid="{00000000-0005-0000-0000-0000E9270000}"/>
    <cellStyle name="Normal 4 3 9 4 2" xfId="11457" xr:uid="{00000000-0005-0000-0000-0000EA270000}"/>
    <cellStyle name="Normal 4 3 9 5" xfId="8278" xr:uid="{00000000-0005-0000-0000-0000EB270000}"/>
    <cellStyle name="Normal 4 4" xfId="1427" xr:uid="{00000000-0005-0000-0000-0000EC270000}"/>
    <cellStyle name="Normal 4 4 10" xfId="3058" xr:uid="{00000000-0005-0000-0000-0000ED270000}"/>
    <cellStyle name="Normal 4 4 10 2" xfId="6286" xr:uid="{00000000-0005-0000-0000-0000EE270000}"/>
    <cellStyle name="Normal 4 4 10 2 2" xfId="12647" xr:uid="{00000000-0005-0000-0000-0000EF270000}"/>
    <cellStyle name="Normal 4 4 10 3" xfId="9468" xr:uid="{00000000-0005-0000-0000-0000F0270000}"/>
    <cellStyle name="Normal 4 4 11" xfId="4702" xr:uid="{00000000-0005-0000-0000-0000F1270000}"/>
    <cellStyle name="Normal 4 4 11 2" xfId="11063" xr:uid="{00000000-0005-0000-0000-0000F2270000}"/>
    <cellStyle name="Normal 4 4 12" xfId="7884" xr:uid="{00000000-0005-0000-0000-0000F3270000}"/>
    <cellStyle name="Normal 4 4 2" xfId="1435" xr:uid="{00000000-0005-0000-0000-0000F4270000}"/>
    <cellStyle name="Normal 4 4 2 10" xfId="4710" xr:uid="{00000000-0005-0000-0000-0000F5270000}"/>
    <cellStyle name="Normal 4 4 2 10 2" xfId="11071" xr:uid="{00000000-0005-0000-0000-0000F6270000}"/>
    <cellStyle name="Normal 4 4 2 11" xfId="7892" xr:uid="{00000000-0005-0000-0000-0000F7270000}"/>
    <cellStyle name="Normal 4 4 2 2" xfId="1451" xr:uid="{00000000-0005-0000-0000-0000F8270000}"/>
    <cellStyle name="Normal 4 4 2 2 10" xfId="7908" xr:uid="{00000000-0005-0000-0000-0000F9270000}"/>
    <cellStyle name="Normal 4 4 2 2 2" xfId="1483" xr:uid="{00000000-0005-0000-0000-0000FA270000}"/>
    <cellStyle name="Normal 4 4 2 2 2 2" xfId="1595" xr:uid="{00000000-0005-0000-0000-0000FB270000}"/>
    <cellStyle name="Normal 4 4 2 2 2 2 2" xfId="1793" xr:uid="{00000000-0005-0000-0000-0000FC270000}"/>
    <cellStyle name="Normal 4 4 2 2 2 2 2 2" xfId="2189" xr:uid="{00000000-0005-0000-0000-0000FD270000}"/>
    <cellStyle name="Normal 4 4 2 2 2 2 2 2 2" xfId="2981" xr:uid="{00000000-0005-0000-0000-0000FE270000}"/>
    <cellStyle name="Normal 4 4 2 2 2 2 2 2 2 2" xfId="4565" xr:uid="{00000000-0005-0000-0000-0000FF270000}"/>
    <cellStyle name="Normal 4 4 2 2 2 2 2 2 2 2 2" xfId="7793" xr:uid="{00000000-0005-0000-0000-000000280000}"/>
    <cellStyle name="Normal 4 4 2 2 2 2 2 2 2 2 2 2" xfId="14154" xr:uid="{00000000-0005-0000-0000-000001280000}"/>
    <cellStyle name="Normal 4 4 2 2 2 2 2 2 2 2 3" xfId="10975" xr:uid="{00000000-0005-0000-0000-000002280000}"/>
    <cellStyle name="Normal 4 4 2 2 2 2 2 2 2 3" xfId="6209" xr:uid="{00000000-0005-0000-0000-000003280000}"/>
    <cellStyle name="Normal 4 4 2 2 2 2 2 2 2 3 2" xfId="12570" xr:uid="{00000000-0005-0000-0000-000004280000}"/>
    <cellStyle name="Normal 4 4 2 2 2 2 2 2 2 4" xfId="9391" xr:uid="{00000000-0005-0000-0000-000005280000}"/>
    <cellStyle name="Normal 4 4 2 2 2 2 2 2 3" xfId="3773" xr:uid="{00000000-0005-0000-0000-000006280000}"/>
    <cellStyle name="Normal 4 4 2 2 2 2 2 2 3 2" xfId="7001" xr:uid="{00000000-0005-0000-0000-000007280000}"/>
    <cellStyle name="Normal 4 4 2 2 2 2 2 2 3 2 2" xfId="13362" xr:uid="{00000000-0005-0000-0000-000008280000}"/>
    <cellStyle name="Normal 4 4 2 2 2 2 2 2 3 3" xfId="10183" xr:uid="{00000000-0005-0000-0000-000009280000}"/>
    <cellStyle name="Normal 4 4 2 2 2 2 2 2 4" xfId="5417" xr:uid="{00000000-0005-0000-0000-00000A280000}"/>
    <cellStyle name="Normal 4 4 2 2 2 2 2 2 4 2" xfId="11778" xr:uid="{00000000-0005-0000-0000-00000B280000}"/>
    <cellStyle name="Normal 4 4 2 2 2 2 2 2 5" xfId="8599" xr:uid="{00000000-0005-0000-0000-00000C280000}"/>
    <cellStyle name="Normal 4 4 2 2 2 2 2 3" xfId="2585" xr:uid="{00000000-0005-0000-0000-00000D280000}"/>
    <cellStyle name="Normal 4 4 2 2 2 2 2 3 2" xfId="4169" xr:uid="{00000000-0005-0000-0000-00000E280000}"/>
    <cellStyle name="Normal 4 4 2 2 2 2 2 3 2 2" xfId="7397" xr:uid="{00000000-0005-0000-0000-00000F280000}"/>
    <cellStyle name="Normal 4 4 2 2 2 2 2 3 2 2 2" xfId="13758" xr:uid="{00000000-0005-0000-0000-000010280000}"/>
    <cellStyle name="Normal 4 4 2 2 2 2 2 3 2 3" xfId="10579" xr:uid="{00000000-0005-0000-0000-000011280000}"/>
    <cellStyle name="Normal 4 4 2 2 2 2 2 3 3" xfId="5813" xr:uid="{00000000-0005-0000-0000-000012280000}"/>
    <cellStyle name="Normal 4 4 2 2 2 2 2 3 3 2" xfId="12174" xr:uid="{00000000-0005-0000-0000-000013280000}"/>
    <cellStyle name="Normal 4 4 2 2 2 2 2 3 4" xfId="8995" xr:uid="{00000000-0005-0000-0000-000014280000}"/>
    <cellStyle name="Normal 4 4 2 2 2 2 2 4" xfId="3377" xr:uid="{00000000-0005-0000-0000-000015280000}"/>
    <cellStyle name="Normal 4 4 2 2 2 2 2 4 2" xfId="6605" xr:uid="{00000000-0005-0000-0000-000016280000}"/>
    <cellStyle name="Normal 4 4 2 2 2 2 2 4 2 2" xfId="12966" xr:uid="{00000000-0005-0000-0000-000017280000}"/>
    <cellStyle name="Normal 4 4 2 2 2 2 2 4 3" xfId="9787" xr:uid="{00000000-0005-0000-0000-000018280000}"/>
    <cellStyle name="Normal 4 4 2 2 2 2 2 5" xfId="5021" xr:uid="{00000000-0005-0000-0000-000019280000}"/>
    <cellStyle name="Normal 4 4 2 2 2 2 2 5 2" xfId="11382" xr:uid="{00000000-0005-0000-0000-00001A280000}"/>
    <cellStyle name="Normal 4 4 2 2 2 2 2 6" xfId="8203" xr:uid="{00000000-0005-0000-0000-00001B280000}"/>
    <cellStyle name="Normal 4 4 2 2 2 2 3" xfId="1991" xr:uid="{00000000-0005-0000-0000-00001C280000}"/>
    <cellStyle name="Normal 4 4 2 2 2 2 3 2" xfId="2783" xr:uid="{00000000-0005-0000-0000-00001D280000}"/>
    <cellStyle name="Normal 4 4 2 2 2 2 3 2 2" xfId="4367" xr:uid="{00000000-0005-0000-0000-00001E280000}"/>
    <cellStyle name="Normal 4 4 2 2 2 2 3 2 2 2" xfId="7595" xr:uid="{00000000-0005-0000-0000-00001F280000}"/>
    <cellStyle name="Normal 4 4 2 2 2 2 3 2 2 2 2" xfId="13956" xr:uid="{00000000-0005-0000-0000-000020280000}"/>
    <cellStyle name="Normal 4 4 2 2 2 2 3 2 2 3" xfId="10777" xr:uid="{00000000-0005-0000-0000-000021280000}"/>
    <cellStyle name="Normal 4 4 2 2 2 2 3 2 3" xfId="6011" xr:uid="{00000000-0005-0000-0000-000022280000}"/>
    <cellStyle name="Normal 4 4 2 2 2 2 3 2 3 2" xfId="12372" xr:uid="{00000000-0005-0000-0000-000023280000}"/>
    <cellStyle name="Normal 4 4 2 2 2 2 3 2 4" xfId="9193" xr:uid="{00000000-0005-0000-0000-000024280000}"/>
    <cellStyle name="Normal 4 4 2 2 2 2 3 3" xfId="3575" xr:uid="{00000000-0005-0000-0000-000025280000}"/>
    <cellStyle name="Normal 4 4 2 2 2 2 3 3 2" xfId="6803" xr:uid="{00000000-0005-0000-0000-000026280000}"/>
    <cellStyle name="Normal 4 4 2 2 2 2 3 3 2 2" xfId="13164" xr:uid="{00000000-0005-0000-0000-000027280000}"/>
    <cellStyle name="Normal 4 4 2 2 2 2 3 3 3" xfId="9985" xr:uid="{00000000-0005-0000-0000-000028280000}"/>
    <cellStyle name="Normal 4 4 2 2 2 2 3 4" xfId="5219" xr:uid="{00000000-0005-0000-0000-000029280000}"/>
    <cellStyle name="Normal 4 4 2 2 2 2 3 4 2" xfId="11580" xr:uid="{00000000-0005-0000-0000-00002A280000}"/>
    <cellStyle name="Normal 4 4 2 2 2 2 3 5" xfId="8401" xr:uid="{00000000-0005-0000-0000-00002B280000}"/>
    <cellStyle name="Normal 4 4 2 2 2 2 4" xfId="2387" xr:uid="{00000000-0005-0000-0000-00002C280000}"/>
    <cellStyle name="Normal 4 4 2 2 2 2 4 2" xfId="3971" xr:uid="{00000000-0005-0000-0000-00002D280000}"/>
    <cellStyle name="Normal 4 4 2 2 2 2 4 2 2" xfId="7199" xr:uid="{00000000-0005-0000-0000-00002E280000}"/>
    <cellStyle name="Normal 4 4 2 2 2 2 4 2 2 2" xfId="13560" xr:uid="{00000000-0005-0000-0000-00002F280000}"/>
    <cellStyle name="Normal 4 4 2 2 2 2 4 2 3" xfId="10381" xr:uid="{00000000-0005-0000-0000-000030280000}"/>
    <cellStyle name="Normal 4 4 2 2 2 2 4 3" xfId="5615" xr:uid="{00000000-0005-0000-0000-000031280000}"/>
    <cellStyle name="Normal 4 4 2 2 2 2 4 3 2" xfId="11976" xr:uid="{00000000-0005-0000-0000-000032280000}"/>
    <cellStyle name="Normal 4 4 2 2 2 2 4 4" xfId="8797" xr:uid="{00000000-0005-0000-0000-000033280000}"/>
    <cellStyle name="Normal 4 4 2 2 2 2 5" xfId="3179" xr:uid="{00000000-0005-0000-0000-000034280000}"/>
    <cellStyle name="Normal 4 4 2 2 2 2 5 2" xfId="6407" xr:uid="{00000000-0005-0000-0000-000035280000}"/>
    <cellStyle name="Normal 4 4 2 2 2 2 5 2 2" xfId="12768" xr:uid="{00000000-0005-0000-0000-000036280000}"/>
    <cellStyle name="Normal 4 4 2 2 2 2 5 3" xfId="9589" xr:uid="{00000000-0005-0000-0000-000037280000}"/>
    <cellStyle name="Normal 4 4 2 2 2 2 6" xfId="4823" xr:uid="{00000000-0005-0000-0000-000038280000}"/>
    <cellStyle name="Normal 4 4 2 2 2 2 6 2" xfId="11184" xr:uid="{00000000-0005-0000-0000-000039280000}"/>
    <cellStyle name="Normal 4 4 2 2 2 2 7" xfId="8005" xr:uid="{00000000-0005-0000-0000-00003A280000}"/>
    <cellStyle name="Normal 4 4 2 2 2 3" xfId="1663" xr:uid="{00000000-0005-0000-0000-00003B280000}"/>
    <cellStyle name="Normal 4 4 2 2 2 3 2" xfId="1861" xr:uid="{00000000-0005-0000-0000-00003C280000}"/>
    <cellStyle name="Normal 4 4 2 2 2 3 2 2" xfId="2257" xr:uid="{00000000-0005-0000-0000-00003D280000}"/>
    <cellStyle name="Normal 4 4 2 2 2 3 2 2 2" xfId="3049" xr:uid="{00000000-0005-0000-0000-00003E280000}"/>
    <cellStyle name="Normal 4 4 2 2 2 3 2 2 2 2" xfId="4633" xr:uid="{00000000-0005-0000-0000-00003F280000}"/>
    <cellStyle name="Normal 4 4 2 2 2 3 2 2 2 2 2" xfId="7861" xr:uid="{00000000-0005-0000-0000-000040280000}"/>
    <cellStyle name="Normal 4 4 2 2 2 3 2 2 2 2 2 2" xfId="14222" xr:uid="{00000000-0005-0000-0000-000041280000}"/>
    <cellStyle name="Normal 4 4 2 2 2 3 2 2 2 2 3" xfId="11043" xr:uid="{00000000-0005-0000-0000-000042280000}"/>
    <cellStyle name="Normal 4 4 2 2 2 3 2 2 2 3" xfId="6277" xr:uid="{00000000-0005-0000-0000-000043280000}"/>
    <cellStyle name="Normal 4 4 2 2 2 3 2 2 2 3 2" xfId="12638" xr:uid="{00000000-0005-0000-0000-000044280000}"/>
    <cellStyle name="Normal 4 4 2 2 2 3 2 2 2 4" xfId="9459" xr:uid="{00000000-0005-0000-0000-000045280000}"/>
    <cellStyle name="Normal 4 4 2 2 2 3 2 2 3" xfId="3841" xr:uid="{00000000-0005-0000-0000-000046280000}"/>
    <cellStyle name="Normal 4 4 2 2 2 3 2 2 3 2" xfId="7069" xr:uid="{00000000-0005-0000-0000-000047280000}"/>
    <cellStyle name="Normal 4 4 2 2 2 3 2 2 3 2 2" xfId="13430" xr:uid="{00000000-0005-0000-0000-000048280000}"/>
    <cellStyle name="Normal 4 4 2 2 2 3 2 2 3 3" xfId="10251" xr:uid="{00000000-0005-0000-0000-000049280000}"/>
    <cellStyle name="Normal 4 4 2 2 2 3 2 2 4" xfId="5485" xr:uid="{00000000-0005-0000-0000-00004A280000}"/>
    <cellStyle name="Normal 4 4 2 2 2 3 2 2 4 2" xfId="11846" xr:uid="{00000000-0005-0000-0000-00004B280000}"/>
    <cellStyle name="Normal 4 4 2 2 2 3 2 2 5" xfId="8667" xr:uid="{00000000-0005-0000-0000-00004C280000}"/>
    <cellStyle name="Normal 4 4 2 2 2 3 2 3" xfId="2653" xr:uid="{00000000-0005-0000-0000-00004D280000}"/>
    <cellStyle name="Normal 4 4 2 2 2 3 2 3 2" xfId="4237" xr:uid="{00000000-0005-0000-0000-00004E280000}"/>
    <cellStyle name="Normal 4 4 2 2 2 3 2 3 2 2" xfId="7465" xr:uid="{00000000-0005-0000-0000-00004F280000}"/>
    <cellStyle name="Normal 4 4 2 2 2 3 2 3 2 2 2" xfId="13826" xr:uid="{00000000-0005-0000-0000-000050280000}"/>
    <cellStyle name="Normal 4 4 2 2 2 3 2 3 2 3" xfId="10647" xr:uid="{00000000-0005-0000-0000-000051280000}"/>
    <cellStyle name="Normal 4 4 2 2 2 3 2 3 3" xfId="5881" xr:uid="{00000000-0005-0000-0000-000052280000}"/>
    <cellStyle name="Normal 4 4 2 2 2 3 2 3 3 2" xfId="12242" xr:uid="{00000000-0005-0000-0000-000053280000}"/>
    <cellStyle name="Normal 4 4 2 2 2 3 2 3 4" xfId="9063" xr:uid="{00000000-0005-0000-0000-000054280000}"/>
    <cellStyle name="Normal 4 4 2 2 2 3 2 4" xfId="3445" xr:uid="{00000000-0005-0000-0000-000055280000}"/>
    <cellStyle name="Normal 4 4 2 2 2 3 2 4 2" xfId="6673" xr:uid="{00000000-0005-0000-0000-000056280000}"/>
    <cellStyle name="Normal 4 4 2 2 2 3 2 4 2 2" xfId="13034" xr:uid="{00000000-0005-0000-0000-000057280000}"/>
    <cellStyle name="Normal 4 4 2 2 2 3 2 4 3" xfId="9855" xr:uid="{00000000-0005-0000-0000-000058280000}"/>
    <cellStyle name="Normal 4 4 2 2 2 3 2 5" xfId="5089" xr:uid="{00000000-0005-0000-0000-000059280000}"/>
    <cellStyle name="Normal 4 4 2 2 2 3 2 5 2" xfId="11450" xr:uid="{00000000-0005-0000-0000-00005A280000}"/>
    <cellStyle name="Normal 4 4 2 2 2 3 2 6" xfId="8271" xr:uid="{00000000-0005-0000-0000-00005B280000}"/>
    <cellStyle name="Normal 4 4 2 2 2 3 3" xfId="2059" xr:uid="{00000000-0005-0000-0000-00005C280000}"/>
    <cellStyle name="Normal 4 4 2 2 2 3 3 2" xfId="2851" xr:uid="{00000000-0005-0000-0000-00005D280000}"/>
    <cellStyle name="Normal 4 4 2 2 2 3 3 2 2" xfId="4435" xr:uid="{00000000-0005-0000-0000-00005E280000}"/>
    <cellStyle name="Normal 4 4 2 2 2 3 3 2 2 2" xfId="7663" xr:uid="{00000000-0005-0000-0000-00005F280000}"/>
    <cellStyle name="Normal 4 4 2 2 2 3 3 2 2 2 2" xfId="14024" xr:uid="{00000000-0005-0000-0000-000060280000}"/>
    <cellStyle name="Normal 4 4 2 2 2 3 3 2 2 3" xfId="10845" xr:uid="{00000000-0005-0000-0000-000061280000}"/>
    <cellStyle name="Normal 4 4 2 2 2 3 3 2 3" xfId="6079" xr:uid="{00000000-0005-0000-0000-000062280000}"/>
    <cellStyle name="Normal 4 4 2 2 2 3 3 2 3 2" xfId="12440" xr:uid="{00000000-0005-0000-0000-000063280000}"/>
    <cellStyle name="Normal 4 4 2 2 2 3 3 2 4" xfId="9261" xr:uid="{00000000-0005-0000-0000-000064280000}"/>
    <cellStyle name="Normal 4 4 2 2 2 3 3 3" xfId="3643" xr:uid="{00000000-0005-0000-0000-000065280000}"/>
    <cellStyle name="Normal 4 4 2 2 2 3 3 3 2" xfId="6871" xr:uid="{00000000-0005-0000-0000-000066280000}"/>
    <cellStyle name="Normal 4 4 2 2 2 3 3 3 2 2" xfId="13232" xr:uid="{00000000-0005-0000-0000-000067280000}"/>
    <cellStyle name="Normal 4 4 2 2 2 3 3 3 3" xfId="10053" xr:uid="{00000000-0005-0000-0000-000068280000}"/>
    <cellStyle name="Normal 4 4 2 2 2 3 3 4" xfId="5287" xr:uid="{00000000-0005-0000-0000-000069280000}"/>
    <cellStyle name="Normal 4 4 2 2 2 3 3 4 2" xfId="11648" xr:uid="{00000000-0005-0000-0000-00006A280000}"/>
    <cellStyle name="Normal 4 4 2 2 2 3 3 5" xfId="8469" xr:uid="{00000000-0005-0000-0000-00006B280000}"/>
    <cellStyle name="Normal 4 4 2 2 2 3 4" xfId="2455" xr:uid="{00000000-0005-0000-0000-00006C280000}"/>
    <cellStyle name="Normal 4 4 2 2 2 3 4 2" xfId="4039" xr:uid="{00000000-0005-0000-0000-00006D280000}"/>
    <cellStyle name="Normal 4 4 2 2 2 3 4 2 2" xfId="7267" xr:uid="{00000000-0005-0000-0000-00006E280000}"/>
    <cellStyle name="Normal 4 4 2 2 2 3 4 2 2 2" xfId="13628" xr:uid="{00000000-0005-0000-0000-00006F280000}"/>
    <cellStyle name="Normal 4 4 2 2 2 3 4 2 3" xfId="10449" xr:uid="{00000000-0005-0000-0000-000070280000}"/>
    <cellStyle name="Normal 4 4 2 2 2 3 4 3" xfId="5683" xr:uid="{00000000-0005-0000-0000-000071280000}"/>
    <cellStyle name="Normal 4 4 2 2 2 3 4 3 2" xfId="12044" xr:uid="{00000000-0005-0000-0000-000072280000}"/>
    <cellStyle name="Normal 4 4 2 2 2 3 4 4" xfId="8865" xr:uid="{00000000-0005-0000-0000-000073280000}"/>
    <cellStyle name="Normal 4 4 2 2 2 3 5" xfId="3247" xr:uid="{00000000-0005-0000-0000-000074280000}"/>
    <cellStyle name="Normal 4 4 2 2 2 3 5 2" xfId="6475" xr:uid="{00000000-0005-0000-0000-000075280000}"/>
    <cellStyle name="Normal 4 4 2 2 2 3 5 2 2" xfId="12836" xr:uid="{00000000-0005-0000-0000-000076280000}"/>
    <cellStyle name="Normal 4 4 2 2 2 3 5 3" xfId="9657" xr:uid="{00000000-0005-0000-0000-000077280000}"/>
    <cellStyle name="Normal 4 4 2 2 2 3 6" xfId="4891" xr:uid="{00000000-0005-0000-0000-000078280000}"/>
    <cellStyle name="Normal 4 4 2 2 2 3 6 2" xfId="11252" xr:uid="{00000000-0005-0000-0000-000079280000}"/>
    <cellStyle name="Normal 4 4 2 2 2 3 7" xfId="8073" xr:uid="{00000000-0005-0000-0000-00007A280000}"/>
    <cellStyle name="Normal 4 4 2 2 2 4" xfId="1728" xr:uid="{00000000-0005-0000-0000-00007B280000}"/>
    <cellStyle name="Normal 4 4 2 2 2 4 2" xfId="2124" xr:uid="{00000000-0005-0000-0000-00007C280000}"/>
    <cellStyle name="Normal 4 4 2 2 2 4 2 2" xfId="2916" xr:uid="{00000000-0005-0000-0000-00007D280000}"/>
    <cellStyle name="Normal 4 4 2 2 2 4 2 2 2" xfId="4500" xr:uid="{00000000-0005-0000-0000-00007E280000}"/>
    <cellStyle name="Normal 4 4 2 2 2 4 2 2 2 2" xfId="7728" xr:uid="{00000000-0005-0000-0000-00007F280000}"/>
    <cellStyle name="Normal 4 4 2 2 2 4 2 2 2 2 2" xfId="14089" xr:uid="{00000000-0005-0000-0000-000080280000}"/>
    <cellStyle name="Normal 4 4 2 2 2 4 2 2 2 3" xfId="10910" xr:uid="{00000000-0005-0000-0000-000081280000}"/>
    <cellStyle name="Normal 4 4 2 2 2 4 2 2 3" xfId="6144" xr:uid="{00000000-0005-0000-0000-000082280000}"/>
    <cellStyle name="Normal 4 4 2 2 2 4 2 2 3 2" xfId="12505" xr:uid="{00000000-0005-0000-0000-000083280000}"/>
    <cellStyle name="Normal 4 4 2 2 2 4 2 2 4" xfId="9326" xr:uid="{00000000-0005-0000-0000-000084280000}"/>
    <cellStyle name="Normal 4 4 2 2 2 4 2 3" xfId="3708" xr:uid="{00000000-0005-0000-0000-000085280000}"/>
    <cellStyle name="Normal 4 4 2 2 2 4 2 3 2" xfId="6936" xr:uid="{00000000-0005-0000-0000-000086280000}"/>
    <cellStyle name="Normal 4 4 2 2 2 4 2 3 2 2" xfId="13297" xr:uid="{00000000-0005-0000-0000-000087280000}"/>
    <cellStyle name="Normal 4 4 2 2 2 4 2 3 3" xfId="10118" xr:uid="{00000000-0005-0000-0000-000088280000}"/>
    <cellStyle name="Normal 4 4 2 2 2 4 2 4" xfId="5352" xr:uid="{00000000-0005-0000-0000-000089280000}"/>
    <cellStyle name="Normal 4 4 2 2 2 4 2 4 2" xfId="11713" xr:uid="{00000000-0005-0000-0000-00008A280000}"/>
    <cellStyle name="Normal 4 4 2 2 2 4 2 5" xfId="8534" xr:uid="{00000000-0005-0000-0000-00008B280000}"/>
    <cellStyle name="Normal 4 4 2 2 2 4 3" xfId="2520" xr:uid="{00000000-0005-0000-0000-00008C280000}"/>
    <cellStyle name="Normal 4 4 2 2 2 4 3 2" xfId="4104" xr:uid="{00000000-0005-0000-0000-00008D280000}"/>
    <cellStyle name="Normal 4 4 2 2 2 4 3 2 2" xfId="7332" xr:uid="{00000000-0005-0000-0000-00008E280000}"/>
    <cellStyle name="Normal 4 4 2 2 2 4 3 2 2 2" xfId="13693" xr:uid="{00000000-0005-0000-0000-00008F280000}"/>
    <cellStyle name="Normal 4 4 2 2 2 4 3 2 3" xfId="10514" xr:uid="{00000000-0005-0000-0000-000090280000}"/>
    <cellStyle name="Normal 4 4 2 2 2 4 3 3" xfId="5748" xr:uid="{00000000-0005-0000-0000-000091280000}"/>
    <cellStyle name="Normal 4 4 2 2 2 4 3 3 2" xfId="12109" xr:uid="{00000000-0005-0000-0000-000092280000}"/>
    <cellStyle name="Normal 4 4 2 2 2 4 3 4" xfId="8930" xr:uid="{00000000-0005-0000-0000-000093280000}"/>
    <cellStyle name="Normal 4 4 2 2 2 4 4" xfId="3312" xr:uid="{00000000-0005-0000-0000-000094280000}"/>
    <cellStyle name="Normal 4 4 2 2 2 4 4 2" xfId="6540" xr:uid="{00000000-0005-0000-0000-000095280000}"/>
    <cellStyle name="Normal 4 4 2 2 2 4 4 2 2" xfId="12901" xr:uid="{00000000-0005-0000-0000-000096280000}"/>
    <cellStyle name="Normal 4 4 2 2 2 4 4 3" xfId="9722" xr:uid="{00000000-0005-0000-0000-000097280000}"/>
    <cellStyle name="Normal 4 4 2 2 2 4 5" xfId="4956" xr:uid="{00000000-0005-0000-0000-000098280000}"/>
    <cellStyle name="Normal 4 4 2 2 2 4 5 2" xfId="11317" xr:uid="{00000000-0005-0000-0000-000099280000}"/>
    <cellStyle name="Normal 4 4 2 2 2 4 6" xfId="8138" xr:uid="{00000000-0005-0000-0000-00009A280000}"/>
    <cellStyle name="Normal 4 4 2 2 2 5" xfId="1926" xr:uid="{00000000-0005-0000-0000-00009B280000}"/>
    <cellStyle name="Normal 4 4 2 2 2 5 2" xfId="2718" xr:uid="{00000000-0005-0000-0000-00009C280000}"/>
    <cellStyle name="Normal 4 4 2 2 2 5 2 2" xfId="4302" xr:uid="{00000000-0005-0000-0000-00009D280000}"/>
    <cellStyle name="Normal 4 4 2 2 2 5 2 2 2" xfId="7530" xr:uid="{00000000-0005-0000-0000-00009E280000}"/>
    <cellStyle name="Normal 4 4 2 2 2 5 2 2 2 2" xfId="13891" xr:uid="{00000000-0005-0000-0000-00009F280000}"/>
    <cellStyle name="Normal 4 4 2 2 2 5 2 2 3" xfId="10712" xr:uid="{00000000-0005-0000-0000-0000A0280000}"/>
    <cellStyle name="Normal 4 4 2 2 2 5 2 3" xfId="5946" xr:uid="{00000000-0005-0000-0000-0000A1280000}"/>
    <cellStyle name="Normal 4 4 2 2 2 5 2 3 2" xfId="12307" xr:uid="{00000000-0005-0000-0000-0000A2280000}"/>
    <cellStyle name="Normal 4 4 2 2 2 5 2 4" xfId="9128" xr:uid="{00000000-0005-0000-0000-0000A3280000}"/>
    <cellStyle name="Normal 4 4 2 2 2 5 3" xfId="3510" xr:uid="{00000000-0005-0000-0000-0000A4280000}"/>
    <cellStyle name="Normal 4 4 2 2 2 5 3 2" xfId="6738" xr:uid="{00000000-0005-0000-0000-0000A5280000}"/>
    <cellStyle name="Normal 4 4 2 2 2 5 3 2 2" xfId="13099" xr:uid="{00000000-0005-0000-0000-0000A6280000}"/>
    <cellStyle name="Normal 4 4 2 2 2 5 3 3" xfId="9920" xr:uid="{00000000-0005-0000-0000-0000A7280000}"/>
    <cellStyle name="Normal 4 4 2 2 2 5 4" xfId="5154" xr:uid="{00000000-0005-0000-0000-0000A8280000}"/>
    <cellStyle name="Normal 4 4 2 2 2 5 4 2" xfId="11515" xr:uid="{00000000-0005-0000-0000-0000A9280000}"/>
    <cellStyle name="Normal 4 4 2 2 2 5 5" xfId="8336" xr:uid="{00000000-0005-0000-0000-0000AA280000}"/>
    <cellStyle name="Normal 4 4 2 2 2 6" xfId="2322" xr:uid="{00000000-0005-0000-0000-0000AB280000}"/>
    <cellStyle name="Normal 4 4 2 2 2 6 2" xfId="3906" xr:uid="{00000000-0005-0000-0000-0000AC280000}"/>
    <cellStyle name="Normal 4 4 2 2 2 6 2 2" xfId="7134" xr:uid="{00000000-0005-0000-0000-0000AD280000}"/>
    <cellStyle name="Normal 4 4 2 2 2 6 2 2 2" xfId="13495" xr:uid="{00000000-0005-0000-0000-0000AE280000}"/>
    <cellStyle name="Normal 4 4 2 2 2 6 2 3" xfId="10316" xr:uid="{00000000-0005-0000-0000-0000AF280000}"/>
    <cellStyle name="Normal 4 4 2 2 2 6 3" xfId="5550" xr:uid="{00000000-0005-0000-0000-0000B0280000}"/>
    <cellStyle name="Normal 4 4 2 2 2 6 3 2" xfId="11911" xr:uid="{00000000-0005-0000-0000-0000B1280000}"/>
    <cellStyle name="Normal 4 4 2 2 2 6 4" xfId="8732" xr:uid="{00000000-0005-0000-0000-0000B2280000}"/>
    <cellStyle name="Normal 4 4 2 2 2 7" xfId="3114" xr:uid="{00000000-0005-0000-0000-0000B3280000}"/>
    <cellStyle name="Normal 4 4 2 2 2 7 2" xfId="6342" xr:uid="{00000000-0005-0000-0000-0000B4280000}"/>
    <cellStyle name="Normal 4 4 2 2 2 7 2 2" xfId="12703" xr:uid="{00000000-0005-0000-0000-0000B5280000}"/>
    <cellStyle name="Normal 4 4 2 2 2 7 3" xfId="9524" xr:uid="{00000000-0005-0000-0000-0000B6280000}"/>
    <cellStyle name="Normal 4 4 2 2 2 8" xfId="4758" xr:uid="{00000000-0005-0000-0000-0000B7280000}"/>
    <cellStyle name="Normal 4 4 2 2 2 8 2" xfId="11119" xr:uid="{00000000-0005-0000-0000-0000B8280000}"/>
    <cellStyle name="Normal 4 4 2 2 2 9" xfId="7940" xr:uid="{00000000-0005-0000-0000-0000B9280000}"/>
    <cellStyle name="Normal 4 4 2 2 3" xfId="1563" xr:uid="{00000000-0005-0000-0000-0000BA280000}"/>
    <cellStyle name="Normal 4 4 2 2 3 2" xfId="1761" xr:uid="{00000000-0005-0000-0000-0000BB280000}"/>
    <cellStyle name="Normal 4 4 2 2 3 2 2" xfId="2157" xr:uid="{00000000-0005-0000-0000-0000BC280000}"/>
    <cellStyle name="Normal 4 4 2 2 3 2 2 2" xfId="2949" xr:uid="{00000000-0005-0000-0000-0000BD280000}"/>
    <cellStyle name="Normal 4 4 2 2 3 2 2 2 2" xfId="4533" xr:uid="{00000000-0005-0000-0000-0000BE280000}"/>
    <cellStyle name="Normal 4 4 2 2 3 2 2 2 2 2" xfId="7761" xr:uid="{00000000-0005-0000-0000-0000BF280000}"/>
    <cellStyle name="Normal 4 4 2 2 3 2 2 2 2 2 2" xfId="14122" xr:uid="{00000000-0005-0000-0000-0000C0280000}"/>
    <cellStyle name="Normal 4 4 2 2 3 2 2 2 2 3" xfId="10943" xr:uid="{00000000-0005-0000-0000-0000C1280000}"/>
    <cellStyle name="Normal 4 4 2 2 3 2 2 2 3" xfId="6177" xr:uid="{00000000-0005-0000-0000-0000C2280000}"/>
    <cellStyle name="Normal 4 4 2 2 3 2 2 2 3 2" xfId="12538" xr:uid="{00000000-0005-0000-0000-0000C3280000}"/>
    <cellStyle name="Normal 4 4 2 2 3 2 2 2 4" xfId="9359" xr:uid="{00000000-0005-0000-0000-0000C4280000}"/>
    <cellStyle name="Normal 4 4 2 2 3 2 2 3" xfId="3741" xr:uid="{00000000-0005-0000-0000-0000C5280000}"/>
    <cellStyle name="Normal 4 4 2 2 3 2 2 3 2" xfId="6969" xr:uid="{00000000-0005-0000-0000-0000C6280000}"/>
    <cellStyle name="Normal 4 4 2 2 3 2 2 3 2 2" xfId="13330" xr:uid="{00000000-0005-0000-0000-0000C7280000}"/>
    <cellStyle name="Normal 4 4 2 2 3 2 2 3 3" xfId="10151" xr:uid="{00000000-0005-0000-0000-0000C8280000}"/>
    <cellStyle name="Normal 4 4 2 2 3 2 2 4" xfId="5385" xr:uid="{00000000-0005-0000-0000-0000C9280000}"/>
    <cellStyle name="Normal 4 4 2 2 3 2 2 4 2" xfId="11746" xr:uid="{00000000-0005-0000-0000-0000CA280000}"/>
    <cellStyle name="Normal 4 4 2 2 3 2 2 5" xfId="8567" xr:uid="{00000000-0005-0000-0000-0000CB280000}"/>
    <cellStyle name="Normal 4 4 2 2 3 2 3" xfId="2553" xr:uid="{00000000-0005-0000-0000-0000CC280000}"/>
    <cellStyle name="Normal 4 4 2 2 3 2 3 2" xfId="4137" xr:uid="{00000000-0005-0000-0000-0000CD280000}"/>
    <cellStyle name="Normal 4 4 2 2 3 2 3 2 2" xfId="7365" xr:uid="{00000000-0005-0000-0000-0000CE280000}"/>
    <cellStyle name="Normal 4 4 2 2 3 2 3 2 2 2" xfId="13726" xr:uid="{00000000-0005-0000-0000-0000CF280000}"/>
    <cellStyle name="Normal 4 4 2 2 3 2 3 2 3" xfId="10547" xr:uid="{00000000-0005-0000-0000-0000D0280000}"/>
    <cellStyle name="Normal 4 4 2 2 3 2 3 3" xfId="5781" xr:uid="{00000000-0005-0000-0000-0000D1280000}"/>
    <cellStyle name="Normal 4 4 2 2 3 2 3 3 2" xfId="12142" xr:uid="{00000000-0005-0000-0000-0000D2280000}"/>
    <cellStyle name="Normal 4 4 2 2 3 2 3 4" xfId="8963" xr:uid="{00000000-0005-0000-0000-0000D3280000}"/>
    <cellStyle name="Normal 4 4 2 2 3 2 4" xfId="3345" xr:uid="{00000000-0005-0000-0000-0000D4280000}"/>
    <cellStyle name="Normal 4 4 2 2 3 2 4 2" xfId="6573" xr:uid="{00000000-0005-0000-0000-0000D5280000}"/>
    <cellStyle name="Normal 4 4 2 2 3 2 4 2 2" xfId="12934" xr:uid="{00000000-0005-0000-0000-0000D6280000}"/>
    <cellStyle name="Normal 4 4 2 2 3 2 4 3" xfId="9755" xr:uid="{00000000-0005-0000-0000-0000D7280000}"/>
    <cellStyle name="Normal 4 4 2 2 3 2 5" xfId="4989" xr:uid="{00000000-0005-0000-0000-0000D8280000}"/>
    <cellStyle name="Normal 4 4 2 2 3 2 5 2" xfId="11350" xr:uid="{00000000-0005-0000-0000-0000D9280000}"/>
    <cellStyle name="Normal 4 4 2 2 3 2 6" xfId="8171" xr:uid="{00000000-0005-0000-0000-0000DA280000}"/>
    <cellStyle name="Normal 4 4 2 2 3 3" xfId="1959" xr:uid="{00000000-0005-0000-0000-0000DB280000}"/>
    <cellStyle name="Normal 4 4 2 2 3 3 2" xfId="2751" xr:uid="{00000000-0005-0000-0000-0000DC280000}"/>
    <cellStyle name="Normal 4 4 2 2 3 3 2 2" xfId="4335" xr:uid="{00000000-0005-0000-0000-0000DD280000}"/>
    <cellStyle name="Normal 4 4 2 2 3 3 2 2 2" xfId="7563" xr:uid="{00000000-0005-0000-0000-0000DE280000}"/>
    <cellStyle name="Normal 4 4 2 2 3 3 2 2 2 2" xfId="13924" xr:uid="{00000000-0005-0000-0000-0000DF280000}"/>
    <cellStyle name="Normal 4 4 2 2 3 3 2 2 3" xfId="10745" xr:uid="{00000000-0005-0000-0000-0000E0280000}"/>
    <cellStyle name="Normal 4 4 2 2 3 3 2 3" xfId="5979" xr:uid="{00000000-0005-0000-0000-0000E1280000}"/>
    <cellStyle name="Normal 4 4 2 2 3 3 2 3 2" xfId="12340" xr:uid="{00000000-0005-0000-0000-0000E2280000}"/>
    <cellStyle name="Normal 4 4 2 2 3 3 2 4" xfId="9161" xr:uid="{00000000-0005-0000-0000-0000E3280000}"/>
    <cellStyle name="Normal 4 4 2 2 3 3 3" xfId="3543" xr:uid="{00000000-0005-0000-0000-0000E4280000}"/>
    <cellStyle name="Normal 4 4 2 2 3 3 3 2" xfId="6771" xr:uid="{00000000-0005-0000-0000-0000E5280000}"/>
    <cellStyle name="Normal 4 4 2 2 3 3 3 2 2" xfId="13132" xr:uid="{00000000-0005-0000-0000-0000E6280000}"/>
    <cellStyle name="Normal 4 4 2 2 3 3 3 3" xfId="9953" xr:uid="{00000000-0005-0000-0000-0000E7280000}"/>
    <cellStyle name="Normal 4 4 2 2 3 3 4" xfId="5187" xr:uid="{00000000-0005-0000-0000-0000E8280000}"/>
    <cellStyle name="Normal 4 4 2 2 3 3 4 2" xfId="11548" xr:uid="{00000000-0005-0000-0000-0000E9280000}"/>
    <cellStyle name="Normal 4 4 2 2 3 3 5" xfId="8369" xr:uid="{00000000-0005-0000-0000-0000EA280000}"/>
    <cellStyle name="Normal 4 4 2 2 3 4" xfId="2355" xr:uid="{00000000-0005-0000-0000-0000EB280000}"/>
    <cellStyle name="Normal 4 4 2 2 3 4 2" xfId="3939" xr:uid="{00000000-0005-0000-0000-0000EC280000}"/>
    <cellStyle name="Normal 4 4 2 2 3 4 2 2" xfId="7167" xr:uid="{00000000-0005-0000-0000-0000ED280000}"/>
    <cellStyle name="Normal 4 4 2 2 3 4 2 2 2" xfId="13528" xr:uid="{00000000-0005-0000-0000-0000EE280000}"/>
    <cellStyle name="Normal 4 4 2 2 3 4 2 3" xfId="10349" xr:uid="{00000000-0005-0000-0000-0000EF280000}"/>
    <cellStyle name="Normal 4 4 2 2 3 4 3" xfId="5583" xr:uid="{00000000-0005-0000-0000-0000F0280000}"/>
    <cellStyle name="Normal 4 4 2 2 3 4 3 2" xfId="11944" xr:uid="{00000000-0005-0000-0000-0000F1280000}"/>
    <cellStyle name="Normal 4 4 2 2 3 4 4" xfId="8765" xr:uid="{00000000-0005-0000-0000-0000F2280000}"/>
    <cellStyle name="Normal 4 4 2 2 3 5" xfId="3147" xr:uid="{00000000-0005-0000-0000-0000F3280000}"/>
    <cellStyle name="Normal 4 4 2 2 3 5 2" xfId="6375" xr:uid="{00000000-0005-0000-0000-0000F4280000}"/>
    <cellStyle name="Normal 4 4 2 2 3 5 2 2" xfId="12736" xr:uid="{00000000-0005-0000-0000-0000F5280000}"/>
    <cellStyle name="Normal 4 4 2 2 3 5 3" xfId="9557" xr:uid="{00000000-0005-0000-0000-0000F6280000}"/>
    <cellStyle name="Normal 4 4 2 2 3 6" xfId="4791" xr:uid="{00000000-0005-0000-0000-0000F7280000}"/>
    <cellStyle name="Normal 4 4 2 2 3 6 2" xfId="11152" xr:uid="{00000000-0005-0000-0000-0000F8280000}"/>
    <cellStyle name="Normal 4 4 2 2 3 7" xfId="7973" xr:uid="{00000000-0005-0000-0000-0000F9280000}"/>
    <cellStyle name="Normal 4 4 2 2 4" xfId="1631" xr:uid="{00000000-0005-0000-0000-0000FA280000}"/>
    <cellStyle name="Normal 4 4 2 2 4 2" xfId="1829" xr:uid="{00000000-0005-0000-0000-0000FB280000}"/>
    <cellStyle name="Normal 4 4 2 2 4 2 2" xfId="2225" xr:uid="{00000000-0005-0000-0000-0000FC280000}"/>
    <cellStyle name="Normal 4 4 2 2 4 2 2 2" xfId="3017" xr:uid="{00000000-0005-0000-0000-0000FD280000}"/>
    <cellStyle name="Normal 4 4 2 2 4 2 2 2 2" xfId="4601" xr:uid="{00000000-0005-0000-0000-0000FE280000}"/>
    <cellStyle name="Normal 4 4 2 2 4 2 2 2 2 2" xfId="7829" xr:uid="{00000000-0005-0000-0000-0000FF280000}"/>
    <cellStyle name="Normal 4 4 2 2 4 2 2 2 2 2 2" xfId="14190" xr:uid="{00000000-0005-0000-0000-000000290000}"/>
    <cellStyle name="Normal 4 4 2 2 4 2 2 2 2 3" xfId="11011" xr:uid="{00000000-0005-0000-0000-000001290000}"/>
    <cellStyle name="Normal 4 4 2 2 4 2 2 2 3" xfId="6245" xr:uid="{00000000-0005-0000-0000-000002290000}"/>
    <cellStyle name="Normal 4 4 2 2 4 2 2 2 3 2" xfId="12606" xr:uid="{00000000-0005-0000-0000-000003290000}"/>
    <cellStyle name="Normal 4 4 2 2 4 2 2 2 4" xfId="9427" xr:uid="{00000000-0005-0000-0000-000004290000}"/>
    <cellStyle name="Normal 4 4 2 2 4 2 2 3" xfId="3809" xr:uid="{00000000-0005-0000-0000-000005290000}"/>
    <cellStyle name="Normal 4 4 2 2 4 2 2 3 2" xfId="7037" xr:uid="{00000000-0005-0000-0000-000006290000}"/>
    <cellStyle name="Normal 4 4 2 2 4 2 2 3 2 2" xfId="13398" xr:uid="{00000000-0005-0000-0000-000007290000}"/>
    <cellStyle name="Normal 4 4 2 2 4 2 2 3 3" xfId="10219" xr:uid="{00000000-0005-0000-0000-000008290000}"/>
    <cellStyle name="Normal 4 4 2 2 4 2 2 4" xfId="5453" xr:uid="{00000000-0005-0000-0000-000009290000}"/>
    <cellStyle name="Normal 4 4 2 2 4 2 2 4 2" xfId="11814" xr:uid="{00000000-0005-0000-0000-00000A290000}"/>
    <cellStyle name="Normal 4 4 2 2 4 2 2 5" xfId="8635" xr:uid="{00000000-0005-0000-0000-00000B290000}"/>
    <cellStyle name="Normal 4 4 2 2 4 2 3" xfId="2621" xr:uid="{00000000-0005-0000-0000-00000C290000}"/>
    <cellStyle name="Normal 4 4 2 2 4 2 3 2" xfId="4205" xr:uid="{00000000-0005-0000-0000-00000D290000}"/>
    <cellStyle name="Normal 4 4 2 2 4 2 3 2 2" xfId="7433" xr:uid="{00000000-0005-0000-0000-00000E290000}"/>
    <cellStyle name="Normal 4 4 2 2 4 2 3 2 2 2" xfId="13794" xr:uid="{00000000-0005-0000-0000-00000F290000}"/>
    <cellStyle name="Normal 4 4 2 2 4 2 3 2 3" xfId="10615" xr:uid="{00000000-0005-0000-0000-000010290000}"/>
    <cellStyle name="Normal 4 4 2 2 4 2 3 3" xfId="5849" xr:uid="{00000000-0005-0000-0000-000011290000}"/>
    <cellStyle name="Normal 4 4 2 2 4 2 3 3 2" xfId="12210" xr:uid="{00000000-0005-0000-0000-000012290000}"/>
    <cellStyle name="Normal 4 4 2 2 4 2 3 4" xfId="9031" xr:uid="{00000000-0005-0000-0000-000013290000}"/>
    <cellStyle name="Normal 4 4 2 2 4 2 4" xfId="3413" xr:uid="{00000000-0005-0000-0000-000014290000}"/>
    <cellStyle name="Normal 4 4 2 2 4 2 4 2" xfId="6641" xr:uid="{00000000-0005-0000-0000-000015290000}"/>
    <cellStyle name="Normal 4 4 2 2 4 2 4 2 2" xfId="13002" xr:uid="{00000000-0005-0000-0000-000016290000}"/>
    <cellStyle name="Normal 4 4 2 2 4 2 4 3" xfId="9823" xr:uid="{00000000-0005-0000-0000-000017290000}"/>
    <cellStyle name="Normal 4 4 2 2 4 2 5" xfId="5057" xr:uid="{00000000-0005-0000-0000-000018290000}"/>
    <cellStyle name="Normal 4 4 2 2 4 2 5 2" xfId="11418" xr:uid="{00000000-0005-0000-0000-000019290000}"/>
    <cellStyle name="Normal 4 4 2 2 4 2 6" xfId="8239" xr:uid="{00000000-0005-0000-0000-00001A290000}"/>
    <cellStyle name="Normal 4 4 2 2 4 3" xfId="2027" xr:uid="{00000000-0005-0000-0000-00001B290000}"/>
    <cellStyle name="Normal 4 4 2 2 4 3 2" xfId="2819" xr:uid="{00000000-0005-0000-0000-00001C290000}"/>
    <cellStyle name="Normal 4 4 2 2 4 3 2 2" xfId="4403" xr:uid="{00000000-0005-0000-0000-00001D290000}"/>
    <cellStyle name="Normal 4 4 2 2 4 3 2 2 2" xfId="7631" xr:uid="{00000000-0005-0000-0000-00001E290000}"/>
    <cellStyle name="Normal 4 4 2 2 4 3 2 2 2 2" xfId="13992" xr:uid="{00000000-0005-0000-0000-00001F290000}"/>
    <cellStyle name="Normal 4 4 2 2 4 3 2 2 3" xfId="10813" xr:uid="{00000000-0005-0000-0000-000020290000}"/>
    <cellStyle name="Normal 4 4 2 2 4 3 2 3" xfId="6047" xr:uid="{00000000-0005-0000-0000-000021290000}"/>
    <cellStyle name="Normal 4 4 2 2 4 3 2 3 2" xfId="12408" xr:uid="{00000000-0005-0000-0000-000022290000}"/>
    <cellStyle name="Normal 4 4 2 2 4 3 2 4" xfId="9229" xr:uid="{00000000-0005-0000-0000-000023290000}"/>
    <cellStyle name="Normal 4 4 2 2 4 3 3" xfId="3611" xr:uid="{00000000-0005-0000-0000-000024290000}"/>
    <cellStyle name="Normal 4 4 2 2 4 3 3 2" xfId="6839" xr:uid="{00000000-0005-0000-0000-000025290000}"/>
    <cellStyle name="Normal 4 4 2 2 4 3 3 2 2" xfId="13200" xr:uid="{00000000-0005-0000-0000-000026290000}"/>
    <cellStyle name="Normal 4 4 2 2 4 3 3 3" xfId="10021" xr:uid="{00000000-0005-0000-0000-000027290000}"/>
    <cellStyle name="Normal 4 4 2 2 4 3 4" xfId="5255" xr:uid="{00000000-0005-0000-0000-000028290000}"/>
    <cellStyle name="Normal 4 4 2 2 4 3 4 2" xfId="11616" xr:uid="{00000000-0005-0000-0000-000029290000}"/>
    <cellStyle name="Normal 4 4 2 2 4 3 5" xfId="8437" xr:uid="{00000000-0005-0000-0000-00002A290000}"/>
    <cellStyle name="Normal 4 4 2 2 4 4" xfId="2423" xr:uid="{00000000-0005-0000-0000-00002B290000}"/>
    <cellStyle name="Normal 4 4 2 2 4 4 2" xfId="4007" xr:uid="{00000000-0005-0000-0000-00002C290000}"/>
    <cellStyle name="Normal 4 4 2 2 4 4 2 2" xfId="7235" xr:uid="{00000000-0005-0000-0000-00002D290000}"/>
    <cellStyle name="Normal 4 4 2 2 4 4 2 2 2" xfId="13596" xr:uid="{00000000-0005-0000-0000-00002E290000}"/>
    <cellStyle name="Normal 4 4 2 2 4 4 2 3" xfId="10417" xr:uid="{00000000-0005-0000-0000-00002F290000}"/>
    <cellStyle name="Normal 4 4 2 2 4 4 3" xfId="5651" xr:uid="{00000000-0005-0000-0000-000030290000}"/>
    <cellStyle name="Normal 4 4 2 2 4 4 3 2" xfId="12012" xr:uid="{00000000-0005-0000-0000-000031290000}"/>
    <cellStyle name="Normal 4 4 2 2 4 4 4" xfId="8833" xr:uid="{00000000-0005-0000-0000-000032290000}"/>
    <cellStyle name="Normal 4 4 2 2 4 5" xfId="3215" xr:uid="{00000000-0005-0000-0000-000033290000}"/>
    <cellStyle name="Normal 4 4 2 2 4 5 2" xfId="6443" xr:uid="{00000000-0005-0000-0000-000034290000}"/>
    <cellStyle name="Normal 4 4 2 2 4 5 2 2" xfId="12804" xr:uid="{00000000-0005-0000-0000-000035290000}"/>
    <cellStyle name="Normal 4 4 2 2 4 5 3" xfId="9625" xr:uid="{00000000-0005-0000-0000-000036290000}"/>
    <cellStyle name="Normal 4 4 2 2 4 6" xfId="4859" xr:uid="{00000000-0005-0000-0000-000037290000}"/>
    <cellStyle name="Normal 4 4 2 2 4 6 2" xfId="11220" xr:uid="{00000000-0005-0000-0000-000038290000}"/>
    <cellStyle name="Normal 4 4 2 2 4 7" xfId="8041" xr:uid="{00000000-0005-0000-0000-000039290000}"/>
    <cellStyle name="Normal 4 4 2 2 5" xfId="1696" xr:uid="{00000000-0005-0000-0000-00003A290000}"/>
    <cellStyle name="Normal 4 4 2 2 5 2" xfId="2092" xr:uid="{00000000-0005-0000-0000-00003B290000}"/>
    <cellStyle name="Normal 4 4 2 2 5 2 2" xfId="2884" xr:uid="{00000000-0005-0000-0000-00003C290000}"/>
    <cellStyle name="Normal 4 4 2 2 5 2 2 2" xfId="4468" xr:uid="{00000000-0005-0000-0000-00003D290000}"/>
    <cellStyle name="Normal 4 4 2 2 5 2 2 2 2" xfId="7696" xr:uid="{00000000-0005-0000-0000-00003E290000}"/>
    <cellStyle name="Normal 4 4 2 2 5 2 2 2 2 2" xfId="14057" xr:uid="{00000000-0005-0000-0000-00003F290000}"/>
    <cellStyle name="Normal 4 4 2 2 5 2 2 2 3" xfId="10878" xr:uid="{00000000-0005-0000-0000-000040290000}"/>
    <cellStyle name="Normal 4 4 2 2 5 2 2 3" xfId="6112" xr:uid="{00000000-0005-0000-0000-000041290000}"/>
    <cellStyle name="Normal 4 4 2 2 5 2 2 3 2" xfId="12473" xr:uid="{00000000-0005-0000-0000-000042290000}"/>
    <cellStyle name="Normal 4 4 2 2 5 2 2 4" xfId="9294" xr:uid="{00000000-0005-0000-0000-000043290000}"/>
    <cellStyle name="Normal 4 4 2 2 5 2 3" xfId="3676" xr:uid="{00000000-0005-0000-0000-000044290000}"/>
    <cellStyle name="Normal 4 4 2 2 5 2 3 2" xfId="6904" xr:uid="{00000000-0005-0000-0000-000045290000}"/>
    <cellStyle name="Normal 4 4 2 2 5 2 3 2 2" xfId="13265" xr:uid="{00000000-0005-0000-0000-000046290000}"/>
    <cellStyle name="Normal 4 4 2 2 5 2 3 3" xfId="10086" xr:uid="{00000000-0005-0000-0000-000047290000}"/>
    <cellStyle name="Normal 4 4 2 2 5 2 4" xfId="5320" xr:uid="{00000000-0005-0000-0000-000048290000}"/>
    <cellStyle name="Normal 4 4 2 2 5 2 4 2" xfId="11681" xr:uid="{00000000-0005-0000-0000-000049290000}"/>
    <cellStyle name="Normal 4 4 2 2 5 2 5" xfId="8502" xr:uid="{00000000-0005-0000-0000-00004A290000}"/>
    <cellStyle name="Normal 4 4 2 2 5 3" xfId="2488" xr:uid="{00000000-0005-0000-0000-00004B290000}"/>
    <cellStyle name="Normal 4 4 2 2 5 3 2" xfId="4072" xr:uid="{00000000-0005-0000-0000-00004C290000}"/>
    <cellStyle name="Normal 4 4 2 2 5 3 2 2" xfId="7300" xr:uid="{00000000-0005-0000-0000-00004D290000}"/>
    <cellStyle name="Normal 4 4 2 2 5 3 2 2 2" xfId="13661" xr:uid="{00000000-0005-0000-0000-00004E290000}"/>
    <cellStyle name="Normal 4 4 2 2 5 3 2 3" xfId="10482" xr:uid="{00000000-0005-0000-0000-00004F290000}"/>
    <cellStyle name="Normal 4 4 2 2 5 3 3" xfId="5716" xr:uid="{00000000-0005-0000-0000-000050290000}"/>
    <cellStyle name="Normal 4 4 2 2 5 3 3 2" xfId="12077" xr:uid="{00000000-0005-0000-0000-000051290000}"/>
    <cellStyle name="Normal 4 4 2 2 5 3 4" xfId="8898" xr:uid="{00000000-0005-0000-0000-000052290000}"/>
    <cellStyle name="Normal 4 4 2 2 5 4" xfId="3280" xr:uid="{00000000-0005-0000-0000-000053290000}"/>
    <cellStyle name="Normal 4 4 2 2 5 4 2" xfId="6508" xr:uid="{00000000-0005-0000-0000-000054290000}"/>
    <cellStyle name="Normal 4 4 2 2 5 4 2 2" xfId="12869" xr:uid="{00000000-0005-0000-0000-000055290000}"/>
    <cellStyle name="Normal 4 4 2 2 5 4 3" xfId="9690" xr:uid="{00000000-0005-0000-0000-000056290000}"/>
    <cellStyle name="Normal 4 4 2 2 5 5" xfId="4924" xr:uid="{00000000-0005-0000-0000-000057290000}"/>
    <cellStyle name="Normal 4 4 2 2 5 5 2" xfId="11285" xr:uid="{00000000-0005-0000-0000-000058290000}"/>
    <cellStyle name="Normal 4 4 2 2 5 6" xfId="8106" xr:uid="{00000000-0005-0000-0000-000059290000}"/>
    <cellStyle name="Normal 4 4 2 2 6" xfId="1894" xr:uid="{00000000-0005-0000-0000-00005A290000}"/>
    <cellStyle name="Normal 4 4 2 2 6 2" xfId="2686" xr:uid="{00000000-0005-0000-0000-00005B290000}"/>
    <cellStyle name="Normal 4 4 2 2 6 2 2" xfId="4270" xr:uid="{00000000-0005-0000-0000-00005C290000}"/>
    <cellStyle name="Normal 4 4 2 2 6 2 2 2" xfId="7498" xr:uid="{00000000-0005-0000-0000-00005D290000}"/>
    <cellStyle name="Normal 4 4 2 2 6 2 2 2 2" xfId="13859" xr:uid="{00000000-0005-0000-0000-00005E290000}"/>
    <cellStyle name="Normal 4 4 2 2 6 2 2 3" xfId="10680" xr:uid="{00000000-0005-0000-0000-00005F290000}"/>
    <cellStyle name="Normal 4 4 2 2 6 2 3" xfId="5914" xr:uid="{00000000-0005-0000-0000-000060290000}"/>
    <cellStyle name="Normal 4 4 2 2 6 2 3 2" xfId="12275" xr:uid="{00000000-0005-0000-0000-000061290000}"/>
    <cellStyle name="Normal 4 4 2 2 6 2 4" xfId="9096" xr:uid="{00000000-0005-0000-0000-000062290000}"/>
    <cellStyle name="Normal 4 4 2 2 6 3" xfId="3478" xr:uid="{00000000-0005-0000-0000-000063290000}"/>
    <cellStyle name="Normal 4 4 2 2 6 3 2" xfId="6706" xr:uid="{00000000-0005-0000-0000-000064290000}"/>
    <cellStyle name="Normal 4 4 2 2 6 3 2 2" xfId="13067" xr:uid="{00000000-0005-0000-0000-000065290000}"/>
    <cellStyle name="Normal 4 4 2 2 6 3 3" xfId="9888" xr:uid="{00000000-0005-0000-0000-000066290000}"/>
    <cellStyle name="Normal 4 4 2 2 6 4" xfId="5122" xr:uid="{00000000-0005-0000-0000-000067290000}"/>
    <cellStyle name="Normal 4 4 2 2 6 4 2" xfId="11483" xr:uid="{00000000-0005-0000-0000-000068290000}"/>
    <cellStyle name="Normal 4 4 2 2 6 5" xfId="8304" xr:uid="{00000000-0005-0000-0000-000069290000}"/>
    <cellStyle name="Normal 4 4 2 2 7" xfId="2290" xr:uid="{00000000-0005-0000-0000-00006A290000}"/>
    <cellStyle name="Normal 4 4 2 2 7 2" xfId="3874" xr:uid="{00000000-0005-0000-0000-00006B290000}"/>
    <cellStyle name="Normal 4 4 2 2 7 2 2" xfId="7102" xr:uid="{00000000-0005-0000-0000-00006C290000}"/>
    <cellStyle name="Normal 4 4 2 2 7 2 2 2" xfId="13463" xr:uid="{00000000-0005-0000-0000-00006D290000}"/>
    <cellStyle name="Normal 4 4 2 2 7 2 3" xfId="10284" xr:uid="{00000000-0005-0000-0000-00006E290000}"/>
    <cellStyle name="Normal 4 4 2 2 7 3" xfId="5518" xr:uid="{00000000-0005-0000-0000-00006F290000}"/>
    <cellStyle name="Normal 4 4 2 2 7 3 2" xfId="11879" xr:uid="{00000000-0005-0000-0000-000070290000}"/>
    <cellStyle name="Normal 4 4 2 2 7 4" xfId="8700" xr:uid="{00000000-0005-0000-0000-000071290000}"/>
    <cellStyle name="Normal 4 4 2 2 8" xfId="3082" xr:uid="{00000000-0005-0000-0000-000072290000}"/>
    <cellStyle name="Normal 4 4 2 2 8 2" xfId="6310" xr:uid="{00000000-0005-0000-0000-000073290000}"/>
    <cellStyle name="Normal 4 4 2 2 8 2 2" xfId="12671" xr:uid="{00000000-0005-0000-0000-000074290000}"/>
    <cellStyle name="Normal 4 4 2 2 8 3" xfId="9492" xr:uid="{00000000-0005-0000-0000-000075290000}"/>
    <cellStyle name="Normal 4 4 2 2 9" xfId="4726" xr:uid="{00000000-0005-0000-0000-000076290000}"/>
    <cellStyle name="Normal 4 4 2 2 9 2" xfId="11087" xr:uid="{00000000-0005-0000-0000-000077290000}"/>
    <cellStyle name="Normal 4 4 2 3" xfId="1467" xr:uid="{00000000-0005-0000-0000-000078290000}"/>
    <cellStyle name="Normal 4 4 2 3 2" xfId="1579" xr:uid="{00000000-0005-0000-0000-000079290000}"/>
    <cellStyle name="Normal 4 4 2 3 2 2" xfId="1777" xr:uid="{00000000-0005-0000-0000-00007A290000}"/>
    <cellStyle name="Normal 4 4 2 3 2 2 2" xfId="2173" xr:uid="{00000000-0005-0000-0000-00007B290000}"/>
    <cellStyle name="Normal 4 4 2 3 2 2 2 2" xfId="2965" xr:uid="{00000000-0005-0000-0000-00007C290000}"/>
    <cellStyle name="Normal 4 4 2 3 2 2 2 2 2" xfId="4549" xr:uid="{00000000-0005-0000-0000-00007D290000}"/>
    <cellStyle name="Normal 4 4 2 3 2 2 2 2 2 2" xfId="7777" xr:uid="{00000000-0005-0000-0000-00007E290000}"/>
    <cellStyle name="Normal 4 4 2 3 2 2 2 2 2 2 2" xfId="14138" xr:uid="{00000000-0005-0000-0000-00007F290000}"/>
    <cellStyle name="Normal 4 4 2 3 2 2 2 2 2 3" xfId="10959" xr:uid="{00000000-0005-0000-0000-000080290000}"/>
    <cellStyle name="Normal 4 4 2 3 2 2 2 2 3" xfId="6193" xr:uid="{00000000-0005-0000-0000-000081290000}"/>
    <cellStyle name="Normal 4 4 2 3 2 2 2 2 3 2" xfId="12554" xr:uid="{00000000-0005-0000-0000-000082290000}"/>
    <cellStyle name="Normal 4 4 2 3 2 2 2 2 4" xfId="9375" xr:uid="{00000000-0005-0000-0000-000083290000}"/>
    <cellStyle name="Normal 4 4 2 3 2 2 2 3" xfId="3757" xr:uid="{00000000-0005-0000-0000-000084290000}"/>
    <cellStyle name="Normal 4 4 2 3 2 2 2 3 2" xfId="6985" xr:uid="{00000000-0005-0000-0000-000085290000}"/>
    <cellStyle name="Normal 4 4 2 3 2 2 2 3 2 2" xfId="13346" xr:uid="{00000000-0005-0000-0000-000086290000}"/>
    <cellStyle name="Normal 4 4 2 3 2 2 2 3 3" xfId="10167" xr:uid="{00000000-0005-0000-0000-000087290000}"/>
    <cellStyle name="Normal 4 4 2 3 2 2 2 4" xfId="5401" xr:uid="{00000000-0005-0000-0000-000088290000}"/>
    <cellStyle name="Normal 4 4 2 3 2 2 2 4 2" xfId="11762" xr:uid="{00000000-0005-0000-0000-000089290000}"/>
    <cellStyle name="Normal 4 4 2 3 2 2 2 5" xfId="8583" xr:uid="{00000000-0005-0000-0000-00008A290000}"/>
    <cellStyle name="Normal 4 4 2 3 2 2 3" xfId="2569" xr:uid="{00000000-0005-0000-0000-00008B290000}"/>
    <cellStyle name="Normal 4 4 2 3 2 2 3 2" xfId="4153" xr:uid="{00000000-0005-0000-0000-00008C290000}"/>
    <cellStyle name="Normal 4 4 2 3 2 2 3 2 2" xfId="7381" xr:uid="{00000000-0005-0000-0000-00008D290000}"/>
    <cellStyle name="Normal 4 4 2 3 2 2 3 2 2 2" xfId="13742" xr:uid="{00000000-0005-0000-0000-00008E290000}"/>
    <cellStyle name="Normal 4 4 2 3 2 2 3 2 3" xfId="10563" xr:uid="{00000000-0005-0000-0000-00008F290000}"/>
    <cellStyle name="Normal 4 4 2 3 2 2 3 3" xfId="5797" xr:uid="{00000000-0005-0000-0000-000090290000}"/>
    <cellStyle name="Normal 4 4 2 3 2 2 3 3 2" xfId="12158" xr:uid="{00000000-0005-0000-0000-000091290000}"/>
    <cellStyle name="Normal 4 4 2 3 2 2 3 4" xfId="8979" xr:uid="{00000000-0005-0000-0000-000092290000}"/>
    <cellStyle name="Normal 4 4 2 3 2 2 4" xfId="3361" xr:uid="{00000000-0005-0000-0000-000093290000}"/>
    <cellStyle name="Normal 4 4 2 3 2 2 4 2" xfId="6589" xr:uid="{00000000-0005-0000-0000-000094290000}"/>
    <cellStyle name="Normal 4 4 2 3 2 2 4 2 2" xfId="12950" xr:uid="{00000000-0005-0000-0000-000095290000}"/>
    <cellStyle name="Normal 4 4 2 3 2 2 4 3" xfId="9771" xr:uid="{00000000-0005-0000-0000-000096290000}"/>
    <cellStyle name="Normal 4 4 2 3 2 2 5" xfId="5005" xr:uid="{00000000-0005-0000-0000-000097290000}"/>
    <cellStyle name="Normal 4 4 2 3 2 2 5 2" xfId="11366" xr:uid="{00000000-0005-0000-0000-000098290000}"/>
    <cellStyle name="Normal 4 4 2 3 2 2 6" xfId="8187" xr:uid="{00000000-0005-0000-0000-000099290000}"/>
    <cellStyle name="Normal 4 4 2 3 2 3" xfId="1975" xr:uid="{00000000-0005-0000-0000-00009A290000}"/>
    <cellStyle name="Normal 4 4 2 3 2 3 2" xfId="2767" xr:uid="{00000000-0005-0000-0000-00009B290000}"/>
    <cellStyle name="Normal 4 4 2 3 2 3 2 2" xfId="4351" xr:uid="{00000000-0005-0000-0000-00009C290000}"/>
    <cellStyle name="Normal 4 4 2 3 2 3 2 2 2" xfId="7579" xr:uid="{00000000-0005-0000-0000-00009D290000}"/>
    <cellStyle name="Normal 4 4 2 3 2 3 2 2 2 2" xfId="13940" xr:uid="{00000000-0005-0000-0000-00009E290000}"/>
    <cellStyle name="Normal 4 4 2 3 2 3 2 2 3" xfId="10761" xr:uid="{00000000-0005-0000-0000-00009F290000}"/>
    <cellStyle name="Normal 4 4 2 3 2 3 2 3" xfId="5995" xr:uid="{00000000-0005-0000-0000-0000A0290000}"/>
    <cellStyle name="Normal 4 4 2 3 2 3 2 3 2" xfId="12356" xr:uid="{00000000-0005-0000-0000-0000A1290000}"/>
    <cellStyle name="Normal 4 4 2 3 2 3 2 4" xfId="9177" xr:uid="{00000000-0005-0000-0000-0000A2290000}"/>
    <cellStyle name="Normal 4 4 2 3 2 3 3" xfId="3559" xr:uid="{00000000-0005-0000-0000-0000A3290000}"/>
    <cellStyle name="Normal 4 4 2 3 2 3 3 2" xfId="6787" xr:uid="{00000000-0005-0000-0000-0000A4290000}"/>
    <cellStyle name="Normal 4 4 2 3 2 3 3 2 2" xfId="13148" xr:uid="{00000000-0005-0000-0000-0000A5290000}"/>
    <cellStyle name="Normal 4 4 2 3 2 3 3 3" xfId="9969" xr:uid="{00000000-0005-0000-0000-0000A6290000}"/>
    <cellStyle name="Normal 4 4 2 3 2 3 4" xfId="5203" xr:uid="{00000000-0005-0000-0000-0000A7290000}"/>
    <cellStyle name="Normal 4 4 2 3 2 3 4 2" xfId="11564" xr:uid="{00000000-0005-0000-0000-0000A8290000}"/>
    <cellStyle name="Normal 4 4 2 3 2 3 5" xfId="8385" xr:uid="{00000000-0005-0000-0000-0000A9290000}"/>
    <cellStyle name="Normal 4 4 2 3 2 4" xfId="2371" xr:uid="{00000000-0005-0000-0000-0000AA290000}"/>
    <cellStyle name="Normal 4 4 2 3 2 4 2" xfId="3955" xr:uid="{00000000-0005-0000-0000-0000AB290000}"/>
    <cellStyle name="Normal 4 4 2 3 2 4 2 2" xfId="7183" xr:uid="{00000000-0005-0000-0000-0000AC290000}"/>
    <cellStyle name="Normal 4 4 2 3 2 4 2 2 2" xfId="13544" xr:uid="{00000000-0005-0000-0000-0000AD290000}"/>
    <cellStyle name="Normal 4 4 2 3 2 4 2 3" xfId="10365" xr:uid="{00000000-0005-0000-0000-0000AE290000}"/>
    <cellStyle name="Normal 4 4 2 3 2 4 3" xfId="5599" xr:uid="{00000000-0005-0000-0000-0000AF290000}"/>
    <cellStyle name="Normal 4 4 2 3 2 4 3 2" xfId="11960" xr:uid="{00000000-0005-0000-0000-0000B0290000}"/>
    <cellStyle name="Normal 4 4 2 3 2 4 4" xfId="8781" xr:uid="{00000000-0005-0000-0000-0000B1290000}"/>
    <cellStyle name="Normal 4 4 2 3 2 5" xfId="3163" xr:uid="{00000000-0005-0000-0000-0000B2290000}"/>
    <cellStyle name="Normal 4 4 2 3 2 5 2" xfId="6391" xr:uid="{00000000-0005-0000-0000-0000B3290000}"/>
    <cellStyle name="Normal 4 4 2 3 2 5 2 2" xfId="12752" xr:uid="{00000000-0005-0000-0000-0000B4290000}"/>
    <cellStyle name="Normal 4 4 2 3 2 5 3" xfId="9573" xr:uid="{00000000-0005-0000-0000-0000B5290000}"/>
    <cellStyle name="Normal 4 4 2 3 2 6" xfId="4807" xr:uid="{00000000-0005-0000-0000-0000B6290000}"/>
    <cellStyle name="Normal 4 4 2 3 2 6 2" xfId="11168" xr:uid="{00000000-0005-0000-0000-0000B7290000}"/>
    <cellStyle name="Normal 4 4 2 3 2 7" xfId="7989" xr:uid="{00000000-0005-0000-0000-0000B8290000}"/>
    <cellStyle name="Normal 4 4 2 3 3" xfId="1647" xr:uid="{00000000-0005-0000-0000-0000B9290000}"/>
    <cellStyle name="Normal 4 4 2 3 3 2" xfId="1845" xr:uid="{00000000-0005-0000-0000-0000BA290000}"/>
    <cellStyle name="Normal 4 4 2 3 3 2 2" xfId="2241" xr:uid="{00000000-0005-0000-0000-0000BB290000}"/>
    <cellStyle name="Normal 4 4 2 3 3 2 2 2" xfId="3033" xr:uid="{00000000-0005-0000-0000-0000BC290000}"/>
    <cellStyle name="Normal 4 4 2 3 3 2 2 2 2" xfId="4617" xr:uid="{00000000-0005-0000-0000-0000BD290000}"/>
    <cellStyle name="Normal 4 4 2 3 3 2 2 2 2 2" xfId="7845" xr:uid="{00000000-0005-0000-0000-0000BE290000}"/>
    <cellStyle name="Normal 4 4 2 3 3 2 2 2 2 2 2" xfId="14206" xr:uid="{00000000-0005-0000-0000-0000BF290000}"/>
    <cellStyle name="Normal 4 4 2 3 3 2 2 2 2 3" xfId="11027" xr:uid="{00000000-0005-0000-0000-0000C0290000}"/>
    <cellStyle name="Normal 4 4 2 3 3 2 2 2 3" xfId="6261" xr:uid="{00000000-0005-0000-0000-0000C1290000}"/>
    <cellStyle name="Normal 4 4 2 3 3 2 2 2 3 2" xfId="12622" xr:uid="{00000000-0005-0000-0000-0000C2290000}"/>
    <cellStyle name="Normal 4 4 2 3 3 2 2 2 4" xfId="9443" xr:uid="{00000000-0005-0000-0000-0000C3290000}"/>
    <cellStyle name="Normal 4 4 2 3 3 2 2 3" xfId="3825" xr:uid="{00000000-0005-0000-0000-0000C4290000}"/>
    <cellStyle name="Normal 4 4 2 3 3 2 2 3 2" xfId="7053" xr:uid="{00000000-0005-0000-0000-0000C5290000}"/>
    <cellStyle name="Normal 4 4 2 3 3 2 2 3 2 2" xfId="13414" xr:uid="{00000000-0005-0000-0000-0000C6290000}"/>
    <cellStyle name="Normal 4 4 2 3 3 2 2 3 3" xfId="10235" xr:uid="{00000000-0005-0000-0000-0000C7290000}"/>
    <cellStyle name="Normal 4 4 2 3 3 2 2 4" xfId="5469" xr:uid="{00000000-0005-0000-0000-0000C8290000}"/>
    <cellStyle name="Normal 4 4 2 3 3 2 2 4 2" xfId="11830" xr:uid="{00000000-0005-0000-0000-0000C9290000}"/>
    <cellStyle name="Normal 4 4 2 3 3 2 2 5" xfId="8651" xr:uid="{00000000-0005-0000-0000-0000CA290000}"/>
    <cellStyle name="Normal 4 4 2 3 3 2 3" xfId="2637" xr:uid="{00000000-0005-0000-0000-0000CB290000}"/>
    <cellStyle name="Normal 4 4 2 3 3 2 3 2" xfId="4221" xr:uid="{00000000-0005-0000-0000-0000CC290000}"/>
    <cellStyle name="Normal 4 4 2 3 3 2 3 2 2" xfId="7449" xr:uid="{00000000-0005-0000-0000-0000CD290000}"/>
    <cellStyle name="Normal 4 4 2 3 3 2 3 2 2 2" xfId="13810" xr:uid="{00000000-0005-0000-0000-0000CE290000}"/>
    <cellStyle name="Normal 4 4 2 3 3 2 3 2 3" xfId="10631" xr:uid="{00000000-0005-0000-0000-0000CF290000}"/>
    <cellStyle name="Normal 4 4 2 3 3 2 3 3" xfId="5865" xr:uid="{00000000-0005-0000-0000-0000D0290000}"/>
    <cellStyle name="Normal 4 4 2 3 3 2 3 3 2" xfId="12226" xr:uid="{00000000-0005-0000-0000-0000D1290000}"/>
    <cellStyle name="Normal 4 4 2 3 3 2 3 4" xfId="9047" xr:uid="{00000000-0005-0000-0000-0000D2290000}"/>
    <cellStyle name="Normal 4 4 2 3 3 2 4" xfId="3429" xr:uid="{00000000-0005-0000-0000-0000D3290000}"/>
    <cellStyle name="Normal 4 4 2 3 3 2 4 2" xfId="6657" xr:uid="{00000000-0005-0000-0000-0000D4290000}"/>
    <cellStyle name="Normal 4 4 2 3 3 2 4 2 2" xfId="13018" xr:uid="{00000000-0005-0000-0000-0000D5290000}"/>
    <cellStyle name="Normal 4 4 2 3 3 2 4 3" xfId="9839" xr:uid="{00000000-0005-0000-0000-0000D6290000}"/>
    <cellStyle name="Normal 4 4 2 3 3 2 5" xfId="5073" xr:uid="{00000000-0005-0000-0000-0000D7290000}"/>
    <cellStyle name="Normal 4 4 2 3 3 2 5 2" xfId="11434" xr:uid="{00000000-0005-0000-0000-0000D8290000}"/>
    <cellStyle name="Normal 4 4 2 3 3 2 6" xfId="8255" xr:uid="{00000000-0005-0000-0000-0000D9290000}"/>
    <cellStyle name="Normal 4 4 2 3 3 3" xfId="2043" xr:uid="{00000000-0005-0000-0000-0000DA290000}"/>
    <cellStyle name="Normal 4 4 2 3 3 3 2" xfId="2835" xr:uid="{00000000-0005-0000-0000-0000DB290000}"/>
    <cellStyle name="Normal 4 4 2 3 3 3 2 2" xfId="4419" xr:uid="{00000000-0005-0000-0000-0000DC290000}"/>
    <cellStyle name="Normal 4 4 2 3 3 3 2 2 2" xfId="7647" xr:uid="{00000000-0005-0000-0000-0000DD290000}"/>
    <cellStyle name="Normal 4 4 2 3 3 3 2 2 2 2" xfId="14008" xr:uid="{00000000-0005-0000-0000-0000DE290000}"/>
    <cellStyle name="Normal 4 4 2 3 3 3 2 2 3" xfId="10829" xr:uid="{00000000-0005-0000-0000-0000DF290000}"/>
    <cellStyle name="Normal 4 4 2 3 3 3 2 3" xfId="6063" xr:uid="{00000000-0005-0000-0000-0000E0290000}"/>
    <cellStyle name="Normal 4 4 2 3 3 3 2 3 2" xfId="12424" xr:uid="{00000000-0005-0000-0000-0000E1290000}"/>
    <cellStyle name="Normal 4 4 2 3 3 3 2 4" xfId="9245" xr:uid="{00000000-0005-0000-0000-0000E2290000}"/>
    <cellStyle name="Normal 4 4 2 3 3 3 3" xfId="3627" xr:uid="{00000000-0005-0000-0000-0000E3290000}"/>
    <cellStyle name="Normal 4 4 2 3 3 3 3 2" xfId="6855" xr:uid="{00000000-0005-0000-0000-0000E4290000}"/>
    <cellStyle name="Normal 4 4 2 3 3 3 3 2 2" xfId="13216" xr:uid="{00000000-0005-0000-0000-0000E5290000}"/>
    <cellStyle name="Normal 4 4 2 3 3 3 3 3" xfId="10037" xr:uid="{00000000-0005-0000-0000-0000E6290000}"/>
    <cellStyle name="Normal 4 4 2 3 3 3 4" xfId="5271" xr:uid="{00000000-0005-0000-0000-0000E7290000}"/>
    <cellStyle name="Normal 4 4 2 3 3 3 4 2" xfId="11632" xr:uid="{00000000-0005-0000-0000-0000E8290000}"/>
    <cellStyle name="Normal 4 4 2 3 3 3 5" xfId="8453" xr:uid="{00000000-0005-0000-0000-0000E9290000}"/>
    <cellStyle name="Normal 4 4 2 3 3 4" xfId="2439" xr:uid="{00000000-0005-0000-0000-0000EA290000}"/>
    <cellStyle name="Normal 4 4 2 3 3 4 2" xfId="4023" xr:uid="{00000000-0005-0000-0000-0000EB290000}"/>
    <cellStyle name="Normal 4 4 2 3 3 4 2 2" xfId="7251" xr:uid="{00000000-0005-0000-0000-0000EC290000}"/>
    <cellStyle name="Normal 4 4 2 3 3 4 2 2 2" xfId="13612" xr:uid="{00000000-0005-0000-0000-0000ED290000}"/>
    <cellStyle name="Normal 4 4 2 3 3 4 2 3" xfId="10433" xr:uid="{00000000-0005-0000-0000-0000EE290000}"/>
    <cellStyle name="Normal 4 4 2 3 3 4 3" xfId="5667" xr:uid="{00000000-0005-0000-0000-0000EF290000}"/>
    <cellStyle name="Normal 4 4 2 3 3 4 3 2" xfId="12028" xr:uid="{00000000-0005-0000-0000-0000F0290000}"/>
    <cellStyle name="Normal 4 4 2 3 3 4 4" xfId="8849" xr:uid="{00000000-0005-0000-0000-0000F1290000}"/>
    <cellStyle name="Normal 4 4 2 3 3 5" xfId="3231" xr:uid="{00000000-0005-0000-0000-0000F2290000}"/>
    <cellStyle name="Normal 4 4 2 3 3 5 2" xfId="6459" xr:uid="{00000000-0005-0000-0000-0000F3290000}"/>
    <cellStyle name="Normal 4 4 2 3 3 5 2 2" xfId="12820" xr:uid="{00000000-0005-0000-0000-0000F4290000}"/>
    <cellStyle name="Normal 4 4 2 3 3 5 3" xfId="9641" xr:uid="{00000000-0005-0000-0000-0000F5290000}"/>
    <cellStyle name="Normal 4 4 2 3 3 6" xfId="4875" xr:uid="{00000000-0005-0000-0000-0000F6290000}"/>
    <cellStyle name="Normal 4 4 2 3 3 6 2" xfId="11236" xr:uid="{00000000-0005-0000-0000-0000F7290000}"/>
    <cellStyle name="Normal 4 4 2 3 3 7" xfId="8057" xr:uid="{00000000-0005-0000-0000-0000F8290000}"/>
    <cellStyle name="Normal 4 4 2 3 4" xfId="1712" xr:uid="{00000000-0005-0000-0000-0000F9290000}"/>
    <cellStyle name="Normal 4 4 2 3 4 2" xfId="2108" xr:uid="{00000000-0005-0000-0000-0000FA290000}"/>
    <cellStyle name="Normal 4 4 2 3 4 2 2" xfId="2900" xr:uid="{00000000-0005-0000-0000-0000FB290000}"/>
    <cellStyle name="Normal 4 4 2 3 4 2 2 2" xfId="4484" xr:uid="{00000000-0005-0000-0000-0000FC290000}"/>
    <cellStyle name="Normal 4 4 2 3 4 2 2 2 2" xfId="7712" xr:uid="{00000000-0005-0000-0000-0000FD290000}"/>
    <cellStyle name="Normal 4 4 2 3 4 2 2 2 2 2" xfId="14073" xr:uid="{00000000-0005-0000-0000-0000FE290000}"/>
    <cellStyle name="Normal 4 4 2 3 4 2 2 2 3" xfId="10894" xr:uid="{00000000-0005-0000-0000-0000FF290000}"/>
    <cellStyle name="Normal 4 4 2 3 4 2 2 3" xfId="6128" xr:uid="{00000000-0005-0000-0000-0000002A0000}"/>
    <cellStyle name="Normal 4 4 2 3 4 2 2 3 2" xfId="12489" xr:uid="{00000000-0005-0000-0000-0000012A0000}"/>
    <cellStyle name="Normal 4 4 2 3 4 2 2 4" xfId="9310" xr:uid="{00000000-0005-0000-0000-0000022A0000}"/>
    <cellStyle name="Normal 4 4 2 3 4 2 3" xfId="3692" xr:uid="{00000000-0005-0000-0000-0000032A0000}"/>
    <cellStyle name="Normal 4 4 2 3 4 2 3 2" xfId="6920" xr:uid="{00000000-0005-0000-0000-0000042A0000}"/>
    <cellStyle name="Normal 4 4 2 3 4 2 3 2 2" xfId="13281" xr:uid="{00000000-0005-0000-0000-0000052A0000}"/>
    <cellStyle name="Normal 4 4 2 3 4 2 3 3" xfId="10102" xr:uid="{00000000-0005-0000-0000-0000062A0000}"/>
    <cellStyle name="Normal 4 4 2 3 4 2 4" xfId="5336" xr:uid="{00000000-0005-0000-0000-0000072A0000}"/>
    <cellStyle name="Normal 4 4 2 3 4 2 4 2" xfId="11697" xr:uid="{00000000-0005-0000-0000-0000082A0000}"/>
    <cellStyle name="Normal 4 4 2 3 4 2 5" xfId="8518" xr:uid="{00000000-0005-0000-0000-0000092A0000}"/>
    <cellStyle name="Normal 4 4 2 3 4 3" xfId="2504" xr:uid="{00000000-0005-0000-0000-00000A2A0000}"/>
    <cellStyle name="Normal 4 4 2 3 4 3 2" xfId="4088" xr:uid="{00000000-0005-0000-0000-00000B2A0000}"/>
    <cellStyle name="Normal 4 4 2 3 4 3 2 2" xfId="7316" xr:uid="{00000000-0005-0000-0000-00000C2A0000}"/>
    <cellStyle name="Normal 4 4 2 3 4 3 2 2 2" xfId="13677" xr:uid="{00000000-0005-0000-0000-00000D2A0000}"/>
    <cellStyle name="Normal 4 4 2 3 4 3 2 3" xfId="10498" xr:uid="{00000000-0005-0000-0000-00000E2A0000}"/>
    <cellStyle name="Normal 4 4 2 3 4 3 3" xfId="5732" xr:uid="{00000000-0005-0000-0000-00000F2A0000}"/>
    <cellStyle name="Normal 4 4 2 3 4 3 3 2" xfId="12093" xr:uid="{00000000-0005-0000-0000-0000102A0000}"/>
    <cellStyle name="Normal 4 4 2 3 4 3 4" xfId="8914" xr:uid="{00000000-0005-0000-0000-0000112A0000}"/>
    <cellStyle name="Normal 4 4 2 3 4 4" xfId="3296" xr:uid="{00000000-0005-0000-0000-0000122A0000}"/>
    <cellStyle name="Normal 4 4 2 3 4 4 2" xfId="6524" xr:uid="{00000000-0005-0000-0000-0000132A0000}"/>
    <cellStyle name="Normal 4 4 2 3 4 4 2 2" xfId="12885" xr:uid="{00000000-0005-0000-0000-0000142A0000}"/>
    <cellStyle name="Normal 4 4 2 3 4 4 3" xfId="9706" xr:uid="{00000000-0005-0000-0000-0000152A0000}"/>
    <cellStyle name="Normal 4 4 2 3 4 5" xfId="4940" xr:uid="{00000000-0005-0000-0000-0000162A0000}"/>
    <cellStyle name="Normal 4 4 2 3 4 5 2" xfId="11301" xr:uid="{00000000-0005-0000-0000-0000172A0000}"/>
    <cellStyle name="Normal 4 4 2 3 4 6" xfId="8122" xr:uid="{00000000-0005-0000-0000-0000182A0000}"/>
    <cellStyle name="Normal 4 4 2 3 5" xfId="1910" xr:uid="{00000000-0005-0000-0000-0000192A0000}"/>
    <cellStyle name="Normal 4 4 2 3 5 2" xfId="2702" xr:uid="{00000000-0005-0000-0000-00001A2A0000}"/>
    <cellStyle name="Normal 4 4 2 3 5 2 2" xfId="4286" xr:uid="{00000000-0005-0000-0000-00001B2A0000}"/>
    <cellStyle name="Normal 4 4 2 3 5 2 2 2" xfId="7514" xr:uid="{00000000-0005-0000-0000-00001C2A0000}"/>
    <cellStyle name="Normal 4 4 2 3 5 2 2 2 2" xfId="13875" xr:uid="{00000000-0005-0000-0000-00001D2A0000}"/>
    <cellStyle name="Normal 4 4 2 3 5 2 2 3" xfId="10696" xr:uid="{00000000-0005-0000-0000-00001E2A0000}"/>
    <cellStyle name="Normal 4 4 2 3 5 2 3" xfId="5930" xr:uid="{00000000-0005-0000-0000-00001F2A0000}"/>
    <cellStyle name="Normal 4 4 2 3 5 2 3 2" xfId="12291" xr:uid="{00000000-0005-0000-0000-0000202A0000}"/>
    <cellStyle name="Normal 4 4 2 3 5 2 4" xfId="9112" xr:uid="{00000000-0005-0000-0000-0000212A0000}"/>
    <cellStyle name="Normal 4 4 2 3 5 3" xfId="3494" xr:uid="{00000000-0005-0000-0000-0000222A0000}"/>
    <cellStyle name="Normal 4 4 2 3 5 3 2" xfId="6722" xr:uid="{00000000-0005-0000-0000-0000232A0000}"/>
    <cellStyle name="Normal 4 4 2 3 5 3 2 2" xfId="13083" xr:uid="{00000000-0005-0000-0000-0000242A0000}"/>
    <cellStyle name="Normal 4 4 2 3 5 3 3" xfId="9904" xr:uid="{00000000-0005-0000-0000-0000252A0000}"/>
    <cellStyle name="Normal 4 4 2 3 5 4" xfId="5138" xr:uid="{00000000-0005-0000-0000-0000262A0000}"/>
    <cellStyle name="Normal 4 4 2 3 5 4 2" xfId="11499" xr:uid="{00000000-0005-0000-0000-0000272A0000}"/>
    <cellStyle name="Normal 4 4 2 3 5 5" xfId="8320" xr:uid="{00000000-0005-0000-0000-0000282A0000}"/>
    <cellStyle name="Normal 4 4 2 3 6" xfId="2306" xr:uid="{00000000-0005-0000-0000-0000292A0000}"/>
    <cellStyle name="Normal 4 4 2 3 6 2" xfId="3890" xr:uid="{00000000-0005-0000-0000-00002A2A0000}"/>
    <cellStyle name="Normal 4 4 2 3 6 2 2" xfId="7118" xr:uid="{00000000-0005-0000-0000-00002B2A0000}"/>
    <cellStyle name="Normal 4 4 2 3 6 2 2 2" xfId="13479" xr:uid="{00000000-0005-0000-0000-00002C2A0000}"/>
    <cellStyle name="Normal 4 4 2 3 6 2 3" xfId="10300" xr:uid="{00000000-0005-0000-0000-00002D2A0000}"/>
    <cellStyle name="Normal 4 4 2 3 6 3" xfId="5534" xr:uid="{00000000-0005-0000-0000-00002E2A0000}"/>
    <cellStyle name="Normal 4 4 2 3 6 3 2" xfId="11895" xr:uid="{00000000-0005-0000-0000-00002F2A0000}"/>
    <cellStyle name="Normal 4 4 2 3 6 4" xfId="8716" xr:uid="{00000000-0005-0000-0000-0000302A0000}"/>
    <cellStyle name="Normal 4 4 2 3 7" xfId="3098" xr:uid="{00000000-0005-0000-0000-0000312A0000}"/>
    <cellStyle name="Normal 4 4 2 3 7 2" xfId="6326" xr:uid="{00000000-0005-0000-0000-0000322A0000}"/>
    <cellStyle name="Normal 4 4 2 3 7 2 2" xfId="12687" xr:uid="{00000000-0005-0000-0000-0000332A0000}"/>
    <cellStyle name="Normal 4 4 2 3 7 3" xfId="9508" xr:uid="{00000000-0005-0000-0000-0000342A0000}"/>
    <cellStyle name="Normal 4 4 2 3 8" xfId="4742" xr:uid="{00000000-0005-0000-0000-0000352A0000}"/>
    <cellStyle name="Normal 4 4 2 3 8 2" xfId="11103" xr:uid="{00000000-0005-0000-0000-0000362A0000}"/>
    <cellStyle name="Normal 4 4 2 3 9" xfId="7924" xr:uid="{00000000-0005-0000-0000-0000372A0000}"/>
    <cellStyle name="Normal 4 4 2 4" xfId="1547" xr:uid="{00000000-0005-0000-0000-0000382A0000}"/>
    <cellStyle name="Normal 4 4 2 4 2" xfId="1745" xr:uid="{00000000-0005-0000-0000-0000392A0000}"/>
    <cellStyle name="Normal 4 4 2 4 2 2" xfId="2141" xr:uid="{00000000-0005-0000-0000-00003A2A0000}"/>
    <cellStyle name="Normal 4 4 2 4 2 2 2" xfId="2933" xr:uid="{00000000-0005-0000-0000-00003B2A0000}"/>
    <cellStyle name="Normal 4 4 2 4 2 2 2 2" xfId="4517" xr:uid="{00000000-0005-0000-0000-00003C2A0000}"/>
    <cellStyle name="Normal 4 4 2 4 2 2 2 2 2" xfId="7745" xr:uid="{00000000-0005-0000-0000-00003D2A0000}"/>
    <cellStyle name="Normal 4 4 2 4 2 2 2 2 2 2" xfId="14106" xr:uid="{00000000-0005-0000-0000-00003E2A0000}"/>
    <cellStyle name="Normal 4 4 2 4 2 2 2 2 3" xfId="10927" xr:uid="{00000000-0005-0000-0000-00003F2A0000}"/>
    <cellStyle name="Normal 4 4 2 4 2 2 2 3" xfId="6161" xr:uid="{00000000-0005-0000-0000-0000402A0000}"/>
    <cellStyle name="Normal 4 4 2 4 2 2 2 3 2" xfId="12522" xr:uid="{00000000-0005-0000-0000-0000412A0000}"/>
    <cellStyle name="Normal 4 4 2 4 2 2 2 4" xfId="9343" xr:uid="{00000000-0005-0000-0000-0000422A0000}"/>
    <cellStyle name="Normal 4 4 2 4 2 2 3" xfId="3725" xr:uid="{00000000-0005-0000-0000-0000432A0000}"/>
    <cellStyle name="Normal 4 4 2 4 2 2 3 2" xfId="6953" xr:uid="{00000000-0005-0000-0000-0000442A0000}"/>
    <cellStyle name="Normal 4 4 2 4 2 2 3 2 2" xfId="13314" xr:uid="{00000000-0005-0000-0000-0000452A0000}"/>
    <cellStyle name="Normal 4 4 2 4 2 2 3 3" xfId="10135" xr:uid="{00000000-0005-0000-0000-0000462A0000}"/>
    <cellStyle name="Normal 4 4 2 4 2 2 4" xfId="5369" xr:uid="{00000000-0005-0000-0000-0000472A0000}"/>
    <cellStyle name="Normal 4 4 2 4 2 2 4 2" xfId="11730" xr:uid="{00000000-0005-0000-0000-0000482A0000}"/>
    <cellStyle name="Normal 4 4 2 4 2 2 5" xfId="8551" xr:uid="{00000000-0005-0000-0000-0000492A0000}"/>
    <cellStyle name="Normal 4 4 2 4 2 3" xfId="2537" xr:uid="{00000000-0005-0000-0000-00004A2A0000}"/>
    <cellStyle name="Normal 4 4 2 4 2 3 2" xfId="4121" xr:uid="{00000000-0005-0000-0000-00004B2A0000}"/>
    <cellStyle name="Normal 4 4 2 4 2 3 2 2" xfId="7349" xr:uid="{00000000-0005-0000-0000-00004C2A0000}"/>
    <cellStyle name="Normal 4 4 2 4 2 3 2 2 2" xfId="13710" xr:uid="{00000000-0005-0000-0000-00004D2A0000}"/>
    <cellStyle name="Normal 4 4 2 4 2 3 2 3" xfId="10531" xr:uid="{00000000-0005-0000-0000-00004E2A0000}"/>
    <cellStyle name="Normal 4 4 2 4 2 3 3" xfId="5765" xr:uid="{00000000-0005-0000-0000-00004F2A0000}"/>
    <cellStyle name="Normal 4 4 2 4 2 3 3 2" xfId="12126" xr:uid="{00000000-0005-0000-0000-0000502A0000}"/>
    <cellStyle name="Normal 4 4 2 4 2 3 4" xfId="8947" xr:uid="{00000000-0005-0000-0000-0000512A0000}"/>
    <cellStyle name="Normal 4 4 2 4 2 4" xfId="3329" xr:uid="{00000000-0005-0000-0000-0000522A0000}"/>
    <cellStyle name="Normal 4 4 2 4 2 4 2" xfId="6557" xr:uid="{00000000-0005-0000-0000-0000532A0000}"/>
    <cellStyle name="Normal 4 4 2 4 2 4 2 2" xfId="12918" xr:uid="{00000000-0005-0000-0000-0000542A0000}"/>
    <cellStyle name="Normal 4 4 2 4 2 4 3" xfId="9739" xr:uid="{00000000-0005-0000-0000-0000552A0000}"/>
    <cellStyle name="Normal 4 4 2 4 2 5" xfId="4973" xr:uid="{00000000-0005-0000-0000-0000562A0000}"/>
    <cellStyle name="Normal 4 4 2 4 2 5 2" xfId="11334" xr:uid="{00000000-0005-0000-0000-0000572A0000}"/>
    <cellStyle name="Normal 4 4 2 4 2 6" xfId="8155" xr:uid="{00000000-0005-0000-0000-0000582A0000}"/>
    <cellStyle name="Normal 4 4 2 4 3" xfId="1943" xr:uid="{00000000-0005-0000-0000-0000592A0000}"/>
    <cellStyle name="Normal 4 4 2 4 3 2" xfId="2735" xr:uid="{00000000-0005-0000-0000-00005A2A0000}"/>
    <cellStyle name="Normal 4 4 2 4 3 2 2" xfId="4319" xr:uid="{00000000-0005-0000-0000-00005B2A0000}"/>
    <cellStyle name="Normal 4 4 2 4 3 2 2 2" xfId="7547" xr:uid="{00000000-0005-0000-0000-00005C2A0000}"/>
    <cellStyle name="Normal 4 4 2 4 3 2 2 2 2" xfId="13908" xr:uid="{00000000-0005-0000-0000-00005D2A0000}"/>
    <cellStyle name="Normal 4 4 2 4 3 2 2 3" xfId="10729" xr:uid="{00000000-0005-0000-0000-00005E2A0000}"/>
    <cellStyle name="Normal 4 4 2 4 3 2 3" xfId="5963" xr:uid="{00000000-0005-0000-0000-00005F2A0000}"/>
    <cellStyle name="Normal 4 4 2 4 3 2 3 2" xfId="12324" xr:uid="{00000000-0005-0000-0000-0000602A0000}"/>
    <cellStyle name="Normal 4 4 2 4 3 2 4" xfId="9145" xr:uid="{00000000-0005-0000-0000-0000612A0000}"/>
    <cellStyle name="Normal 4 4 2 4 3 3" xfId="3527" xr:uid="{00000000-0005-0000-0000-0000622A0000}"/>
    <cellStyle name="Normal 4 4 2 4 3 3 2" xfId="6755" xr:uid="{00000000-0005-0000-0000-0000632A0000}"/>
    <cellStyle name="Normal 4 4 2 4 3 3 2 2" xfId="13116" xr:uid="{00000000-0005-0000-0000-0000642A0000}"/>
    <cellStyle name="Normal 4 4 2 4 3 3 3" xfId="9937" xr:uid="{00000000-0005-0000-0000-0000652A0000}"/>
    <cellStyle name="Normal 4 4 2 4 3 4" xfId="5171" xr:uid="{00000000-0005-0000-0000-0000662A0000}"/>
    <cellStyle name="Normal 4 4 2 4 3 4 2" xfId="11532" xr:uid="{00000000-0005-0000-0000-0000672A0000}"/>
    <cellStyle name="Normal 4 4 2 4 3 5" xfId="8353" xr:uid="{00000000-0005-0000-0000-0000682A0000}"/>
    <cellStyle name="Normal 4 4 2 4 4" xfId="2339" xr:uid="{00000000-0005-0000-0000-0000692A0000}"/>
    <cellStyle name="Normal 4 4 2 4 4 2" xfId="3923" xr:uid="{00000000-0005-0000-0000-00006A2A0000}"/>
    <cellStyle name="Normal 4 4 2 4 4 2 2" xfId="7151" xr:uid="{00000000-0005-0000-0000-00006B2A0000}"/>
    <cellStyle name="Normal 4 4 2 4 4 2 2 2" xfId="13512" xr:uid="{00000000-0005-0000-0000-00006C2A0000}"/>
    <cellStyle name="Normal 4 4 2 4 4 2 3" xfId="10333" xr:uid="{00000000-0005-0000-0000-00006D2A0000}"/>
    <cellStyle name="Normal 4 4 2 4 4 3" xfId="5567" xr:uid="{00000000-0005-0000-0000-00006E2A0000}"/>
    <cellStyle name="Normal 4 4 2 4 4 3 2" xfId="11928" xr:uid="{00000000-0005-0000-0000-00006F2A0000}"/>
    <cellStyle name="Normal 4 4 2 4 4 4" xfId="8749" xr:uid="{00000000-0005-0000-0000-0000702A0000}"/>
    <cellStyle name="Normal 4 4 2 4 5" xfId="3131" xr:uid="{00000000-0005-0000-0000-0000712A0000}"/>
    <cellStyle name="Normal 4 4 2 4 5 2" xfId="6359" xr:uid="{00000000-0005-0000-0000-0000722A0000}"/>
    <cellStyle name="Normal 4 4 2 4 5 2 2" xfId="12720" xr:uid="{00000000-0005-0000-0000-0000732A0000}"/>
    <cellStyle name="Normal 4 4 2 4 5 3" xfId="9541" xr:uid="{00000000-0005-0000-0000-0000742A0000}"/>
    <cellStyle name="Normal 4 4 2 4 6" xfId="4775" xr:uid="{00000000-0005-0000-0000-0000752A0000}"/>
    <cellStyle name="Normal 4 4 2 4 6 2" xfId="11136" xr:uid="{00000000-0005-0000-0000-0000762A0000}"/>
    <cellStyle name="Normal 4 4 2 4 7" xfId="7957" xr:uid="{00000000-0005-0000-0000-0000772A0000}"/>
    <cellStyle name="Normal 4 4 2 5" xfId="1615" xr:uid="{00000000-0005-0000-0000-0000782A0000}"/>
    <cellStyle name="Normal 4 4 2 5 2" xfId="1813" xr:uid="{00000000-0005-0000-0000-0000792A0000}"/>
    <cellStyle name="Normal 4 4 2 5 2 2" xfId="2209" xr:uid="{00000000-0005-0000-0000-00007A2A0000}"/>
    <cellStyle name="Normal 4 4 2 5 2 2 2" xfId="3001" xr:uid="{00000000-0005-0000-0000-00007B2A0000}"/>
    <cellStyle name="Normal 4 4 2 5 2 2 2 2" xfId="4585" xr:uid="{00000000-0005-0000-0000-00007C2A0000}"/>
    <cellStyle name="Normal 4 4 2 5 2 2 2 2 2" xfId="7813" xr:uid="{00000000-0005-0000-0000-00007D2A0000}"/>
    <cellStyle name="Normal 4 4 2 5 2 2 2 2 2 2" xfId="14174" xr:uid="{00000000-0005-0000-0000-00007E2A0000}"/>
    <cellStyle name="Normal 4 4 2 5 2 2 2 2 3" xfId="10995" xr:uid="{00000000-0005-0000-0000-00007F2A0000}"/>
    <cellStyle name="Normal 4 4 2 5 2 2 2 3" xfId="6229" xr:uid="{00000000-0005-0000-0000-0000802A0000}"/>
    <cellStyle name="Normal 4 4 2 5 2 2 2 3 2" xfId="12590" xr:uid="{00000000-0005-0000-0000-0000812A0000}"/>
    <cellStyle name="Normal 4 4 2 5 2 2 2 4" xfId="9411" xr:uid="{00000000-0005-0000-0000-0000822A0000}"/>
    <cellStyle name="Normal 4 4 2 5 2 2 3" xfId="3793" xr:uid="{00000000-0005-0000-0000-0000832A0000}"/>
    <cellStyle name="Normal 4 4 2 5 2 2 3 2" xfId="7021" xr:uid="{00000000-0005-0000-0000-0000842A0000}"/>
    <cellStyle name="Normal 4 4 2 5 2 2 3 2 2" xfId="13382" xr:uid="{00000000-0005-0000-0000-0000852A0000}"/>
    <cellStyle name="Normal 4 4 2 5 2 2 3 3" xfId="10203" xr:uid="{00000000-0005-0000-0000-0000862A0000}"/>
    <cellStyle name="Normal 4 4 2 5 2 2 4" xfId="5437" xr:uid="{00000000-0005-0000-0000-0000872A0000}"/>
    <cellStyle name="Normal 4 4 2 5 2 2 4 2" xfId="11798" xr:uid="{00000000-0005-0000-0000-0000882A0000}"/>
    <cellStyle name="Normal 4 4 2 5 2 2 5" xfId="8619" xr:uid="{00000000-0005-0000-0000-0000892A0000}"/>
    <cellStyle name="Normal 4 4 2 5 2 3" xfId="2605" xr:uid="{00000000-0005-0000-0000-00008A2A0000}"/>
    <cellStyle name="Normal 4 4 2 5 2 3 2" xfId="4189" xr:uid="{00000000-0005-0000-0000-00008B2A0000}"/>
    <cellStyle name="Normal 4 4 2 5 2 3 2 2" xfId="7417" xr:uid="{00000000-0005-0000-0000-00008C2A0000}"/>
    <cellStyle name="Normal 4 4 2 5 2 3 2 2 2" xfId="13778" xr:uid="{00000000-0005-0000-0000-00008D2A0000}"/>
    <cellStyle name="Normal 4 4 2 5 2 3 2 3" xfId="10599" xr:uid="{00000000-0005-0000-0000-00008E2A0000}"/>
    <cellStyle name="Normal 4 4 2 5 2 3 3" xfId="5833" xr:uid="{00000000-0005-0000-0000-00008F2A0000}"/>
    <cellStyle name="Normal 4 4 2 5 2 3 3 2" xfId="12194" xr:uid="{00000000-0005-0000-0000-0000902A0000}"/>
    <cellStyle name="Normal 4 4 2 5 2 3 4" xfId="9015" xr:uid="{00000000-0005-0000-0000-0000912A0000}"/>
    <cellStyle name="Normal 4 4 2 5 2 4" xfId="3397" xr:uid="{00000000-0005-0000-0000-0000922A0000}"/>
    <cellStyle name="Normal 4 4 2 5 2 4 2" xfId="6625" xr:uid="{00000000-0005-0000-0000-0000932A0000}"/>
    <cellStyle name="Normal 4 4 2 5 2 4 2 2" xfId="12986" xr:uid="{00000000-0005-0000-0000-0000942A0000}"/>
    <cellStyle name="Normal 4 4 2 5 2 4 3" xfId="9807" xr:uid="{00000000-0005-0000-0000-0000952A0000}"/>
    <cellStyle name="Normal 4 4 2 5 2 5" xfId="5041" xr:uid="{00000000-0005-0000-0000-0000962A0000}"/>
    <cellStyle name="Normal 4 4 2 5 2 5 2" xfId="11402" xr:uid="{00000000-0005-0000-0000-0000972A0000}"/>
    <cellStyle name="Normal 4 4 2 5 2 6" xfId="8223" xr:uid="{00000000-0005-0000-0000-0000982A0000}"/>
    <cellStyle name="Normal 4 4 2 5 3" xfId="2011" xr:uid="{00000000-0005-0000-0000-0000992A0000}"/>
    <cellStyle name="Normal 4 4 2 5 3 2" xfId="2803" xr:uid="{00000000-0005-0000-0000-00009A2A0000}"/>
    <cellStyle name="Normal 4 4 2 5 3 2 2" xfId="4387" xr:uid="{00000000-0005-0000-0000-00009B2A0000}"/>
    <cellStyle name="Normal 4 4 2 5 3 2 2 2" xfId="7615" xr:uid="{00000000-0005-0000-0000-00009C2A0000}"/>
    <cellStyle name="Normal 4 4 2 5 3 2 2 2 2" xfId="13976" xr:uid="{00000000-0005-0000-0000-00009D2A0000}"/>
    <cellStyle name="Normal 4 4 2 5 3 2 2 3" xfId="10797" xr:uid="{00000000-0005-0000-0000-00009E2A0000}"/>
    <cellStyle name="Normal 4 4 2 5 3 2 3" xfId="6031" xr:uid="{00000000-0005-0000-0000-00009F2A0000}"/>
    <cellStyle name="Normal 4 4 2 5 3 2 3 2" xfId="12392" xr:uid="{00000000-0005-0000-0000-0000A02A0000}"/>
    <cellStyle name="Normal 4 4 2 5 3 2 4" xfId="9213" xr:uid="{00000000-0005-0000-0000-0000A12A0000}"/>
    <cellStyle name="Normal 4 4 2 5 3 3" xfId="3595" xr:uid="{00000000-0005-0000-0000-0000A22A0000}"/>
    <cellStyle name="Normal 4 4 2 5 3 3 2" xfId="6823" xr:uid="{00000000-0005-0000-0000-0000A32A0000}"/>
    <cellStyle name="Normal 4 4 2 5 3 3 2 2" xfId="13184" xr:uid="{00000000-0005-0000-0000-0000A42A0000}"/>
    <cellStyle name="Normal 4 4 2 5 3 3 3" xfId="10005" xr:uid="{00000000-0005-0000-0000-0000A52A0000}"/>
    <cellStyle name="Normal 4 4 2 5 3 4" xfId="5239" xr:uid="{00000000-0005-0000-0000-0000A62A0000}"/>
    <cellStyle name="Normal 4 4 2 5 3 4 2" xfId="11600" xr:uid="{00000000-0005-0000-0000-0000A72A0000}"/>
    <cellStyle name="Normal 4 4 2 5 3 5" xfId="8421" xr:uid="{00000000-0005-0000-0000-0000A82A0000}"/>
    <cellStyle name="Normal 4 4 2 5 4" xfId="2407" xr:uid="{00000000-0005-0000-0000-0000A92A0000}"/>
    <cellStyle name="Normal 4 4 2 5 4 2" xfId="3991" xr:uid="{00000000-0005-0000-0000-0000AA2A0000}"/>
    <cellStyle name="Normal 4 4 2 5 4 2 2" xfId="7219" xr:uid="{00000000-0005-0000-0000-0000AB2A0000}"/>
    <cellStyle name="Normal 4 4 2 5 4 2 2 2" xfId="13580" xr:uid="{00000000-0005-0000-0000-0000AC2A0000}"/>
    <cellStyle name="Normal 4 4 2 5 4 2 3" xfId="10401" xr:uid="{00000000-0005-0000-0000-0000AD2A0000}"/>
    <cellStyle name="Normal 4 4 2 5 4 3" xfId="5635" xr:uid="{00000000-0005-0000-0000-0000AE2A0000}"/>
    <cellStyle name="Normal 4 4 2 5 4 3 2" xfId="11996" xr:uid="{00000000-0005-0000-0000-0000AF2A0000}"/>
    <cellStyle name="Normal 4 4 2 5 4 4" xfId="8817" xr:uid="{00000000-0005-0000-0000-0000B02A0000}"/>
    <cellStyle name="Normal 4 4 2 5 5" xfId="3199" xr:uid="{00000000-0005-0000-0000-0000B12A0000}"/>
    <cellStyle name="Normal 4 4 2 5 5 2" xfId="6427" xr:uid="{00000000-0005-0000-0000-0000B22A0000}"/>
    <cellStyle name="Normal 4 4 2 5 5 2 2" xfId="12788" xr:uid="{00000000-0005-0000-0000-0000B32A0000}"/>
    <cellStyle name="Normal 4 4 2 5 5 3" xfId="9609" xr:uid="{00000000-0005-0000-0000-0000B42A0000}"/>
    <cellStyle name="Normal 4 4 2 5 6" xfId="4843" xr:uid="{00000000-0005-0000-0000-0000B52A0000}"/>
    <cellStyle name="Normal 4 4 2 5 6 2" xfId="11204" xr:uid="{00000000-0005-0000-0000-0000B62A0000}"/>
    <cellStyle name="Normal 4 4 2 5 7" xfId="8025" xr:uid="{00000000-0005-0000-0000-0000B72A0000}"/>
    <cellStyle name="Normal 4 4 2 6" xfId="1680" xr:uid="{00000000-0005-0000-0000-0000B82A0000}"/>
    <cellStyle name="Normal 4 4 2 6 2" xfId="2076" xr:uid="{00000000-0005-0000-0000-0000B92A0000}"/>
    <cellStyle name="Normal 4 4 2 6 2 2" xfId="2868" xr:uid="{00000000-0005-0000-0000-0000BA2A0000}"/>
    <cellStyle name="Normal 4 4 2 6 2 2 2" xfId="4452" xr:uid="{00000000-0005-0000-0000-0000BB2A0000}"/>
    <cellStyle name="Normal 4 4 2 6 2 2 2 2" xfId="7680" xr:uid="{00000000-0005-0000-0000-0000BC2A0000}"/>
    <cellStyle name="Normal 4 4 2 6 2 2 2 2 2" xfId="14041" xr:uid="{00000000-0005-0000-0000-0000BD2A0000}"/>
    <cellStyle name="Normal 4 4 2 6 2 2 2 3" xfId="10862" xr:uid="{00000000-0005-0000-0000-0000BE2A0000}"/>
    <cellStyle name="Normal 4 4 2 6 2 2 3" xfId="6096" xr:uid="{00000000-0005-0000-0000-0000BF2A0000}"/>
    <cellStyle name="Normal 4 4 2 6 2 2 3 2" xfId="12457" xr:uid="{00000000-0005-0000-0000-0000C02A0000}"/>
    <cellStyle name="Normal 4 4 2 6 2 2 4" xfId="9278" xr:uid="{00000000-0005-0000-0000-0000C12A0000}"/>
    <cellStyle name="Normal 4 4 2 6 2 3" xfId="3660" xr:uid="{00000000-0005-0000-0000-0000C22A0000}"/>
    <cellStyle name="Normal 4 4 2 6 2 3 2" xfId="6888" xr:uid="{00000000-0005-0000-0000-0000C32A0000}"/>
    <cellStyle name="Normal 4 4 2 6 2 3 2 2" xfId="13249" xr:uid="{00000000-0005-0000-0000-0000C42A0000}"/>
    <cellStyle name="Normal 4 4 2 6 2 3 3" xfId="10070" xr:uid="{00000000-0005-0000-0000-0000C52A0000}"/>
    <cellStyle name="Normal 4 4 2 6 2 4" xfId="5304" xr:uid="{00000000-0005-0000-0000-0000C62A0000}"/>
    <cellStyle name="Normal 4 4 2 6 2 4 2" xfId="11665" xr:uid="{00000000-0005-0000-0000-0000C72A0000}"/>
    <cellStyle name="Normal 4 4 2 6 2 5" xfId="8486" xr:uid="{00000000-0005-0000-0000-0000C82A0000}"/>
    <cellStyle name="Normal 4 4 2 6 3" xfId="2472" xr:uid="{00000000-0005-0000-0000-0000C92A0000}"/>
    <cellStyle name="Normal 4 4 2 6 3 2" xfId="4056" xr:uid="{00000000-0005-0000-0000-0000CA2A0000}"/>
    <cellStyle name="Normal 4 4 2 6 3 2 2" xfId="7284" xr:uid="{00000000-0005-0000-0000-0000CB2A0000}"/>
    <cellStyle name="Normal 4 4 2 6 3 2 2 2" xfId="13645" xr:uid="{00000000-0005-0000-0000-0000CC2A0000}"/>
    <cellStyle name="Normal 4 4 2 6 3 2 3" xfId="10466" xr:uid="{00000000-0005-0000-0000-0000CD2A0000}"/>
    <cellStyle name="Normal 4 4 2 6 3 3" xfId="5700" xr:uid="{00000000-0005-0000-0000-0000CE2A0000}"/>
    <cellStyle name="Normal 4 4 2 6 3 3 2" xfId="12061" xr:uid="{00000000-0005-0000-0000-0000CF2A0000}"/>
    <cellStyle name="Normal 4 4 2 6 3 4" xfId="8882" xr:uid="{00000000-0005-0000-0000-0000D02A0000}"/>
    <cellStyle name="Normal 4 4 2 6 4" xfId="3264" xr:uid="{00000000-0005-0000-0000-0000D12A0000}"/>
    <cellStyle name="Normal 4 4 2 6 4 2" xfId="6492" xr:uid="{00000000-0005-0000-0000-0000D22A0000}"/>
    <cellStyle name="Normal 4 4 2 6 4 2 2" xfId="12853" xr:uid="{00000000-0005-0000-0000-0000D32A0000}"/>
    <cellStyle name="Normal 4 4 2 6 4 3" xfId="9674" xr:uid="{00000000-0005-0000-0000-0000D42A0000}"/>
    <cellStyle name="Normal 4 4 2 6 5" xfId="4908" xr:uid="{00000000-0005-0000-0000-0000D52A0000}"/>
    <cellStyle name="Normal 4 4 2 6 5 2" xfId="11269" xr:uid="{00000000-0005-0000-0000-0000D62A0000}"/>
    <cellStyle name="Normal 4 4 2 6 6" xfId="8090" xr:uid="{00000000-0005-0000-0000-0000D72A0000}"/>
    <cellStyle name="Normal 4 4 2 7" xfId="1878" xr:uid="{00000000-0005-0000-0000-0000D82A0000}"/>
    <cellStyle name="Normal 4 4 2 7 2" xfId="2670" xr:uid="{00000000-0005-0000-0000-0000D92A0000}"/>
    <cellStyle name="Normal 4 4 2 7 2 2" xfId="4254" xr:uid="{00000000-0005-0000-0000-0000DA2A0000}"/>
    <cellStyle name="Normal 4 4 2 7 2 2 2" xfId="7482" xr:uid="{00000000-0005-0000-0000-0000DB2A0000}"/>
    <cellStyle name="Normal 4 4 2 7 2 2 2 2" xfId="13843" xr:uid="{00000000-0005-0000-0000-0000DC2A0000}"/>
    <cellStyle name="Normal 4 4 2 7 2 2 3" xfId="10664" xr:uid="{00000000-0005-0000-0000-0000DD2A0000}"/>
    <cellStyle name="Normal 4 4 2 7 2 3" xfId="5898" xr:uid="{00000000-0005-0000-0000-0000DE2A0000}"/>
    <cellStyle name="Normal 4 4 2 7 2 3 2" xfId="12259" xr:uid="{00000000-0005-0000-0000-0000DF2A0000}"/>
    <cellStyle name="Normal 4 4 2 7 2 4" xfId="9080" xr:uid="{00000000-0005-0000-0000-0000E02A0000}"/>
    <cellStyle name="Normal 4 4 2 7 3" xfId="3462" xr:uid="{00000000-0005-0000-0000-0000E12A0000}"/>
    <cellStyle name="Normal 4 4 2 7 3 2" xfId="6690" xr:uid="{00000000-0005-0000-0000-0000E22A0000}"/>
    <cellStyle name="Normal 4 4 2 7 3 2 2" xfId="13051" xr:uid="{00000000-0005-0000-0000-0000E32A0000}"/>
    <cellStyle name="Normal 4 4 2 7 3 3" xfId="9872" xr:uid="{00000000-0005-0000-0000-0000E42A0000}"/>
    <cellStyle name="Normal 4 4 2 7 4" xfId="5106" xr:uid="{00000000-0005-0000-0000-0000E52A0000}"/>
    <cellStyle name="Normal 4 4 2 7 4 2" xfId="11467" xr:uid="{00000000-0005-0000-0000-0000E62A0000}"/>
    <cellStyle name="Normal 4 4 2 7 5" xfId="8288" xr:uid="{00000000-0005-0000-0000-0000E72A0000}"/>
    <cellStyle name="Normal 4 4 2 8" xfId="2274" xr:uid="{00000000-0005-0000-0000-0000E82A0000}"/>
    <cellStyle name="Normal 4 4 2 8 2" xfId="3858" xr:uid="{00000000-0005-0000-0000-0000E92A0000}"/>
    <cellStyle name="Normal 4 4 2 8 2 2" xfId="7086" xr:uid="{00000000-0005-0000-0000-0000EA2A0000}"/>
    <cellStyle name="Normal 4 4 2 8 2 2 2" xfId="13447" xr:uid="{00000000-0005-0000-0000-0000EB2A0000}"/>
    <cellStyle name="Normal 4 4 2 8 2 3" xfId="10268" xr:uid="{00000000-0005-0000-0000-0000EC2A0000}"/>
    <cellStyle name="Normal 4 4 2 8 3" xfId="5502" xr:uid="{00000000-0005-0000-0000-0000ED2A0000}"/>
    <cellStyle name="Normal 4 4 2 8 3 2" xfId="11863" xr:uid="{00000000-0005-0000-0000-0000EE2A0000}"/>
    <cellStyle name="Normal 4 4 2 8 4" xfId="8684" xr:uid="{00000000-0005-0000-0000-0000EF2A0000}"/>
    <cellStyle name="Normal 4 4 2 9" xfId="3066" xr:uid="{00000000-0005-0000-0000-0000F02A0000}"/>
    <cellStyle name="Normal 4 4 2 9 2" xfId="6294" xr:uid="{00000000-0005-0000-0000-0000F12A0000}"/>
    <cellStyle name="Normal 4 4 2 9 2 2" xfId="12655" xr:uid="{00000000-0005-0000-0000-0000F22A0000}"/>
    <cellStyle name="Normal 4 4 2 9 3" xfId="9476" xr:uid="{00000000-0005-0000-0000-0000F32A0000}"/>
    <cellStyle name="Normal 4 4 3" xfId="1443" xr:uid="{00000000-0005-0000-0000-0000F42A0000}"/>
    <cellStyle name="Normal 4 4 3 10" xfId="7900" xr:uid="{00000000-0005-0000-0000-0000F52A0000}"/>
    <cellStyle name="Normal 4 4 3 2" xfId="1475" xr:uid="{00000000-0005-0000-0000-0000F62A0000}"/>
    <cellStyle name="Normal 4 4 3 2 2" xfId="1587" xr:uid="{00000000-0005-0000-0000-0000F72A0000}"/>
    <cellStyle name="Normal 4 4 3 2 2 2" xfId="1785" xr:uid="{00000000-0005-0000-0000-0000F82A0000}"/>
    <cellStyle name="Normal 4 4 3 2 2 2 2" xfId="2181" xr:uid="{00000000-0005-0000-0000-0000F92A0000}"/>
    <cellStyle name="Normal 4 4 3 2 2 2 2 2" xfId="2973" xr:uid="{00000000-0005-0000-0000-0000FA2A0000}"/>
    <cellStyle name="Normal 4 4 3 2 2 2 2 2 2" xfId="4557" xr:uid="{00000000-0005-0000-0000-0000FB2A0000}"/>
    <cellStyle name="Normal 4 4 3 2 2 2 2 2 2 2" xfId="7785" xr:uid="{00000000-0005-0000-0000-0000FC2A0000}"/>
    <cellStyle name="Normal 4 4 3 2 2 2 2 2 2 2 2" xfId="14146" xr:uid="{00000000-0005-0000-0000-0000FD2A0000}"/>
    <cellStyle name="Normal 4 4 3 2 2 2 2 2 2 3" xfId="10967" xr:uid="{00000000-0005-0000-0000-0000FE2A0000}"/>
    <cellStyle name="Normal 4 4 3 2 2 2 2 2 3" xfId="6201" xr:uid="{00000000-0005-0000-0000-0000FF2A0000}"/>
    <cellStyle name="Normal 4 4 3 2 2 2 2 2 3 2" xfId="12562" xr:uid="{00000000-0005-0000-0000-0000002B0000}"/>
    <cellStyle name="Normal 4 4 3 2 2 2 2 2 4" xfId="9383" xr:uid="{00000000-0005-0000-0000-0000012B0000}"/>
    <cellStyle name="Normal 4 4 3 2 2 2 2 3" xfId="3765" xr:uid="{00000000-0005-0000-0000-0000022B0000}"/>
    <cellStyle name="Normal 4 4 3 2 2 2 2 3 2" xfId="6993" xr:uid="{00000000-0005-0000-0000-0000032B0000}"/>
    <cellStyle name="Normal 4 4 3 2 2 2 2 3 2 2" xfId="13354" xr:uid="{00000000-0005-0000-0000-0000042B0000}"/>
    <cellStyle name="Normal 4 4 3 2 2 2 2 3 3" xfId="10175" xr:uid="{00000000-0005-0000-0000-0000052B0000}"/>
    <cellStyle name="Normal 4 4 3 2 2 2 2 4" xfId="5409" xr:uid="{00000000-0005-0000-0000-0000062B0000}"/>
    <cellStyle name="Normal 4 4 3 2 2 2 2 4 2" xfId="11770" xr:uid="{00000000-0005-0000-0000-0000072B0000}"/>
    <cellStyle name="Normal 4 4 3 2 2 2 2 5" xfId="8591" xr:uid="{00000000-0005-0000-0000-0000082B0000}"/>
    <cellStyle name="Normal 4 4 3 2 2 2 3" xfId="2577" xr:uid="{00000000-0005-0000-0000-0000092B0000}"/>
    <cellStyle name="Normal 4 4 3 2 2 2 3 2" xfId="4161" xr:uid="{00000000-0005-0000-0000-00000A2B0000}"/>
    <cellStyle name="Normal 4 4 3 2 2 2 3 2 2" xfId="7389" xr:uid="{00000000-0005-0000-0000-00000B2B0000}"/>
    <cellStyle name="Normal 4 4 3 2 2 2 3 2 2 2" xfId="13750" xr:uid="{00000000-0005-0000-0000-00000C2B0000}"/>
    <cellStyle name="Normal 4 4 3 2 2 2 3 2 3" xfId="10571" xr:uid="{00000000-0005-0000-0000-00000D2B0000}"/>
    <cellStyle name="Normal 4 4 3 2 2 2 3 3" xfId="5805" xr:uid="{00000000-0005-0000-0000-00000E2B0000}"/>
    <cellStyle name="Normal 4 4 3 2 2 2 3 3 2" xfId="12166" xr:uid="{00000000-0005-0000-0000-00000F2B0000}"/>
    <cellStyle name="Normal 4 4 3 2 2 2 3 4" xfId="8987" xr:uid="{00000000-0005-0000-0000-0000102B0000}"/>
    <cellStyle name="Normal 4 4 3 2 2 2 4" xfId="3369" xr:uid="{00000000-0005-0000-0000-0000112B0000}"/>
    <cellStyle name="Normal 4 4 3 2 2 2 4 2" xfId="6597" xr:uid="{00000000-0005-0000-0000-0000122B0000}"/>
    <cellStyle name="Normal 4 4 3 2 2 2 4 2 2" xfId="12958" xr:uid="{00000000-0005-0000-0000-0000132B0000}"/>
    <cellStyle name="Normal 4 4 3 2 2 2 4 3" xfId="9779" xr:uid="{00000000-0005-0000-0000-0000142B0000}"/>
    <cellStyle name="Normal 4 4 3 2 2 2 5" xfId="5013" xr:uid="{00000000-0005-0000-0000-0000152B0000}"/>
    <cellStyle name="Normal 4 4 3 2 2 2 5 2" xfId="11374" xr:uid="{00000000-0005-0000-0000-0000162B0000}"/>
    <cellStyle name="Normal 4 4 3 2 2 2 6" xfId="8195" xr:uid="{00000000-0005-0000-0000-0000172B0000}"/>
    <cellStyle name="Normal 4 4 3 2 2 3" xfId="1983" xr:uid="{00000000-0005-0000-0000-0000182B0000}"/>
    <cellStyle name="Normal 4 4 3 2 2 3 2" xfId="2775" xr:uid="{00000000-0005-0000-0000-0000192B0000}"/>
    <cellStyle name="Normal 4 4 3 2 2 3 2 2" xfId="4359" xr:uid="{00000000-0005-0000-0000-00001A2B0000}"/>
    <cellStyle name="Normal 4 4 3 2 2 3 2 2 2" xfId="7587" xr:uid="{00000000-0005-0000-0000-00001B2B0000}"/>
    <cellStyle name="Normal 4 4 3 2 2 3 2 2 2 2" xfId="13948" xr:uid="{00000000-0005-0000-0000-00001C2B0000}"/>
    <cellStyle name="Normal 4 4 3 2 2 3 2 2 3" xfId="10769" xr:uid="{00000000-0005-0000-0000-00001D2B0000}"/>
    <cellStyle name="Normal 4 4 3 2 2 3 2 3" xfId="6003" xr:uid="{00000000-0005-0000-0000-00001E2B0000}"/>
    <cellStyle name="Normal 4 4 3 2 2 3 2 3 2" xfId="12364" xr:uid="{00000000-0005-0000-0000-00001F2B0000}"/>
    <cellStyle name="Normal 4 4 3 2 2 3 2 4" xfId="9185" xr:uid="{00000000-0005-0000-0000-0000202B0000}"/>
    <cellStyle name="Normal 4 4 3 2 2 3 3" xfId="3567" xr:uid="{00000000-0005-0000-0000-0000212B0000}"/>
    <cellStyle name="Normal 4 4 3 2 2 3 3 2" xfId="6795" xr:uid="{00000000-0005-0000-0000-0000222B0000}"/>
    <cellStyle name="Normal 4 4 3 2 2 3 3 2 2" xfId="13156" xr:uid="{00000000-0005-0000-0000-0000232B0000}"/>
    <cellStyle name="Normal 4 4 3 2 2 3 3 3" xfId="9977" xr:uid="{00000000-0005-0000-0000-0000242B0000}"/>
    <cellStyle name="Normal 4 4 3 2 2 3 4" xfId="5211" xr:uid="{00000000-0005-0000-0000-0000252B0000}"/>
    <cellStyle name="Normal 4 4 3 2 2 3 4 2" xfId="11572" xr:uid="{00000000-0005-0000-0000-0000262B0000}"/>
    <cellStyle name="Normal 4 4 3 2 2 3 5" xfId="8393" xr:uid="{00000000-0005-0000-0000-0000272B0000}"/>
    <cellStyle name="Normal 4 4 3 2 2 4" xfId="2379" xr:uid="{00000000-0005-0000-0000-0000282B0000}"/>
    <cellStyle name="Normal 4 4 3 2 2 4 2" xfId="3963" xr:uid="{00000000-0005-0000-0000-0000292B0000}"/>
    <cellStyle name="Normal 4 4 3 2 2 4 2 2" xfId="7191" xr:uid="{00000000-0005-0000-0000-00002A2B0000}"/>
    <cellStyle name="Normal 4 4 3 2 2 4 2 2 2" xfId="13552" xr:uid="{00000000-0005-0000-0000-00002B2B0000}"/>
    <cellStyle name="Normal 4 4 3 2 2 4 2 3" xfId="10373" xr:uid="{00000000-0005-0000-0000-00002C2B0000}"/>
    <cellStyle name="Normal 4 4 3 2 2 4 3" xfId="5607" xr:uid="{00000000-0005-0000-0000-00002D2B0000}"/>
    <cellStyle name="Normal 4 4 3 2 2 4 3 2" xfId="11968" xr:uid="{00000000-0005-0000-0000-00002E2B0000}"/>
    <cellStyle name="Normal 4 4 3 2 2 4 4" xfId="8789" xr:uid="{00000000-0005-0000-0000-00002F2B0000}"/>
    <cellStyle name="Normal 4 4 3 2 2 5" xfId="3171" xr:uid="{00000000-0005-0000-0000-0000302B0000}"/>
    <cellStyle name="Normal 4 4 3 2 2 5 2" xfId="6399" xr:uid="{00000000-0005-0000-0000-0000312B0000}"/>
    <cellStyle name="Normal 4 4 3 2 2 5 2 2" xfId="12760" xr:uid="{00000000-0005-0000-0000-0000322B0000}"/>
    <cellStyle name="Normal 4 4 3 2 2 5 3" xfId="9581" xr:uid="{00000000-0005-0000-0000-0000332B0000}"/>
    <cellStyle name="Normal 4 4 3 2 2 6" xfId="4815" xr:uid="{00000000-0005-0000-0000-0000342B0000}"/>
    <cellStyle name="Normal 4 4 3 2 2 6 2" xfId="11176" xr:uid="{00000000-0005-0000-0000-0000352B0000}"/>
    <cellStyle name="Normal 4 4 3 2 2 7" xfId="7997" xr:uid="{00000000-0005-0000-0000-0000362B0000}"/>
    <cellStyle name="Normal 4 4 3 2 3" xfId="1655" xr:uid="{00000000-0005-0000-0000-0000372B0000}"/>
    <cellStyle name="Normal 4 4 3 2 3 2" xfId="1853" xr:uid="{00000000-0005-0000-0000-0000382B0000}"/>
    <cellStyle name="Normal 4 4 3 2 3 2 2" xfId="2249" xr:uid="{00000000-0005-0000-0000-0000392B0000}"/>
    <cellStyle name="Normal 4 4 3 2 3 2 2 2" xfId="3041" xr:uid="{00000000-0005-0000-0000-00003A2B0000}"/>
    <cellStyle name="Normal 4 4 3 2 3 2 2 2 2" xfId="4625" xr:uid="{00000000-0005-0000-0000-00003B2B0000}"/>
    <cellStyle name="Normal 4 4 3 2 3 2 2 2 2 2" xfId="7853" xr:uid="{00000000-0005-0000-0000-00003C2B0000}"/>
    <cellStyle name="Normal 4 4 3 2 3 2 2 2 2 2 2" xfId="14214" xr:uid="{00000000-0005-0000-0000-00003D2B0000}"/>
    <cellStyle name="Normal 4 4 3 2 3 2 2 2 2 3" xfId="11035" xr:uid="{00000000-0005-0000-0000-00003E2B0000}"/>
    <cellStyle name="Normal 4 4 3 2 3 2 2 2 3" xfId="6269" xr:uid="{00000000-0005-0000-0000-00003F2B0000}"/>
    <cellStyle name="Normal 4 4 3 2 3 2 2 2 3 2" xfId="12630" xr:uid="{00000000-0005-0000-0000-0000402B0000}"/>
    <cellStyle name="Normal 4 4 3 2 3 2 2 2 4" xfId="9451" xr:uid="{00000000-0005-0000-0000-0000412B0000}"/>
    <cellStyle name="Normal 4 4 3 2 3 2 2 3" xfId="3833" xr:uid="{00000000-0005-0000-0000-0000422B0000}"/>
    <cellStyle name="Normal 4 4 3 2 3 2 2 3 2" xfId="7061" xr:uid="{00000000-0005-0000-0000-0000432B0000}"/>
    <cellStyle name="Normal 4 4 3 2 3 2 2 3 2 2" xfId="13422" xr:uid="{00000000-0005-0000-0000-0000442B0000}"/>
    <cellStyle name="Normal 4 4 3 2 3 2 2 3 3" xfId="10243" xr:uid="{00000000-0005-0000-0000-0000452B0000}"/>
    <cellStyle name="Normal 4 4 3 2 3 2 2 4" xfId="5477" xr:uid="{00000000-0005-0000-0000-0000462B0000}"/>
    <cellStyle name="Normal 4 4 3 2 3 2 2 4 2" xfId="11838" xr:uid="{00000000-0005-0000-0000-0000472B0000}"/>
    <cellStyle name="Normal 4 4 3 2 3 2 2 5" xfId="8659" xr:uid="{00000000-0005-0000-0000-0000482B0000}"/>
    <cellStyle name="Normal 4 4 3 2 3 2 3" xfId="2645" xr:uid="{00000000-0005-0000-0000-0000492B0000}"/>
    <cellStyle name="Normal 4 4 3 2 3 2 3 2" xfId="4229" xr:uid="{00000000-0005-0000-0000-00004A2B0000}"/>
    <cellStyle name="Normal 4 4 3 2 3 2 3 2 2" xfId="7457" xr:uid="{00000000-0005-0000-0000-00004B2B0000}"/>
    <cellStyle name="Normal 4 4 3 2 3 2 3 2 2 2" xfId="13818" xr:uid="{00000000-0005-0000-0000-00004C2B0000}"/>
    <cellStyle name="Normal 4 4 3 2 3 2 3 2 3" xfId="10639" xr:uid="{00000000-0005-0000-0000-00004D2B0000}"/>
    <cellStyle name="Normal 4 4 3 2 3 2 3 3" xfId="5873" xr:uid="{00000000-0005-0000-0000-00004E2B0000}"/>
    <cellStyle name="Normal 4 4 3 2 3 2 3 3 2" xfId="12234" xr:uid="{00000000-0005-0000-0000-00004F2B0000}"/>
    <cellStyle name="Normal 4 4 3 2 3 2 3 4" xfId="9055" xr:uid="{00000000-0005-0000-0000-0000502B0000}"/>
    <cellStyle name="Normal 4 4 3 2 3 2 4" xfId="3437" xr:uid="{00000000-0005-0000-0000-0000512B0000}"/>
    <cellStyle name="Normal 4 4 3 2 3 2 4 2" xfId="6665" xr:uid="{00000000-0005-0000-0000-0000522B0000}"/>
    <cellStyle name="Normal 4 4 3 2 3 2 4 2 2" xfId="13026" xr:uid="{00000000-0005-0000-0000-0000532B0000}"/>
    <cellStyle name="Normal 4 4 3 2 3 2 4 3" xfId="9847" xr:uid="{00000000-0005-0000-0000-0000542B0000}"/>
    <cellStyle name="Normal 4 4 3 2 3 2 5" xfId="5081" xr:uid="{00000000-0005-0000-0000-0000552B0000}"/>
    <cellStyle name="Normal 4 4 3 2 3 2 5 2" xfId="11442" xr:uid="{00000000-0005-0000-0000-0000562B0000}"/>
    <cellStyle name="Normal 4 4 3 2 3 2 6" xfId="8263" xr:uid="{00000000-0005-0000-0000-0000572B0000}"/>
    <cellStyle name="Normal 4 4 3 2 3 3" xfId="2051" xr:uid="{00000000-0005-0000-0000-0000582B0000}"/>
    <cellStyle name="Normal 4 4 3 2 3 3 2" xfId="2843" xr:uid="{00000000-0005-0000-0000-0000592B0000}"/>
    <cellStyle name="Normal 4 4 3 2 3 3 2 2" xfId="4427" xr:uid="{00000000-0005-0000-0000-00005A2B0000}"/>
    <cellStyle name="Normal 4 4 3 2 3 3 2 2 2" xfId="7655" xr:uid="{00000000-0005-0000-0000-00005B2B0000}"/>
    <cellStyle name="Normal 4 4 3 2 3 3 2 2 2 2" xfId="14016" xr:uid="{00000000-0005-0000-0000-00005C2B0000}"/>
    <cellStyle name="Normal 4 4 3 2 3 3 2 2 3" xfId="10837" xr:uid="{00000000-0005-0000-0000-00005D2B0000}"/>
    <cellStyle name="Normal 4 4 3 2 3 3 2 3" xfId="6071" xr:uid="{00000000-0005-0000-0000-00005E2B0000}"/>
    <cellStyle name="Normal 4 4 3 2 3 3 2 3 2" xfId="12432" xr:uid="{00000000-0005-0000-0000-00005F2B0000}"/>
    <cellStyle name="Normal 4 4 3 2 3 3 2 4" xfId="9253" xr:uid="{00000000-0005-0000-0000-0000602B0000}"/>
    <cellStyle name="Normal 4 4 3 2 3 3 3" xfId="3635" xr:uid="{00000000-0005-0000-0000-0000612B0000}"/>
    <cellStyle name="Normal 4 4 3 2 3 3 3 2" xfId="6863" xr:uid="{00000000-0005-0000-0000-0000622B0000}"/>
    <cellStyle name="Normal 4 4 3 2 3 3 3 2 2" xfId="13224" xr:uid="{00000000-0005-0000-0000-0000632B0000}"/>
    <cellStyle name="Normal 4 4 3 2 3 3 3 3" xfId="10045" xr:uid="{00000000-0005-0000-0000-0000642B0000}"/>
    <cellStyle name="Normal 4 4 3 2 3 3 4" xfId="5279" xr:uid="{00000000-0005-0000-0000-0000652B0000}"/>
    <cellStyle name="Normal 4 4 3 2 3 3 4 2" xfId="11640" xr:uid="{00000000-0005-0000-0000-0000662B0000}"/>
    <cellStyle name="Normal 4 4 3 2 3 3 5" xfId="8461" xr:uid="{00000000-0005-0000-0000-0000672B0000}"/>
    <cellStyle name="Normal 4 4 3 2 3 4" xfId="2447" xr:uid="{00000000-0005-0000-0000-0000682B0000}"/>
    <cellStyle name="Normal 4 4 3 2 3 4 2" xfId="4031" xr:uid="{00000000-0005-0000-0000-0000692B0000}"/>
    <cellStyle name="Normal 4 4 3 2 3 4 2 2" xfId="7259" xr:uid="{00000000-0005-0000-0000-00006A2B0000}"/>
    <cellStyle name="Normal 4 4 3 2 3 4 2 2 2" xfId="13620" xr:uid="{00000000-0005-0000-0000-00006B2B0000}"/>
    <cellStyle name="Normal 4 4 3 2 3 4 2 3" xfId="10441" xr:uid="{00000000-0005-0000-0000-00006C2B0000}"/>
    <cellStyle name="Normal 4 4 3 2 3 4 3" xfId="5675" xr:uid="{00000000-0005-0000-0000-00006D2B0000}"/>
    <cellStyle name="Normal 4 4 3 2 3 4 3 2" xfId="12036" xr:uid="{00000000-0005-0000-0000-00006E2B0000}"/>
    <cellStyle name="Normal 4 4 3 2 3 4 4" xfId="8857" xr:uid="{00000000-0005-0000-0000-00006F2B0000}"/>
    <cellStyle name="Normal 4 4 3 2 3 5" xfId="3239" xr:uid="{00000000-0005-0000-0000-0000702B0000}"/>
    <cellStyle name="Normal 4 4 3 2 3 5 2" xfId="6467" xr:uid="{00000000-0005-0000-0000-0000712B0000}"/>
    <cellStyle name="Normal 4 4 3 2 3 5 2 2" xfId="12828" xr:uid="{00000000-0005-0000-0000-0000722B0000}"/>
    <cellStyle name="Normal 4 4 3 2 3 5 3" xfId="9649" xr:uid="{00000000-0005-0000-0000-0000732B0000}"/>
    <cellStyle name="Normal 4 4 3 2 3 6" xfId="4883" xr:uid="{00000000-0005-0000-0000-0000742B0000}"/>
    <cellStyle name="Normal 4 4 3 2 3 6 2" xfId="11244" xr:uid="{00000000-0005-0000-0000-0000752B0000}"/>
    <cellStyle name="Normal 4 4 3 2 3 7" xfId="8065" xr:uid="{00000000-0005-0000-0000-0000762B0000}"/>
    <cellStyle name="Normal 4 4 3 2 4" xfId="1720" xr:uid="{00000000-0005-0000-0000-0000772B0000}"/>
    <cellStyle name="Normal 4 4 3 2 4 2" xfId="2116" xr:uid="{00000000-0005-0000-0000-0000782B0000}"/>
    <cellStyle name="Normal 4 4 3 2 4 2 2" xfId="2908" xr:uid="{00000000-0005-0000-0000-0000792B0000}"/>
    <cellStyle name="Normal 4 4 3 2 4 2 2 2" xfId="4492" xr:uid="{00000000-0005-0000-0000-00007A2B0000}"/>
    <cellStyle name="Normal 4 4 3 2 4 2 2 2 2" xfId="7720" xr:uid="{00000000-0005-0000-0000-00007B2B0000}"/>
    <cellStyle name="Normal 4 4 3 2 4 2 2 2 2 2" xfId="14081" xr:uid="{00000000-0005-0000-0000-00007C2B0000}"/>
    <cellStyle name="Normal 4 4 3 2 4 2 2 2 3" xfId="10902" xr:uid="{00000000-0005-0000-0000-00007D2B0000}"/>
    <cellStyle name="Normal 4 4 3 2 4 2 2 3" xfId="6136" xr:uid="{00000000-0005-0000-0000-00007E2B0000}"/>
    <cellStyle name="Normal 4 4 3 2 4 2 2 3 2" xfId="12497" xr:uid="{00000000-0005-0000-0000-00007F2B0000}"/>
    <cellStyle name="Normal 4 4 3 2 4 2 2 4" xfId="9318" xr:uid="{00000000-0005-0000-0000-0000802B0000}"/>
    <cellStyle name="Normal 4 4 3 2 4 2 3" xfId="3700" xr:uid="{00000000-0005-0000-0000-0000812B0000}"/>
    <cellStyle name="Normal 4 4 3 2 4 2 3 2" xfId="6928" xr:uid="{00000000-0005-0000-0000-0000822B0000}"/>
    <cellStyle name="Normal 4 4 3 2 4 2 3 2 2" xfId="13289" xr:uid="{00000000-0005-0000-0000-0000832B0000}"/>
    <cellStyle name="Normal 4 4 3 2 4 2 3 3" xfId="10110" xr:uid="{00000000-0005-0000-0000-0000842B0000}"/>
    <cellStyle name="Normal 4 4 3 2 4 2 4" xfId="5344" xr:uid="{00000000-0005-0000-0000-0000852B0000}"/>
    <cellStyle name="Normal 4 4 3 2 4 2 4 2" xfId="11705" xr:uid="{00000000-0005-0000-0000-0000862B0000}"/>
    <cellStyle name="Normal 4 4 3 2 4 2 5" xfId="8526" xr:uid="{00000000-0005-0000-0000-0000872B0000}"/>
    <cellStyle name="Normal 4 4 3 2 4 3" xfId="2512" xr:uid="{00000000-0005-0000-0000-0000882B0000}"/>
    <cellStyle name="Normal 4 4 3 2 4 3 2" xfId="4096" xr:uid="{00000000-0005-0000-0000-0000892B0000}"/>
    <cellStyle name="Normal 4 4 3 2 4 3 2 2" xfId="7324" xr:uid="{00000000-0005-0000-0000-00008A2B0000}"/>
    <cellStyle name="Normal 4 4 3 2 4 3 2 2 2" xfId="13685" xr:uid="{00000000-0005-0000-0000-00008B2B0000}"/>
    <cellStyle name="Normal 4 4 3 2 4 3 2 3" xfId="10506" xr:uid="{00000000-0005-0000-0000-00008C2B0000}"/>
    <cellStyle name="Normal 4 4 3 2 4 3 3" xfId="5740" xr:uid="{00000000-0005-0000-0000-00008D2B0000}"/>
    <cellStyle name="Normal 4 4 3 2 4 3 3 2" xfId="12101" xr:uid="{00000000-0005-0000-0000-00008E2B0000}"/>
    <cellStyle name="Normal 4 4 3 2 4 3 4" xfId="8922" xr:uid="{00000000-0005-0000-0000-00008F2B0000}"/>
    <cellStyle name="Normal 4 4 3 2 4 4" xfId="3304" xr:uid="{00000000-0005-0000-0000-0000902B0000}"/>
    <cellStyle name="Normal 4 4 3 2 4 4 2" xfId="6532" xr:uid="{00000000-0005-0000-0000-0000912B0000}"/>
    <cellStyle name="Normal 4 4 3 2 4 4 2 2" xfId="12893" xr:uid="{00000000-0005-0000-0000-0000922B0000}"/>
    <cellStyle name="Normal 4 4 3 2 4 4 3" xfId="9714" xr:uid="{00000000-0005-0000-0000-0000932B0000}"/>
    <cellStyle name="Normal 4 4 3 2 4 5" xfId="4948" xr:uid="{00000000-0005-0000-0000-0000942B0000}"/>
    <cellStyle name="Normal 4 4 3 2 4 5 2" xfId="11309" xr:uid="{00000000-0005-0000-0000-0000952B0000}"/>
    <cellStyle name="Normal 4 4 3 2 4 6" xfId="8130" xr:uid="{00000000-0005-0000-0000-0000962B0000}"/>
    <cellStyle name="Normal 4 4 3 2 5" xfId="1918" xr:uid="{00000000-0005-0000-0000-0000972B0000}"/>
    <cellStyle name="Normal 4 4 3 2 5 2" xfId="2710" xr:uid="{00000000-0005-0000-0000-0000982B0000}"/>
    <cellStyle name="Normal 4 4 3 2 5 2 2" xfId="4294" xr:uid="{00000000-0005-0000-0000-0000992B0000}"/>
    <cellStyle name="Normal 4 4 3 2 5 2 2 2" xfId="7522" xr:uid="{00000000-0005-0000-0000-00009A2B0000}"/>
    <cellStyle name="Normal 4 4 3 2 5 2 2 2 2" xfId="13883" xr:uid="{00000000-0005-0000-0000-00009B2B0000}"/>
    <cellStyle name="Normal 4 4 3 2 5 2 2 3" xfId="10704" xr:uid="{00000000-0005-0000-0000-00009C2B0000}"/>
    <cellStyle name="Normal 4 4 3 2 5 2 3" xfId="5938" xr:uid="{00000000-0005-0000-0000-00009D2B0000}"/>
    <cellStyle name="Normal 4 4 3 2 5 2 3 2" xfId="12299" xr:uid="{00000000-0005-0000-0000-00009E2B0000}"/>
    <cellStyle name="Normal 4 4 3 2 5 2 4" xfId="9120" xr:uid="{00000000-0005-0000-0000-00009F2B0000}"/>
    <cellStyle name="Normal 4 4 3 2 5 3" xfId="3502" xr:uid="{00000000-0005-0000-0000-0000A02B0000}"/>
    <cellStyle name="Normal 4 4 3 2 5 3 2" xfId="6730" xr:uid="{00000000-0005-0000-0000-0000A12B0000}"/>
    <cellStyle name="Normal 4 4 3 2 5 3 2 2" xfId="13091" xr:uid="{00000000-0005-0000-0000-0000A22B0000}"/>
    <cellStyle name="Normal 4 4 3 2 5 3 3" xfId="9912" xr:uid="{00000000-0005-0000-0000-0000A32B0000}"/>
    <cellStyle name="Normal 4 4 3 2 5 4" xfId="5146" xr:uid="{00000000-0005-0000-0000-0000A42B0000}"/>
    <cellStyle name="Normal 4 4 3 2 5 4 2" xfId="11507" xr:uid="{00000000-0005-0000-0000-0000A52B0000}"/>
    <cellStyle name="Normal 4 4 3 2 5 5" xfId="8328" xr:uid="{00000000-0005-0000-0000-0000A62B0000}"/>
    <cellStyle name="Normal 4 4 3 2 6" xfId="2314" xr:uid="{00000000-0005-0000-0000-0000A72B0000}"/>
    <cellStyle name="Normal 4 4 3 2 6 2" xfId="3898" xr:uid="{00000000-0005-0000-0000-0000A82B0000}"/>
    <cellStyle name="Normal 4 4 3 2 6 2 2" xfId="7126" xr:uid="{00000000-0005-0000-0000-0000A92B0000}"/>
    <cellStyle name="Normal 4 4 3 2 6 2 2 2" xfId="13487" xr:uid="{00000000-0005-0000-0000-0000AA2B0000}"/>
    <cellStyle name="Normal 4 4 3 2 6 2 3" xfId="10308" xr:uid="{00000000-0005-0000-0000-0000AB2B0000}"/>
    <cellStyle name="Normal 4 4 3 2 6 3" xfId="5542" xr:uid="{00000000-0005-0000-0000-0000AC2B0000}"/>
    <cellStyle name="Normal 4 4 3 2 6 3 2" xfId="11903" xr:uid="{00000000-0005-0000-0000-0000AD2B0000}"/>
    <cellStyle name="Normal 4 4 3 2 6 4" xfId="8724" xr:uid="{00000000-0005-0000-0000-0000AE2B0000}"/>
    <cellStyle name="Normal 4 4 3 2 7" xfId="3106" xr:uid="{00000000-0005-0000-0000-0000AF2B0000}"/>
    <cellStyle name="Normal 4 4 3 2 7 2" xfId="6334" xr:uid="{00000000-0005-0000-0000-0000B02B0000}"/>
    <cellStyle name="Normal 4 4 3 2 7 2 2" xfId="12695" xr:uid="{00000000-0005-0000-0000-0000B12B0000}"/>
    <cellStyle name="Normal 4 4 3 2 7 3" xfId="9516" xr:uid="{00000000-0005-0000-0000-0000B22B0000}"/>
    <cellStyle name="Normal 4 4 3 2 8" xfId="4750" xr:uid="{00000000-0005-0000-0000-0000B32B0000}"/>
    <cellStyle name="Normal 4 4 3 2 8 2" xfId="11111" xr:uid="{00000000-0005-0000-0000-0000B42B0000}"/>
    <cellStyle name="Normal 4 4 3 2 9" xfId="7932" xr:uid="{00000000-0005-0000-0000-0000B52B0000}"/>
    <cellStyle name="Normal 4 4 3 3" xfId="1555" xr:uid="{00000000-0005-0000-0000-0000B62B0000}"/>
    <cellStyle name="Normal 4 4 3 3 2" xfId="1753" xr:uid="{00000000-0005-0000-0000-0000B72B0000}"/>
    <cellStyle name="Normal 4 4 3 3 2 2" xfId="2149" xr:uid="{00000000-0005-0000-0000-0000B82B0000}"/>
    <cellStyle name="Normal 4 4 3 3 2 2 2" xfId="2941" xr:uid="{00000000-0005-0000-0000-0000B92B0000}"/>
    <cellStyle name="Normal 4 4 3 3 2 2 2 2" xfId="4525" xr:uid="{00000000-0005-0000-0000-0000BA2B0000}"/>
    <cellStyle name="Normal 4 4 3 3 2 2 2 2 2" xfId="7753" xr:uid="{00000000-0005-0000-0000-0000BB2B0000}"/>
    <cellStyle name="Normal 4 4 3 3 2 2 2 2 2 2" xfId="14114" xr:uid="{00000000-0005-0000-0000-0000BC2B0000}"/>
    <cellStyle name="Normal 4 4 3 3 2 2 2 2 3" xfId="10935" xr:uid="{00000000-0005-0000-0000-0000BD2B0000}"/>
    <cellStyle name="Normal 4 4 3 3 2 2 2 3" xfId="6169" xr:uid="{00000000-0005-0000-0000-0000BE2B0000}"/>
    <cellStyle name="Normal 4 4 3 3 2 2 2 3 2" xfId="12530" xr:uid="{00000000-0005-0000-0000-0000BF2B0000}"/>
    <cellStyle name="Normal 4 4 3 3 2 2 2 4" xfId="9351" xr:uid="{00000000-0005-0000-0000-0000C02B0000}"/>
    <cellStyle name="Normal 4 4 3 3 2 2 3" xfId="3733" xr:uid="{00000000-0005-0000-0000-0000C12B0000}"/>
    <cellStyle name="Normal 4 4 3 3 2 2 3 2" xfId="6961" xr:uid="{00000000-0005-0000-0000-0000C22B0000}"/>
    <cellStyle name="Normal 4 4 3 3 2 2 3 2 2" xfId="13322" xr:uid="{00000000-0005-0000-0000-0000C32B0000}"/>
    <cellStyle name="Normal 4 4 3 3 2 2 3 3" xfId="10143" xr:uid="{00000000-0005-0000-0000-0000C42B0000}"/>
    <cellStyle name="Normal 4 4 3 3 2 2 4" xfId="5377" xr:uid="{00000000-0005-0000-0000-0000C52B0000}"/>
    <cellStyle name="Normal 4 4 3 3 2 2 4 2" xfId="11738" xr:uid="{00000000-0005-0000-0000-0000C62B0000}"/>
    <cellStyle name="Normal 4 4 3 3 2 2 5" xfId="8559" xr:uid="{00000000-0005-0000-0000-0000C72B0000}"/>
    <cellStyle name="Normal 4 4 3 3 2 3" xfId="2545" xr:uid="{00000000-0005-0000-0000-0000C82B0000}"/>
    <cellStyle name="Normal 4 4 3 3 2 3 2" xfId="4129" xr:uid="{00000000-0005-0000-0000-0000C92B0000}"/>
    <cellStyle name="Normal 4 4 3 3 2 3 2 2" xfId="7357" xr:uid="{00000000-0005-0000-0000-0000CA2B0000}"/>
    <cellStyle name="Normal 4 4 3 3 2 3 2 2 2" xfId="13718" xr:uid="{00000000-0005-0000-0000-0000CB2B0000}"/>
    <cellStyle name="Normal 4 4 3 3 2 3 2 3" xfId="10539" xr:uid="{00000000-0005-0000-0000-0000CC2B0000}"/>
    <cellStyle name="Normal 4 4 3 3 2 3 3" xfId="5773" xr:uid="{00000000-0005-0000-0000-0000CD2B0000}"/>
    <cellStyle name="Normal 4 4 3 3 2 3 3 2" xfId="12134" xr:uid="{00000000-0005-0000-0000-0000CE2B0000}"/>
    <cellStyle name="Normal 4 4 3 3 2 3 4" xfId="8955" xr:uid="{00000000-0005-0000-0000-0000CF2B0000}"/>
    <cellStyle name="Normal 4 4 3 3 2 4" xfId="3337" xr:uid="{00000000-0005-0000-0000-0000D02B0000}"/>
    <cellStyle name="Normal 4 4 3 3 2 4 2" xfId="6565" xr:uid="{00000000-0005-0000-0000-0000D12B0000}"/>
    <cellStyle name="Normal 4 4 3 3 2 4 2 2" xfId="12926" xr:uid="{00000000-0005-0000-0000-0000D22B0000}"/>
    <cellStyle name="Normal 4 4 3 3 2 4 3" xfId="9747" xr:uid="{00000000-0005-0000-0000-0000D32B0000}"/>
    <cellStyle name="Normal 4 4 3 3 2 5" xfId="4981" xr:uid="{00000000-0005-0000-0000-0000D42B0000}"/>
    <cellStyle name="Normal 4 4 3 3 2 5 2" xfId="11342" xr:uid="{00000000-0005-0000-0000-0000D52B0000}"/>
    <cellStyle name="Normal 4 4 3 3 2 6" xfId="8163" xr:uid="{00000000-0005-0000-0000-0000D62B0000}"/>
    <cellStyle name="Normal 4 4 3 3 3" xfId="1951" xr:uid="{00000000-0005-0000-0000-0000D72B0000}"/>
    <cellStyle name="Normal 4 4 3 3 3 2" xfId="2743" xr:uid="{00000000-0005-0000-0000-0000D82B0000}"/>
    <cellStyle name="Normal 4 4 3 3 3 2 2" xfId="4327" xr:uid="{00000000-0005-0000-0000-0000D92B0000}"/>
    <cellStyle name="Normal 4 4 3 3 3 2 2 2" xfId="7555" xr:uid="{00000000-0005-0000-0000-0000DA2B0000}"/>
    <cellStyle name="Normal 4 4 3 3 3 2 2 2 2" xfId="13916" xr:uid="{00000000-0005-0000-0000-0000DB2B0000}"/>
    <cellStyle name="Normal 4 4 3 3 3 2 2 3" xfId="10737" xr:uid="{00000000-0005-0000-0000-0000DC2B0000}"/>
    <cellStyle name="Normal 4 4 3 3 3 2 3" xfId="5971" xr:uid="{00000000-0005-0000-0000-0000DD2B0000}"/>
    <cellStyle name="Normal 4 4 3 3 3 2 3 2" xfId="12332" xr:uid="{00000000-0005-0000-0000-0000DE2B0000}"/>
    <cellStyle name="Normal 4 4 3 3 3 2 4" xfId="9153" xr:uid="{00000000-0005-0000-0000-0000DF2B0000}"/>
    <cellStyle name="Normal 4 4 3 3 3 3" xfId="3535" xr:uid="{00000000-0005-0000-0000-0000E02B0000}"/>
    <cellStyle name="Normal 4 4 3 3 3 3 2" xfId="6763" xr:uid="{00000000-0005-0000-0000-0000E12B0000}"/>
    <cellStyle name="Normal 4 4 3 3 3 3 2 2" xfId="13124" xr:uid="{00000000-0005-0000-0000-0000E22B0000}"/>
    <cellStyle name="Normal 4 4 3 3 3 3 3" xfId="9945" xr:uid="{00000000-0005-0000-0000-0000E32B0000}"/>
    <cellStyle name="Normal 4 4 3 3 3 4" xfId="5179" xr:uid="{00000000-0005-0000-0000-0000E42B0000}"/>
    <cellStyle name="Normal 4 4 3 3 3 4 2" xfId="11540" xr:uid="{00000000-0005-0000-0000-0000E52B0000}"/>
    <cellStyle name="Normal 4 4 3 3 3 5" xfId="8361" xr:uid="{00000000-0005-0000-0000-0000E62B0000}"/>
    <cellStyle name="Normal 4 4 3 3 4" xfId="2347" xr:uid="{00000000-0005-0000-0000-0000E72B0000}"/>
    <cellStyle name="Normal 4 4 3 3 4 2" xfId="3931" xr:uid="{00000000-0005-0000-0000-0000E82B0000}"/>
    <cellStyle name="Normal 4 4 3 3 4 2 2" xfId="7159" xr:uid="{00000000-0005-0000-0000-0000E92B0000}"/>
    <cellStyle name="Normal 4 4 3 3 4 2 2 2" xfId="13520" xr:uid="{00000000-0005-0000-0000-0000EA2B0000}"/>
    <cellStyle name="Normal 4 4 3 3 4 2 3" xfId="10341" xr:uid="{00000000-0005-0000-0000-0000EB2B0000}"/>
    <cellStyle name="Normal 4 4 3 3 4 3" xfId="5575" xr:uid="{00000000-0005-0000-0000-0000EC2B0000}"/>
    <cellStyle name="Normal 4 4 3 3 4 3 2" xfId="11936" xr:uid="{00000000-0005-0000-0000-0000ED2B0000}"/>
    <cellStyle name="Normal 4 4 3 3 4 4" xfId="8757" xr:uid="{00000000-0005-0000-0000-0000EE2B0000}"/>
    <cellStyle name="Normal 4 4 3 3 5" xfId="3139" xr:uid="{00000000-0005-0000-0000-0000EF2B0000}"/>
    <cellStyle name="Normal 4 4 3 3 5 2" xfId="6367" xr:uid="{00000000-0005-0000-0000-0000F02B0000}"/>
    <cellStyle name="Normal 4 4 3 3 5 2 2" xfId="12728" xr:uid="{00000000-0005-0000-0000-0000F12B0000}"/>
    <cellStyle name="Normal 4 4 3 3 5 3" xfId="9549" xr:uid="{00000000-0005-0000-0000-0000F22B0000}"/>
    <cellStyle name="Normal 4 4 3 3 6" xfId="4783" xr:uid="{00000000-0005-0000-0000-0000F32B0000}"/>
    <cellStyle name="Normal 4 4 3 3 6 2" xfId="11144" xr:uid="{00000000-0005-0000-0000-0000F42B0000}"/>
    <cellStyle name="Normal 4 4 3 3 7" xfId="7965" xr:uid="{00000000-0005-0000-0000-0000F52B0000}"/>
    <cellStyle name="Normal 4 4 3 4" xfId="1623" xr:uid="{00000000-0005-0000-0000-0000F62B0000}"/>
    <cellStyle name="Normal 4 4 3 4 2" xfId="1821" xr:uid="{00000000-0005-0000-0000-0000F72B0000}"/>
    <cellStyle name="Normal 4 4 3 4 2 2" xfId="2217" xr:uid="{00000000-0005-0000-0000-0000F82B0000}"/>
    <cellStyle name="Normal 4 4 3 4 2 2 2" xfId="3009" xr:uid="{00000000-0005-0000-0000-0000F92B0000}"/>
    <cellStyle name="Normal 4 4 3 4 2 2 2 2" xfId="4593" xr:uid="{00000000-0005-0000-0000-0000FA2B0000}"/>
    <cellStyle name="Normal 4 4 3 4 2 2 2 2 2" xfId="7821" xr:uid="{00000000-0005-0000-0000-0000FB2B0000}"/>
    <cellStyle name="Normal 4 4 3 4 2 2 2 2 2 2" xfId="14182" xr:uid="{00000000-0005-0000-0000-0000FC2B0000}"/>
    <cellStyle name="Normal 4 4 3 4 2 2 2 2 3" xfId="11003" xr:uid="{00000000-0005-0000-0000-0000FD2B0000}"/>
    <cellStyle name="Normal 4 4 3 4 2 2 2 3" xfId="6237" xr:uid="{00000000-0005-0000-0000-0000FE2B0000}"/>
    <cellStyle name="Normal 4 4 3 4 2 2 2 3 2" xfId="12598" xr:uid="{00000000-0005-0000-0000-0000FF2B0000}"/>
    <cellStyle name="Normal 4 4 3 4 2 2 2 4" xfId="9419" xr:uid="{00000000-0005-0000-0000-0000002C0000}"/>
    <cellStyle name="Normal 4 4 3 4 2 2 3" xfId="3801" xr:uid="{00000000-0005-0000-0000-0000012C0000}"/>
    <cellStyle name="Normal 4 4 3 4 2 2 3 2" xfId="7029" xr:uid="{00000000-0005-0000-0000-0000022C0000}"/>
    <cellStyle name="Normal 4 4 3 4 2 2 3 2 2" xfId="13390" xr:uid="{00000000-0005-0000-0000-0000032C0000}"/>
    <cellStyle name="Normal 4 4 3 4 2 2 3 3" xfId="10211" xr:uid="{00000000-0005-0000-0000-0000042C0000}"/>
    <cellStyle name="Normal 4 4 3 4 2 2 4" xfId="5445" xr:uid="{00000000-0005-0000-0000-0000052C0000}"/>
    <cellStyle name="Normal 4 4 3 4 2 2 4 2" xfId="11806" xr:uid="{00000000-0005-0000-0000-0000062C0000}"/>
    <cellStyle name="Normal 4 4 3 4 2 2 5" xfId="8627" xr:uid="{00000000-0005-0000-0000-0000072C0000}"/>
    <cellStyle name="Normal 4 4 3 4 2 3" xfId="2613" xr:uid="{00000000-0005-0000-0000-0000082C0000}"/>
    <cellStyle name="Normal 4 4 3 4 2 3 2" xfId="4197" xr:uid="{00000000-0005-0000-0000-0000092C0000}"/>
    <cellStyle name="Normal 4 4 3 4 2 3 2 2" xfId="7425" xr:uid="{00000000-0005-0000-0000-00000A2C0000}"/>
    <cellStyle name="Normal 4 4 3 4 2 3 2 2 2" xfId="13786" xr:uid="{00000000-0005-0000-0000-00000B2C0000}"/>
    <cellStyle name="Normal 4 4 3 4 2 3 2 3" xfId="10607" xr:uid="{00000000-0005-0000-0000-00000C2C0000}"/>
    <cellStyle name="Normal 4 4 3 4 2 3 3" xfId="5841" xr:uid="{00000000-0005-0000-0000-00000D2C0000}"/>
    <cellStyle name="Normal 4 4 3 4 2 3 3 2" xfId="12202" xr:uid="{00000000-0005-0000-0000-00000E2C0000}"/>
    <cellStyle name="Normal 4 4 3 4 2 3 4" xfId="9023" xr:uid="{00000000-0005-0000-0000-00000F2C0000}"/>
    <cellStyle name="Normal 4 4 3 4 2 4" xfId="3405" xr:uid="{00000000-0005-0000-0000-0000102C0000}"/>
    <cellStyle name="Normal 4 4 3 4 2 4 2" xfId="6633" xr:uid="{00000000-0005-0000-0000-0000112C0000}"/>
    <cellStyle name="Normal 4 4 3 4 2 4 2 2" xfId="12994" xr:uid="{00000000-0005-0000-0000-0000122C0000}"/>
    <cellStyle name="Normal 4 4 3 4 2 4 3" xfId="9815" xr:uid="{00000000-0005-0000-0000-0000132C0000}"/>
    <cellStyle name="Normal 4 4 3 4 2 5" xfId="5049" xr:uid="{00000000-0005-0000-0000-0000142C0000}"/>
    <cellStyle name="Normal 4 4 3 4 2 5 2" xfId="11410" xr:uid="{00000000-0005-0000-0000-0000152C0000}"/>
    <cellStyle name="Normal 4 4 3 4 2 6" xfId="8231" xr:uid="{00000000-0005-0000-0000-0000162C0000}"/>
    <cellStyle name="Normal 4 4 3 4 3" xfId="2019" xr:uid="{00000000-0005-0000-0000-0000172C0000}"/>
    <cellStyle name="Normal 4 4 3 4 3 2" xfId="2811" xr:uid="{00000000-0005-0000-0000-0000182C0000}"/>
    <cellStyle name="Normal 4 4 3 4 3 2 2" xfId="4395" xr:uid="{00000000-0005-0000-0000-0000192C0000}"/>
    <cellStyle name="Normal 4 4 3 4 3 2 2 2" xfId="7623" xr:uid="{00000000-0005-0000-0000-00001A2C0000}"/>
    <cellStyle name="Normal 4 4 3 4 3 2 2 2 2" xfId="13984" xr:uid="{00000000-0005-0000-0000-00001B2C0000}"/>
    <cellStyle name="Normal 4 4 3 4 3 2 2 3" xfId="10805" xr:uid="{00000000-0005-0000-0000-00001C2C0000}"/>
    <cellStyle name="Normal 4 4 3 4 3 2 3" xfId="6039" xr:uid="{00000000-0005-0000-0000-00001D2C0000}"/>
    <cellStyle name="Normal 4 4 3 4 3 2 3 2" xfId="12400" xr:uid="{00000000-0005-0000-0000-00001E2C0000}"/>
    <cellStyle name="Normal 4 4 3 4 3 2 4" xfId="9221" xr:uid="{00000000-0005-0000-0000-00001F2C0000}"/>
    <cellStyle name="Normal 4 4 3 4 3 3" xfId="3603" xr:uid="{00000000-0005-0000-0000-0000202C0000}"/>
    <cellStyle name="Normal 4 4 3 4 3 3 2" xfId="6831" xr:uid="{00000000-0005-0000-0000-0000212C0000}"/>
    <cellStyle name="Normal 4 4 3 4 3 3 2 2" xfId="13192" xr:uid="{00000000-0005-0000-0000-0000222C0000}"/>
    <cellStyle name="Normal 4 4 3 4 3 3 3" xfId="10013" xr:uid="{00000000-0005-0000-0000-0000232C0000}"/>
    <cellStyle name="Normal 4 4 3 4 3 4" xfId="5247" xr:uid="{00000000-0005-0000-0000-0000242C0000}"/>
    <cellStyle name="Normal 4 4 3 4 3 4 2" xfId="11608" xr:uid="{00000000-0005-0000-0000-0000252C0000}"/>
    <cellStyle name="Normal 4 4 3 4 3 5" xfId="8429" xr:uid="{00000000-0005-0000-0000-0000262C0000}"/>
    <cellStyle name="Normal 4 4 3 4 4" xfId="2415" xr:uid="{00000000-0005-0000-0000-0000272C0000}"/>
    <cellStyle name="Normal 4 4 3 4 4 2" xfId="3999" xr:uid="{00000000-0005-0000-0000-0000282C0000}"/>
    <cellStyle name="Normal 4 4 3 4 4 2 2" xfId="7227" xr:uid="{00000000-0005-0000-0000-0000292C0000}"/>
    <cellStyle name="Normal 4 4 3 4 4 2 2 2" xfId="13588" xr:uid="{00000000-0005-0000-0000-00002A2C0000}"/>
    <cellStyle name="Normal 4 4 3 4 4 2 3" xfId="10409" xr:uid="{00000000-0005-0000-0000-00002B2C0000}"/>
    <cellStyle name="Normal 4 4 3 4 4 3" xfId="5643" xr:uid="{00000000-0005-0000-0000-00002C2C0000}"/>
    <cellStyle name="Normal 4 4 3 4 4 3 2" xfId="12004" xr:uid="{00000000-0005-0000-0000-00002D2C0000}"/>
    <cellStyle name="Normal 4 4 3 4 4 4" xfId="8825" xr:uid="{00000000-0005-0000-0000-00002E2C0000}"/>
    <cellStyle name="Normal 4 4 3 4 5" xfId="3207" xr:uid="{00000000-0005-0000-0000-00002F2C0000}"/>
    <cellStyle name="Normal 4 4 3 4 5 2" xfId="6435" xr:uid="{00000000-0005-0000-0000-0000302C0000}"/>
    <cellStyle name="Normal 4 4 3 4 5 2 2" xfId="12796" xr:uid="{00000000-0005-0000-0000-0000312C0000}"/>
    <cellStyle name="Normal 4 4 3 4 5 3" xfId="9617" xr:uid="{00000000-0005-0000-0000-0000322C0000}"/>
    <cellStyle name="Normal 4 4 3 4 6" xfId="4851" xr:uid="{00000000-0005-0000-0000-0000332C0000}"/>
    <cellStyle name="Normal 4 4 3 4 6 2" xfId="11212" xr:uid="{00000000-0005-0000-0000-0000342C0000}"/>
    <cellStyle name="Normal 4 4 3 4 7" xfId="8033" xr:uid="{00000000-0005-0000-0000-0000352C0000}"/>
    <cellStyle name="Normal 4 4 3 5" xfId="1688" xr:uid="{00000000-0005-0000-0000-0000362C0000}"/>
    <cellStyle name="Normal 4 4 3 5 2" xfId="2084" xr:uid="{00000000-0005-0000-0000-0000372C0000}"/>
    <cellStyle name="Normal 4 4 3 5 2 2" xfId="2876" xr:uid="{00000000-0005-0000-0000-0000382C0000}"/>
    <cellStyle name="Normal 4 4 3 5 2 2 2" xfId="4460" xr:uid="{00000000-0005-0000-0000-0000392C0000}"/>
    <cellStyle name="Normal 4 4 3 5 2 2 2 2" xfId="7688" xr:uid="{00000000-0005-0000-0000-00003A2C0000}"/>
    <cellStyle name="Normal 4 4 3 5 2 2 2 2 2" xfId="14049" xr:uid="{00000000-0005-0000-0000-00003B2C0000}"/>
    <cellStyle name="Normal 4 4 3 5 2 2 2 3" xfId="10870" xr:uid="{00000000-0005-0000-0000-00003C2C0000}"/>
    <cellStyle name="Normal 4 4 3 5 2 2 3" xfId="6104" xr:uid="{00000000-0005-0000-0000-00003D2C0000}"/>
    <cellStyle name="Normal 4 4 3 5 2 2 3 2" xfId="12465" xr:uid="{00000000-0005-0000-0000-00003E2C0000}"/>
    <cellStyle name="Normal 4 4 3 5 2 2 4" xfId="9286" xr:uid="{00000000-0005-0000-0000-00003F2C0000}"/>
    <cellStyle name="Normal 4 4 3 5 2 3" xfId="3668" xr:uid="{00000000-0005-0000-0000-0000402C0000}"/>
    <cellStyle name="Normal 4 4 3 5 2 3 2" xfId="6896" xr:uid="{00000000-0005-0000-0000-0000412C0000}"/>
    <cellStyle name="Normal 4 4 3 5 2 3 2 2" xfId="13257" xr:uid="{00000000-0005-0000-0000-0000422C0000}"/>
    <cellStyle name="Normal 4 4 3 5 2 3 3" xfId="10078" xr:uid="{00000000-0005-0000-0000-0000432C0000}"/>
    <cellStyle name="Normal 4 4 3 5 2 4" xfId="5312" xr:uid="{00000000-0005-0000-0000-0000442C0000}"/>
    <cellStyle name="Normal 4 4 3 5 2 4 2" xfId="11673" xr:uid="{00000000-0005-0000-0000-0000452C0000}"/>
    <cellStyle name="Normal 4 4 3 5 2 5" xfId="8494" xr:uid="{00000000-0005-0000-0000-0000462C0000}"/>
    <cellStyle name="Normal 4 4 3 5 3" xfId="2480" xr:uid="{00000000-0005-0000-0000-0000472C0000}"/>
    <cellStyle name="Normal 4 4 3 5 3 2" xfId="4064" xr:uid="{00000000-0005-0000-0000-0000482C0000}"/>
    <cellStyle name="Normal 4 4 3 5 3 2 2" xfId="7292" xr:uid="{00000000-0005-0000-0000-0000492C0000}"/>
    <cellStyle name="Normal 4 4 3 5 3 2 2 2" xfId="13653" xr:uid="{00000000-0005-0000-0000-00004A2C0000}"/>
    <cellStyle name="Normal 4 4 3 5 3 2 3" xfId="10474" xr:uid="{00000000-0005-0000-0000-00004B2C0000}"/>
    <cellStyle name="Normal 4 4 3 5 3 3" xfId="5708" xr:uid="{00000000-0005-0000-0000-00004C2C0000}"/>
    <cellStyle name="Normal 4 4 3 5 3 3 2" xfId="12069" xr:uid="{00000000-0005-0000-0000-00004D2C0000}"/>
    <cellStyle name="Normal 4 4 3 5 3 4" xfId="8890" xr:uid="{00000000-0005-0000-0000-00004E2C0000}"/>
    <cellStyle name="Normal 4 4 3 5 4" xfId="3272" xr:uid="{00000000-0005-0000-0000-00004F2C0000}"/>
    <cellStyle name="Normal 4 4 3 5 4 2" xfId="6500" xr:uid="{00000000-0005-0000-0000-0000502C0000}"/>
    <cellStyle name="Normal 4 4 3 5 4 2 2" xfId="12861" xr:uid="{00000000-0005-0000-0000-0000512C0000}"/>
    <cellStyle name="Normal 4 4 3 5 4 3" xfId="9682" xr:uid="{00000000-0005-0000-0000-0000522C0000}"/>
    <cellStyle name="Normal 4 4 3 5 5" xfId="4916" xr:uid="{00000000-0005-0000-0000-0000532C0000}"/>
    <cellStyle name="Normal 4 4 3 5 5 2" xfId="11277" xr:uid="{00000000-0005-0000-0000-0000542C0000}"/>
    <cellStyle name="Normal 4 4 3 5 6" xfId="8098" xr:uid="{00000000-0005-0000-0000-0000552C0000}"/>
    <cellStyle name="Normal 4 4 3 6" xfId="1886" xr:uid="{00000000-0005-0000-0000-0000562C0000}"/>
    <cellStyle name="Normal 4 4 3 6 2" xfId="2678" xr:uid="{00000000-0005-0000-0000-0000572C0000}"/>
    <cellStyle name="Normal 4 4 3 6 2 2" xfId="4262" xr:uid="{00000000-0005-0000-0000-0000582C0000}"/>
    <cellStyle name="Normal 4 4 3 6 2 2 2" xfId="7490" xr:uid="{00000000-0005-0000-0000-0000592C0000}"/>
    <cellStyle name="Normal 4 4 3 6 2 2 2 2" xfId="13851" xr:uid="{00000000-0005-0000-0000-00005A2C0000}"/>
    <cellStyle name="Normal 4 4 3 6 2 2 3" xfId="10672" xr:uid="{00000000-0005-0000-0000-00005B2C0000}"/>
    <cellStyle name="Normal 4 4 3 6 2 3" xfId="5906" xr:uid="{00000000-0005-0000-0000-00005C2C0000}"/>
    <cellStyle name="Normal 4 4 3 6 2 3 2" xfId="12267" xr:uid="{00000000-0005-0000-0000-00005D2C0000}"/>
    <cellStyle name="Normal 4 4 3 6 2 4" xfId="9088" xr:uid="{00000000-0005-0000-0000-00005E2C0000}"/>
    <cellStyle name="Normal 4 4 3 6 3" xfId="3470" xr:uid="{00000000-0005-0000-0000-00005F2C0000}"/>
    <cellStyle name="Normal 4 4 3 6 3 2" xfId="6698" xr:uid="{00000000-0005-0000-0000-0000602C0000}"/>
    <cellStyle name="Normal 4 4 3 6 3 2 2" xfId="13059" xr:uid="{00000000-0005-0000-0000-0000612C0000}"/>
    <cellStyle name="Normal 4 4 3 6 3 3" xfId="9880" xr:uid="{00000000-0005-0000-0000-0000622C0000}"/>
    <cellStyle name="Normal 4 4 3 6 4" xfId="5114" xr:uid="{00000000-0005-0000-0000-0000632C0000}"/>
    <cellStyle name="Normal 4 4 3 6 4 2" xfId="11475" xr:uid="{00000000-0005-0000-0000-0000642C0000}"/>
    <cellStyle name="Normal 4 4 3 6 5" xfId="8296" xr:uid="{00000000-0005-0000-0000-0000652C0000}"/>
    <cellStyle name="Normal 4 4 3 7" xfId="2282" xr:uid="{00000000-0005-0000-0000-0000662C0000}"/>
    <cellStyle name="Normal 4 4 3 7 2" xfId="3866" xr:uid="{00000000-0005-0000-0000-0000672C0000}"/>
    <cellStyle name="Normal 4 4 3 7 2 2" xfId="7094" xr:uid="{00000000-0005-0000-0000-0000682C0000}"/>
    <cellStyle name="Normal 4 4 3 7 2 2 2" xfId="13455" xr:uid="{00000000-0005-0000-0000-0000692C0000}"/>
    <cellStyle name="Normal 4 4 3 7 2 3" xfId="10276" xr:uid="{00000000-0005-0000-0000-00006A2C0000}"/>
    <cellStyle name="Normal 4 4 3 7 3" xfId="5510" xr:uid="{00000000-0005-0000-0000-00006B2C0000}"/>
    <cellStyle name="Normal 4 4 3 7 3 2" xfId="11871" xr:uid="{00000000-0005-0000-0000-00006C2C0000}"/>
    <cellStyle name="Normal 4 4 3 7 4" xfId="8692" xr:uid="{00000000-0005-0000-0000-00006D2C0000}"/>
    <cellStyle name="Normal 4 4 3 8" xfId="3074" xr:uid="{00000000-0005-0000-0000-00006E2C0000}"/>
    <cellStyle name="Normal 4 4 3 8 2" xfId="6302" xr:uid="{00000000-0005-0000-0000-00006F2C0000}"/>
    <cellStyle name="Normal 4 4 3 8 2 2" xfId="12663" xr:uid="{00000000-0005-0000-0000-0000702C0000}"/>
    <cellStyle name="Normal 4 4 3 8 3" xfId="9484" xr:uid="{00000000-0005-0000-0000-0000712C0000}"/>
    <cellStyle name="Normal 4 4 3 9" xfId="4718" xr:uid="{00000000-0005-0000-0000-0000722C0000}"/>
    <cellStyle name="Normal 4 4 3 9 2" xfId="11079" xr:uid="{00000000-0005-0000-0000-0000732C0000}"/>
    <cellStyle name="Normal 4 4 4" xfId="1459" xr:uid="{00000000-0005-0000-0000-0000742C0000}"/>
    <cellStyle name="Normal 4 4 4 2" xfId="1571" xr:uid="{00000000-0005-0000-0000-0000752C0000}"/>
    <cellStyle name="Normal 4 4 4 2 2" xfId="1769" xr:uid="{00000000-0005-0000-0000-0000762C0000}"/>
    <cellStyle name="Normal 4 4 4 2 2 2" xfId="2165" xr:uid="{00000000-0005-0000-0000-0000772C0000}"/>
    <cellStyle name="Normal 4 4 4 2 2 2 2" xfId="2957" xr:uid="{00000000-0005-0000-0000-0000782C0000}"/>
    <cellStyle name="Normal 4 4 4 2 2 2 2 2" xfId="4541" xr:uid="{00000000-0005-0000-0000-0000792C0000}"/>
    <cellStyle name="Normal 4 4 4 2 2 2 2 2 2" xfId="7769" xr:uid="{00000000-0005-0000-0000-00007A2C0000}"/>
    <cellStyle name="Normal 4 4 4 2 2 2 2 2 2 2" xfId="14130" xr:uid="{00000000-0005-0000-0000-00007B2C0000}"/>
    <cellStyle name="Normal 4 4 4 2 2 2 2 2 3" xfId="10951" xr:uid="{00000000-0005-0000-0000-00007C2C0000}"/>
    <cellStyle name="Normal 4 4 4 2 2 2 2 3" xfId="6185" xr:uid="{00000000-0005-0000-0000-00007D2C0000}"/>
    <cellStyle name="Normal 4 4 4 2 2 2 2 3 2" xfId="12546" xr:uid="{00000000-0005-0000-0000-00007E2C0000}"/>
    <cellStyle name="Normal 4 4 4 2 2 2 2 4" xfId="9367" xr:uid="{00000000-0005-0000-0000-00007F2C0000}"/>
    <cellStyle name="Normal 4 4 4 2 2 2 3" xfId="3749" xr:uid="{00000000-0005-0000-0000-0000802C0000}"/>
    <cellStyle name="Normal 4 4 4 2 2 2 3 2" xfId="6977" xr:uid="{00000000-0005-0000-0000-0000812C0000}"/>
    <cellStyle name="Normal 4 4 4 2 2 2 3 2 2" xfId="13338" xr:uid="{00000000-0005-0000-0000-0000822C0000}"/>
    <cellStyle name="Normal 4 4 4 2 2 2 3 3" xfId="10159" xr:uid="{00000000-0005-0000-0000-0000832C0000}"/>
    <cellStyle name="Normal 4 4 4 2 2 2 4" xfId="5393" xr:uid="{00000000-0005-0000-0000-0000842C0000}"/>
    <cellStyle name="Normal 4 4 4 2 2 2 4 2" xfId="11754" xr:uid="{00000000-0005-0000-0000-0000852C0000}"/>
    <cellStyle name="Normal 4 4 4 2 2 2 5" xfId="8575" xr:uid="{00000000-0005-0000-0000-0000862C0000}"/>
    <cellStyle name="Normal 4 4 4 2 2 3" xfId="2561" xr:uid="{00000000-0005-0000-0000-0000872C0000}"/>
    <cellStyle name="Normal 4 4 4 2 2 3 2" xfId="4145" xr:uid="{00000000-0005-0000-0000-0000882C0000}"/>
    <cellStyle name="Normal 4 4 4 2 2 3 2 2" xfId="7373" xr:uid="{00000000-0005-0000-0000-0000892C0000}"/>
    <cellStyle name="Normal 4 4 4 2 2 3 2 2 2" xfId="13734" xr:uid="{00000000-0005-0000-0000-00008A2C0000}"/>
    <cellStyle name="Normal 4 4 4 2 2 3 2 3" xfId="10555" xr:uid="{00000000-0005-0000-0000-00008B2C0000}"/>
    <cellStyle name="Normal 4 4 4 2 2 3 3" xfId="5789" xr:uid="{00000000-0005-0000-0000-00008C2C0000}"/>
    <cellStyle name="Normal 4 4 4 2 2 3 3 2" xfId="12150" xr:uid="{00000000-0005-0000-0000-00008D2C0000}"/>
    <cellStyle name="Normal 4 4 4 2 2 3 4" xfId="8971" xr:uid="{00000000-0005-0000-0000-00008E2C0000}"/>
    <cellStyle name="Normal 4 4 4 2 2 4" xfId="3353" xr:uid="{00000000-0005-0000-0000-00008F2C0000}"/>
    <cellStyle name="Normal 4 4 4 2 2 4 2" xfId="6581" xr:uid="{00000000-0005-0000-0000-0000902C0000}"/>
    <cellStyle name="Normal 4 4 4 2 2 4 2 2" xfId="12942" xr:uid="{00000000-0005-0000-0000-0000912C0000}"/>
    <cellStyle name="Normal 4 4 4 2 2 4 3" xfId="9763" xr:uid="{00000000-0005-0000-0000-0000922C0000}"/>
    <cellStyle name="Normal 4 4 4 2 2 5" xfId="4997" xr:uid="{00000000-0005-0000-0000-0000932C0000}"/>
    <cellStyle name="Normal 4 4 4 2 2 5 2" xfId="11358" xr:uid="{00000000-0005-0000-0000-0000942C0000}"/>
    <cellStyle name="Normal 4 4 4 2 2 6" xfId="8179" xr:uid="{00000000-0005-0000-0000-0000952C0000}"/>
    <cellStyle name="Normal 4 4 4 2 3" xfId="1967" xr:uid="{00000000-0005-0000-0000-0000962C0000}"/>
    <cellStyle name="Normal 4 4 4 2 3 2" xfId="2759" xr:uid="{00000000-0005-0000-0000-0000972C0000}"/>
    <cellStyle name="Normal 4 4 4 2 3 2 2" xfId="4343" xr:uid="{00000000-0005-0000-0000-0000982C0000}"/>
    <cellStyle name="Normal 4 4 4 2 3 2 2 2" xfId="7571" xr:uid="{00000000-0005-0000-0000-0000992C0000}"/>
    <cellStyle name="Normal 4 4 4 2 3 2 2 2 2" xfId="13932" xr:uid="{00000000-0005-0000-0000-00009A2C0000}"/>
    <cellStyle name="Normal 4 4 4 2 3 2 2 3" xfId="10753" xr:uid="{00000000-0005-0000-0000-00009B2C0000}"/>
    <cellStyle name="Normal 4 4 4 2 3 2 3" xfId="5987" xr:uid="{00000000-0005-0000-0000-00009C2C0000}"/>
    <cellStyle name="Normal 4 4 4 2 3 2 3 2" xfId="12348" xr:uid="{00000000-0005-0000-0000-00009D2C0000}"/>
    <cellStyle name="Normal 4 4 4 2 3 2 4" xfId="9169" xr:uid="{00000000-0005-0000-0000-00009E2C0000}"/>
    <cellStyle name="Normal 4 4 4 2 3 3" xfId="3551" xr:uid="{00000000-0005-0000-0000-00009F2C0000}"/>
    <cellStyle name="Normal 4 4 4 2 3 3 2" xfId="6779" xr:uid="{00000000-0005-0000-0000-0000A02C0000}"/>
    <cellStyle name="Normal 4 4 4 2 3 3 2 2" xfId="13140" xr:uid="{00000000-0005-0000-0000-0000A12C0000}"/>
    <cellStyle name="Normal 4 4 4 2 3 3 3" xfId="9961" xr:uid="{00000000-0005-0000-0000-0000A22C0000}"/>
    <cellStyle name="Normal 4 4 4 2 3 4" xfId="5195" xr:uid="{00000000-0005-0000-0000-0000A32C0000}"/>
    <cellStyle name="Normal 4 4 4 2 3 4 2" xfId="11556" xr:uid="{00000000-0005-0000-0000-0000A42C0000}"/>
    <cellStyle name="Normal 4 4 4 2 3 5" xfId="8377" xr:uid="{00000000-0005-0000-0000-0000A52C0000}"/>
    <cellStyle name="Normal 4 4 4 2 4" xfId="2363" xr:uid="{00000000-0005-0000-0000-0000A62C0000}"/>
    <cellStyle name="Normal 4 4 4 2 4 2" xfId="3947" xr:uid="{00000000-0005-0000-0000-0000A72C0000}"/>
    <cellStyle name="Normal 4 4 4 2 4 2 2" xfId="7175" xr:uid="{00000000-0005-0000-0000-0000A82C0000}"/>
    <cellStyle name="Normal 4 4 4 2 4 2 2 2" xfId="13536" xr:uid="{00000000-0005-0000-0000-0000A92C0000}"/>
    <cellStyle name="Normal 4 4 4 2 4 2 3" xfId="10357" xr:uid="{00000000-0005-0000-0000-0000AA2C0000}"/>
    <cellStyle name="Normal 4 4 4 2 4 3" xfId="5591" xr:uid="{00000000-0005-0000-0000-0000AB2C0000}"/>
    <cellStyle name="Normal 4 4 4 2 4 3 2" xfId="11952" xr:uid="{00000000-0005-0000-0000-0000AC2C0000}"/>
    <cellStyle name="Normal 4 4 4 2 4 4" xfId="8773" xr:uid="{00000000-0005-0000-0000-0000AD2C0000}"/>
    <cellStyle name="Normal 4 4 4 2 5" xfId="3155" xr:uid="{00000000-0005-0000-0000-0000AE2C0000}"/>
    <cellStyle name="Normal 4 4 4 2 5 2" xfId="6383" xr:uid="{00000000-0005-0000-0000-0000AF2C0000}"/>
    <cellStyle name="Normal 4 4 4 2 5 2 2" xfId="12744" xr:uid="{00000000-0005-0000-0000-0000B02C0000}"/>
    <cellStyle name="Normal 4 4 4 2 5 3" xfId="9565" xr:uid="{00000000-0005-0000-0000-0000B12C0000}"/>
    <cellStyle name="Normal 4 4 4 2 6" xfId="4799" xr:uid="{00000000-0005-0000-0000-0000B22C0000}"/>
    <cellStyle name="Normal 4 4 4 2 6 2" xfId="11160" xr:uid="{00000000-0005-0000-0000-0000B32C0000}"/>
    <cellStyle name="Normal 4 4 4 2 7" xfId="7981" xr:uid="{00000000-0005-0000-0000-0000B42C0000}"/>
    <cellStyle name="Normal 4 4 4 3" xfId="1639" xr:uid="{00000000-0005-0000-0000-0000B52C0000}"/>
    <cellStyle name="Normal 4 4 4 3 2" xfId="1837" xr:uid="{00000000-0005-0000-0000-0000B62C0000}"/>
    <cellStyle name="Normal 4 4 4 3 2 2" xfId="2233" xr:uid="{00000000-0005-0000-0000-0000B72C0000}"/>
    <cellStyle name="Normal 4 4 4 3 2 2 2" xfId="3025" xr:uid="{00000000-0005-0000-0000-0000B82C0000}"/>
    <cellStyle name="Normal 4 4 4 3 2 2 2 2" xfId="4609" xr:uid="{00000000-0005-0000-0000-0000B92C0000}"/>
    <cellStyle name="Normal 4 4 4 3 2 2 2 2 2" xfId="7837" xr:uid="{00000000-0005-0000-0000-0000BA2C0000}"/>
    <cellStyle name="Normal 4 4 4 3 2 2 2 2 2 2" xfId="14198" xr:uid="{00000000-0005-0000-0000-0000BB2C0000}"/>
    <cellStyle name="Normal 4 4 4 3 2 2 2 2 3" xfId="11019" xr:uid="{00000000-0005-0000-0000-0000BC2C0000}"/>
    <cellStyle name="Normal 4 4 4 3 2 2 2 3" xfId="6253" xr:uid="{00000000-0005-0000-0000-0000BD2C0000}"/>
    <cellStyle name="Normal 4 4 4 3 2 2 2 3 2" xfId="12614" xr:uid="{00000000-0005-0000-0000-0000BE2C0000}"/>
    <cellStyle name="Normal 4 4 4 3 2 2 2 4" xfId="9435" xr:uid="{00000000-0005-0000-0000-0000BF2C0000}"/>
    <cellStyle name="Normal 4 4 4 3 2 2 3" xfId="3817" xr:uid="{00000000-0005-0000-0000-0000C02C0000}"/>
    <cellStyle name="Normal 4 4 4 3 2 2 3 2" xfId="7045" xr:uid="{00000000-0005-0000-0000-0000C12C0000}"/>
    <cellStyle name="Normal 4 4 4 3 2 2 3 2 2" xfId="13406" xr:uid="{00000000-0005-0000-0000-0000C22C0000}"/>
    <cellStyle name="Normal 4 4 4 3 2 2 3 3" xfId="10227" xr:uid="{00000000-0005-0000-0000-0000C32C0000}"/>
    <cellStyle name="Normal 4 4 4 3 2 2 4" xfId="5461" xr:uid="{00000000-0005-0000-0000-0000C42C0000}"/>
    <cellStyle name="Normal 4 4 4 3 2 2 4 2" xfId="11822" xr:uid="{00000000-0005-0000-0000-0000C52C0000}"/>
    <cellStyle name="Normal 4 4 4 3 2 2 5" xfId="8643" xr:uid="{00000000-0005-0000-0000-0000C62C0000}"/>
    <cellStyle name="Normal 4 4 4 3 2 3" xfId="2629" xr:uid="{00000000-0005-0000-0000-0000C72C0000}"/>
    <cellStyle name="Normal 4 4 4 3 2 3 2" xfId="4213" xr:uid="{00000000-0005-0000-0000-0000C82C0000}"/>
    <cellStyle name="Normal 4 4 4 3 2 3 2 2" xfId="7441" xr:uid="{00000000-0005-0000-0000-0000C92C0000}"/>
    <cellStyle name="Normal 4 4 4 3 2 3 2 2 2" xfId="13802" xr:uid="{00000000-0005-0000-0000-0000CA2C0000}"/>
    <cellStyle name="Normal 4 4 4 3 2 3 2 3" xfId="10623" xr:uid="{00000000-0005-0000-0000-0000CB2C0000}"/>
    <cellStyle name="Normal 4 4 4 3 2 3 3" xfId="5857" xr:uid="{00000000-0005-0000-0000-0000CC2C0000}"/>
    <cellStyle name="Normal 4 4 4 3 2 3 3 2" xfId="12218" xr:uid="{00000000-0005-0000-0000-0000CD2C0000}"/>
    <cellStyle name="Normal 4 4 4 3 2 3 4" xfId="9039" xr:uid="{00000000-0005-0000-0000-0000CE2C0000}"/>
    <cellStyle name="Normal 4 4 4 3 2 4" xfId="3421" xr:uid="{00000000-0005-0000-0000-0000CF2C0000}"/>
    <cellStyle name="Normal 4 4 4 3 2 4 2" xfId="6649" xr:uid="{00000000-0005-0000-0000-0000D02C0000}"/>
    <cellStyle name="Normal 4 4 4 3 2 4 2 2" xfId="13010" xr:uid="{00000000-0005-0000-0000-0000D12C0000}"/>
    <cellStyle name="Normal 4 4 4 3 2 4 3" xfId="9831" xr:uid="{00000000-0005-0000-0000-0000D22C0000}"/>
    <cellStyle name="Normal 4 4 4 3 2 5" xfId="5065" xr:uid="{00000000-0005-0000-0000-0000D32C0000}"/>
    <cellStyle name="Normal 4 4 4 3 2 5 2" xfId="11426" xr:uid="{00000000-0005-0000-0000-0000D42C0000}"/>
    <cellStyle name="Normal 4 4 4 3 2 6" xfId="8247" xr:uid="{00000000-0005-0000-0000-0000D52C0000}"/>
    <cellStyle name="Normal 4 4 4 3 3" xfId="2035" xr:uid="{00000000-0005-0000-0000-0000D62C0000}"/>
    <cellStyle name="Normal 4 4 4 3 3 2" xfId="2827" xr:uid="{00000000-0005-0000-0000-0000D72C0000}"/>
    <cellStyle name="Normal 4 4 4 3 3 2 2" xfId="4411" xr:uid="{00000000-0005-0000-0000-0000D82C0000}"/>
    <cellStyle name="Normal 4 4 4 3 3 2 2 2" xfId="7639" xr:uid="{00000000-0005-0000-0000-0000D92C0000}"/>
    <cellStyle name="Normal 4 4 4 3 3 2 2 2 2" xfId="14000" xr:uid="{00000000-0005-0000-0000-0000DA2C0000}"/>
    <cellStyle name="Normal 4 4 4 3 3 2 2 3" xfId="10821" xr:uid="{00000000-0005-0000-0000-0000DB2C0000}"/>
    <cellStyle name="Normal 4 4 4 3 3 2 3" xfId="6055" xr:uid="{00000000-0005-0000-0000-0000DC2C0000}"/>
    <cellStyle name="Normal 4 4 4 3 3 2 3 2" xfId="12416" xr:uid="{00000000-0005-0000-0000-0000DD2C0000}"/>
    <cellStyle name="Normal 4 4 4 3 3 2 4" xfId="9237" xr:uid="{00000000-0005-0000-0000-0000DE2C0000}"/>
    <cellStyle name="Normal 4 4 4 3 3 3" xfId="3619" xr:uid="{00000000-0005-0000-0000-0000DF2C0000}"/>
    <cellStyle name="Normal 4 4 4 3 3 3 2" xfId="6847" xr:uid="{00000000-0005-0000-0000-0000E02C0000}"/>
    <cellStyle name="Normal 4 4 4 3 3 3 2 2" xfId="13208" xr:uid="{00000000-0005-0000-0000-0000E12C0000}"/>
    <cellStyle name="Normal 4 4 4 3 3 3 3" xfId="10029" xr:uid="{00000000-0005-0000-0000-0000E22C0000}"/>
    <cellStyle name="Normal 4 4 4 3 3 4" xfId="5263" xr:uid="{00000000-0005-0000-0000-0000E32C0000}"/>
    <cellStyle name="Normal 4 4 4 3 3 4 2" xfId="11624" xr:uid="{00000000-0005-0000-0000-0000E42C0000}"/>
    <cellStyle name="Normal 4 4 4 3 3 5" xfId="8445" xr:uid="{00000000-0005-0000-0000-0000E52C0000}"/>
    <cellStyle name="Normal 4 4 4 3 4" xfId="2431" xr:uid="{00000000-0005-0000-0000-0000E62C0000}"/>
    <cellStyle name="Normal 4 4 4 3 4 2" xfId="4015" xr:uid="{00000000-0005-0000-0000-0000E72C0000}"/>
    <cellStyle name="Normal 4 4 4 3 4 2 2" xfId="7243" xr:uid="{00000000-0005-0000-0000-0000E82C0000}"/>
    <cellStyle name="Normal 4 4 4 3 4 2 2 2" xfId="13604" xr:uid="{00000000-0005-0000-0000-0000E92C0000}"/>
    <cellStyle name="Normal 4 4 4 3 4 2 3" xfId="10425" xr:uid="{00000000-0005-0000-0000-0000EA2C0000}"/>
    <cellStyle name="Normal 4 4 4 3 4 3" xfId="5659" xr:uid="{00000000-0005-0000-0000-0000EB2C0000}"/>
    <cellStyle name="Normal 4 4 4 3 4 3 2" xfId="12020" xr:uid="{00000000-0005-0000-0000-0000EC2C0000}"/>
    <cellStyle name="Normal 4 4 4 3 4 4" xfId="8841" xr:uid="{00000000-0005-0000-0000-0000ED2C0000}"/>
    <cellStyle name="Normal 4 4 4 3 5" xfId="3223" xr:uid="{00000000-0005-0000-0000-0000EE2C0000}"/>
    <cellStyle name="Normal 4 4 4 3 5 2" xfId="6451" xr:uid="{00000000-0005-0000-0000-0000EF2C0000}"/>
    <cellStyle name="Normal 4 4 4 3 5 2 2" xfId="12812" xr:uid="{00000000-0005-0000-0000-0000F02C0000}"/>
    <cellStyle name="Normal 4 4 4 3 5 3" xfId="9633" xr:uid="{00000000-0005-0000-0000-0000F12C0000}"/>
    <cellStyle name="Normal 4 4 4 3 6" xfId="4867" xr:uid="{00000000-0005-0000-0000-0000F22C0000}"/>
    <cellStyle name="Normal 4 4 4 3 6 2" xfId="11228" xr:uid="{00000000-0005-0000-0000-0000F32C0000}"/>
    <cellStyle name="Normal 4 4 4 3 7" xfId="8049" xr:uid="{00000000-0005-0000-0000-0000F42C0000}"/>
    <cellStyle name="Normal 4 4 4 4" xfId="1704" xr:uid="{00000000-0005-0000-0000-0000F52C0000}"/>
    <cellStyle name="Normal 4 4 4 4 2" xfId="2100" xr:uid="{00000000-0005-0000-0000-0000F62C0000}"/>
    <cellStyle name="Normal 4 4 4 4 2 2" xfId="2892" xr:uid="{00000000-0005-0000-0000-0000F72C0000}"/>
    <cellStyle name="Normal 4 4 4 4 2 2 2" xfId="4476" xr:uid="{00000000-0005-0000-0000-0000F82C0000}"/>
    <cellStyle name="Normal 4 4 4 4 2 2 2 2" xfId="7704" xr:uid="{00000000-0005-0000-0000-0000F92C0000}"/>
    <cellStyle name="Normal 4 4 4 4 2 2 2 2 2" xfId="14065" xr:uid="{00000000-0005-0000-0000-0000FA2C0000}"/>
    <cellStyle name="Normal 4 4 4 4 2 2 2 3" xfId="10886" xr:uid="{00000000-0005-0000-0000-0000FB2C0000}"/>
    <cellStyle name="Normal 4 4 4 4 2 2 3" xfId="6120" xr:uid="{00000000-0005-0000-0000-0000FC2C0000}"/>
    <cellStyle name="Normal 4 4 4 4 2 2 3 2" xfId="12481" xr:uid="{00000000-0005-0000-0000-0000FD2C0000}"/>
    <cellStyle name="Normal 4 4 4 4 2 2 4" xfId="9302" xr:uid="{00000000-0005-0000-0000-0000FE2C0000}"/>
    <cellStyle name="Normal 4 4 4 4 2 3" xfId="3684" xr:uid="{00000000-0005-0000-0000-0000FF2C0000}"/>
    <cellStyle name="Normal 4 4 4 4 2 3 2" xfId="6912" xr:uid="{00000000-0005-0000-0000-0000002D0000}"/>
    <cellStyle name="Normal 4 4 4 4 2 3 2 2" xfId="13273" xr:uid="{00000000-0005-0000-0000-0000012D0000}"/>
    <cellStyle name="Normal 4 4 4 4 2 3 3" xfId="10094" xr:uid="{00000000-0005-0000-0000-0000022D0000}"/>
    <cellStyle name="Normal 4 4 4 4 2 4" xfId="5328" xr:uid="{00000000-0005-0000-0000-0000032D0000}"/>
    <cellStyle name="Normal 4 4 4 4 2 4 2" xfId="11689" xr:uid="{00000000-0005-0000-0000-0000042D0000}"/>
    <cellStyle name="Normal 4 4 4 4 2 5" xfId="8510" xr:uid="{00000000-0005-0000-0000-0000052D0000}"/>
    <cellStyle name="Normal 4 4 4 4 3" xfId="2496" xr:uid="{00000000-0005-0000-0000-0000062D0000}"/>
    <cellStyle name="Normal 4 4 4 4 3 2" xfId="4080" xr:uid="{00000000-0005-0000-0000-0000072D0000}"/>
    <cellStyle name="Normal 4 4 4 4 3 2 2" xfId="7308" xr:uid="{00000000-0005-0000-0000-0000082D0000}"/>
    <cellStyle name="Normal 4 4 4 4 3 2 2 2" xfId="13669" xr:uid="{00000000-0005-0000-0000-0000092D0000}"/>
    <cellStyle name="Normal 4 4 4 4 3 2 3" xfId="10490" xr:uid="{00000000-0005-0000-0000-00000A2D0000}"/>
    <cellStyle name="Normal 4 4 4 4 3 3" xfId="5724" xr:uid="{00000000-0005-0000-0000-00000B2D0000}"/>
    <cellStyle name="Normal 4 4 4 4 3 3 2" xfId="12085" xr:uid="{00000000-0005-0000-0000-00000C2D0000}"/>
    <cellStyle name="Normal 4 4 4 4 3 4" xfId="8906" xr:uid="{00000000-0005-0000-0000-00000D2D0000}"/>
    <cellStyle name="Normal 4 4 4 4 4" xfId="3288" xr:uid="{00000000-0005-0000-0000-00000E2D0000}"/>
    <cellStyle name="Normal 4 4 4 4 4 2" xfId="6516" xr:uid="{00000000-0005-0000-0000-00000F2D0000}"/>
    <cellStyle name="Normal 4 4 4 4 4 2 2" xfId="12877" xr:uid="{00000000-0005-0000-0000-0000102D0000}"/>
    <cellStyle name="Normal 4 4 4 4 4 3" xfId="9698" xr:uid="{00000000-0005-0000-0000-0000112D0000}"/>
    <cellStyle name="Normal 4 4 4 4 5" xfId="4932" xr:uid="{00000000-0005-0000-0000-0000122D0000}"/>
    <cellStyle name="Normal 4 4 4 4 5 2" xfId="11293" xr:uid="{00000000-0005-0000-0000-0000132D0000}"/>
    <cellStyle name="Normal 4 4 4 4 6" xfId="8114" xr:uid="{00000000-0005-0000-0000-0000142D0000}"/>
    <cellStyle name="Normal 4 4 4 5" xfId="1902" xr:uid="{00000000-0005-0000-0000-0000152D0000}"/>
    <cellStyle name="Normal 4 4 4 5 2" xfId="2694" xr:uid="{00000000-0005-0000-0000-0000162D0000}"/>
    <cellStyle name="Normal 4 4 4 5 2 2" xfId="4278" xr:uid="{00000000-0005-0000-0000-0000172D0000}"/>
    <cellStyle name="Normal 4 4 4 5 2 2 2" xfId="7506" xr:uid="{00000000-0005-0000-0000-0000182D0000}"/>
    <cellStyle name="Normal 4 4 4 5 2 2 2 2" xfId="13867" xr:uid="{00000000-0005-0000-0000-0000192D0000}"/>
    <cellStyle name="Normal 4 4 4 5 2 2 3" xfId="10688" xr:uid="{00000000-0005-0000-0000-00001A2D0000}"/>
    <cellStyle name="Normal 4 4 4 5 2 3" xfId="5922" xr:uid="{00000000-0005-0000-0000-00001B2D0000}"/>
    <cellStyle name="Normal 4 4 4 5 2 3 2" xfId="12283" xr:uid="{00000000-0005-0000-0000-00001C2D0000}"/>
    <cellStyle name="Normal 4 4 4 5 2 4" xfId="9104" xr:uid="{00000000-0005-0000-0000-00001D2D0000}"/>
    <cellStyle name="Normal 4 4 4 5 3" xfId="3486" xr:uid="{00000000-0005-0000-0000-00001E2D0000}"/>
    <cellStyle name="Normal 4 4 4 5 3 2" xfId="6714" xr:uid="{00000000-0005-0000-0000-00001F2D0000}"/>
    <cellStyle name="Normal 4 4 4 5 3 2 2" xfId="13075" xr:uid="{00000000-0005-0000-0000-0000202D0000}"/>
    <cellStyle name="Normal 4 4 4 5 3 3" xfId="9896" xr:uid="{00000000-0005-0000-0000-0000212D0000}"/>
    <cellStyle name="Normal 4 4 4 5 4" xfId="5130" xr:uid="{00000000-0005-0000-0000-0000222D0000}"/>
    <cellStyle name="Normal 4 4 4 5 4 2" xfId="11491" xr:uid="{00000000-0005-0000-0000-0000232D0000}"/>
    <cellStyle name="Normal 4 4 4 5 5" xfId="8312" xr:uid="{00000000-0005-0000-0000-0000242D0000}"/>
    <cellStyle name="Normal 4 4 4 6" xfId="2298" xr:uid="{00000000-0005-0000-0000-0000252D0000}"/>
    <cellStyle name="Normal 4 4 4 6 2" xfId="3882" xr:uid="{00000000-0005-0000-0000-0000262D0000}"/>
    <cellStyle name="Normal 4 4 4 6 2 2" xfId="7110" xr:uid="{00000000-0005-0000-0000-0000272D0000}"/>
    <cellStyle name="Normal 4 4 4 6 2 2 2" xfId="13471" xr:uid="{00000000-0005-0000-0000-0000282D0000}"/>
    <cellStyle name="Normal 4 4 4 6 2 3" xfId="10292" xr:uid="{00000000-0005-0000-0000-0000292D0000}"/>
    <cellStyle name="Normal 4 4 4 6 3" xfId="5526" xr:uid="{00000000-0005-0000-0000-00002A2D0000}"/>
    <cellStyle name="Normal 4 4 4 6 3 2" xfId="11887" xr:uid="{00000000-0005-0000-0000-00002B2D0000}"/>
    <cellStyle name="Normal 4 4 4 6 4" xfId="8708" xr:uid="{00000000-0005-0000-0000-00002C2D0000}"/>
    <cellStyle name="Normal 4 4 4 7" xfId="3090" xr:uid="{00000000-0005-0000-0000-00002D2D0000}"/>
    <cellStyle name="Normal 4 4 4 7 2" xfId="6318" xr:uid="{00000000-0005-0000-0000-00002E2D0000}"/>
    <cellStyle name="Normal 4 4 4 7 2 2" xfId="12679" xr:uid="{00000000-0005-0000-0000-00002F2D0000}"/>
    <cellStyle name="Normal 4 4 4 7 3" xfId="9500" xr:uid="{00000000-0005-0000-0000-0000302D0000}"/>
    <cellStyle name="Normal 4 4 4 8" xfId="4734" xr:uid="{00000000-0005-0000-0000-0000312D0000}"/>
    <cellStyle name="Normal 4 4 4 8 2" xfId="11095" xr:uid="{00000000-0005-0000-0000-0000322D0000}"/>
    <cellStyle name="Normal 4 4 4 9" xfId="7916" xr:uid="{00000000-0005-0000-0000-0000332D0000}"/>
    <cellStyle name="Normal 4 4 5" xfId="1539" xr:uid="{00000000-0005-0000-0000-0000342D0000}"/>
    <cellStyle name="Normal 4 4 5 2" xfId="1737" xr:uid="{00000000-0005-0000-0000-0000352D0000}"/>
    <cellStyle name="Normal 4 4 5 2 2" xfId="2133" xr:uid="{00000000-0005-0000-0000-0000362D0000}"/>
    <cellStyle name="Normal 4 4 5 2 2 2" xfId="2925" xr:uid="{00000000-0005-0000-0000-0000372D0000}"/>
    <cellStyle name="Normal 4 4 5 2 2 2 2" xfId="4509" xr:uid="{00000000-0005-0000-0000-0000382D0000}"/>
    <cellStyle name="Normal 4 4 5 2 2 2 2 2" xfId="7737" xr:uid="{00000000-0005-0000-0000-0000392D0000}"/>
    <cellStyle name="Normal 4 4 5 2 2 2 2 2 2" xfId="14098" xr:uid="{00000000-0005-0000-0000-00003A2D0000}"/>
    <cellStyle name="Normal 4 4 5 2 2 2 2 3" xfId="10919" xr:uid="{00000000-0005-0000-0000-00003B2D0000}"/>
    <cellStyle name="Normal 4 4 5 2 2 2 3" xfId="6153" xr:uid="{00000000-0005-0000-0000-00003C2D0000}"/>
    <cellStyle name="Normal 4 4 5 2 2 2 3 2" xfId="12514" xr:uid="{00000000-0005-0000-0000-00003D2D0000}"/>
    <cellStyle name="Normal 4 4 5 2 2 2 4" xfId="9335" xr:uid="{00000000-0005-0000-0000-00003E2D0000}"/>
    <cellStyle name="Normal 4 4 5 2 2 3" xfId="3717" xr:uid="{00000000-0005-0000-0000-00003F2D0000}"/>
    <cellStyle name="Normal 4 4 5 2 2 3 2" xfId="6945" xr:uid="{00000000-0005-0000-0000-0000402D0000}"/>
    <cellStyle name="Normal 4 4 5 2 2 3 2 2" xfId="13306" xr:uid="{00000000-0005-0000-0000-0000412D0000}"/>
    <cellStyle name="Normal 4 4 5 2 2 3 3" xfId="10127" xr:uid="{00000000-0005-0000-0000-0000422D0000}"/>
    <cellStyle name="Normal 4 4 5 2 2 4" xfId="5361" xr:uid="{00000000-0005-0000-0000-0000432D0000}"/>
    <cellStyle name="Normal 4 4 5 2 2 4 2" xfId="11722" xr:uid="{00000000-0005-0000-0000-0000442D0000}"/>
    <cellStyle name="Normal 4 4 5 2 2 5" xfId="8543" xr:uid="{00000000-0005-0000-0000-0000452D0000}"/>
    <cellStyle name="Normal 4 4 5 2 3" xfId="2529" xr:uid="{00000000-0005-0000-0000-0000462D0000}"/>
    <cellStyle name="Normal 4 4 5 2 3 2" xfId="4113" xr:uid="{00000000-0005-0000-0000-0000472D0000}"/>
    <cellStyle name="Normal 4 4 5 2 3 2 2" xfId="7341" xr:uid="{00000000-0005-0000-0000-0000482D0000}"/>
    <cellStyle name="Normal 4 4 5 2 3 2 2 2" xfId="13702" xr:uid="{00000000-0005-0000-0000-0000492D0000}"/>
    <cellStyle name="Normal 4 4 5 2 3 2 3" xfId="10523" xr:uid="{00000000-0005-0000-0000-00004A2D0000}"/>
    <cellStyle name="Normal 4 4 5 2 3 3" xfId="5757" xr:uid="{00000000-0005-0000-0000-00004B2D0000}"/>
    <cellStyle name="Normal 4 4 5 2 3 3 2" xfId="12118" xr:uid="{00000000-0005-0000-0000-00004C2D0000}"/>
    <cellStyle name="Normal 4 4 5 2 3 4" xfId="8939" xr:uid="{00000000-0005-0000-0000-00004D2D0000}"/>
    <cellStyle name="Normal 4 4 5 2 4" xfId="3321" xr:uid="{00000000-0005-0000-0000-00004E2D0000}"/>
    <cellStyle name="Normal 4 4 5 2 4 2" xfId="6549" xr:uid="{00000000-0005-0000-0000-00004F2D0000}"/>
    <cellStyle name="Normal 4 4 5 2 4 2 2" xfId="12910" xr:uid="{00000000-0005-0000-0000-0000502D0000}"/>
    <cellStyle name="Normal 4 4 5 2 4 3" xfId="9731" xr:uid="{00000000-0005-0000-0000-0000512D0000}"/>
    <cellStyle name="Normal 4 4 5 2 5" xfId="4965" xr:uid="{00000000-0005-0000-0000-0000522D0000}"/>
    <cellStyle name="Normal 4 4 5 2 5 2" xfId="11326" xr:uid="{00000000-0005-0000-0000-0000532D0000}"/>
    <cellStyle name="Normal 4 4 5 2 6" xfId="8147" xr:uid="{00000000-0005-0000-0000-0000542D0000}"/>
    <cellStyle name="Normal 4 4 5 3" xfId="1935" xr:uid="{00000000-0005-0000-0000-0000552D0000}"/>
    <cellStyle name="Normal 4 4 5 3 2" xfId="2727" xr:uid="{00000000-0005-0000-0000-0000562D0000}"/>
    <cellStyle name="Normal 4 4 5 3 2 2" xfId="4311" xr:uid="{00000000-0005-0000-0000-0000572D0000}"/>
    <cellStyle name="Normal 4 4 5 3 2 2 2" xfId="7539" xr:uid="{00000000-0005-0000-0000-0000582D0000}"/>
    <cellStyle name="Normal 4 4 5 3 2 2 2 2" xfId="13900" xr:uid="{00000000-0005-0000-0000-0000592D0000}"/>
    <cellStyle name="Normal 4 4 5 3 2 2 3" xfId="10721" xr:uid="{00000000-0005-0000-0000-00005A2D0000}"/>
    <cellStyle name="Normal 4 4 5 3 2 3" xfId="5955" xr:uid="{00000000-0005-0000-0000-00005B2D0000}"/>
    <cellStyle name="Normal 4 4 5 3 2 3 2" xfId="12316" xr:uid="{00000000-0005-0000-0000-00005C2D0000}"/>
    <cellStyle name="Normal 4 4 5 3 2 4" xfId="9137" xr:uid="{00000000-0005-0000-0000-00005D2D0000}"/>
    <cellStyle name="Normal 4 4 5 3 3" xfId="3519" xr:uid="{00000000-0005-0000-0000-00005E2D0000}"/>
    <cellStyle name="Normal 4 4 5 3 3 2" xfId="6747" xr:uid="{00000000-0005-0000-0000-00005F2D0000}"/>
    <cellStyle name="Normal 4 4 5 3 3 2 2" xfId="13108" xr:uid="{00000000-0005-0000-0000-0000602D0000}"/>
    <cellStyle name="Normal 4 4 5 3 3 3" xfId="9929" xr:uid="{00000000-0005-0000-0000-0000612D0000}"/>
    <cellStyle name="Normal 4 4 5 3 4" xfId="5163" xr:uid="{00000000-0005-0000-0000-0000622D0000}"/>
    <cellStyle name="Normal 4 4 5 3 4 2" xfId="11524" xr:uid="{00000000-0005-0000-0000-0000632D0000}"/>
    <cellStyle name="Normal 4 4 5 3 5" xfId="8345" xr:uid="{00000000-0005-0000-0000-0000642D0000}"/>
    <cellStyle name="Normal 4 4 5 4" xfId="2331" xr:uid="{00000000-0005-0000-0000-0000652D0000}"/>
    <cellStyle name="Normal 4 4 5 4 2" xfId="3915" xr:uid="{00000000-0005-0000-0000-0000662D0000}"/>
    <cellStyle name="Normal 4 4 5 4 2 2" xfId="7143" xr:uid="{00000000-0005-0000-0000-0000672D0000}"/>
    <cellStyle name="Normal 4 4 5 4 2 2 2" xfId="13504" xr:uid="{00000000-0005-0000-0000-0000682D0000}"/>
    <cellStyle name="Normal 4 4 5 4 2 3" xfId="10325" xr:uid="{00000000-0005-0000-0000-0000692D0000}"/>
    <cellStyle name="Normal 4 4 5 4 3" xfId="5559" xr:uid="{00000000-0005-0000-0000-00006A2D0000}"/>
    <cellStyle name="Normal 4 4 5 4 3 2" xfId="11920" xr:uid="{00000000-0005-0000-0000-00006B2D0000}"/>
    <cellStyle name="Normal 4 4 5 4 4" xfId="8741" xr:uid="{00000000-0005-0000-0000-00006C2D0000}"/>
    <cellStyle name="Normal 4 4 5 5" xfId="3123" xr:uid="{00000000-0005-0000-0000-00006D2D0000}"/>
    <cellStyle name="Normal 4 4 5 5 2" xfId="6351" xr:uid="{00000000-0005-0000-0000-00006E2D0000}"/>
    <cellStyle name="Normal 4 4 5 5 2 2" xfId="12712" xr:uid="{00000000-0005-0000-0000-00006F2D0000}"/>
    <cellStyle name="Normal 4 4 5 5 3" xfId="9533" xr:uid="{00000000-0005-0000-0000-0000702D0000}"/>
    <cellStyle name="Normal 4 4 5 6" xfId="4767" xr:uid="{00000000-0005-0000-0000-0000712D0000}"/>
    <cellStyle name="Normal 4 4 5 6 2" xfId="11128" xr:uid="{00000000-0005-0000-0000-0000722D0000}"/>
    <cellStyle name="Normal 4 4 5 7" xfId="7949" xr:uid="{00000000-0005-0000-0000-0000732D0000}"/>
    <cellStyle name="Normal 4 4 6" xfId="1607" xr:uid="{00000000-0005-0000-0000-0000742D0000}"/>
    <cellStyle name="Normal 4 4 6 2" xfId="1805" xr:uid="{00000000-0005-0000-0000-0000752D0000}"/>
    <cellStyle name="Normal 4 4 6 2 2" xfId="2201" xr:uid="{00000000-0005-0000-0000-0000762D0000}"/>
    <cellStyle name="Normal 4 4 6 2 2 2" xfId="2993" xr:uid="{00000000-0005-0000-0000-0000772D0000}"/>
    <cellStyle name="Normal 4 4 6 2 2 2 2" xfId="4577" xr:uid="{00000000-0005-0000-0000-0000782D0000}"/>
    <cellStyle name="Normal 4 4 6 2 2 2 2 2" xfId="7805" xr:uid="{00000000-0005-0000-0000-0000792D0000}"/>
    <cellStyle name="Normal 4 4 6 2 2 2 2 2 2" xfId="14166" xr:uid="{00000000-0005-0000-0000-00007A2D0000}"/>
    <cellStyle name="Normal 4 4 6 2 2 2 2 3" xfId="10987" xr:uid="{00000000-0005-0000-0000-00007B2D0000}"/>
    <cellStyle name="Normal 4 4 6 2 2 2 3" xfId="6221" xr:uid="{00000000-0005-0000-0000-00007C2D0000}"/>
    <cellStyle name="Normal 4 4 6 2 2 2 3 2" xfId="12582" xr:uid="{00000000-0005-0000-0000-00007D2D0000}"/>
    <cellStyle name="Normal 4 4 6 2 2 2 4" xfId="9403" xr:uid="{00000000-0005-0000-0000-00007E2D0000}"/>
    <cellStyle name="Normal 4 4 6 2 2 3" xfId="3785" xr:uid="{00000000-0005-0000-0000-00007F2D0000}"/>
    <cellStyle name="Normal 4 4 6 2 2 3 2" xfId="7013" xr:uid="{00000000-0005-0000-0000-0000802D0000}"/>
    <cellStyle name="Normal 4 4 6 2 2 3 2 2" xfId="13374" xr:uid="{00000000-0005-0000-0000-0000812D0000}"/>
    <cellStyle name="Normal 4 4 6 2 2 3 3" xfId="10195" xr:uid="{00000000-0005-0000-0000-0000822D0000}"/>
    <cellStyle name="Normal 4 4 6 2 2 4" xfId="5429" xr:uid="{00000000-0005-0000-0000-0000832D0000}"/>
    <cellStyle name="Normal 4 4 6 2 2 4 2" xfId="11790" xr:uid="{00000000-0005-0000-0000-0000842D0000}"/>
    <cellStyle name="Normal 4 4 6 2 2 5" xfId="8611" xr:uid="{00000000-0005-0000-0000-0000852D0000}"/>
    <cellStyle name="Normal 4 4 6 2 3" xfId="2597" xr:uid="{00000000-0005-0000-0000-0000862D0000}"/>
    <cellStyle name="Normal 4 4 6 2 3 2" xfId="4181" xr:uid="{00000000-0005-0000-0000-0000872D0000}"/>
    <cellStyle name="Normal 4 4 6 2 3 2 2" xfId="7409" xr:uid="{00000000-0005-0000-0000-0000882D0000}"/>
    <cellStyle name="Normal 4 4 6 2 3 2 2 2" xfId="13770" xr:uid="{00000000-0005-0000-0000-0000892D0000}"/>
    <cellStyle name="Normal 4 4 6 2 3 2 3" xfId="10591" xr:uid="{00000000-0005-0000-0000-00008A2D0000}"/>
    <cellStyle name="Normal 4 4 6 2 3 3" xfId="5825" xr:uid="{00000000-0005-0000-0000-00008B2D0000}"/>
    <cellStyle name="Normal 4 4 6 2 3 3 2" xfId="12186" xr:uid="{00000000-0005-0000-0000-00008C2D0000}"/>
    <cellStyle name="Normal 4 4 6 2 3 4" xfId="9007" xr:uid="{00000000-0005-0000-0000-00008D2D0000}"/>
    <cellStyle name="Normal 4 4 6 2 4" xfId="3389" xr:uid="{00000000-0005-0000-0000-00008E2D0000}"/>
    <cellStyle name="Normal 4 4 6 2 4 2" xfId="6617" xr:uid="{00000000-0005-0000-0000-00008F2D0000}"/>
    <cellStyle name="Normal 4 4 6 2 4 2 2" xfId="12978" xr:uid="{00000000-0005-0000-0000-0000902D0000}"/>
    <cellStyle name="Normal 4 4 6 2 4 3" xfId="9799" xr:uid="{00000000-0005-0000-0000-0000912D0000}"/>
    <cellStyle name="Normal 4 4 6 2 5" xfId="5033" xr:uid="{00000000-0005-0000-0000-0000922D0000}"/>
    <cellStyle name="Normal 4 4 6 2 5 2" xfId="11394" xr:uid="{00000000-0005-0000-0000-0000932D0000}"/>
    <cellStyle name="Normal 4 4 6 2 6" xfId="8215" xr:uid="{00000000-0005-0000-0000-0000942D0000}"/>
    <cellStyle name="Normal 4 4 6 3" xfId="2003" xr:uid="{00000000-0005-0000-0000-0000952D0000}"/>
    <cellStyle name="Normal 4 4 6 3 2" xfId="2795" xr:uid="{00000000-0005-0000-0000-0000962D0000}"/>
    <cellStyle name="Normal 4 4 6 3 2 2" xfId="4379" xr:uid="{00000000-0005-0000-0000-0000972D0000}"/>
    <cellStyle name="Normal 4 4 6 3 2 2 2" xfId="7607" xr:uid="{00000000-0005-0000-0000-0000982D0000}"/>
    <cellStyle name="Normal 4 4 6 3 2 2 2 2" xfId="13968" xr:uid="{00000000-0005-0000-0000-0000992D0000}"/>
    <cellStyle name="Normal 4 4 6 3 2 2 3" xfId="10789" xr:uid="{00000000-0005-0000-0000-00009A2D0000}"/>
    <cellStyle name="Normal 4 4 6 3 2 3" xfId="6023" xr:uid="{00000000-0005-0000-0000-00009B2D0000}"/>
    <cellStyle name="Normal 4 4 6 3 2 3 2" xfId="12384" xr:uid="{00000000-0005-0000-0000-00009C2D0000}"/>
    <cellStyle name="Normal 4 4 6 3 2 4" xfId="9205" xr:uid="{00000000-0005-0000-0000-00009D2D0000}"/>
    <cellStyle name="Normal 4 4 6 3 3" xfId="3587" xr:uid="{00000000-0005-0000-0000-00009E2D0000}"/>
    <cellStyle name="Normal 4 4 6 3 3 2" xfId="6815" xr:uid="{00000000-0005-0000-0000-00009F2D0000}"/>
    <cellStyle name="Normal 4 4 6 3 3 2 2" xfId="13176" xr:uid="{00000000-0005-0000-0000-0000A02D0000}"/>
    <cellStyle name="Normal 4 4 6 3 3 3" xfId="9997" xr:uid="{00000000-0005-0000-0000-0000A12D0000}"/>
    <cellStyle name="Normal 4 4 6 3 4" xfId="5231" xr:uid="{00000000-0005-0000-0000-0000A22D0000}"/>
    <cellStyle name="Normal 4 4 6 3 4 2" xfId="11592" xr:uid="{00000000-0005-0000-0000-0000A32D0000}"/>
    <cellStyle name="Normal 4 4 6 3 5" xfId="8413" xr:uid="{00000000-0005-0000-0000-0000A42D0000}"/>
    <cellStyle name="Normal 4 4 6 4" xfId="2399" xr:uid="{00000000-0005-0000-0000-0000A52D0000}"/>
    <cellStyle name="Normal 4 4 6 4 2" xfId="3983" xr:uid="{00000000-0005-0000-0000-0000A62D0000}"/>
    <cellStyle name="Normal 4 4 6 4 2 2" xfId="7211" xr:uid="{00000000-0005-0000-0000-0000A72D0000}"/>
    <cellStyle name="Normal 4 4 6 4 2 2 2" xfId="13572" xr:uid="{00000000-0005-0000-0000-0000A82D0000}"/>
    <cellStyle name="Normal 4 4 6 4 2 3" xfId="10393" xr:uid="{00000000-0005-0000-0000-0000A92D0000}"/>
    <cellStyle name="Normal 4 4 6 4 3" xfId="5627" xr:uid="{00000000-0005-0000-0000-0000AA2D0000}"/>
    <cellStyle name="Normal 4 4 6 4 3 2" xfId="11988" xr:uid="{00000000-0005-0000-0000-0000AB2D0000}"/>
    <cellStyle name="Normal 4 4 6 4 4" xfId="8809" xr:uid="{00000000-0005-0000-0000-0000AC2D0000}"/>
    <cellStyle name="Normal 4 4 6 5" xfId="3191" xr:uid="{00000000-0005-0000-0000-0000AD2D0000}"/>
    <cellStyle name="Normal 4 4 6 5 2" xfId="6419" xr:uid="{00000000-0005-0000-0000-0000AE2D0000}"/>
    <cellStyle name="Normal 4 4 6 5 2 2" xfId="12780" xr:uid="{00000000-0005-0000-0000-0000AF2D0000}"/>
    <cellStyle name="Normal 4 4 6 5 3" xfId="9601" xr:uid="{00000000-0005-0000-0000-0000B02D0000}"/>
    <cellStyle name="Normal 4 4 6 6" xfId="4835" xr:uid="{00000000-0005-0000-0000-0000B12D0000}"/>
    <cellStyle name="Normal 4 4 6 6 2" xfId="11196" xr:uid="{00000000-0005-0000-0000-0000B22D0000}"/>
    <cellStyle name="Normal 4 4 6 7" xfId="8017" xr:uid="{00000000-0005-0000-0000-0000B32D0000}"/>
    <cellStyle name="Normal 4 4 7" xfId="1672" xr:uid="{00000000-0005-0000-0000-0000B42D0000}"/>
    <cellStyle name="Normal 4 4 7 2" xfId="2068" xr:uid="{00000000-0005-0000-0000-0000B52D0000}"/>
    <cellStyle name="Normal 4 4 7 2 2" xfId="2860" xr:uid="{00000000-0005-0000-0000-0000B62D0000}"/>
    <cellStyle name="Normal 4 4 7 2 2 2" xfId="4444" xr:uid="{00000000-0005-0000-0000-0000B72D0000}"/>
    <cellStyle name="Normal 4 4 7 2 2 2 2" xfId="7672" xr:uid="{00000000-0005-0000-0000-0000B82D0000}"/>
    <cellStyle name="Normal 4 4 7 2 2 2 2 2" xfId="14033" xr:uid="{00000000-0005-0000-0000-0000B92D0000}"/>
    <cellStyle name="Normal 4 4 7 2 2 2 3" xfId="10854" xr:uid="{00000000-0005-0000-0000-0000BA2D0000}"/>
    <cellStyle name="Normal 4 4 7 2 2 3" xfId="6088" xr:uid="{00000000-0005-0000-0000-0000BB2D0000}"/>
    <cellStyle name="Normal 4 4 7 2 2 3 2" xfId="12449" xr:uid="{00000000-0005-0000-0000-0000BC2D0000}"/>
    <cellStyle name="Normal 4 4 7 2 2 4" xfId="9270" xr:uid="{00000000-0005-0000-0000-0000BD2D0000}"/>
    <cellStyle name="Normal 4 4 7 2 3" xfId="3652" xr:uid="{00000000-0005-0000-0000-0000BE2D0000}"/>
    <cellStyle name="Normal 4 4 7 2 3 2" xfId="6880" xr:uid="{00000000-0005-0000-0000-0000BF2D0000}"/>
    <cellStyle name="Normal 4 4 7 2 3 2 2" xfId="13241" xr:uid="{00000000-0005-0000-0000-0000C02D0000}"/>
    <cellStyle name="Normal 4 4 7 2 3 3" xfId="10062" xr:uid="{00000000-0005-0000-0000-0000C12D0000}"/>
    <cellStyle name="Normal 4 4 7 2 4" xfId="5296" xr:uid="{00000000-0005-0000-0000-0000C22D0000}"/>
    <cellStyle name="Normal 4 4 7 2 4 2" xfId="11657" xr:uid="{00000000-0005-0000-0000-0000C32D0000}"/>
    <cellStyle name="Normal 4 4 7 2 5" xfId="8478" xr:uid="{00000000-0005-0000-0000-0000C42D0000}"/>
    <cellStyle name="Normal 4 4 7 3" xfId="2464" xr:uid="{00000000-0005-0000-0000-0000C52D0000}"/>
    <cellStyle name="Normal 4 4 7 3 2" xfId="4048" xr:uid="{00000000-0005-0000-0000-0000C62D0000}"/>
    <cellStyle name="Normal 4 4 7 3 2 2" xfId="7276" xr:uid="{00000000-0005-0000-0000-0000C72D0000}"/>
    <cellStyle name="Normal 4 4 7 3 2 2 2" xfId="13637" xr:uid="{00000000-0005-0000-0000-0000C82D0000}"/>
    <cellStyle name="Normal 4 4 7 3 2 3" xfId="10458" xr:uid="{00000000-0005-0000-0000-0000C92D0000}"/>
    <cellStyle name="Normal 4 4 7 3 3" xfId="5692" xr:uid="{00000000-0005-0000-0000-0000CA2D0000}"/>
    <cellStyle name="Normal 4 4 7 3 3 2" xfId="12053" xr:uid="{00000000-0005-0000-0000-0000CB2D0000}"/>
    <cellStyle name="Normal 4 4 7 3 4" xfId="8874" xr:uid="{00000000-0005-0000-0000-0000CC2D0000}"/>
    <cellStyle name="Normal 4 4 7 4" xfId="3256" xr:uid="{00000000-0005-0000-0000-0000CD2D0000}"/>
    <cellStyle name="Normal 4 4 7 4 2" xfId="6484" xr:uid="{00000000-0005-0000-0000-0000CE2D0000}"/>
    <cellStyle name="Normal 4 4 7 4 2 2" xfId="12845" xr:uid="{00000000-0005-0000-0000-0000CF2D0000}"/>
    <cellStyle name="Normal 4 4 7 4 3" xfId="9666" xr:uid="{00000000-0005-0000-0000-0000D02D0000}"/>
    <cellStyle name="Normal 4 4 7 5" xfId="4900" xr:uid="{00000000-0005-0000-0000-0000D12D0000}"/>
    <cellStyle name="Normal 4 4 7 5 2" xfId="11261" xr:uid="{00000000-0005-0000-0000-0000D22D0000}"/>
    <cellStyle name="Normal 4 4 7 6" xfId="8082" xr:uid="{00000000-0005-0000-0000-0000D32D0000}"/>
    <cellStyle name="Normal 4 4 8" xfId="1870" xr:uid="{00000000-0005-0000-0000-0000D42D0000}"/>
    <cellStyle name="Normal 4 4 8 2" xfId="2662" xr:uid="{00000000-0005-0000-0000-0000D52D0000}"/>
    <cellStyle name="Normal 4 4 8 2 2" xfId="4246" xr:uid="{00000000-0005-0000-0000-0000D62D0000}"/>
    <cellStyle name="Normal 4 4 8 2 2 2" xfId="7474" xr:uid="{00000000-0005-0000-0000-0000D72D0000}"/>
    <cellStyle name="Normal 4 4 8 2 2 2 2" xfId="13835" xr:uid="{00000000-0005-0000-0000-0000D82D0000}"/>
    <cellStyle name="Normal 4 4 8 2 2 3" xfId="10656" xr:uid="{00000000-0005-0000-0000-0000D92D0000}"/>
    <cellStyle name="Normal 4 4 8 2 3" xfId="5890" xr:uid="{00000000-0005-0000-0000-0000DA2D0000}"/>
    <cellStyle name="Normal 4 4 8 2 3 2" xfId="12251" xr:uid="{00000000-0005-0000-0000-0000DB2D0000}"/>
    <cellStyle name="Normal 4 4 8 2 4" xfId="9072" xr:uid="{00000000-0005-0000-0000-0000DC2D0000}"/>
    <cellStyle name="Normal 4 4 8 3" xfId="3454" xr:uid="{00000000-0005-0000-0000-0000DD2D0000}"/>
    <cellStyle name="Normal 4 4 8 3 2" xfId="6682" xr:uid="{00000000-0005-0000-0000-0000DE2D0000}"/>
    <cellStyle name="Normal 4 4 8 3 2 2" xfId="13043" xr:uid="{00000000-0005-0000-0000-0000DF2D0000}"/>
    <cellStyle name="Normal 4 4 8 3 3" xfId="9864" xr:uid="{00000000-0005-0000-0000-0000E02D0000}"/>
    <cellStyle name="Normal 4 4 8 4" xfId="5098" xr:uid="{00000000-0005-0000-0000-0000E12D0000}"/>
    <cellStyle name="Normal 4 4 8 4 2" xfId="11459" xr:uid="{00000000-0005-0000-0000-0000E22D0000}"/>
    <cellStyle name="Normal 4 4 8 5" xfId="8280" xr:uid="{00000000-0005-0000-0000-0000E32D0000}"/>
    <cellStyle name="Normal 4 4 9" xfId="2266" xr:uid="{00000000-0005-0000-0000-0000E42D0000}"/>
    <cellStyle name="Normal 4 4 9 2" xfId="3850" xr:uid="{00000000-0005-0000-0000-0000E52D0000}"/>
    <cellStyle name="Normal 4 4 9 2 2" xfId="7078" xr:uid="{00000000-0005-0000-0000-0000E62D0000}"/>
    <cellStyle name="Normal 4 4 9 2 2 2" xfId="13439" xr:uid="{00000000-0005-0000-0000-0000E72D0000}"/>
    <cellStyle name="Normal 4 4 9 2 3" xfId="10260" xr:uid="{00000000-0005-0000-0000-0000E82D0000}"/>
    <cellStyle name="Normal 4 4 9 3" xfId="5494" xr:uid="{00000000-0005-0000-0000-0000E92D0000}"/>
    <cellStyle name="Normal 4 4 9 3 2" xfId="11855" xr:uid="{00000000-0005-0000-0000-0000EA2D0000}"/>
    <cellStyle name="Normal 4 4 9 4" xfId="8676" xr:uid="{00000000-0005-0000-0000-0000EB2D0000}"/>
    <cellStyle name="Normal 4 5" xfId="1431" xr:uid="{00000000-0005-0000-0000-0000EC2D0000}"/>
    <cellStyle name="Normal 4 5 10" xfId="4706" xr:uid="{00000000-0005-0000-0000-0000ED2D0000}"/>
    <cellStyle name="Normal 4 5 10 2" xfId="11067" xr:uid="{00000000-0005-0000-0000-0000EE2D0000}"/>
    <cellStyle name="Normal 4 5 11" xfId="7888" xr:uid="{00000000-0005-0000-0000-0000EF2D0000}"/>
    <cellStyle name="Normal 4 5 2" xfId="1447" xr:uid="{00000000-0005-0000-0000-0000F02D0000}"/>
    <cellStyle name="Normal 4 5 2 10" xfId="7904" xr:uid="{00000000-0005-0000-0000-0000F12D0000}"/>
    <cellStyle name="Normal 4 5 2 2" xfId="1479" xr:uid="{00000000-0005-0000-0000-0000F22D0000}"/>
    <cellStyle name="Normal 4 5 2 2 2" xfId="1591" xr:uid="{00000000-0005-0000-0000-0000F32D0000}"/>
    <cellStyle name="Normal 4 5 2 2 2 2" xfId="1789" xr:uid="{00000000-0005-0000-0000-0000F42D0000}"/>
    <cellStyle name="Normal 4 5 2 2 2 2 2" xfId="2185" xr:uid="{00000000-0005-0000-0000-0000F52D0000}"/>
    <cellStyle name="Normal 4 5 2 2 2 2 2 2" xfId="2977" xr:uid="{00000000-0005-0000-0000-0000F62D0000}"/>
    <cellStyle name="Normal 4 5 2 2 2 2 2 2 2" xfId="4561" xr:uid="{00000000-0005-0000-0000-0000F72D0000}"/>
    <cellStyle name="Normal 4 5 2 2 2 2 2 2 2 2" xfId="7789" xr:uid="{00000000-0005-0000-0000-0000F82D0000}"/>
    <cellStyle name="Normal 4 5 2 2 2 2 2 2 2 2 2" xfId="14150" xr:uid="{00000000-0005-0000-0000-0000F92D0000}"/>
    <cellStyle name="Normal 4 5 2 2 2 2 2 2 2 3" xfId="10971" xr:uid="{00000000-0005-0000-0000-0000FA2D0000}"/>
    <cellStyle name="Normal 4 5 2 2 2 2 2 2 3" xfId="6205" xr:uid="{00000000-0005-0000-0000-0000FB2D0000}"/>
    <cellStyle name="Normal 4 5 2 2 2 2 2 2 3 2" xfId="12566" xr:uid="{00000000-0005-0000-0000-0000FC2D0000}"/>
    <cellStyle name="Normal 4 5 2 2 2 2 2 2 4" xfId="9387" xr:uid="{00000000-0005-0000-0000-0000FD2D0000}"/>
    <cellStyle name="Normal 4 5 2 2 2 2 2 3" xfId="3769" xr:uid="{00000000-0005-0000-0000-0000FE2D0000}"/>
    <cellStyle name="Normal 4 5 2 2 2 2 2 3 2" xfId="6997" xr:uid="{00000000-0005-0000-0000-0000FF2D0000}"/>
    <cellStyle name="Normal 4 5 2 2 2 2 2 3 2 2" xfId="13358" xr:uid="{00000000-0005-0000-0000-0000002E0000}"/>
    <cellStyle name="Normal 4 5 2 2 2 2 2 3 3" xfId="10179" xr:uid="{00000000-0005-0000-0000-0000012E0000}"/>
    <cellStyle name="Normal 4 5 2 2 2 2 2 4" xfId="5413" xr:uid="{00000000-0005-0000-0000-0000022E0000}"/>
    <cellStyle name="Normal 4 5 2 2 2 2 2 4 2" xfId="11774" xr:uid="{00000000-0005-0000-0000-0000032E0000}"/>
    <cellStyle name="Normal 4 5 2 2 2 2 2 5" xfId="8595" xr:uid="{00000000-0005-0000-0000-0000042E0000}"/>
    <cellStyle name="Normal 4 5 2 2 2 2 3" xfId="2581" xr:uid="{00000000-0005-0000-0000-0000052E0000}"/>
    <cellStyle name="Normal 4 5 2 2 2 2 3 2" xfId="4165" xr:uid="{00000000-0005-0000-0000-0000062E0000}"/>
    <cellStyle name="Normal 4 5 2 2 2 2 3 2 2" xfId="7393" xr:uid="{00000000-0005-0000-0000-0000072E0000}"/>
    <cellStyle name="Normal 4 5 2 2 2 2 3 2 2 2" xfId="13754" xr:uid="{00000000-0005-0000-0000-0000082E0000}"/>
    <cellStyle name="Normal 4 5 2 2 2 2 3 2 3" xfId="10575" xr:uid="{00000000-0005-0000-0000-0000092E0000}"/>
    <cellStyle name="Normal 4 5 2 2 2 2 3 3" xfId="5809" xr:uid="{00000000-0005-0000-0000-00000A2E0000}"/>
    <cellStyle name="Normal 4 5 2 2 2 2 3 3 2" xfId="12170" xr:uid="{00000000-0005-0000-0000-00000B2E0000}"/>
    <cellStyle name="Normal 4 5 2 2 2 2 3 4" xfId="8991" xr:uid="{00000000-0005-0000-0000-00000C2E0000}"/>
    <cellStyle name="Normal 4 5 2 2 2 2 4" xfId="3373" xr:uid="{00000000-0005-0000-0000-00000D2E0000}"/>
    <cellStyle name="Normal 4 5 2 2 2 2 4 2" xfId="6601" xr:uid="{00000000-0005-0000-0000-00000E2E0000}"/>
    <cellStyle name="Normal 4 5 2 2 2 2 4 2 2" xfId="12962" xr:uid="{00000000-0005-0000-0000-00000F2E0000}"/>
    <cellStyle name="Normal 4 5 2 2 2 2 4 3" xfId="9783" xr:uid="{00000000-0005-0000-0000-0000102E0000}"/>
    <cellStyle name="Normal 4 5 2 2 2 2 5" xfId="5017" xr:uid="{00000000-0005-0000-0000-0000112E0000}"/>
    <cellStyle name="Normal 4 5 2 2 2 2 5 2" xfId="11378" xr:uid="{00000000-0005-0000-0000-0000122E0000}"/>
    <cellStyle name="Normal 4 5 2 2 2 2 6" xfId="8199" xr:uid="{00000000-0005-0000-0000-0000132E0000}"/>
    <cellStyle name="Normal 4 5 2 2 2 3" xfId="1987" xr:uid="{00000000-0005-0000-0000-0000142E0000}"/>
    <cellStyle name="Normal 4 5 2 2 2 3 2" xfId="2779" xr:uid="{00000000-0005-0000-0000-0000152E0000}"/>
    <cellStyle name="Normal 4 5 2 2 2 3 2 2" xfId="4363" xr:uid="{00000000-0005-0000-0000-0000162E0000}"/>
    <cellStyle name="Normal 4 5 2 2 2 3 2 2 2" xfId="7591" xr:uid="{00000000-0005-0000-0000-0000172E0000}"/>
    <cellStyle name="Normal 4 5 2 2 2 3 2 2 2 2" xfId="13952" xr:uid="{00000000-0005-0000-0000-0000182E0000}"/>
    <cellStyle name="Normal 4 5 2 2 2 3 2 2 3" xfId="10773" xr:uid="{00000000-0005-0000-0000-0000192E0000}"/>
    <cellStyle name="Normal 4 5 2 2 2 3 2 3" xfId="6007" xr:uid="{00000000-0005-0000-0000-00001A2E0000}"/>
    <cellStyle name="Normal 4 5 2 2 2 3 2 3 2" xfId="12368" xr:uid="{00000000-0005-0000-0000-00001B2E0000}"/>
    <cellStyle name="Normal 4 5 2 2 2 3 2 4" xfId="9189" xr:uid="{00000000-0005-0000-0000-00001C2E0000}"/>
    <cellStyle name="Normal 4 5 2 2 2 3 3" xfId="3571" xr:uid="{00000000-0005-0000-0000-00001D2E0000}"/>
    <cellStyle name="Normal 4 5 2 2 2 3 3 2" xfId="6799" xr:uid="{00000000-0005-0000-0000-00001E2E0000}"/>
    <cellStyle name="Normal 4 5 2 2 2 3 3 2 2" xfId="13160" xr:uid="{00000000-0005-0000-0000-00001F2E0000}"/>
    <cellStyle name="Normal 4 5 2 2 2 3 3 3" xfId="9981" xr:uid="{00000000-0005-0000-0000-0000202E0000}"/>
    <cellStyle name="Normal 4 5 2 2 2 3 4" xfId="5215" xr:uid="{00000000-0005-0000-0000-0000212E0000}"/>
    <cellStyle name="Normal 4 5 2 2 2 3 4 2" xfId="11576" xr:uid="{00000000-0005-0000-0000-0000222E0000}"/>
    <cellStyle name="Normal 4 5 2 2 2 3 5" xfId="8397" xr:uid="{00000000-0005-0000-0000-0000232E0000}"/>
    <cellStyle name="Normal 4 5 2 2 2 4" xfId="2383" xr:uid="{00000000-0005-0000-0000-0000242E0000}"/>
    <cellStyle name="Normal 4 5 2 2 2 4 2" xfId="3967" xr:uid="{00000000-0005-0000-0000-0000252E0000}"/>
    <cellStyle name="Normal 4 5 2 2 2 4 2 2" xfId="7195" xr:uid="{00000000-0005-0000-0000-0000262E0000}"/>
    <cellStyle name="Normal 4 5 2 2 2 4 2 2 2" xfId="13556" xr:uid="{00000000-0005-0000-0000-0000272E0000}"/>
    <cellStyle name="Normal 4 5 2 2 2 4 2 3" xfId="10377" xr:uid="{00000000-0005-0000-0000-0000282E0000}"/>
    <cellStyle name="Normal 4 5 2 2 2 4 3" xfId="5611" xr:uid="{00000000-0005-0000-0000-0000292E0000}"/>
    <cellStyle name="Normal 4 5 2 2 2 4 3 2" xfId="11972" xr:uid="{00000000-0005-0000-0000-00002A2E0000}"/>
    <cellStyle name="Normal 4 5 2 2 2 4 4" xfId="8793" xr:uid="{00000000-0005-0000-0000-00002B2E0000}"/>
    <cellStyle name="Normal 4 5 2 2 2 5" xfId="3175" xr:uid="{00000000-0005-0000-0000-00002C2E0000}"/>
    <cellStyle name="Normal 4 5 2 2 2 5 2" xfId="6403" xr:uid="{00000000-0005-0000-0000-00002D2E0000}"/>
    <cellStyle name="Normal 4 5 2 2 2 5 2 2" xfId="12764" xr:uid="{00000000-0005-0000-0000-00002E2E0000}"/>
    <cellStyle name="Normal 4 5 2 2 2 5 3" xfId="9585" xr:uid="{00000000-0005-0000-0000-00002F2E0000}"/>
    <cellStyle name="Normal 4 5 2 2 2 6" xfId="4819" xr:uid="{00000000-0005-0000-0000-0000302E0000}"/>
    <cellStyle name="Normal 4 5 2 2 2 6 2" xfId="11180" xr:uid="{00000000-0005-0000-0000-0000312E0000}"/>
    <cellStyle name="Normal 4 5 2 2 2 7" xfId="8001" xr:uid="{00000000-0005-0000-0000-0000322E0000}"/>
    <cellStyle name="Normal 4 5 2 2 3" xfId="1659" xr:uid="{00000000-0005-0000-0000-0000332E0000}"/>
    <cellStyle name="Normal 4 5 2 2 3 2" xfId="1857" xr:uid="{00000000-0005-0000-0000-0000342E0000}"/>
    <cellStyle name="Normal 4 5 2 2 3 2 2" xfId="2253" xr:uid="{00000000-0005-0000-0000-0000352E0000}"/>
    <cellStyle name="Normal 4 5 2 2 3 2 2 2" xfId="3045" xr:uid="{00000000-0005-0000-0000-0000362E0000}"/>
    <cellStyle name="Normal 4 5 2 2 3 2 2 2 2" xfId="4629" xr:uid="{00000000-0005-0000-0000-0000372E0000}"/>
    <cellStyle name="Normal 4 5 2 2 3 2 2 2 2 2" xfId="7857" xr:uid="{00000000-0005-0000-0000-0000382E0000}"/>
    <cellStyle name="Normal 4 5 2 2 3 2 2 2 2 2 2" xfId="14218" xr:uid="{00000000-0005-0000-0000-0000392E0000}"/>
    <cellStyle name="Normal 4 5 2 2 3 2 2 2 2 3" xfId="11039" xr:uid="{00000000-0005-0000-0000-00003A2E0000}"/>
    <cellStyle name="Normal 4 5 2 2 3 2 2 2 3" xfId="6273" xr:uid="{00000000-0005-0000-0000-00003B2E0000}"/>
    <cellStyle name="Normal 4 5 2 2 3 2 2 2 3 2" xfId="12634" xr:uid="{00000000-0005-0000-0000-00003C2E0000}"/>
    <cellStyle name="Normal 4 5 2 2 3 2 2 2 4" xfId="9455" xr:uid="{00000000-0005-0000-0000-00003D2E0000}"/>
    <cellStyle name="Normal 4 5 2 2 3 2 2 3" xfId="3837" xr:uid="{00000000-0005-0000-0000-00003E2E0000}"/>
    <cellStyle name="Normal 4 5 2 2 3 2 2 3 2" xfId="7065" xr:uid="{00000000-0005-0000-0000-00003F2E0000}"/>
    <cellStyle name="Normal 4 5 2 2 3 2 2 3 2 2" xfId="13426" xr:uid="{00000000-0005-0000-0000-0000402E0000}"/>
    <cellStyle name="Normal 4 5 2 2 3 2 2 3 3" xfId="10247" xr:uid="{00000000-0005-0000-0000-0000412E0000}"/>
    <cellStyle name="Normal 4 5 2 2 3 2 2 4" xfId="5481" xr:uid="{00000000-0005-0000-0000-0000422E0000}"/>
    <cellStyle name="Normal 4 5 2 2 3 2 2 4 2" xfId="11842" xr:uid="{00000000-0005-0000-0000-0000432E0000}"/>
    <cellStyle name="Normal 4 5 2 2 3 2 2 5" xfId="8663" xr:uid="{00000000-0005-0000-0000-0000442E0000}"/>
    <cellStyle name="Normal 4 5 2 2 3 2 3" xfId="2649" xr:uid="{00000000-0005-0000-0000-0000452E0000}"/>
    <cellStyle name="Normal 4 5 2 2 3 2 3 2" xfId="4233" xr:uid="{00000000-0005-0000-0000-0000462E0000}"/>
    <cellStyle name="Normal 4 5 2 2 3 2 3 2 2" xfId="7461" xr:uid="{00000000-0005-0000-0000-0000472E0000}"/>
    <cellStyle name="Normal 4 5 2 2 3 2 3 2 2 2" xfId="13822" xr:uid="{00000000-0005-0000-0000-0000482E0000}"/>
    <cellStyle name="Normal 4 5 2 2 3 2 3 2 3" xfId="10643" xr:uid="{00000000-0005-0000-0000-0000492E0000}"/>
    <cellStyle name="Normal 4 5 2 2 3 2 3 3" xfId="5877" xr:uid="{00000000-0005-0000-0000-00004A2E0000}"/>
    <cellStyle name="Normal 4 5 2 2 3 2 3 3 2" xfId="12238" xr:uid="{00000000-0005-0000-0000-00004B2E0000}"/>
    <cellStyle name="Normal 4 5 2 2 3 2 3 4" xfId="9059" xr:uid="{00000000-0005-0000-0000-00004C2E0000}"/>
    <cellStyle name="Normal 4 5 2 2 3 2 4" xfId="3441" xr:uid="{00000000-0005-0000-0000-00004D2E0000}"/>
    <cellStyle name="Normal 4 5 2 2 3 2 4 2" xfId="6669" xr:uid="{00000000-0005-0000-0000-00004E2E0000}"/>
    <cellStyle name="Normal 4 5 2 2 3 2 4 2 2" xfId="13030" xr:uid="{00000000-0005-0000-0000-00004F2E0000}"/>
    <cellStyle name="Normal 4 5 2 2 3 2 4 3" xfId="9851" xr:uid="{00000000-0005-0000-0000-0000502E0000}"/>
    <cellStyle name="Normal 4 5 2 2 3 2 5" xfId="5085" xr:uid="{00000000-0005-0000-0000-0000512E0000}"/>
    <cellStyle name="Normal 4 5 2 2 3 2 5 2" xfId="11446" xr:uid="{00000000-0005-0000-0000-0000522E0000}"/>
    <cellStyle name="Normal 4 5 2 2 3 2 6" xfId="8267" xr:uid="{00000000-0005-0000-0000-0000532E0000}"/>
    <cellStyle name="Normal 4 5 2 2 3 3" xfId="2055" xr:uid="{00000000-0005-0000-0000-0000542E0000}"/>
    <cellStyle name="Normal 4 5 2 2 3 3 2" xfId="2847" xr:uid="{00000000-0005-0000-0000-0000552E0000}"/>
    <cellStyle name="Normal 4 5 2 2 3 3 2 2" xfId="4431" xr:uid="{00000000-0005-0000-0000-0000562E0000}"/>
    <cellStyle name="Normal 4 5 2 2 3 3 2 2 2" xfId="7659" xr:uid="{00000000-0005-0000-0000-0000572E0000}"/>
    <cellStyle name="Normal 4 5 2 2 3 3 2 2 2 2" xfId="14020" xr:uid="{00000000-0005-0000-0000-0000582E0000}"/>
    <cellStyle name="Normal 4 5 2 2 3 3 2 2 3" xfId="10841" xr:uid="{00000000-0005-0000-0000-0000592E0000}"/>
    <cellStyle name="Normal 4 5 2 2 3 3 2 3" xfId="6075" xr:uid="{00000000-0005-0000-0000-00005A2E0000}"/>
    <cellStyle name="Normal 4 5 2 2 3 3 2 3 2" xfId="12436" xr:uid="{00000000-0005-0000-0000-00005B2E0000}"/>
    <cellStyle name="Normal 4 5 2 2 3 3 2 4" xfId="9257" xr:uid="{00000000-0005-0000-0000-00005C2E0000}"/>
    <cellStyle name="Normal 4 5 2 2 3 3 3" xfId="3639" xr:uid="{00000000-0005-0000-0000-00005D2E0000}"/>
    <cellStyle name="Normal 4 5 2 2 3 3 3 2" xfId="6867" xr:uid="{00000000-0005-0000-0000-00005E2E0000}"/>
    <cellStyle name="Normal 4 5 2 2 3 3 3 2 2" xfId="13228" xr:uid="{00000000-0005-0000-0000-00005F2E0000}"/>
    <cellStyle name="Normal 4 5 2 2 3 3 3 3" xfId="10049" xr:uid="{00000000-0005-0000-0000-0000602E0000}"/>
    <cellStyle name="Normal 4 5 2 2 3 3 4" xfId="5283" xr:uid="{00000000-0005-0000-0000-0000612E0000}"/>
    <cellStyle name="Normal 4 5 2 2 3 3 4 2" xfId="11644" xr:uid="{00000000-0005-0000-0000-0000622E0000}"/>
    <cellStyle name="Normal 4 5 2 2 3 3 5" xfId="8465" xr:uid="{00000000-0005-0000-0000-0000632E0000}"/>
    <cellStyle name="Normal 4 5 2 2 3 4" xfId="2451" xr:uid="{00000000-0005-0000-0000-0000642E0000}"/>
    <cellStyle name="Normal 4 5 2 2 3 4 2" xfId="4035" xr:uid="{00000000-0005-0000-0000-0000652E0000}"/>
    <cellStyle name="Normal 4 5 2 2 3 4 2 2" xfId="7263" xr:uid="{00000000-0005-0000-0000-0000662E0000}"/>
    <cellStyle name="Normal 4 5 2 2 3 4 2 2 2" xfId="13624" xr:uid="{00000000-0005-0000-0000-0000672E0000}"/>
    <cellStyle name="Normal 4 5 2 2 3 4 2 3" xfId="10445" xr:uid="{00000000-0005-0000-0000-0000682E0000}"/>
    <cellStyle name="Normal 4 5 2 2 3 4 3" xfId="5679" xr:uid="{00000000-0005-0000-0000-0000692E0000}"/>
    <cellStyle name="Normal 4 5 2 2 3 4 3 2" xfId="12040" xr:uid="{00000000-0005-0000-0000-00006A2E0000}"/>
    <cellStyle name="Normal 4 5 2 2 3 4 4" xfId="8861" xr:uid="{00000000-0005-0000-0000-00006B2E0000}"/>
    <cellStyle name="Normal 4 5 2 2 3 5" xfId="3243" xr:uid="{00000000-0005-0000-0000-00006C2E0000}"/>
    <cellStyle name="Normal 4 5 2 2 3 5 2" xfId="6471" xr:uid="{00000000-0005-0000-0000-00006D2E0000}"/>
    <cellStyle name="Normal 4 5 2 2 3 5 2 2" xfId="12832" xr:uid="{00000000-0005-0000-0000-00006E2E0000}"/>
    <cellStyle name="Normal 4 5 2 2 3 5 3" xfId="9653" xr:uid="{00000000-0005-0000-0000-00006F2E0000}"/>
    <cellStyle name="Normal 4 5 2 2 3 6" xfId="4887" xr:uid="{00000000-0005-0000-0000-0000702E0000}"/>
    <cellStyle name="Normal 4 5 2 2 3 6 2" xfId="11248" xr:uid="{00000000-0005-0000-0000-0000712E0000}"/>
    <cellStyle name="Normal 4 5 2 2 3 7" xfId="8069" xr:uid="{00000000-0005-0000-0000-0000722E0000}"/>
    <cellStyle name="Normal 4 5 2 2 4" xfId="1724" xr:uid="{00000000-0005-0000-0000-0000732E0000}"/>
    <cellStyle name="Normal 4 5 2 2 4 2" xfId="2120" xr:uid="{00000000-0005-0000-0000-0000742E0000}"/>
    <cellStyle name="Normal 4 5 2 2 4 2 2" xfId="2912" xr:uid="{00000000-0005-0000-0000-0000752E0000}"/>
    <cellStyle name="Normal 4 5 2 2 4 2 2 2" xfId="4496" xr:uid="{00000000-0005-0000-0000-0000762E0000}"/>
    <cellStyle name="Normal 4 5 2 2 4 2 2 2 2" xfId="7724" xr:uid="{00000000-0005-0000-0000-0000772E0000}"/>
    <cellStyle name="Normal 4 5 2 2 4 2 2 2 2 2" xfId="14085" xr:uid="{00000000-0005-0000-0000-0000782E0000}"/>
    <cellStyle name="Normal 4 5 2 2 4 2 2 2 3" xfId="10906" xr:uid="{00000000-0005-0000-0000-0000792E0000}"/>
    <cellStyle name="Normal 4 5 2 2 4 2 2 3" xfId="6140" xr:uid="{00000000-0005-0000-0000-00007A2E0000}"/>
    <cellStyle name="Normal 4 5 2 2 4 2 2 3 2" xfId="12501" xr:uid="{00000000-0005-0000-0000-00007B2E0000}"/>
    <cellStyle name="Normal 4 5 2 2 4 2 2 4" xfId="9322" xr:uid="{00000000-0005-0000-0000-00007C2E0000}"/>
    <cellStyle name="Normal 4 5 2 2 4 2 3" xfId="3704" xr:uid="{00000000-0005-0000-0000-00007D2E0000}"/>
    <cellStyle name="Normal 4 5 2 2 4 2 3 2" xfId="6932" xr:uid="{00000000-0005-0000-0000-00007E2E0000}"/>
    <cellStyle name="Normal 4 5 2 2 4 2 3 2 2" xfId="13293" xr:uid="{00000000-0005-0000-0000-00007F2E0000}"/>
    <cellStyle name="Normal 4 5 2 2 4 2 3 3" xfId="10114" xr:uid="{00000000-0005-0000-0000-0000802E0000}"/>
    <cellStyle name="Normal 4 5 2 2 4 2 4" xfId="5348" xr:uid="{00000000-0005-0000-0000-0000812E0000}"/>
    <cellStyle name="Normal 4 5 2 2 4 2 4 2" xfId="11709" xr:uid="{00000000-0005-0000-0000-0000822E0000}"/>
    <cellStyle name="Normal 4 5 2 2 4 2 5" xfId="8530" xr:uid="{00000000-0005-0000-0000-0000832E0000}"/>
    <cellStyle name="Normal 4 5 2 2 4 3" xfId="2516" xr:uid="{00000000-0005-0000-0000-0000842E0000}"/>
    <cellStyle name="Normal 4 5 2 2 4 3 2" xfId="4100" xr:uid="{00000000-0005-0000-0000-0000852E0000}"/>
    <cellStyle name="Normal 4 5 2 2 4 3 2 2" xfId="7328" xr:uid="{00000000-0005-0000-0000-0000862E0000}"/>
    <cellStyle name="Normal 4 5 2 2 4 3 2 2 2" xfId="13689" xr:uid="{00000000-0005-0000-0000-0000872E0000}"/>
    <cellStyle name="Normal 4 5 2 2 4 3 2 3" xfId="10510" xr:uid="{00000000-0005-0000-0000-0000882E0000}"/>
    <cellStyle name="Normal 4 5 2 2 4 3 3" xfId="5744" xr:uid="{00000000-0005-0000-0000-0000892E0000}"/>
    <cellStyle name="Normal 4 5 2 2 4 3 3 2" xfId="12105" xr:uid="{00000000-0005-0000-0000-00008A2E0000}"/>
    <cellStyle name="Normal 4 5 2 2 4 3 4" xfId="8926" xr:uid="{00000000-0005-0000-0000-00008B2E0000}"/>
    <cellStyle name="Normal 4 5 2 2 4 4" xfId="3308" xr:uid="{00000000-0005-0000-0000-00008C2E0000}"/>
    <cellStyle name="Normal 4 5 2 2 4 4 2" xfId="6536" xr:uid="{00000000-0005-0000-0000-00008D2E0000}"/>
    <cellStyle name="Normal 4 5 2 2 4 4 2 2" xfId="12897" xr:uid="{00000000-0005-0000-0000-00008E2E0000}"/>
    <cellStyle name="Normal 4 5 2 2 4 4 3" xfId="9718" xr:uid="{00000000-0005-0000-0000-00008F2E0000}"/>
    <cellStyle name="Normal 4 5 2 2 4 5" xfId="4952" xr:uid="{00000000-0005-0000-0000-0000902E0000}"/>
    <cellStyle name="Normal 4 5 2 2 4 5 2" xfId="11313" xr:uid="{00000000-0005-0000-0000-0000912E0000}"/>
    <cellStyle name="Normal 4 5 2 2 4 6" xfId="8134" xr:uid="{00000000-0005-0000-0000-0000922E0000}"/>
    <cellStyle name="Normal 4 5 2 2 5" xfId="1922" xr:uid="{00000000-0005-0000-0000-0000932E0000}"/>
    <cellStyle name="Normal 4 5 2 2 5 2" xfId="2714" xr:uid="{00000000-0005-0000-0000-0000942E0000}"/>
    <cellStyle name="Normal 4 5 2 2 5 2 2" xfId="4298" xr:uid="{00000000-0005-0000-0000-0000952E0000}"/>
    <cellStyle name="Normal 4 5 2 2 5 2 2 2" xfId="7526" xr:uid="{00000000-0005-0000-0000-0000962E0000}"/>
    <cellStyle name="Normal 4 5 2 2 5 2 2 2 2" xfId="13887" xr:uid="{00000000-0005-0000-0000-0000972E0000}"/>
    <cellStyle name="Normal 4 5 2 2 5 2 2 3" xfId="10708" xr:uid="{00000000-0005-0000-0000-0000982E0000}"/>
    <cellStyle name="Normal 4 5 2 2 5 2 3" xfId="5942" xr:uid="{00000000-0005-0000-0000-0000992E0000}"/>
    <cellStyle name="Normal 4 5 2 2 5 2 3 2" xfId="12303" xr:uid="{00000000-0005-0000-0000-00009A2E0000}"/>
    <cellStyle name="Normal 4 5 2 2 5 2 4" xfId="9124" xr:uid="{00000000-0005-0000-0000-00009B2E0000}"/>
    <cellStyle name="Normal 4 5 2 2 5 3" xfId="3506" xr:uid="{00000000-0005-0000-0000-00009C2E0000}"/>
    <cellStyle name="Normal 4 5 2 2 5 3 2" xfId="6734" xr:uid="{00000000-0005-0000-0000-00009D2E0000}"/>
    <cellStyle name="Normal 4 5 2 2 5 3 2 2" xfId="13095" xr:uid="{00000000-0005-0000-0000-00009E2E0000}"/>
    <cellStyle name="Normal 4 5 2 2 5 3 3" xfId="9916" xr:uid="{00000000-0005-0000-0000-00009F2E0000}"/>
    <cellStyle name="Normal 4 5 2 2 5 4" xfId="5150" xr:uid="{00000000-0005-0000-0000-0000A02E0000}"/>
    <cellStyle name="Normal 4 5 2 2 5 4 2" xfId="11511" xr:uid="{00000000-0005-0000-0000-0000A12E0000}"/>
    <cellStyle name="Normal 4 5 2 2 5 5" xfId="8332" xr:uid="{00000000-0005-0000-0000-0000A22E0000}"/>
    <cellStyle name="Normal 4 5 2 2 6" xfId="2318" xr:uid="{00000000-0005-0000-0000-0000A32E0000}"/>
    <cellStyle name="Normal 4 5 2 2 6 2" xfId="3902" xr:uid="{00000000-0005-0000-0000-0000A42E0000}"/>
    <cellStyle name="Normal 4 5 2 2 6 2 2" xfId="7130" xr:uid="{00000000-0005-0000-0000-0000A52E0000}"/>
    <cellStyle name="Normal 4 5 2 2 6 2 2 2" xfId="13491" xr:uid="{00000000-0005-0000-0000-0000A62E0000}"/>
    <cellStyle name="Normal 4 5 2 2 6 2 3" xfId="10312" xr:uid="{00000000-0005-0000-0000-0000A72E0000}"/>
    <cellStyle name="Normal 4 5 2 2 6 3" xfId="5546" xr:uid="{00000000-0005-0000-0000-0000A82E0000}"/>
    <cellStyle name="Normal 4 5 2 2 6 3 2" xfId="11907" xr:uid="{00000000-0005-0000-0000-0000A92E0000}"/>
    <cellStyle name="Normal 4 5 2 2 6 4" xfId="8728" xr:uid="{00000000-0005-0000-0000-0000AA2E0000}"/>
    <cellStyle name="Normal 4 5 2 2 7" xfId="3110" xr:uid="{00000000-0005-0000-0000-0000AB2E0000}"/>
    <cellStyle name="Normal 4 5 2 2 7 2" xfId="6338" xr:uid="{00000000-0005-0000-0000-0000AC2E0000}"/>
    <cellStyle name="Normal 4 5 2 2 7 2 2" xfId="12699" xr:uid="{00000000-0005-0000-0000-0000AD2E0000}"/>
    <cellStyle name="Normal 4 5 2 2 7 3" xfId="9520" xr:uid="{00000000-0005-0000-0000-0000AE2E0000}"/>
    <cellStyle name="Normal 4 5 2 2 8" xfId="4754" xr:uid="{00000000-0005-0000-0000-0000AF2E0000}"/>
    <cellStyle name="Normal 4 5 2 2 8 2" xfId="11115" xr:uid="{00000000-0005-0000-0000-0000B02E0000}"/>
    <cellStyle name="Normal 4 5 2 2 9" xfId="7936" xr:uid="{00000000-0005-0000-0000-0000B12E0000}"/>
    <cellStyle name="Normal 4 5 2 3" xfId="1559" xr:uid="{00000000-0005-0000-0000-0000B22E0000}"/>
    <cellStyle name="Normal 4 5 2 3 2" xfId="1757" xr:uid="{00000000-0005-0000-0000-0000B32E0000}"/>
    <cellStyle name="Normal 4 5 2 3 2 2" xfId="2153" xr:uid="{00000000-0005-0000-0000-0000B42E0000}"/>
    <cellStyle name="Normal 4 5 2 3 2 2 2" xfId="2945" xr:uid="{00000000-0005-0000-0000-0000B52E0000}"/>
    <cellStyle name="Normal 4 5 2 3 2 2 2 2" xfId="4529" xr:uid="{00000000-0005-0000-0000-0000B62E0000}"/>
    <cellStyle name="Normal 4 5 2 3 2 2 2 2 2" xfId="7757" xr:uid="{00000000-0005-0000-0000-0000B72E0000}"/>
    <cellStyle name="Normal 4 5 2 3 2 2 2 2 2 2" xfId="14118" xr:uid="{00000000-0005-0000-0000-0000B82E0000}"/>
    <cellStyle name="Normal 4 5 2 3 2 2 2 2 3" xfId="10939" xr:uid="{00000000-0005-0000-0000-0000B92E0000}"/>
    <cellStyle name="Normal 4 5 2 3 2 2 2 3" xfId="6173" xr:uid="{00000000-0005-0000-0000-0000BA2E0000}"/>
    <cellStyle name="Normal 4 5 2 3 2 2 2 3 2" xfId="12534" xr:uid="{00000000-0005-0000-0000-0000BB2E0000}"/>
    <cellStyle name="Normal 4 5 2 3 2 2 2 4" xfId="9355" xr:uid="{00000000-0005-0000-0000-0000BC2E0000}"/>
    <cellStyle name="Normal 4 5 2 3 2 2 3" xfId="3737" xr:uid="{00000000-0005-0000-0000-0000BD2E0000}"/>
    <cellStyle name="Normal 4 5 2 3 2 2 3 2" xfId="6965" xr:uid="{00000000-0005-0000-0000-0000BE2E0000}"/>
    <cellStyle name="Normal 4 5 2 3 2 2 3 2 2" xfId="13326" xr:uid="{00000000-0005-0000-0000-0000BF2E0000}"/>
    <cellStyle name="Normal 4 5 2 3 2 2 3 3" xfId="10147" xr:uid="{00000000-0005-0000-0000-0000C02E0000}"/>
    <cellStyle name="Normal 4 5 2 3 2 2 4" xfId="5381" xr:uid="{00000000-0005-0000-0000-0000C12E0000}"/>
    <cellStyle name="Normal 4 5 2 3 2 2 4 2" xfId="11742" xr:uid="{00000000-0005-0000-0000-0000C22E0000}"/>
    <cellStyle name="Normal 4 5 2 3 2 2 5" xfId="8563" xr:uid="{00000000-0005-0000-0000-0000C32E0000}"/>
    <cellStyle name="Normal 4 5 2 3 2 3" xfId="2549" xr:uid="{00000000-0005-0000-0000-0000C42E0000}"/>
    <cellStyle name="Normal 4 5 2 3 2 3 2" xfId="4133" xr:uid="{00000000-0005-0000-0000-0000C52E0000}"/>
    <cellStyle name="Normal 4 5 2 3 2 3 2 2" xfId="7361" xr:uid="{00000000-0005-0000-0000-0000C62E0000}"/>
    <cellStyle name="Normal 4 5 2 3 2 3 2 2 2" xfId="13722" xr:uid="{00000000-0005-0000-0000-0000C72E0000}"/>
    <cellStyle name="Normal 4 5 2 3 2 3 2 3" xfId="10543" xr:uid="{00000000-0005-0000-0000-0000C82E0000}"/>
    <cellStyle name="Normal 4 5 2 3 2 3 3" xfId="5777" xr:uid="{00000000-0005-0000-0000-0000C92E0000}"/>
    <cellStyle name="Normal 4 5 2 3 2 3 3 2" xfId="12138" xr:uid="{00000000-0005-0000-0000-0000CA2E0000}"/>
    <cellStyle name="Normal 4 5 2 3 2 3 4" xfId="8959" xr:uid="{00000000-0005-0000-0000-0000CB2E0000}"/>
    <cellStyle name="Normal 4 5 2 3 2 4" xfId="3341" xr:uid="{00000000-0005-0000-0000-0000CC2E0000}"/>
    <cellStyle name="Normal 4 5 2 3 2 4 2" xfId="6569" xr:uid="{00000000-0005-0000-0000-0000CD2E0000}"/>
    <cellStyle name="Normal 4 5 2 3 2 4 2 2" xfId="12930" xr:uid="{00000000-0005-0000-0000-0000CE2E0000}"/>
    <cellStyle name="Normal 4 5 2 3 2 4 3" xfId="9751" xr:uid="{00000000-0005-0000-0000-0000CF2E0000}"/>
    <cellStyle name="Normal 4 5 2 3 2 5" xfId="4985" xr:uid="{00000000-0005-0000-0000-0000D02E0000}"/>
    <cellStyle name="Normal 4 5 2 3 2 5 2" xfId="11346" xr:uid="{00000000-0005-0000-0000-0000D12E0000}"/>
    <cellStyle name="Normal 4 5 2 3 2 6" xfId="8167" xr:uid="{00000000-0005-0000-0000-0000D22E0000}"/>
    <cellStyle name="Normal 4 5 2 3 3" xfId="1955" xr:uid="{00000000-0005-0000-0000-0000D32E0000}"/>
    <cellStyle name="Normal 4 5 2 3 3 2" xfId="2747" xr:uid="{00000000-0005-0000-0000-0000D42E0000}"/>
    <cellStyle name="Normal 4 5 2 3 3 2 2" xfId="4331" xr:uid="{00000000-0005-0000-0000-0000D52E0000}"/>
    <cellStyle name="Normal 4 5 2 3 3 2 2 2" xfId="7559" xr:uid="{00000000-0005-0000-0000-0000D62E0000}"/>
    <cellStyle name="Normal 4 5 2 3 3 2 2 2 2" xfId="13920" xr:uid="{00000000-0005-0000-0000-0000D72E0000}"/>
    <cellStyle name="Normal 4 5 2 3 3 2 2 3" xfId="10741" xr:uid="{00000000-0005-0000-0000-0000D82E0000}"/>
    <cellStyle name="Normal 4 5 2 3 3 2 3" xfId="5975" xr:uid="{00000000-0005-0000-0000-0000D92E0000}"/>
    <cellStyle name="Normal 4 5 2 3 3 2 3 2" xfId="12336" xr:uid="{00000000-0005-0000-0000-0000DA2E0000}"/>
    <cellStyle name="Normal 4 5 2 3 3 2 4" xfId="9157" xr:uid="{00000000-0005-0000-0000-0000DB2E0000}"/>
    <cellStyle name="Normal 4 5 2 3 3 3" xfId="3539" xr:uid="{00000000-0005-0000-0000-0000DC2E0000}"/>
    <cellStyle name="Normal 4 5 2 3 3 3 2" xfId="6767" xr:uid="{00000000-0005-0000-0000-0000DD2E0000}"/>
    <cellStyle name="Normal 4 5 2 3 3 3 2 2" xfId="13128" xr:uid="{00000000-0005-0000-0000-0000DE2E0000}"/>
    <cellStyle name="Normal 4 5 2 3 3 3 3" xfId="9949" xr:uid="{00000000-0005-0000-0000-0000DF2E0000}"/>
    <cellStyle name="Normal 4 5 2 3 3 4" xfId="5183" xr:uid="{00000000-0005-0000-0000-0000E02E0000}"/>
    <cellStyle name="Normal 4 5 2 3 3 4 2" xfId="11544" xr:uid="{00000000-0005-0000-0000-0000E12E0000}"/>
    <cellStyle name="Normal 4 5 2 3 3 5" xfId="8365" xr:uid="{00000000-0005-0000-0000-0000E22E0000}"/>
    <cellStyle name="Normal 4 5 2 3 4" xfId="2351" xr:uid="{00000000-0005-0000-0000-0000E32E0000}"/>
    <cellStyle name="Normal 4 5 2 3 4 2" xfId="3935" xr:uid="{00000000-0005-0000-0000-0000E42E0000}"/>
    <cellStyle name="Normal 4 5 2 3 4 2 2" xfId="7163" xr:uid="{00000000-0005-0000-0000-0000E52E0000}"/>
    <cellStyle name="Normal 4 5 2 3 4 2 2 2" xfId="13524" xr:uid="{00000000-0005-0000-0000-0000E62E0000}"/>
    <cellStyle name="Normal 4 5 2 3 4 2 3" xfId="10345" xr:uid="{00000000-0005-0000-0000-0000E72E0000}"/>
    <cellStyle name="Normal 4 5 2 3 4 3" xfId="5579" xr:uid="{00000000-0005-0000-0000-0000E82E0000}"/>
    <cellStyle name="Normal 4 5 2 3 4 3 2" xfId="11940" xr:uid="{00000000-0005-0000-0000-0000E92E0000}"/>
    <cellStyle name="Normal 4 5 2 3 4 4" xfId="8761" xr:uid="{00000000-0005-0000-0000-0000EA2E0000}"/>
    <cellStyle name="Normal 4 5 2 3 5" xfId="3143" xr:uid="{00000000-0005-0000-0000-0000EB2E0000}"/>
    <cellStyle name="Normal 4 5 2 3 5 2" xfId="6371" xr:uid="{00000000-0005-0000-0000-0000EC2E0000}"/>
    <cellStyle name="Normal 4 5 2 3 5 2 2" xfId="12732" xr:uid="{00000000-0005-0000-0000-0000ED2E0000}"/>
    <cellStyle name="Normal 4 5 2 3 5 3" xfId="9553" xr:uid="{00000000-0005-0000-0000-0000EE2E0000}"/>
    <cellStyle name="Normal 4 5 2 3 6" xfId="4787" xr:uid="{00000000-0005-0000-0000-0000EF2E0000}"/>
    <cellStyle name="Normal 4 5 2 3 6 2" xfId="11148" xr:uid="{00000000-0005-0000-0000-0000F02E0000}"/>
    <cellStyle name="Normal 4 5 2 3 7" xfId="7969" xr:uid="{00000000-0005-0000-0000-0000F12E0000}"/>
    <cellStyle name="Normal 4 5 2 4" xfId="1627" xr:uid="{00000000-0005-0000-0000-0000F22E0000}"/>
    <cellStyle name="Normal 4 5 2 4 2" xfId="1825" xr:uid="{00000000-0005-0000-0000-0000F32E0000}"/>
    <cellStyle name="Normal 4 5 2 4 2 2" xfId="2221" xr:uid="{00000000-0005-0000-0000-0000F42E0000}"/>
    <cellStyle name="Normal 4 5 2 4 2 2 2" xfId="3013" xr:uid="{00000000-0005-0000-0000-0000F52E0000}"/>
    <cellStyle name="Normal 4 5 2 4 2 2 2 2" xfId="4597" xr:uid="{00000000-0005-0000-0000-0000F62E0000}"/>
    <cellStyle name="Normal 4 5 2 4 2 2 2 2 2" xfId="7825" xr:uid="{00000000-0005-0000-0000-0000F72E0000}"/>
    <cellStyle name="Normal 4 5 2 4 2 2 2 2 2 2" xfId="14186" xr:uid="{00000000-0005-0000-0000-0000F82E0000}"/>
    <cellStyle name="Normal 4 5 2 4 2 2 2 2 3" xfId="11007" xr:uid="{00000000-0005-0000-0000-0000F92E0000}"/>
    <cellStyle name="Normal 4 5 2 4 2 2 2 3" xfId="6241" xr:uid="{00000000-0005-0000-0000-0000FA2E0000}"/>
    <cellStyle name="Normal 4 5 2 4 2 2 2 3 2" xfId="12602" xr:uid="{00000000-0005-0000-0000-0000FB2E0000}"/>
    <cellStyle name="Normal 4 5 2 4 2 2 2 4" xfId="9423" xr:uid="{00000000-0005-0000-0000-0000FC2E0000}"/>
    <cellStyle name="Normal 4 5 2 4 2 2 3" xfId="3805" xr:uid="{00000000-0005-0000-0000-0000FD2E0000}"/>
    <cellStyle name="Normal 4 5 2 4 2 2 3 2" xfId="7033" xr:uid="{00000000-0005-0000-0000-0000FE2E0000}"/>
    <cellStyle name="Normal 4 5 2 4 2 2 3 2 2" xfId="13394" xr:uid="{00000000-0005-0000-0000-0000FF2E0000}"/>
    <cellStyle name="Normal 4 5 2 4 2 2 3 3" xfId="10215" xr:uid="{00000000-0005-0000-0000-0000002F0000}"/>
    <cellStyle name="Normal 4 5 2 4 2 2 4" xfId="5449" xr:uid="{00000000-0005-0000-0000-0000012F0000}"/>
    <cellStyle name="Normal 4 5 2 4 2 2 4 2" xfId="11810" xr:uid="{00000000-0005-0000-0000-0000022F0000}"/>
    <cellStyle name="Normal 4 5 2 4 2 2 5" xfId="8631" xr:uid="{00000000-0005-0000-0000-0000032F0000}"/>
    <cellStyle name="Normal 4 5 2 4 2 3" xfId="2617" xr:uid="{00000000-0005-0000-0000-0000042F0000}"/>
    <cellStyle name="Normal 4 5 2 4 2 3 2" xfId="4201" xr:uid="{00000000-0005-0000-0000-0000052F0000}"/>
    <cellStyle name="Normal 4 5 2 4 2 3 2 2" xfId="7429" xr:uid="{00000000-0005-0000-0000-0000062F0000}"/>
    <cellStyle name="Normal 4 5 2 4 2 3 2 2 2" xfId="13790" xr:uid="{00000000-0005-0000-0000-0000072F0000}"/>
    <cellStyle name="Normal 4 5 2 4 2 3 2 3" xfId="10611" xr:uid="{00000000-0005-0000-0000-0000082F0000}"/>
    <cellStyle name="Normal 4 5 2 4 2 3 3" xfId="5845" xr:uid="{00000000-0005-0000-0000-0000092F0000}"/>
    <cellStyle name="Normal 4 5 2 4 2 3 3 2" xfId="12206" xr:uid="{00000000-0005-0000-0000-00000A2F0000}"/>
    <cellStyle name="Normal 4 5 2 4 2 3 4" xfId="9027" xr:uid="{00000000-0005-0000-0000-00000B2F0000}"/>
    <cellStyle name="Normal 4 5 2 4 2 4" xfId="3409" xr:uid="{00000000-0005-0000-0000-00000C2F0000}"/>
    <cellStyle name="Normal 4 5 2 4 2 4 2" xfId="6637" xr:uid="{00000000-0005-0000-0000-00000D2F0000}"/>
    <cellStyle name="Normal 4 5 2 4 2 4 2 2" xfId="12998" xr:uid="{00000000-0005-0000-0000-00000E2F0000}"/>
    <cellStyle name="Normal 4 5 2 4 2 4 3" xfId="9819" xr:uid="{00000000-0005-0000-0000-00000F2F0000}"/>
    <cellStyle name="Normal 4 5 2 4 2 5" xfId="5053" xr:uid="{00000000-0005-0000-0000-0000102F0000}"/>
    <cellStyle name="Normal 4 5 2 4 2 5 2" xfId="11414" xr:uid="{00000000-0005-0000-0000-0000112F0000}"/>
    <cellStyle name="Normal 4 5 2 4 2 6" xfId="8235" xr:uid="{00000000-0005-0000-0000-0000122F0000}"/>
    <cellStyle name="Normal 4 5 2 4 3" xfId="2023" xr:uid="{00000000-0005-0000-0000-0000132F0000}"/>
    <cellStyle name="Normal 4 5 2 4 3 2" xfId="2815" xr:uid="{00000000-0005-0000-0000-0000142F0000}"/>
    <cellStyle name="Normal 4 5 2 4 3 2 2" xfId="4399" xr:uid="{00000000-0005-0000-0000-0000152F0000}"/>
    <cellStyle name="Normal 4 5 2 4 3 2 2 2" xfId="7627" xr:uid="{00000000-0005-0000-0000-0000162F0000}"/>
    <cellStyle name="Normal 4 5 2 4 3 2 2 2 2" xfId="13988" xr:uid="{00000000-0005-0000-0000-0000172F0000}"/>
    <cellStyle name="Normal 4 5 2 4 3 2 2 3" xfId="10809" xr:uid="{00000000-0005-0000-0000-0000182F0000}"/>
    <cellStyle name="Normal 4 5 2 4 3 2 3" xfId="6043" xr:uid="{00000000-0005-0000-0000-0000192F0000}"/>
    <cellStyle name="Normal 4 5 2 4 3 2 3 2" xfId="12404" xr:uid="{00000000-0005-0000-0000-00001A2F0000}"/>
    <cellStyle name="Normal 4 5 2 4 3 2 4" xfId="9225" xr:uid="{00000000-0005-0000-0000-00001B2F0000}"/>
    <cellStyle name="Normal 4 5 2 4 3 3" xfId="3607" xr:uid="{00000000-0005-0000-0000-00001C2F0000}"/>
    <cellStyle name="Normal 4 5 2 4 3 3 2" xfId="6835" xr:uid="{00000000-0005-0000-0000-00001D2F0000}"/>
    <cellStyle name="Normal 4 5 2 4 3 3 2 2" xfId="13196" xr:uid="{00000000-0005-0000-0000-00001E2F0000}"/>
    <cellStyle name="Normal 4 5 2 4 3 3 3" xfId="10017" xr:uid="{00000000-0005-0000-0000-00001F2F0000}"/>
    <cellStyle name="Normal 4 5 2 4 3 4" xfId="5251" xr:uid="{00000000-0005-0000-0000-0000202F0000}"/>
    <cellStyle name="Normal 4 5 2 4 3 4 2" xfId="11612" xr:uid="{00000000-0005-0000-0000-0000212F0000}"/>
    <cellStyle name="Normal 4 5 2 4 3 5" xfId="8433" xr:uid="{00000000-0005-0000-0000-0000222F0000}"/>
    <cellStyle name="Normal 4 5 2 4 4" xfId="2419" xr:uid="{00000000-0005-0000-0000-0000232F0000}"/>
    <cellStyle name="Normal 4 5 2 4 4 2" xfId="4003" xr:uid="{00000000-0005-0000-0000-0000242F0000}"/>
    <cellStyle name="Normal 4 5 2 4 4 2 2" xfId="7231" xr:uid="{00000000-0005-0000-0000-0000252F0000}"/>
    <cellStyle name="Normal 4 5 2 4 4 2 2 2" xfId="13592" xr:uid="{00000000-0005-0000-0000-0000262F0000}"/>
    <cellStyle name="Normal 4 5 2 4 4 2 3" xfId="10413" xr:uid="{00000000-0005-0000-0000-0000272F0000}"/>
    <cellStyle name="Normal 4 5 2 4 4 3" xfId="5647" xr:uid="{00000000-0005-0000-0000-0000282F0000}"/>
    <cellStyle name="Normal 4 5 2 4 4 3 2" xfId="12008" xr:uid="{00000000-0005-0000-0000-0000292F0000}"/>
    <cellStyle name="Normal 4 5 2 4 4 4" xfId="8829" xr:uid="{00000000-0005-0000-0000-00002A2F0000}"/>
    <cellStyle name="Normal 4 5 2 4 5" xfId="3211" xr:uid="{00000000-0005-0000-0000-00002B2F0000}"/>
    <cellStyle name="Normal 4 5 2 4 5 2" xfId="6439" xr:uid="{00000000-0005-0000-0000-00002C2F0000}"/>
    <cellStyle name="Normal 4 5 2 4 5 2 2" xfId="12800" xr:uid="{00000000-0005-0000-0000-00002D2F0000}"/>
    <cellStyle name="Normal 4 5 2 4 5 3" xfId="9621" xr:uid="{00000000-0005-0000-0000-00002E2F0000}"/>
    <cellStyle name="Normal 4 5 2 4 6" xfId="4855" xr:uid="{00000000-0005-0000-0000-00002F2F0000}"/>
    <cellStyle name="Normal 4 5 2 4 6 2" xfId="11216" xr:uid="{00000000-0005-0000-0000-0000302F0000}"/>
    <cellStyle name="Normal 4 5 2 4 7" xfId="8037" xr:uid="{00000000-0005-0000-0000-0000312F0000}"/>
    <cellStyle name="Normal 4 5 2 5" xfId="1692" xr:uid="{00000000-0005-0000-0000-0000322F0000}"/>
    <cellStyle name="Normal 4 5 2 5 2" xfId="2088" xr:uid="{00000000-0005-0000-0000-0000332F0000}"/>
    <cellStyle name="Normal 4 5 2 5 2 2" xfId="2880" xr:uid="{00000000-0005-0000-0000-0000342F0000}"/>
    <cellStyle name="Normal 4 5 2 5 2 2 2" xfId="4464" xr:uid="{00000000-0005-0000-0000-0000352F0000}"/>
    <cellStyle name="Normal 4 5 2 5 2 2 2 2" xfId="7692" xr:uid="{00000000-0005-0000-0000-0000362F0000}"/>
    <cellStyle name="Normal 4 5 2 5 2 2 2 2 2" xfId="14053" xr:uid="{00000000-0005-0000-0000-0000372F0000}"/>
    <cellStyle name="Normal 4 5 2 5 2 2 2 3" xfId="10874" xr:uid="{00000000-0005-0000-0000-0000382F0000}"/>
    <cellStyle name="Normal 4 5 2 5 2 2 3" xfId="6108" xr:uid="{00000000-0005-0000-0000-0000392F0000}"/>
    <cellStyle name="Normal 4 5 2 5 2 2 3 2" xfId="12469" xr:uid="{00000000-0005-0000-0000-00003A2F0000}"/>
    <cellStyle name="Normal 4 5 2 5 2 2 4" xfId="9290" xr:uid="{00000000-0005-0000-0000-00003B2F0000}"/>
    <cellStyle name="Normal 4 5 2 5 2 3" xfId="3672" xr:uid="{00000000-0005-0000-0000-00003C2F0000}"/>
    <cellStyle name="Normal 4 5 2 5 2 3 2" xfId="6900" xr:uid="{00000000-0005-0000-0000-00003D2F0000}"/>
    <cellStyle name="Normal 4 5 2 5 2 3 2 2" xfId="13261" xr:uid="{00000000-0005-0000-0000-00003E2F0000}"/>
    <cellStyle name="Normal 4 5 2 5 2 3 3" xfId="10082" xr:uid="{00000000-0005-0000-0000-00003F2F0000}"/>
    <cellStyle name="Normal 4 5 2 5 2 4" xfId="5316" xr:uid="{00000000-0005-0000-0000-0000402F0000}"/>
    <cellStyle name="Normal 4 5 2 5 2 4 2" xfId="11677" xr:uid="{00000000-0005-0000-0000-0000412F0000}"/>
    <cellStyle name="Normal 4 5 2 5 2 5" xfId="8498" xr:uid="{00000000-0005-0000-0000-0000422F0000}"/>
    <cellStyle name="Normal 4 5 2 5 3" xfId="2484" xr:uid="{00000000-0005-0000-0000-0000432F0000}"/>
    <cellStyle name="Normal 4 5 2 5 3 2" xfId="4068" xr:uid="{00000000-0005-0000-0000-0000442F0000}"/>
    <cellStyle name="Normal 4 5 2 5 3 2 2" xfId="7296" xr:uid="{00000000-0005-0000-0000-0000452F0000}"/>
    <cellStyle name="Normal 4 5 2 5 3 2 2 2" xfId="13657" xr:uid="{00000000-0005-0000-0000-0000462F0000}"/>
    <cellStyle name="Normal 4 5 2 5 3 2 3" xfId="10478" xr:uid="{00000000-0005-0000-0000-0000472F0000}"/>
    <cellStyle name="Normal 4 5 2 5 3 3" xfId="5712" xr:uid="{00000000-0005-0000-0000-0000482F0000}"/>
    <cellStyle name="Normal 4 5 2 5 3 3 2" xfId="12073" xr:uid="{00000000-0005-0000-0000-0000492F0000}"/>
    <cellStyle name="Normal 4 5 2 5 3 4" xfId="8894" xr:uid="{00000000-0005-0000-0000-00004A2F0000}"/>
    <cellStyle name="Normal 4 5 2 5 4" xfId="3276" xr:uid="{00000000-0005-0000-0000-00004B2F0000}"/>
    <cellStyle name="Normal 4 5 2 5 4 2" xfId="6504" xr:uid="{00000000-0005-0000-0000-00004C2F0000}"/>
    <cellStyle name="Normal 4 5 2 5 4 2 2" xfId="12865" xr:uid="{00000000-0005-0000-0000-00004D2F0000}"/>
    <cellStyle name="Normal 4 5 2 5 4 3" xfId="9686" xr:uid="{00000000-0005-0000-0000-00004E2F0000}"/>
    <cellStyle name="Normal 4 5 2 5 5" xfId="4920" xr:uid="{00000000-0005-0000-0000-00004F2F0000}"/>
    <cellStyle name="Normal 4 5 2 5 5 2" xfId="11281" xr:uid="{00000000-0005-0000-0000-0000502F0000}"/>
    <cellStyle name="Normal 4 5 2 5 6" xfId="8102" xr:uid="{00000000-0005-0000-0000-0000512F0000}"/>
    <cellStyle name="Normal 4 5 2 6" xfId="1890" xr:uid="{00000000-0005-0000-0000-0000522F0000}"/>
    <cellStyle name="Normal 4 5 2 6 2" xfId="2682" xr:uid="{00000000-0005-0000-0000-0000532F0000}"/>
    <cellStyle name="Normal 4 5 2 6 2 2" xfId="4266" xr:uid="{00000000-0005-0000-0000-0000542F0000}"/>
    <cellStyle name="Normal 4 5 2 6 2 2 2" xfId="7494" xr:uid="{00000000-0005-0000-0000-0000552F0000}"/>
    <cellStyle name="Normal 4 5 2 6 2 2 2 2" xfId="13855" xr:uid="{00000000-0005-0000-0000-0000562F0000}"/>
    <cellStyle name="Normal 4 5 2 6 2 2 3" xfId="10676" xr:uid="{00000000-0005-0000-0000-0000572F0000}"/>
    <cellStyle name="Normal 4 5 2 6 2 3" xfId="5910" xr:uid="{00000000-0005-0000-0000-0000582F0000}"/>
    <cellStyle name="Normal 4 5 2 6 2 3 2" xfId="12271" xr:uid="{00000000-0005-0000-0000-0000592F0000}"/>
    <cellStyle name="Normal 4 5 2 6 2 4" xfId="9092" xr:uid="{00000000-0005-0000-0000-00005A2F0000}"/>
    <cellStyle name="Normal 4 5 2 6 3" xfId="3474" xr:uid="{00000000-0005-0000-0000-00005B2F0000}"/>
    <cellStyle name="Normal 4 5 2 6 3 2" xfId="6702" xr:uid="{00000000-0005-0000-0000-00005C2F0000}"/>
    <cellStyle name="Normal 4 5 2 6 3 2 2" xfId="13063" xr:uid="{00000000-0005-0000-0000-00005D2F0000}"/>
    <cellStyle name="Normal 4 5 2 6 3 3" xfId="9884" xr:uid="{00000000-0005-0000-0000-00005E2F0000}"/>
    <cellStyle name="Normal 4 5 2 6 4" xfId="5118" xr:uid="{00000000-0005-0000-0000-00005F2F0000}"/>
    <cellStyle name="Normal 4 5 2 6 4 2" xfId="11479" xr:uid="{00000000-0005-0000-0000-0000602F0000}"/>
    <cellStyle name="Normal 4 5 2 6 5" xfId="8300" xr:uid="{00000000-0005-0000-0000-0000612F0000}"/>
    <cellStyle name="Normal 4 5 2 7" xfId="2286" xr:uid="{00000000-0005-0000-0000-0000622F0000}"/>
    <cellStyle name="Normal 4 5 2 7 2" xfId="3870" xr:uid="{00000000-0005-0000-0000-0000632F0000}"/>
    <cellStyle name="Normal 4 5 2 7 2 2" xfId="7098" xr:uid="{00000000-0005-0000-0000-0000642F0000}"/>
    <cellStyle name="Normal 4 5 2 7 2 2 2" xfId="13459" xr:uid="{00000000-0005-0000-0000-0000652F0000}"/>
    <cellStyle name="Normal 4 5 2 7 2 3" xfId="10280" xr:uid="{00000000-0005-0000-0000-0000662F0000}"/>
    <cellStyle name="Normal 4 5 2 7 3" xfId="5514" xr:uid="{00000000-0005-0000-0000-0000672F0000}"/>
    <cellStyle name="Normal 4 5 2 7 3 2" xfId="11875" xr:uid="{00000000-0005-0000-0000-0000682F0000}"/>
    <cellStyle name="Normal 4 5 2 7 4" xfId="8696" xr:uid="{00000000-0005-0000-0000-0000692F0000}"/>
    <cellStyle name="Normal 4 5 2 8" xfId="3078" xr:uid="{00000000-0005-0000-0000-00006A2F0000}"/>
    <cellStyle name="Normal 4 5 2 8 2" xfId="6306" xr:uid="{00000000-0005-0000-0000-00006B2F0000}"/>
    <cellStyle name="Normal 4 5 2 8 2 2" xfId="12667" xr:uid="{00000000-0005-0000-0000-00006C2F0000}"/>
    <cellStyle name="Normal 4 5 2 8 3" xfId="9488" xr:uid="{00000000-0005-0000-0000-00006D2F0000}"/>
    <cellStyle name="Normal 4 5 2 9" xfId="4722" xr:uid="{00000000-0005-0000-0000-00006E2F0000}"/>
    <cellStyle name="Normal 4 5 2 9 2" xfId="11083" xr:uid="{00000000-0005-0000-0000-00006F2F0000}"/>
    <cellStyle name="Normal 4 5 3" xfId="1463" xr:uid="{00000000-0005-0000-0000-0000702F0000}"/>
    <cellStyle name="Normal 4 5 3 2" xfId="1575" xr:uid="{00000000-0005-0000-0000-0000712F0000}"/>
    <cellStyle name="Normal 4 5 3 2 2" xfId="1773" xr:uid="{00000000-0005-0000-0000-0000722F0000}"/>
    <cellStyle name="Normal 4 5 3 2 2 2" xfId="2169" xr:uid="{00000000-0005-0000-0000-0000732F0000}"/>
    <cellStyle name="Normal 4 5 3 2 2 2 2" xfId="2961" xr:uid="{00000000-0005-0000-0000-0000742F0000}"/>
    <cellStyle name="Normal 4 5 3 2 2 2 2 2" xfId="4545" xr:uid="{00000000-0005-0000-0000-0000752F0000}"/>
    <cellStyle name="Normal 4 5 3 2 2 2 2 2 2" xfId="7773" xr:uid="{00000000-0005-0000-0000-0000762F0000}"/>
    <cellStyle name="Normal 4 5 3 2 2 2 2 2 2 2" xfId="14134" xr:uid="{00000000-0005-0000-0000-0000772F0000}"/>
    <cellStyle name="Normal 4 5 3 2 2 2 2 2 3" xfId="10955" xr:uid="{00000000-0005-0000-0000-0000782F0000}"/>
    <cellStyle name="Normal 4 5 3 2 2 2 2 3" xfId="6189" xr:uid="{00000000-0005-0000-0000-0000792F0000}"/>
    <cellStyle name="Normal 4 5 3 2 2 2 2 3 2" xfId="12550" xr:uid="{00000000-0005-0000-0000-00007A2F0000}"/>
    <cellStyle name="Normal 4 5 3 2 2 2 2 4" xfId="9371" xr:uid="{00000000-0005-0000-0000-00007B2F0000}"/>
    <cellStyle name="Normal 4 5 3 2 2 2 3" xfId="3753" xr:uid="{00000000-0005-0000-0000-00007C2F0000}"/>
    <cellStyle name="Normal 4 5 3 2 2 2 3 2" xfId="6981" xr:uid="{00000000-0005-0000-0000-00007D2F0000}"/>
    <cellStyle name="Normal 4 5 3 2 2 2 3 2 2" xfId="13342" xr:uid="{00000000-0005-0000-0000-00007E2F0000}"/>
    <cellStyle name="Normal 4 5 3 2 2 2 3 3" xfId="10163" xr:uid="{00000000-0005-0000-0000-00007F2F0000}"/>
    <cellStyle name="Normal 4 5 3 2 2 2 4" xfId="5397" xr:uid="{00000000-0005-0000-0000-0000802F0000}"/>
    <cellStyle name="Normal 4 5 3 2 2 2 4 2" xfId="11758" xr:uid="{00000000-0005-0000-0000-0000812F0000}"/>
    <cellStyle name="Normal 4 5 3 2 2 2 5" xfId="8579" xr:uid="{00000000-0005-0000-0000-0000822F0000}"/>
    <cellStyle name="Normal 4 5 3 2 2 3" xfId="2565" xr:uid="{00000000-0005-0000-0000-0000832F0000}"/>
    <cellStyle name="Normal 4 5 3 2 2 3 2" xfId="4149" xr:uid="{00000000-0005-0000-0000-0000842F0000}"/>
    <cellStyle name="Normal 4 5 3 2 2 3 2 2" xfId="7377" xr:uid="{00000000-0005-0000-0000-0000852F0000}"/>
    <cellStyle name="Normal 4 5 3 2 2 3 2 2 2" xfId="13738" xr:uid="{00000000-0005-0000-0000-0000862F0000}"/>
    <cellStyle name="Normal 4 5 3 2 2 3 2 3" xfId="10559" xr:uid="{00000000-0005-0000-0000-0000872F0000}"/>
    <cellStyle name="Normal 4 5 3 2 2 3 3" xfId="5793" xr:uid="{00000000-0005-0000-0000-0000882F0000}"/>
    <cellStyle name="Normal 4 5 3 2 2 3 3 2" xfId="12154" xr:uid="{00000000-0005-0000-0000-0000892F0000}"/>
    <cellStyle name="Normal 4 5 3 2 2 3 4" xfId="8975" xr:uid="{00000000-0005-0000-0000-00008A2F0000}"/>
    <cellStyle name="Normal 4 5 3 2 2 4" xfId="3357" xr:uid="{00000000-0005-0000-0000-00008B2F0000}"/>
    <cellStyle name="Normal 4 5 3 2 2 4 2" xfId="6585" xr:uid="{00000000-0005-0000-0000-00008C2F0000}"/>
    <cellStyle name="Normal 4 5 3 2 2 4 2 2" xfId="12946" xr:uid="{00000000-0005-0000-0000-00008D2F0000}"/>
    <cellStyle name="Normal 4 5 3 2 2 4 3" xfId="9767" xr:uid="{00000000-0005-0000-0000-00008E2F0000}"/>
    <cellStyle name="Normal 4 5 3 2 2 5" xfId="5001" xr:uid="{00000000-0005-0000-0000-00008F2F0000}"/>
    <cellStyle name="Normal 4 5 3 2 2 5 2" xfId="11362" xr:uid="{00000000-0005-0000-0000-0000902F0000}"/>
    <cellStyle name="Normal 4 5 3 2 2 6" xfId="8183" xr:uid="{00000000-0005-0000-0000-0000912F0000}"/>
    <cellStyle name="Normal 4 5 3 2 3" xfId="1971" xr:uid="{00000000-0005-0000-0000-0000922F0000}"/>
    <cellStyle name="Normal 4 5 3 2 3 2" xfId="2763" xr:uid="{00000000-0005-0000-0000-0000932F0000}"/>
    <cellStyle name="Normal 4 5 3 2 3 2 2" xfId="4347" xr:uid="{00000000-0005-0000-0000-0000942F0000}"/>
    <cellStyle name="Normal 4 5 3 2 3 2 2 2" xfId="7575" xr:uid="{00000000-0005-0000-0000-0000952F0000}"/>
    <cellStyle name="Normal 4 5 3 2 3 2 2 2 2" xfId="13936" xr:uid="{00000000-0005-0000-0000-0000962F0000}"/>
    <cellStyle name="Normal 4 5 3 2 3 2 2 3" xfId="10757" xr:uid="{00000000-0005-0000-0000-0000972F0000}"/>
    <cellStyle name="Normal 4 5 3 2 3 2 3" xfId="5991" xr:uid="{00000000-0005-0000-0000-0000982F0000}"/>
    <cellStyle name="Normal 4 5 3 2 3 2 3 2" xfId="12352" xr:uid="{00000000-0005-0000-0000-0000992F0000}"/>
    <cellStyle name="Normal 4 5 3 2 3 2 4" xfId="9173" xr:uid="{00000000-0005-0000-0000-00009A2F0000}"/>
    <cellStyle name="Normal 4 5 3 2 3 3" xfId="3555" xr:uid="{00000000-0005-0000-0000-00009B2F0000}"/>
    <cellStyle name="Normal 4 5 3 2 3 3 2" xfId="6783" xr:uid="{00000000-0005-0000-0000-00009C2F0000}"/>
    <cellStyle name="Normal 4 5 3 2 3 3 2 2" xfId="13144" xr:uid="{00000000-0005-0000-0000-00009D2F0000}"/>
    <cellStyle name="Normal 4 5 3 2 3 3 3" xfId="9965" xr:uid="{00000000-0005-0000-0000-00009E2F0000}"/>
    <cellStyle name="Normal 4 5 3 2 3 4" xfId="5199" xr:uid="{00000000-0005-0000-0000-00009F2F0000}"/>
    <cellStyle name="Normal 4 5 3 2 3 4 2" xfId="11560" xr:uid="{00000000-0005-0000-0000-0000A02F0000}"/>
    <cellStyle name="Normal 4 5 3 2 3 5" xfId="8381" xr:uid="{00000000-0005-0000-0000-0000A12F0000}"/>
    <cellStyle name="Normal 4 5 3 2 4" xfId="2367" xr:uid="{00000000-0005-0000-0000-0000A22F0000}"/>
    <cellStyle name="Normal 4 5 3 2 4 2" xfId="3951" xr:uid="{00000000-0005-0000-0000-0000A32F0000}"/>
    <cellStyle name="Normal 4 5 3 2 4 2 2" xfId="7179" xr:uid="{00000000-0005-0000-0000-0000A42F0000}"/>
    <cellStyle name="Normal 4 5 3 2 4 2 2 2" xfId="13540" xr:uid="{00000000-0005-0000-0000-0000A52F0000}"/>
    <cellStyle name="Normal 4 5 3 2 4 2 3" xfId="10361" xr:uid="{00000000-0005-0000-0000-0000A62F0000}"/>
    <cellStyle name="Normal 4 5 3 2 4 3" xfId="5595" xr:uid="{00000000-0005-0000-0000-0000A72F0000}"/>
    <cellStyle name="Normal 4 5 3 2 4 3 2" xfId="11956" xr:uid="{00000000-0005-0000-0000-0000A82F0000}"/>
    <cellStyle name="Normal 4 5 3 2 4 4" xfId="8777" xr:uid="{00000000-0005-0000-0000-0000A92F0000}"/>
    <cellStyle name="Normal 4 5 3 2 5" xfId="3159" xr:uid="{00000000-0005-0000-0000-0000AA2F0000}"/>
    <cellStyle name="Normal 4 5 3 2 5 2" xfId="6387" xr:uid="{00000000-0005-0000-0000-0000AB2F0000}"/>
    <cellStyle name="Normal 4 5 3 2 5 2 2" xfId="12748" xr:uid="{00000000-0005-0000-0000-0000AC2F0000}"/>
    <cellStyle name="Normal 4 5 3 2 5 3" xfId="9569" xr:uid="{00000000-0005-0000-0000-0000AD2F0000}"/>
    <cellStyle name="Normal 4 5 3 2 6" xfId="4803" xr:uid="{00000000-0005-0000-0000-0000AE2F0000}"/>
    <cellStyle name="Normal 4 5 3 2 6 2" xfId="11164" xr:uid="{00000000-0005-0000-0000-0000AF2F0000}"/>
    <cellStyle name="Normal 4 5 3 2 7" xfId="7985" xr:uid="{00000000-0005-0000-0000-0000B02F0000}"/>
    <cellStyle name="Normal 4 5 3 3" xfId="1643" xr:uid="{00000000-0005-0000-0000-0000B12F0000}"/>
    <cellStyle name="Normal 4 5 3 3 2" xfId="1841" xr:uid="{00000000-0005-0000-0000-0000B22F0000}"/>
    <cellStyle name="Normal 4 5 3 3 2 2" xfId="2237" xr:uid="{00000000-0005-0000-0000-0000B32F0000}"/>
    <cellStyle name="Normal 4 5 3 3 2 2 2" xfId="3029" xr:uid="{00000000-0005-0000-0000-0000B42F0000}"/>
    <cellStyle name="Normal 4 5 3 3 2 2 2 2" xfId="4613" xr:uid="{00000000-0005-0000-0000-0000B52F0000}"/>
    <cellStyle name="Normal 4 5 3 3 2 2 2 2 2" xfId="7841" xr:uid="{00000000-0005-0000-0000-0000B62F0000}"/>
    <cellStyle name="Normal 4 5 3 3 2 2 2 2 2 2" xfId="14202" xr:uid="{00000000-0005-0000-0000-0000B72F0000}"/>
    <cellStyle name="Normal 4 5 3 3 2 2 2 2 3" xfId="11023" xr:uid="{00000000-0005-0000-0000-0000B82F0000}"/>
    <cellStyle name="Normal 4 5 3 3 2 2 2 3" xfId="6257" xr:uid="{00000000-0005-0000-0000-0000B92F0000}"/>
    <cellStyle name="Normal 4 5 3 3 2 2 2 3 2" xfId="12618" xr:uid="{00000000-0005-0000-0000-0000BA2F0000}"/>
    <cellStyle name="Normal 4 5 3 3 2 2 2 4" xfId="9439" xr:uid="{00000000-0005-0000-0000-0000BB2F0000}"/>
    <cellStyle name="Normal 4 5 3 3 2 2 3" xfId="3821" xr:uid="{00000000-0005-0000-0000-0000BC2F0000}"/>
    <cellStyle name="Normal 4 5 3 3 2 2 3 2" xfId="7049" xr:uid="{00000000-0005-0000-0000-0000BD2F0000}"/>
    <cellStyle name="Normal 4 5 3 3 2 2 3 2 2" xfId="13410" xr:uid="{00000000-0005-0000-0000-0000BE2F0000}"/>
    <cellStyle name="Normal 4 5 3 3 2 2 3 3" xfId="10231" xr:uid="{00000000-0005-0000-0000-0000BF2F0000}"/>
    <cellStyle name="Normal 4 5 3 3 2 2 4" xfId="5465" xr:uid="{00000000-0005-0000-0000-0000C02F0000}"/>
    <cellStyle name="Normal 4 5 3 3 2 2 4 2" xfId="11826" xr:uid="{00000000-0005-0000-0000-0000C12F0000}"/>
    <cellStyle name="Normal 4 5 3 3 2 2 5" xfId="8647" xr:uid="{00000000-0005-0000-0000-0000C22F0000}"/>
    <cellStyle name="Normal 4 5 3 3 2 3" xfId="2633" xr:uid="{00000000-0005-0000-0000-0000C32F0000}"/>
    <cellStyle name="Normal 4 5 3 3 2 3 2" xfId="4217" xr:uid="{00000000-0005-0000-0000-0000C42F0000}"/>
    <cellStyle name="Normal 4 5 3 3 2 3 2 2" xfId="7445" xr:uid="{00000000-0005-0000-0000-0000C52F0000}"/>
    <cellStyle name="Normal 4 5 3 3 2 3 2 2 2" xfId="13806" xr:uid="{00000000-0005-0000-0000-0000C62F0000}"/>
    <cellStyle name="Normal 4 5 3 3 2 3 2 3" xfId="10627" xr:uid="{00000000-0005-0000-0000-0000C72F0000}"/>
    <cellStyle name="Normal 4 5 3 3 2 3 3" xfId="5861" xr:uid="{00000000-0005-0000-0000-0000C82F0000}"/>
    <cellStyle name="Normal 4 5 3 3 2 3 3 2" xfId="12222" xr:uid="{00000000-0005-0000-0000-0000C92F0000}"/>
    <cellStyle name="Normal 4 5 3 3 2 3 4" xfId="9043" xr:uid="{00000000-0005-0000-0000-0000CA2F0000}"/>
    <cellStyle name="Normal 4 5 3 3 2 4" xfId="3425" xr:uid="{00000000-0005-0000-0000-0000CB2F0000}"/>
    <cellStyle name="Normal 4 5 3 3 2 4 2" xfId="6653" xr:uid="{00000000-0005-0000-0000-0000CC2F0000}"/>
    <cellStyle name="Normal 4 5 3 3 2 4 2 2" xfId="13014" xr:uid="{00000000-0005-0000-0000-0000CD2F0000}"/>
    <cellStyle name="Normal 4 5 3 3 2 4 3" xfId="9835" xr:uid="{00000000-0005-0000-0000-0000CE2F0000}"/>
    <cellStyle name="Normal 4 5 3 3 2 5" xfId="5069" xr:uid="{00000000-0005-0000-0000-0000CF2F0000}"/>
    <cellStyle name="Normal 4 5 3 3 2 5 2" xfId="11430" xr:uid="{00000000-0005-0000-0000-0000D02F0000}"/>
    <cellStyle name="Normal 4 5 3 3 2 6" xfId="8251" xr:uid="{00000000-0005-0000-0000-0000D12F0000}"/>
    <cellStyle name="Normal 4 5 3 3 3" xfId="2039" xr:uid="{00000000-0005-0000-0000-0000D22F0000}"/>
    <cellStyle name="Normal 4 5 3 3 3 2" xfId="2831" xr:uid="{00000000-0005-0000-0000-0000D32F0000}"/>
    <cellStyle name="Normal 4 5 3 3 3 2 2" xfId="4415" xr:uid="{00000000-0005-0000-0000-0000D42F0000}"/>
    <cellStyle name="Normal 4 5 3 3 3 2 2 2" xfId="7643" xr:uid="{00000000-0005-0000-0000-0000D52F0000}"/>
    <cellStyle name="Normal 4 5 3 3 3 2 2 2 2" xfId="14004" xr:uid="{00000000-0005-0000-0000-0000D62F0000}"/>
    <cellStyle name="Normal 4 5 3 3 3 2 2 3" xfId="10825" xr:uid="{00000000-0005-0000-0000-0000D72F0000}"/>
    <cellStyle name="Normal 4 5 3 3 3 2 3" xfId="6059" xr:uid="{00000000-0005-0000-0000-0000D82F0000}"/>
    <cellStyle name="Normal 4 5 3 3 3 2 3 2" xfId="12420" xr:uid="{00000000-0005-0000-0000-0000D92F0000}"/>
    <cellStyle name="Normal 4 5 3 3 3 2 4" xfId="9241" xr:uid="{00000000-0005-0000-0000-0000DA2F0000}"/>
    <cellStyle name="Normal 4 5 3 3 3 3" xfId="3623" xr:uid="{00000000-0005-0000-0000-0000DB2F0000}"/>
    <cellStyle name="Normal 4 5 3 3 3 3 2" xfId="6851" xr:uid="{00000000-0005-0000-0000-0000DC2F0000}"/>
    <cellStyle name="Normal 4 5 3 3 3 3 2 2" xfId="13212" xr:uid="{00000000-0005-0000-0000-0000DD2F0000}"/>
    <cellStyle name="Normal 4 5 3 3 3 3 3" xfId="10033" xr:uid="{00000000-0005-0000-0000-0000DE2F0000}"/>
    <cellStyle name="Normal 4 5 3 3 3 4" xfId="5267" xr:uid="{00000000-0005-0000-0000-0000DF2F0000}"/>
    <cellStyle name="Normal 4 5 3 3 3 4 2" xfId="11628" xr:uid="{00000000-0005-0000-0000-0000E02F0000}"/>
    <cellStyle name="Normal 4 5 3 3 3 5" xfId="8449" xr:uid="{00000000-0005-0000-0000-0000E12F0000}"/>
    <cellStyle name="Normal 4 5 3 3 4" xfId="2435" xr:uid="{00000000-0005-0000-0000-0000E22F0000}"/>
    <cellStyle name="Normal 4 5 3 3 4 2" xfId="4019" xr:uid="{00000000-0005-0000-0000-0000E32F0000}"/>
    <cellStyle name="Normal 4 5 3 3 4 2 2" xfId="7247" xr:uid="{00000000-0005-0000-0000-0000E42F0000}"/>
    <cellStyle name="Normal 4 5 3 3 4 2 2 2" xfId="13608" xr:uid="{00000000-0005-0000-0000-0000E52F0000}"/>
    <cellStyle name="Normal 4 5 3 3 4 2 3" xfId="10429" xr:uid="{00000000-0005-0000-0000-0000E62F0000}"/>
    <cellStyle name="Normal 4 5 3 3 4 3" xfId="5663" xr:uid="{00000000-0005-0000-0000-0000E72F0000}"/>
    <cellStyle name="Normal 4 5 3 3 4 3 2" xfId="12024" xr:uid="{00000000-0005-0000-0000-0000E82F0000}"/>
    <cellStyle name="Normal 4 5 3 3 4 4" xfId="8845" xr:uid="{00000000-0005-0000-0000-0000E92F0000}"/>
    <cellStyle name="Normal 4 5 3 3 5" xfId="3227" xr:uid="{00000000-0005-0000-0000-0000EA2F0000}"/>
    <cellStyle name="Normal 4 5 3 3 5 2" xfId="6455" xr:uid="{00000000-0005-0000-0000-0000EB2F0000}"/>
    <cellStyle name="Normal 4 5 3 3 5 2 2" xfId="12816" xr:uid="{00000000-0005-0000-0000-0000EC2F0000}"/>
    <cellStyle name="Normal 4 5 3 3 5 3" xfId="9637" xr:uid="{00000000-0005-0000-0000-0000ED2F0000}"/>
    <cellStyle name="Normal 4 5 3 3 6" xfId="4871" xr:uid="{00000000-0005-0000-0000-0000EE2F0000}"/>
    <cellStyle name="Normal 4 5 3 3 6 2" xfId="11232" xr:uid="{00000000-0005-0000-0000-0000EF2F0000}"/>
    <cellStyle name="Normal 4 5 3 3 7" xfId="8053" xr:uid="{00000000-0005-0000-0000-0000F02F0000}"/>
    <cellStyle name="Normal 4 5 3 4" xfId="1708" xr:uid="{00000000-0005-0000-0000-0000F12F0000}"/>
    <cellStyle name="Normal 4 5 3 4 2" xfId="2104" xr:uid="{00000000-0005-0000-0000-0000F22F0000}"/>
    <cellStyle name="Normal 4 5 3 4 2 2" xfId="2896" xr:uid="{00000000-0005-0000-0000-0000F32F0000}"/>
    <cellStyle name="Normal 4 5 3 4 2 2 2" xfId="4480" xr:uid="{00000000-0005-0000-0000-0000F42F0000}"/>
    <cellStyle name="Normal 4 5 3 4 2 2 2 2" xfId="7708" xr:uid="{00000000-0005-0000-0000-0000F52F0000}"/>
    <cellStyle name="Normal 4 5 3 4 2 2 2 2 2" xfId="14069" xr:uid="{00000000-0005-0000-0000-0000F62F0000}"/>
    <cellStyle name="Normal 4 5 3 4 2 2 2 3" xfId="10890" xr:uid="{00000000-0005-0000-0000-0000F72F0000}"/>
    <cellStyle name="Normal 4 5 3 4 2 2 3" xfId="6124" xr:uid="{00000000-0005-0000-0000-0000F82F0000}"/>
    <cellStyle name="Normal 4 5 3 4 2 2 3 2" xfId="12485" xr:uid="{00000000-0005-0000-0000-0000F92F0000}"/>
    <cellStyle name="Normal 4 5 3 4 2 2 4" xfId="9306" xr:uid="{00000000-0005-0000-0000-0000FA2F0000}"/>
    <cellStyle name="Normal 4 5 3 4 2 3" xfId="3688" xr:uid="{00000000-0005-0000-0000-0000FB2F0000}"/>
    <cellStyle name="Normal 4 5 3 4 2 3 2" xfId="6916" xr:uid="{00000000-0005-0000-0000-0000FC2F0000}"/>
    <cellStyle name="Normal 4 5 3 4 2 3 2 2" xfId="13277" xr:uid="{00000000-0005-0000-0000-0000FD2F0000}"/>
    <cellStyle name="Normal 4 5 3 4 2 3 3" xfId="10098" xr:uid="{00000000-0005-0000-0000-0000FE2F0000}"/>
    <cellStyle name="Normal 4 5 3 4 2 4" xfId="5332" xr:uid="{00000000-0005-0000-0000-0000FF2F0000}"/>
    <cellStyle name="Normal 4 5 3 4 2 4 2" xfId="11693" xr:uid="{00000000-0005-0000-0000-000000300000}"/>
    <cellStyle name="Normal 4 5 3 4 2 5" xfId="8514" xr:uid="{00000000-0005-0000-0000-000001300000}"/>
    <cellStyle name="Normal 4 5 3 4 3" xfId="2500" xr:uid="{00000000-0005-0000-0000-000002300000}"/>
    <cellStyle name="Normal 4 5 3 4 3 2" xfId="4084" xr:uid="{00000000-0005-0000-0000-000003300000}"/>
    <cellStyle name="Normal 4 5 3 4 3 2 2" xfId="7312" xr:uid="{00000000-0005-0000-0000-000004300000}"/>
    <cellStyle name="Normal 4 5 3 4 3 2 2 2" xfId="13673" xr:uid="{00000000-0005-0000-0000-000005300000}"/>
    <cellStyle name="Normal 4 5 3 4 3 2 3" xfId="10494" xr:uid="{00000000-0005-0000-0000-000006300000}"/>
    <cellStyle name="Normal 4 5 3 4 3 3" xfId="5728" xr:uid="{00000000-0005-0000-0000-000007300000}"/>
    <cellStyle name="Normal 4 5 3 4 3 3 2" xfId="12089" xr:uid="{00000000-0005-0000-0000-000008300000}"/>
    <cellStyle name="Normal 4 5 3 4 3 4" xfId="8910" xr:uid="{00000000-0005-0000-0000-000009300000}"/>
    <cellStyle name="Normal 4 5 3 4 4" xfId="3292" xr:uid="{00000000-0005-0000-0000-00000A300000}"/>
    <cellStyle name="Normal 4 5 3 4 4 2" xfId="6520" xr:uid="{00000000-0005-0000-0000-00000B300000}"/>
    <cellStyle name="Normal 4 5 3 4 4 2 2" xfId="12881" xr:uid="{00000000-0005-0000-0000-00000C300000}"/>
    <cellStyle name="Normal 4 5 3 4 4 3" xfId="9702" xr:uid="{00000000-0005-0000-0000-00000D300000}"/>
    <cellStyle name="Normal 4 5 3 4 5" xfId="4936" xr:uid="{00000000-0005-0000-0000-00000E300000}"/>
    <cellStyle name="Normal 4 5 3 4 5 2" xfId="11297" xr:uid="{00000000-0005-0000-0000-00000F300000}"/>
    <cellStyle name="Normal 4 5 3 4 6" xfId="8118" xr:uid="{00000000-0005-0000-0000-000010300000}"/>
    <cellStyle name="Normal 4 5 3 5" xfId="1906" xr:uid="{00000000-0005-0000-0000-000011300000}"/>
    <cellStyle name="Normal 4 5 3 5 2" xfId="2698" xr:uid="{00000000-0005-0000-0000-000012300000}"/>
    <cellStyle name="Normal 4 5 3 5 2 2" xfId="4282" xr:uid="{00000000-0005-0000-0000-000013300000}"/>
    <cellStyle name="Normal 4 5 3 5 2 2 2" xfId="7510" xr:uid="{00000000-0005-0000-0000-000014300000}"/>
    <cellStyle name="Normal 4 5 3 5 2 2 2 2" xfId="13871" xr:uid="{00000000-0005-0000-0000-000015300000}"/>
    <cellStyle name="Normal 4 5 3 5 2 2 3" xfId="10692" xr:uid="{00000000-0005-0000-0000-000016300000}"/>
    <cellStyle name="Normal 4 5 3 5 2 3" xfId="5926" xr:uid="{00000000-0005-0000-0000-000017300000}"/>
    <cellStyle name="Normal 4 5 3 5 2 3 2" xfId="12287" xr:uid="{00000000-0005-0000-0000-000018300000}"/>
    <cellStyle name="Normal 4 5 3 5 2 4" xfId="9108" xr:uid="{00000000-0005-0000-0000-000019300000}"/>
    <cellStyle name="Normal 4 5 3 5 3" xfId="3490" xr:uid="{00000000-0005-0000-0000-00001A300000}"/>
    <cellStyle name="Normal 4 5 3 5 3 2" xfId="6718" xr:uid="{00000000-0005-0000-0000-00001B300000}"/>
    <cellStyle name="Normal 4 5 3 5 3 2 2" xfId="13079" xr:uid="{00000000-0005-0000-0000-00001C300000}"/>
    <cellStyle name="Normal 4 5 3 5 3 3" xfId="9900" xr:uid="{00000000-0005-0000-0000-00001D300000}"/>
    <cellStyle name="Normal 4 5 3 5 4" xfId="5134" xr:uid="{00000000-0005-0000-0000-00001E300000}"/>
    <cellStyle name="Normal 4 5 3 5 4 2" xfId="11495" xr:uid="{00000000-0005-0000-0000-00001F300000}"/>
    <cellStyle name="Normal 4 5 3 5 5" xfId="8316" xr:uid="{00000000-0005-0000-0000-000020300000}"/>
    <cellStyle name="Normal 4 5 3 6" xfId="2302" xr:uid="{00000000-0005-0000-0000-000021300000}"/>
    <cellStyle name="Normal 4 5 3 6 2" xfId="3886" xr:uid="{00000000-0005-0000-0000-000022300000}"/>
    <cellStyle name="Normal 4 5 3 6 2 2" xfId="7114" xr:uid="{00000000-0005-0000-0000-000023300000}"/>
    <cellStyle name="Normal 4 5 3 6 2 2 2" xfId="13475" xr:uid="{00000000-0005-0000-0000-000024300000}"/>
    <cellStyle name="Normal 4 5 3 6 2 3" xfId="10296" xr:uid="{00000000-0005-0000-0000-000025300000}"/>
    <cellStyle name="Normal 4 5 3 6 3" xfId="5530" xr:uid="{00000000-0005-0000-0000-000026300000}"/>
    <cellStyle name="Normal 4 5 3 6 3 2" xfId="11891" xr:uid="{00000000-0005-0000-0000-000027300000}"/>
    <cellStyle name="Normal 4 5 3 6 4" xfId="8712" xr:uid="{00000000-0005-0000-0000-000028300000}"/>
    <cellStyle name="Normal 4 5 3 7" xfId="3094" xr:uid="{00000000-0005-0000-0000-000029300000}"/>
    <cellStyle name="Normal 4 5 3 7 2" xfId="6322" xr:uid="{00000000-0005-0000-0000-00002A300000}"/>
    <cellStyle name="Normal 4 5 3 7 2 2" xfId="12683" xr:uid="{00000000-0005-0000-0000-00002B300000}"/>
    <cellStyle name="Normal 4 5 3 7 3" xfId="9504" xr:uid="{00000000-0005-0000-0000-00002C300000}"/>
    <cellStyle name="Normal 4 5 3 8" xfId="4738" xr:uid="{00000000-0005-0000-0000-00002D300000}"/>
    <cellStyle name="Normal 4 5 3 8 2" xfId="11099" xr:uid="{00000000-0005-0000-0000-00002E300000}"/>
    <cellStyle name="Normal 4 5 3 9" xfId="7920" xr:uid="{00000000-0005-0000-0000-00002F300000}"/>
    <cellStyle name="Normal 4 5 4" xfId="1543" xr:uid="{00000000-0005-0000-0000-000030300000}"/>
    <cellStyle name="Normal 4 5 4 2" xfId="1741" xr:uid="{00000000-0005-0000-0000-000031300000}"/>
    <cellStyle name="Normal 4 5 4 2 2" xfId="2137" xr:uid="{00000000-0005-0000-0000-000032300000}"/>
    <cellStyle name="Normal 4 5 4 2 2 2" xfId="2929" xr:uid="{00000000-0005-0000-0000-000033300000}"/>
    <cellStyle name="Normal 4 5 4 2 2 2 2" xfId="4513" xr:uid="{00000000-0005-0000-0000-000034300000}"/>
    <cellStyle name="Normal 4 5 4 2 2 2 2 2" xfId="7741" xr:uid="{00000000-0005-0000-0000-000035300000}"/>
    <cellStyle name="Normal 4 5 4 2 2 2 2 2 2" xfId="14102" xr:uid="{00000000-0005-0000-0000-000036300000}"/>
    <cellStyle name="Normal 4 5 4 2 2 2 2 3" xfId="10923" xr:uid="{00000000-0005-0000-0000-000037300000}"/>
    <cellStyle name="Normal 4 5 4 2 2 2 3" xfId="6157" xr:uid="{00000000-0005-0000-0000-000038300000}"/>
    <cellStyle name="Normal 4 5 4 2 2 2 3 2" xfId="12518" xr:uid="{00000000-0005-0000-0000-000039300000}"/>
    <cellStyle name="Normal 4 5 4 2 2 2 4" xfId="9339" xr:uid="{00000000-0005-0000-0000-00003A300000}"/>
    <cellStyle name="Normal 4 5 4 2 2 3" xfId="3721" xr:uid="{00000000-0005-0000-0000-00003B300000}"/>
    <cellStyle name="Normal 4 5 4 2 2 3 2" xfId="6949" xr:uid="{00000000-0005-0000-0000-00003C300000}"/>
    <cellStyle name="Normal 4 5 4 2 2 3 2 2" xfId="13310" xr:uid="{00000000-0005-0000-0000-00003D300000}"/>
    <cellStyle name="Normal 4 5 4 2 2 3 3" xfId="10131" xr:uid="{00000000-0005-0000-0000-00003E300000}"/>
    <cellStyle name="Normal 4 5 4 2 2 4" xfId="5365" xr:uid="{00000000-0005-0000-0000-00003F300000}"/>
    <cellStyle name="Normal 4 5 4 2 2 4 2" xfId="11726" xr:uid="{00000000-0005-0000-0000-000040300000}"/>
    <cellStyle name="Normal 4 5 4 2 2 5" xfId="8547" xr:uid="{00000000-0005-0000-0000-000041300000}"/>
    <cellStyle name="Normal 4 5 4 2 3" xfId="2533" xr:uid="{00000000-0005-0000-0000-000042300000}"/>
    <cellStyle name="Normal 4 5 4 2 3 2" xfId="4117" xr:uid="{00000000-0005-0000-0000-000043300000}"/>
    <cellStyle name="Normal 4 5 4 2 3 2 2" xfId="7345" xr:uid="{00000000-0005-0000-0000-000044300000}"/>
    <cellStyle name="Normal 4 5 4 2 3 2 2 2" xfId="13706" xr:uid="{00000000-0005-0000-0000-000045300000}"/>
    <cellStyle name="Normal 4 5 4 2 3 2 3" xfId="10527" xr:uid="{00000000-0005-0000-0000-000046300000}"/>
    <cellStyle name="Normal 4 5 4 2 3 3" xfId="5761" xr:uid="{00000000-0005-0000-0000-000047300000}"/>
    <cellStyle name="Normal 4 5 4 2 3 3 2" xfId="12122" xr:uid="{00000000-0005-0000-0000-000048300000}"/>
    <cellStyle name="Normal 4 5 4 2 3 4" xfId="8943" xr:uid="{00000000-0005-0000-0000-000049300000}"/>
    <cellStyle name="Normal 4 5 4 2 4" xfId="3325" xr:uid="{00000000-0005-0000-0000-00004A300000}"/>
    <cellStyle name="Normal 4 5 4 2 4 2" xfId="6553" xr:uid="{00000000-0005-0000-0000-00004B300000}"/>
    <cellStyle name="Normal 4 5 4 2 4 2 2" xfId="12914" xr:uid="{00000000-0005-0000-0000-00004C300000}"/>
    <cellStyle name="Normal 4 5 4 2 4 3" xfId="9735" xr:uid="{00000000-0005-0000-0000-00004D300000}"/>
    <cellStyle name="Normal 4 5 4 2 5" xfId="4969" xr:uid="{00000000-0005-0000-0000-00004E300000}"/>
    <cellStyle name="Normal 4 5 4 2 5 2" xfId="11330" xr:uid="{00000000-0005-0000-0000-00004F300000}"/>
    <cellStyle name="Normal 4 5 4 2 6" xfId="8151" xr:uid="{00000000-0005-0000-0000-000050300000}"/>
    <cellStyle name="Normal 4 5 4 3" xfId="1939" xr:uid="{00000000-0005-0000-0000-000051300000}"/>
    <cellStyle name="Normal 4 5 4 3 2" xfId="2731" xr:uid="{00000000-0005-0000-0000-000052300000}"/>
    <cellStyle name="Normal 4 5 4 3 2 2" xfId="4315" xr:uid="{00000000-0005-0000-0000-000053300000}"/>
    <cellStyle name="Normal 4 5 4 3 2 2 2" xfId="7543" xr:uid="{00000000-0005-0000-0000-000054300000}"/>
    <cellStyle name="Normal 4 5 4 3 2 2 2 2" xfId="13904" xr:uid="{00000000-0005-0000-0000-000055300000}"/>
    <cellStyle name="Normal 4 5 4 3 2 2 3" xfId="10725" xr:uid="{00000000-0005-0000-0000-000056300000}"/>
    <cellStyle name="Normal 4 5 4 3 2 3" xfId="5959" xr:uid="{00000000-0005-0000-0000-000057300000}"/>
    <cellStyle name="Normal 4 5 4 3 2 3 2" xfId="12320" xr:uid="{00000000-0005-0000-0000-000058300000}"/>
    <cellStyle name="Normal 4 5 4 3 2 4" xfId="9141" xr:uid="{00000000-0005-0000-0000-000059300000}"/>
    <cellStyle name="Normal 4 5 4 3 3" xfId="3523" xr:uid="{00000000-0005-0000-0000-00005A300000}"/>
    <cellStyle name="Normal 4 5 4 3 3 2" xfId="6751" xr:uid="{00000000-0005-0000-0000-00005B300000}"/>
    <cellStyle name="Normal 4 5 4 3 3 2 2" xfId="13112" xr:uid="{00000000-0005-0000-0000-00005C300000}"/>
    <cellStyle name="Normal 4 5 4 3 3 3" xfId="9933" xr:uid="{00000000-0005-0000-0000-00005D300000}"/>
    <cellStyle name="Normal 4 5 4 3 4" xfId="5167" xr:uid="{00000000-0005-0000-0000-00005E300000}"/>
    <cellStyle name="Normal 4 5 4 3 4 2" xfId="11528" xr:uid="{00000000-0005-0000-0000-00005F300000}"/>
    <cellStyle name="Normal 4 5 4 3 5" xfId="8349" xr:uid="{00000000-0005-0000-0000-000060300000}"/>
    <cellStyle name="Normal 4 5 4 4" xfId="2335" xr:uid="{00000000-0005-0000-0000-000061300000}"/>
    <cellStyle name="Normal 4 5 4 4 2" xfId="3919" xr:uid="{00000000-0005-0000-0000-000062300000}"/>
    <cellStyle name="Normal 4 5 4 4 2 2" xfId="7147" xr:uid="{00000000-0005-0000-0000-000063300000}"/>
    <cellStyle name="Normal 4 5 4 4 2 2 2" xfId="13508" xr:uid="{00000000-0005-0000-0000-000064300000}"/>
    <cellStyle name="Normal 4 5 4 4 2 3" xfId="10329" xr:uid="{00000000-0005-0000-0000-000065300000}"/>
    <cellStyle name="Normal 4 5 4 4 3" xfId="5563" xr:uid="{00000000-0005-0000-0000-000066300000}"/>
    <cellStyle name="Normal 4 5 4 4 3 2" xfId="11924" xr:uid="{00000000-0005-0000-0000-000067300000}"/>
    <cellStyle name="Normal 4 5 4 4 4" xfId="8745" xr:uid="{00000000-0005-0000-0000-000068300000}"/>
    <cellStyle name="Normal 4 5 4 5" xfId="3127" xr:uid="{00000000-0005-0000-0000-000069300000}"/>
    <cellStyle name="Normal 4 5 4 5 2" xfId="6355" xr:uid="{00000000-0005-0000-0000-00006A300000}"/>
    <cellStyle name="Normal 4 5 4 5 2 2" xfId="12716" xr:uid="{00000000-0005-0000-0000-00006B300000}"/>
    <cellStyle name="Normal 4 5 4 5 3" xfId="9537" xr:uid="{00000000-0005-0000-0000-00006C300000}"/>
    <cellStyle name="Normal 4 5 4 6" xfId="4771" xr:uid="{00000000-0005-0000-0000-00006D300000}"/>
    <cellStyle name="Normal 4 5 4 6 2" xfId="11132" xr:uid="{00000000-0005-0000-0000-00006E300000}"/>
    <cellStyle name="Normal 4 5 4 7" xfId="7953" xr:uid="{00000000-0005-0000-0000-00006F300000}"/>
    <cellStyle name="Normal 4 5 5" xfId="1611" xr:uid="{00000000-0005-0000-0000-000070300000}"/>
    <cellStyle name="Normal 4 5 5 2" xfId="1809" xr:uid="{00000000-0005-0000-0000-000071300000}"/>
    <cellStyle name="Normal 4 5 5 2 2" xfId="2205" xr:uid="{00000000-0005-0000-0000-000072300000}"/>
    <cellStyle name="Normal 4 5 5 2 2 2" xfId="2997" xr:uid="{00000000-0005-0000-0000-000073300000}"/>
    <cellStyle name="Normal 4 5 5 2 2 2 2" xfId="4581" xr:uid="{00000000-0005-0000-0000-000074300000}"/>
    <cellStyle name="Normal 4 5 5 2 2 2 2 2" xfId="7809" xr:uid="{00000000-0005-0000-0000-000075300000}"/>
    <cellStyle name="Normal 4 5 5 2 2 2 2 2 2" xfId="14170" xr:uid="{00000000-0005-0000-0000-000076300000}"/>
    <cellStyle name="Normal 4 5 5 2 2 2 2 3" xfId="10991" xr:uid="{00000000-0005-0000-0000-000077300000}"/>
    <cellStyle name="Normal 4 5 5 2 2 2 3" xfId="6225" xr:uid="{00000000-0005-0000-0000-000078300000}"/>
    <cellStyle name="Normal 4 5 5 2 2 2 3 2" xfId="12586" xr:uid="{00000000-0005-0000-0000-000079300000}"/>
    <cellStyle name="Normal 4 5 5 2 2 2 4" xfId="9407" xr:uid="{00000000-0005-0000-0000-00007A300000}"/>
    <cellStyle name="Normal 4 5 5 2 2 3" xfId="3789" xr:uid="{00000000-0005-0000-0000-00007B300000}"/>
    <cellStyle name="Normal 4 5 5 2 2 3 2" xfId="7017" xr:uid="{00000000-0005-0000-0000-00007C300000}"/>
    <cellStyle name="Normal 4 5 5 2 2 3 2 2" xfId="13378" xr:uid="{00000000-0005-0000-0000-00007D300000}"/>
    <cellStyle name="Normal 4 5 5 2 2 3 3" xfId="10199" xr:uid="{00000000-0005-0000-0000-00007E300000}"/>
    <cellStyle name="Normal 4 5 5 2 2 4" xfId="5433" xr:uid="{00000000-0005-0000-0000-00007F300000}"/>
    <cellStyle name="Normal 4 5 5 2 2 4 2" xfId="11794" xr:uid="{00000000-0005-0000-0000-000080300000}"/>
    <cellStyle name="Normal 4 5 5 2 2 5" xfId="8615" xr:uid="{00000000-0005-0000-0000-000081300000}"/>
    <cellStyle name="Normal 4 5 5 2 3" xfId="2601" xr:uid="{00000000-0005-0000-0000-000082300000}"/>
    <cellStyle name="Normal 4 5 5 2 3 2" xfId="4185" xr:uid="{00000000-0005-0000-0000-000083300000}"/>
    <cellStyle name="Normal 4 5 5 2 3 2 2" xfId="7413" xr:uid="{00000000-0005-0000-0000-000084300000}"/>
    <cellStyle name="Normal 4 5 5 2 3 2 2 2" xfId="13774" xr:uid="{00000000-0005-0000-0000-000085300000}"/>
    <cellStyle name="Normal 4 5 5 2 3 2 3" xfId="10595" xr:uid="{00000000-0005-0000-0000-000086300000}"/>
    <cellStyle name="Normal 4 5 5 2 3 3" xfId="5829" xr:uid="{00000000-0005-0000-0000-000087300000}"/>
    <cellStyle name="Normal 4 5 5 2 3 3 2" xfId="12190" xr:uid="{00000000-0005-0000-0000-000088300000}"/>
    <cellStyle name="Normal 4 5 5 2 3 4" xfId="9011" xr:uid="{00000000-0005-0000-0000-000089300000}"/>
    <cellStyle name="Normal 4 5 5 2 4" xfId="3393" xr:uid="{00000000-0005-0000-0000-00008A300000}"/>
    <cellStyle name="Normal 4 5 5 2 4 2" xfId="6621" xr:uid="{00000000-0005-0000-0000-00008B300000}"/>
    <cellStyle name="Normal 4 5 5 2 4 2 2" xfId="12982" xr:uid="{00000000-0005-0000-0000-00008C300000}"/>
    <cellStyle name="Normal 4 5 5 2 4 3" xfId="9803" xr:uid="{00000000-0005-0000-0000-00008D300000}"/>
    <cellStyle name="Normal 4 5 5 2 5" xfId="5037" xr:uid="{00000000-0005-0000-0000-00008E300000}"/>
    <cellStyle name="Normal 4 5 5 2 5 2" xfId="11398" xr:uid="{00000000-0005-0000-0000-00008F300000}"/>
    <cellStyle name="Normal 4 5 5 2 6" xfId="8219" xr:uid="{00000000-0005-0000-0000-000090300000}"/>
    <cellStyle name="Normal 4 5 5 3" xfId="2007" xr:uid="{00000000-0005-0000-0000-000091300000}"/>
    <cellStyle name="Normal 4 5 5 3 2" xfId="2799" xr:uid="{00000000-0005-0000-0000-000092300000}"/>
    <cellStyle name="Normal 4 5 5 3 2 2" xfId="4383" xr:uid="{00000000-0005-0000-0000-000093300000}"/>
    <cellStyle name="Normal 4 5 5 3 2 2 2" xfId="7611" xr:uid="{00000000-0005-0000-0000-000094300000}"/>
    <cellStyle name="Normal 4 5 5 3 2 2 2 2" xfId="13972" xr:uid="{00000000-0005-0000-0000-000095300000}"/>
    <cellStyle name="Normal 4 5 5 3 2 2 3" xfId="10793" xr:uid="{00000000-0005-0000-0000-000096300000}"/>
    <cellStyle name="Normal 4 5 5 3 2 3" xfId="6027" xr:uid="{00000000-0005-0000-0000-000097300000}"/>
    <cellStyle name="Normal 4 5 5 3 2 3 2" xfId="12388" xr:uid="{00000000-0005-0000-0000-000098300000}"/>
    <cellStyle name="Normal 4 5 5 3 2 4" xfId="9209" xr:uid="{00000000-0005-0000-0000-000099300000}"/>
    <cellStyle name="Normal 4 5 5 3 3" xfId="3591" xr:uid="{00000000-0005-0000-0000-00009A300000}"/>
    <cellStyle name="Normal 4 5 5 3 3 2" xfId="6819" xr:uid="{00000000-0005-0000-0000-00009B300000}"/>
    <cellStyle name="Normal 4 5 5 3 3 2 2" xfId="13180" xr:uid="{00000000-0005-0000-0000-00009C300000}"/>
    <cellStyle name="Normal 4 5 5 3 3 3" xfId="10001" xr:uid="{00000000-0005-0000-0000-00009D300000}"/>
    <cellStyle name="Normal 4 5 5 3 4" xfId="5235" xr:uid="{00000000-0005-0000-0000-00009E300000}"/>
    <cellStyle name="Normal 4 5 5 3 4 2" xfId="11596" xr:uid="{00000000-0005-0000-0000-00009F300000}"/>
    <cellStyle name="Normal 4 5 5 3 5" xfId="8417" xr:uid="{00000000-0005-0000-0000-0000A0300000}"/>
    <cellStyle name="Normal 4 5 5 4" xfId="2403" xr:uid="{00000000-0005-0000-0000-0000A1300000}"/>
    <cellStyle name="Normal 4 5 5 4 2" xfId="3987" xr:uid="{00000000-0005-0000-0000-0000A2300000}"/>
    <cellStyle name="Normal 4 5 5 4 2 2" xfId="7215" xr:uid="{00000000-0005-0000-0000-0000A3300000}"/>
    <cellStyle name="Normal 4 5 5 4 2 2 2" xfId="13576" xr:uid="{00000000-0005-0000-0000-0000A4300000}"/>
    <cellStyle name="Normal 4 5 5 4 2 3" xfId="10397" xr:uid="{00000000-0005-0000-0000-0000A5300000}"/>
    <cellStyle name="Normal 4 5 5 4 3" xfId="5631" xr:uid="{00000000-0005-0000-0000-0000A6300000}"/>
    <cellStyle name="Normal 4 5 5 4 3 2" xfId="11992" xr:uid="{00000000-0005-0000-0000-0000A7300000}"/>
    <cellStyle name="Normal 4 5 5 4 4" xfId="8813" xr:uid="{00000000-0005-0000-0000-0000A8300000}"/>
    <cellStyle name="Normal 4 5 5 5" xfId="3195" xr:uid="{00000000-0005-0000-0000-0000A9300000}"/>
    <cellStyle name="Normal 4 5 5 5 2" xfId="6423" xr:uid="{00000000-0005-0000-0000-0000AA300000}"/>
    <cellStyle name="Normal 4 5 5 5 2 2" xfId="12784" xr:uid="{00000000-0005-0000-0000-0000AB300000}"/>
    <cellStyle name="Normal 4 5 5 5 3" xfId="9605" xr:uid="{00000000-0005-0000-0000-0000AC300000}"/>
    <cellStyle name="Normal 4 5 5 6" xfId="4839" xr:uid="{00000000-0005-0000-0000-0000AD300000}"/>
    <cellStyle name="Normal 4 5 5 6 2" xfId="11200" xr:uid="{00000000-0005-0000-0000-0000AE300000}"/>
    <cellStyle name="Normal 4 5 5 7" xfId="8021" xr:uid="{00000000-0005-0000-0000-0000AF300000}"/>
    <cellStyle name="Normal 4 5 6" xfId="1676" xr:uid="{00000000-0005-0000-0000-0000B0300000}"/>
    <cellStyle name="Normal 4 5 6 2" xfId="2072" xr:uid="{00000000-0005-0000-0000-0000B1300000}"/>
    <cellStyle name="Normal 4 5 6 2 2" xfId="2864" xr:uid="{00000000-0005-0000-0000-0000B2300000}"/>
    <cellStyle name="Normal 4 5 6 2 2 2" xfId="4448" xr:uid="{00000000-0005-0000-0000-0000B3300000}"/>
    <cellStyle name="Normal 4 5 6 2 2 2 2" xfId="7676" xr:uid="{00000000-0005-0000-0000-0000B4300000}"/>
    <cellStyle name="Normal 4 5 6 2 2 2 2 2" xfId="14037" xr:uid="{00000000-0005-0000-0000-0000B5300000}"/>
    <cellStyle name="Normal 4 5 6 2 2 2 3" xfId="10858" xr:uid="{00000000-0005-0000-0000-0000B6300000}"/>
    <cellStyle name="Normal 4 5 6 2 2 3" xfId="6092" xr:uid="{00000000-0005-0000-0000-0000B7300000}"/>
    <cellStyle name="Normal 4 5 6 2 2 3 2" xfId="12453" xr:uid="{00000000-0005-0000-0000-0000B8300000}"/>
    <cellStyle name="Normal 4 5 6 2 2 4" xfId="9274" xr:uid="{00000000-0005-0000-0000-0000B9300000}"/>
    <cellStyle name="Normal 4 5 6 2 3" xfId="3656" xr:uid="{00000000-0005-0000-0000-0000BA300000}"/>
    <cellStyle name="Normal 4 5 6 2 3 2" xfId="6884" xr:uid="{00000000-0005-0000-0000-0000BB300000}"/>
    <cellStyle name="Normal 4 5 6 2 3 2 2" xfId="13245" xr:uid="{00000000-0005-0000-0000-0000BC300000}"/>
    <cellStyle name="Normal 4 5 6 2 3 3" xfId="10066" xr:uid="{00000000-0005-0000-0000-0000BD300000}"/>
    <cellStyle name="Normal 4 5 6 2 4" xfId="5300" xr:uid="{00000000-0005-0000-0000-0000BE300000}"/>
    <cellStyle name="Normal 4 5 6 2 4 2" xfId="11661" xr:uid="{00000000-0005-0000-0000-0000BF300000}"/>
    <cellStyle name="Normal 4 5 6 2 5" xfId="8482" xr:uid="{00000000-0005-0000-0000-0000C0300000}"/>
    <cellStyle name="Normal 4 5 6 3" xfId="2468" xr:uid="{00000000-0005-0000-0000-0000C1300000}"/>
    <cellStyle name="Normal 4 5 6 3 2" xfId="4052" xr:uid="{00000000-0005-0000-0000-0000C2300000}"/>
    <cellStyle name="Normal 4 5 6 3 2 2" xfId="7280" xr:uid="{00000000-0005-0000-0000-0000C3300000}"/>
    <cellStyle name="Normal 4 5 6 3 2 2 2" xfId="13641" xr:uid="{00000000-0005-0000-0000-0000C4300000}"/>
    <cellStyle name="Normal 4 5 6 3 2 3" xfId="10462" xr:uid="{00000000-0005-0000-0000-0000C5300000}"/>
    <cellStyle name="Normal 4 5 6 3 3" xfId="5696" xr:uid="{00000000-0005-0000-0000-0000C6300000}"/>
    <cellStyle name="Normal 4 5 6 3 3 2" xfId="12057" xr:uid="{00000000-0005-0000-0000-0000C7300000}"/>
    <cellStyle name="Normal 4 5 6 3 4" xfId="8878" xr:uid="{00000000-0005-0000-0000-0000C8300000}"/>
    <cellStyle name="Normal 4 5 6 4" xfId="3260" xr:uid="{00000000-0005-0000-0000-0000C9300000}"/>
    <cellStyle name="Normal 4 5 6 4 2" xfId="6488" xr:uid="{00000000-0005-0000-0000-0000CA300000}"/>
    <cellStyle name="Normal 4 5 6 4 2 2" xfId="12849" xr:uid="{00000000-0005-0000-0000-0000CB300000}"/>
    <cellStyle name="Normal 4 5 6 4 3" xfId="9670" xr:uid="{00000000-0005-0000-0000-0000CC300000}"/>
    <cellStyle name="Normal 4 5 6 5" xfId="4904" xr:uid="{00000000-0005-0000-0000-0000CD300000}"/>
    <cellStyle name="Normal 4 5 6 5 2" xfId="11265" xr:uid="{00000000-0005-0000-0000-0000CE300000}"/>
    <cellStyle name="Normal 4 5 6 6" xfId="8086" xr:uid="{00000000-0005-0000-0000-0000CF300000}"/>
    <cellStyle name="Normal 4 5 7" xfId="1874" xr:uid="{00000000-0005-0000-0000-0000D0300000}"/>
    <cellStyle name="Normal 4 5 7 2" xfId="2666" xr:uid="{00000000-0005-0000-0000-0000D1300000}"/>
    <cellStyle name="Normal 4 5 7 2 2" xfId="4250" xr:uid="{00000000-0005-0000-0000-0000D2300000}"/>
    <cellStyle name="Normal 4 5 7 2 2 2" xfId="7478" xr:uid="{00000000-0005-0000-0000-0000D3300000}"/>
    <cellStyle name="Normal 4 5 7 2 2 2 2" xfId="13839" xr:uid="{00000000-0005-0000-0000-0000D4300000}"/>
    <cellStyle name="Normal 4 5 7 2 2 3" xfId="10660" xr:uid="{00000000-0005-0000-0000-0000D5300000}"/>
    <cellStyle name="Normal 4 5 7 2 3" xfId="5894" xr:uid="{00000000-0005-0000-0000-0000D6300000}"/>
    <cellStyle name="Normal 4 5 7 2 3 2" xfId="12255" xr:uid="{00000000-0005-0000-0000-0000D7300000}"/>
    <cellStyle name="Normal 4 5 7 2 4" xfId="9076" xr:uid="{00000000-0005-0000-0000-0000D8300000}"/>
    <cellStyle name="Normal 4 5 7 3" xfId="3458" xr:uid="{00000000-0005-0000-0000-0000D9300000}"/>
    <cellStyle name="Normal 4 5 7 3 2" xfId="6686" xr:uid="{00000000-0005-0000-0000-0000DA300000}"/>
    <cellStyle name="Normal 4 5 7 3 2 2" xfId="13047" xr:uid="{00000000-0005-0000-0000-0000DB300000}"/>
    <cellStyle name="Normal 4 5 7 3 3" xfId="9868" xr:uid="{00000000-0005-0000-0000-0000DC300000}"/>
    <cellStyle name="Normal 4 5 7 4" xfId="5102" xr:uid="{00000000-0005-0000-0000-0000DD300000}"/>
    <cellStyle name="Normal 4 5 7 4 2" xfId="11463" xr:uid="{00000000-0005-0000-0000-0000DE300000}"/>
    <cellStyle name="Normal 4 5 7 5" xfId="8284" xr:uid="{00000000-0005-0000-0000-0000DF300000}"/>
    <cellStyle name="Normal 4 5 8" xfId="2270" xr:uid="{00000000-0005-0000-0000-0000E0300000}"/>
    <cellStyle name="Normal 4 5 8 2" xfId="3854" xr:uid="{00000000-0005-0000-0000-0000E1300000}"/>
    <cellStyle name="Normal 4 5 8 2 2" xfId="7082" xr:uid="{00000000-0005-0000-0000-0000E2300000}"/>
    <cellStyle name="Normal 4 5 8 2 2 2" xfId="13443" xr:uid="{00000000-0005-0000-0000-0000E3300000}"/>
    <cellStyle name="Normal 4 5 8 2 3" xfId="10264" xr:uid="{00000000-0005-0000-0000-0000E4300000}"/>
    <cellStyle name="Normal 4 5 8 3" xfId="5498" xr:uid="{00000000-0005-0000-0000-0000E5300000}"/>
    <cellStyle name="Normal 4 5 8 3 2" xfId="11859" xr:uid="{00000000-0005-0000-0000-0000E6300000}"/>
    <cellStyle name="Normal 4 5 8 4" xfId="8680" xr:uid="{00000000-0005-0000-0000-0000E7300000}"/>
    <cellStyle name="Normal 4 5 9" xfId="3062" xr:uid="{00000000-0005-0000-0000-0000E8300000}"/>
    <cellStyle name="Normal 4 5 9 2" xfId="6290" xr:uid="{00000000-0005-0000-0000-0000E9300000}"/>
    <cellStyle name="Normal 4 5 9 2 2" xfId="12651" xr:uid="{00000000-0005-0000-0000-0000EA300000}"/>
    <cellStyle name="Normal 4 5 9 3" xfId="9472" xr:uid="{00000000-0005-0000-0000-0000EB300000}"/>
    <cellStyle name="Normal 4 6" xfId="1439" xr:uid="{00000000-0005-0000-0000-0000EC300000}"/>
    <cellStyle name="Normal 4 6 10" xfId="7896" xr:uid="{00000000-0005-0000-0000-0000ED300000}"/>
    <cellStyle name="Normal 4 6 2" xfId="1471" xr:uid="{00000000-0005-0000-0000-0000EE300000}"/>
    <cellStyle name="Normal 4 6 2 2" xfId="1583" xr:uid="{00000000-0005-0000-0000-0000EF300000}"/>
    <cellStyle name="Normal 4 6 2 2 2" xfId="1781" xr:uid="{00000000-0005-0000-0000-0000F0300000}"/>
    <cellStyle name="Normal 4 6 2 2 2 2" xfId="2177" xr:uid="{00000000-0005-0000-0000-0000F1300000}"/>
    <cellStyle name="Normal 4 6 2 2 2 2 2" xfId="2969" xr:uid="{00000000-0005-0000-0000-0000F2300000}"/>
    <cellStyle name="Normal 4 6 2 2 2 2 2 2" xfId="4553" xr:uid="{00000000-0005-0000-0000-0000F3300000}"/>
    <cellStyle name="Normal 4 6 2 2 2 2 2 2 2" xfId="7781" xr:uid="{00000000-0005-0000-0000-0000F4300000}"/>
    <cellStyle name="Normal 4 6 2 2 2 2 2 2 2 2" xfId="14142" xr:uid="{00000000-0005-0000-0000-0000F5300000}"/>
    <cellStyle name="Normal 4 6 2 2 2 2 2 2 3" xfId="10963" xr:uid="{00000000-0005-0000-0000-0000F6300000}"/>
    <cellStyle name="Normal 4 6 2 2 2 2 2 3" xfId="6197" xr:uid="{00000000-0005-0000-0000-0000F7300000}"/>
    <cellStyle name="Normal 4 6 2 2 2 2 2 3 2" xfId="12558" xr:uid="{00000000-0005-0000-0000-0000F8300000}"/>
    <cellStyle name="Normal 4 6 2 2 2 2 2 4" xfId="9379" xr:uid="{00000000-0005-0000-0000-0000F9300000}"/>
    <cellStyle name="Normal 4 6 2 2 2 2 3" xfId="3761" xr:uid="{00000000-0005-0000-0000-0000FA300000}"/>
    <cellStyle name="Normal 4 6 2 2 2 2 3 2" xfId="6989" xr:uid="{00000000-0005-0000-0000-0000FB300000}"/>
    <cellStyle name="Normal 4 6 2 2 2 2 3 2 2" xfId="13350" xr:uid="{00000000-0005-0000-0000-0000FC300000}"/>
    <cellStyle name="Normal 4 6 2 2 2 2 3 3" xfId="10171" xr:uid="{00000000-0005-0000-0000-0000FD300000}"/>
    <cellStyle name="Normal 4 6 2 2 2 2 4" xfId="5405" xr:uid="{00000000-0005-0000-0000-0000FE300000}"/>
    <cellStyle name="Normal 4 6 2 2 2 2 4 2" xfId="11766" xr:uid="{00000000-0005-0000-0000-0000FF300000}"/>
    <cellStyle name="Normal 4 6 2 2 2 2 5" xfId="8587" xr:uid="{00000000-0005-0000-0000-000000310000}"/>
    <cellStyle name="Normal 4 6 2 2 2 3" xfId="2573" xr:uid="{00000000-0005-0000-0000-000001310000}"/>
    <cellStyle name="Normal 4 6 2 2 2 3 2" xfId="4157" xr:uid="{00000000-0005-0000-0000-000002310000}"/>
    <cellStyle name="Normal 4 6 2 2 2 3 2 2" xfId="7385" xr:uid="{00000000-0005-0000-0000-000003310000}"/>
    <cellStyle name="Normal 4 6 2 2 2 3 2 2 2" xfId="13746" xr:uid="{00000000-0005-0000-0000-000004310000}"/>
    <cellStyle name="Normal 4 6 2 2 2 3 2 3" xfId="10567" xr:uid="{00000000-0005-0000-0000-000005310000}"/>
    <cellStyle name="Normal 4 6 2 2 2 3 3" xfId="5801" xr:uid="{00000000-0005-0000-0000-000006310000}"/>
    <cellStyle name="Normal 4 6 2 2 2 3 3 2" xfId="12162" xr:uid="{00000000-0005-0000-0000-000007310000}"/>
    <cellStyle name="Normal 4 6 2 2 2 3 4" xfId="8983" xr:uid="{00000000-0005-0000-0000-000008310000}"/>
    <cellStyle name="Normal 4 6 2 2 2 4" xfId="3365" xr:uid="{00000000-0005-0000-0000-000009310000}"/>
    <cellStyle name="Normal 4 6 2 2 2 4 2" xfId="6593" xr:uid="{00000000-0005-0000-0000-00000A310000}"/>
    <cellStyle name="Normal 4 6 2 2 2 4 2 2" xfId="12954" xr:uid="{00000000-0005-0000-0000-00000B310000}"/>
    <cellStyle name="Normal 4 6 2 2 2 4 3" xfId="9775" xr:uid="{00000000-0005-0000-0000-00000C310000}"/>
    <cellStyle name="Normal 4 6 2 2 2 5" xfId="5009" xr:uid="{00000000-0005-0000-0000-00000D310000}"/>
    <cellStyle name="Normal 4 6 2 2 2 5 2" xfId="11370" xr:uid="{00000000-0005-0000-0000-00000E310000}"/>
    <cellStyle name="Normal 4 6 2 2 2 6" xfId="8191" xr:uid="{00000000-0005-0000-0000-00000F310000}"/>
    <cellStyle name="Normal 4 6 2 2 3" xfId="1979" xr:uid="{00000000-0005-0000-0000-000010310000}"/>
    <cellStyle name="Normal 4 6 2 2 3 2" xfId="2771" xr:uid="{00000000-0005-0000-0000-000011310000}"/>
    <cellStyle name="Normal 4 6 2 2 3 2 2" xfId="4355" xr:uid="{00000000-0005-0000-0000-000012310000}"/>
    <cellStyle name="Normal 4 6 2 2 3 2 2 2" xfId="7583" xr:uid="{00000000-0005-0000-0000-000013310000}"/>
    <cellStyle name="Normal 4 6 2 2 3 2 2 2 2" xfId="13944" xr:uid="{00000000-0005-0000-0000-000014310000}"/>
    <cellStyle name="Normal 4 6 2 2 3 2 2 3" xfId="10765" xr:uid="{00000000-0005-0000-0000-000015310000}"/>
    <cellStyle name="Normal 4 6 2 2 3 2 3" xfId="5999" xr:uid="{00000000-0005-0000-0000-000016310000}"/>
    <cellStyle name="Normal 4 6 2 2 3 2 3 2" xfId="12360" xr:uid="{00000000-0005-0000-0000-000017310000}"/>
    <cellStyle name="Normal 4 6 2 2 3 2 4" xfId="9181" xr:uid="{00000000-0005-0000-0000-000018310000}"/>
    <cellStyle name="Normal 4 6 2 2 3 3" xfId="3563" xr:uid="{00000000-0005-0000-0000-000019310000}"/>
    <cellStyle name="Normal 4 6 2 2 3 3 2" xfId="6791" xr:uid="{00000000-0005-0000-0000-00001A310000}"/>
    <cellStyle name="Normal 4 6 2 2 3 3 2 2" xfId="13152" xr:uid="{00000000-0005-0000-0000-00001B310000}"/>
    <cellStyle name="Normal 4 6 2 2 3 3 3" xfId="9973" xr:uid="{00000000-0005-0000-0000-00001C310000}"/>
    <cellStyle name="Normal 4 6 2 2 3 4" xfId="5207" xr:uid="{00000000-0005-0000-0000-00001D310000}"/>
    <cellStyle name="Normal 4 6 2 2 3 4 2" xfId="11568" xr:uid="{00000000-0005-0000-0000-00001E310000}"/>
    <cellStyle name="Normal 4 6 2 2 3 5" xfId="8389" xr:uid="{00000000-0005-0000-0000-00001F310000}"/>
    <cellStyle name="Normal 4 6 2 2 4" xfId="2375" xr:uid="{00000000-0005-0000-0000-000020310000}"/>
    <cellStyle name="Normal 4 6 2 2 4 2" xfId="3959" xr:uid="{00000000-0005-0000-0000-000021310000}"/>
    <cellStyle name="Normal 4 6 2 2 4 2 2" xfId="7187" xr:uid="{00000000-0005-0000-0000-000022310000}"/>
    <cellStyle name="Normal 4 6 2 2 4 2 2 2" xfId="13548" xr:uid="{00000000-0005-0000-0000-000023310000}"/>
    <cellStyle name="Normal 4 6 2 2 4 2 3" xfId="10369" xr:uid="{00000000-0005-0000-0000-000024310000}"/>
    <cellStyle name="Normal 4 6 2 2 4 3" xfId="5603" xr:uid="{00000000-0005-0000-0000-000025310000}"/>
    <cellStyle name="Normal 4 6 2 2 4 3 2" xfId="11964" xr:uid="{00000000-0005-0000-0000-000026310000}"/>
    <cellStyle name="Normal 4 6 2 2 4 4" xfId="8785" xr:uid="{00000000-0005-0000-0000-000027310000}"/>
    <cellStyle name="Normal 4 6 2 2 5" xfId="3167" xr:uid="{00000000-0005-0000-0000-000028310000}"/>
    <cellStyle name="Normal 4 6 2 2 5 2" xfId="6395" xr:uid="{00000000-0005-0000-0000-000029310000}"/>
    <cellStyle name="Normal 4 6 2 2 5 2 2" xfId="12756" xr:uid="{00000000-0005-0000-0000-00002A310000}"/>
    <cellStyle name="Normal 4 6 2 2 5 3" xfId="9577" xr:uid="{00000000-0005-0000-0000-00002B310000}"/>
    <cellStyle name="Normal 4 6 2 2 6" xfId="4811" xr:uid="{00000000-0005-0000-0000-00002C310000}"/>
    <cellStyle name="Normal 4 6 2 2 6 2" xfId="11172" xr:uid="{00000000-0005-0000-0000-00002D310000}"/>
    <cellStyle name="Normal 4 6 2 2 7" xfId="7993" xr:uid="{00000000-0005-0000-0000-00002E310000}"/>
    <cellStyle name="Normal 4 6 2 3" xfId="1651" xr:uid="{00000000-0005-0000-0000-00002F310000}"/>
    <cellStyle name="Normal 4 6 2 3 2" xfId="1849" xr:uid="{00000000-0005-0000-0000-000030310000}"/>
    <cellStyle name="Normal 4 6 2 3 2 2" xfId="2245" xr:uid="{00000000-0005-0000-0000-000031310000}"/>
    <cellStyle name="Normal 4 6 2 3 2 2 2" xfId="3037" xr:uid="{00000000-0005-0000-0000-000032310000}"/>
    <cellStyle name="Normal 4 6 2 3 2 2 2 2" xfId="4621" xr:uid="{00000000-0005-0000-0000-000033310000}"/>
    <cellStyle name="Normal 4 6 2 3 2 2 2 2 2" xfId="7849" xr:uid="{00000000-0005-0000-0000-000034310000}"/>
    <cellStyle name="Normal 4 6 2 3 2 2 2 2 2 2" xfId="14210" xr:uid="{00000000-0005-0000-0000-000035310000}"/>
    <cellStyle name="Normal 4 6 2 3 2 2 2 2 3" xfId="11031" xr:uid="{00000000-0005-0000-0000-000036310000}"/>
    <cellStyle name="Normal 4 6 2 3 2 2 2 3" xfId="6265" xr:uid="{00000000-0005-0000-0000-000037310000}"/>
    <cellStyle name="Normal 4 6 2 3 2 2 2 3 2" xfId="12626" xr:uid="{00000000-0005-0000-0000-000038310000}"/>
    <cellStyle name="Normal 4 6 2 3 2 2 2 4" xfId="9447" xr:uid="{00000000-0005-0000-0000-000039310000}"/>
    <cellStyle name="Normal 4 6 2 3 2 2 3" xfId="3829" xr:uid="{00000000-0005-0000-0000-00003A310000}"/>
    <cellStyle name="Normal 4 6 2 3 2 2 3 2" xfId="7057" xr:uid="{00000000-0005-0000-0000-00003B310000}"/>
    <cellStyle name="Normal 4 6 2 3 2 2 3 2 2" xfId="13418" xr:uid="{00000000-0005-0000-0000-00003C310000}"/>
    <cellStyle name="Normal 4 6 2 3 2 2 3 3" xfId="10239" xr:uid="{00000000-0005-0000-0000-00003D310000}"/>
    <cellStyle name="Normal 4 6 2 3 2 2 4" xfId="5473" xr:uid="{00000000-0005-0000-0000-00003E310000}"/>
    <cellStyle name="Normal 4 6 2 3 2 2 4 2" xfId="11834" xr:uid="{00000000-0005-0000-0000-00003F310000}"/>
    <cellStyle name="Normal 4 6 2 3 2 2 5" xfId="8655" xr:uid="{00000000-0005-0000-0000-000040310000}"/>
    <cellStyle name="Normal 4 6 2 3 2 3" xfId="2641" xr:uid="{00000000-0005-0000-0000-000041310000}"/>
    <cellStyle name="Normal 4 6 2 3 2 3 2" xfId="4225" xr:uid="{00000000-0005-0000-0000-000042310000}"/>
    <cellStyle name="Normal 4 6 2 3 2 3 2 2" xfId="7453" xr:uid="{00000000-0005-0000-0000-000043310000}"/>
    <cellStyle name="Normal 4 6 2 3 2 3 2 2 2" xfId="13814" xr:uid="{00000000-0005-0000-0000-000044310000}"/>
    <cellStyle name="Normal 4 6 2 3 2 3 2 3" xfId="10635" xr:uid="{00000000-0005-0000-0000-000045310000}"/>
    <cellStyle name="Normal 4 6 2 3 2 3 3" xfId="5869" xr:uid="{00000000-0005-0000-0000-000046310000}"/>
    <cellStyle name="Normal 4 6 2 3 2 3 3 2" xfId="12230" xr:uid="{00000000-0005-0000-0000-000047310000}"/>
    <cellStyle name="Normal 4 6 2 3 2 3 4" xfId="9051" xr:uid="{00000000-0005-0000-0000-000048310000}"/>
    <cellStyle name="Normal 4 6 2 3 2 4" xfId="3433" xr:uid="{00000000-0005-0000-0000-000049310000}"/>
    <cellStyle name="Normal 4 6 2 3 2 4 2" xfId="6661" xr:uid="{00000000-0005-0000-0000-00004A310000}"/>
    <cellStyle name="Normal 4 6 2 3 2 4 2 2" xfId="13022" xr:uid="{00000000-0005-0000-0000-00004B310000}"/>
    <cellStyle name="Normal 4 6 2 3 2 4 3" xfId="9843" xr:uid="{00000000-0005-0000-0000-00004C310000}"/>
    <cellStyle name="Normal 4 6 2 3 2 5" xfId="5077" xr:uid="{00000000-0005-0000-0000-00004D310000}"/>
    <cellStyle name="Normal 4 6 2 3 2 5 2" xfId="11438" xr:uid="{00000000-0005-0000-0000-00004E310000}"/>
    <cellStyle name="Normal 4 6 2 3 2 6" xfId="8259" xr:uid="{00000000-0005-0000-0000-00004F310000}"/>
    <cellStyle name="Normal 4 6 2 3 3" xfId="2047" xr:uid="{00000000-0005-0000-0000-000050310000}"/>
    <cellStyle name="Normal 4 6 2 3 3 2" xfId="2839" xr:uid="{00000000-0005-0000-0000-000051310000}"/>
    <cellStyle name="Normal 4 6 2 3 3 2 2" xfId="4423" xr:uid="{00000000-0005-0000-0000-000052310000}"/>
    <cellStyle name="Normal 4 6 2 3 3 2 2 2" xfId="7651" xr:uid="{00000000-0005-0000-0000-000053310000}"/>
    <cellStyle name="Normal 4 6 2 3 3 2 2 2 2" xfId="14012" xr:uid="{00000000-0005-0000-0000-000054310000}"/>
    <cellStyle name="Normal 4 6 2 3 3 2 2 3" xfId="10833" xr:uid="{00000000-0005-0000-0000-000055310000}"/>
    <cellStyle name="Normal 4 6 2 3 3 2 3" xfId="6067" xr:uid="{00000000-0005-0000-0000-000056310000}"/>
    <cellStyle name="Normal 4 6 2 3 3 2 3 2" xfId="12428" xr:uid="{00000000-0005-0000-0000-000057310000}"/>
    <cellStyle name="Normal 4 6 2 3 3 2 4" xfId="9249" xr:uid="{00000000-0005-0000-0000-000058310000}"/>
    <cellStyle name="Normal 4 6 2 3 3 3" xfId="3631" xr:uid="{00000000-0005-0000-0000-000059310000}"/>
    <cellStyle name="Normal 4 6 2 3 3 3 2" xfId="6859" xr:uid="{00000000-0005-0000-0000-00005A310000}"/>
    <cellStyle name="Normal 4 6 2 3 3 3 2 2" xfId="13220" xr:uid="{00000000-0005-0000-0000-00005B310000}"/>
    <cellStyle name="Normal 4 6 2 3 3 3 3" xfId="10041" xr:uid="{00000000-0005-0000-0000-00005C310000}"/>
    <cellStyle name="Normal 4 6 2 3 3 4" xfId="5275" xr:uid="{00000000-0005-0000-0000-00005D310000}"/>
    <cellStyle name="Normal 4 6 2 3 3 4 2" xfId="11636" xr:uid="{00000000-0005-0000-0000-00005E310000}"/>
    <cellStyle name="Normal 4 6 2 3 3 5" xfId="8457" xr:uid="{00000000-0005-0000-0000-00005F310000}"/>
    <cellStyle name="Normal 4 6 2 3 4" xfId="2443" xr:uid="{00000000-0005-0000-0000-000060310000}"/>
    <cellStyle name="Normal 4 6 2 3 4 2" xfId="4027" xr:uid="{00000000-0005-0000-0000-000061310000}"/>
    <cellStyle name="Normal 4 6 2 3 4 2 2" xfId="7255" xr:uid="{00000000-0005-0000-0000-000062310000}"/>
    <cellStyle name="Normal 4 6 2 3 4 2 2 2" xfId="13616" xr:uid="{00000000-0005-0000-0000-000063310000}"/>
    <cellStyle name="Normal 4 6 2 3 4 2 3" xfId="10437" xr:uid="{00000000-0005-0000-0000-000064310000}"/>
    <cellStyle name="Normal 4 6 2 3 4 3" xfId="5671" xr:uid="{00000000-0005-0000-0000-000065310000}"/>
    <cellStyle name="Normal 4 6 2 3 4 3 2" xfId="12032" xr:uid="{00000000-0005-0000-0000-000066310000}"/>
    <cellStyle name="Normal 4 6 2 3 4 4" xfId="8853" xr:uid="{00000000-0005-0000-0000-000067310000}"/>
    <cellStyle name="Normal 4 6 2 3 5" xfId="3235" xr:uid="{00000000-0005-0000-0000-000068310000}"/>
    <cellStyle name="Normal 4 6 2 3 5 2" xfId="6463" xr:uid="{00000000-0005-0000-0000-000069310000}"/>
    <cellStyle name="Normal 4 6 2 3 5 2 2" xfId="12824" xr:uid="{00000000-0005-0000-0000-00006A310000}"/>
    <cellStyle name="Normal 4 6 2 3 5 3" xfId="9645" xr:uid="{00000000-0005-0000-0000-00006B310000}"/>
    <cellStyle name="Normal 4 6 2 3 6" xfId="4879" xr:uid="{00000000-0005-0000-0000-00006C310000}"/>
    <cellStyle name="Normal 4 6 2 3 6 2" xfId="11240" xr:uid="{00000000-0005-0000-0000-00006D310000}"/>
    <cellStyle name="Normal 4 6 2 3 7" xfId="8061" xr:uid="{00000000-0005-0000-0000-00006E310000}"/>
    <cellStyle name="Normal 4 6 2 4" xfId="1716" xr:uid="{00000000-0005-0000-0000-00006F310000}"/>
    <cellStyle name="Normal 4 6 2 4 2" xfId="2112" xr:uid="{00000000-0005-0000-0000-000070310000}"/>
    <cellStyle name="Normal 4 6 2 4 2 2" xfId="2904" xr:uid="{00000000-0005-0000-0000-000071310000}"/>
    <cellStyle name="Normal 4 6 2 4 2 2 2" xfId="4488" xr:uid="{00000000-0005-0000-0000-000072310000}"/>
    <cellStyle name="Normal 4 6 2 4 2 2 2 2" xfId="7716" xr:uid="{00000000-0005-0000-0000-000073310000}"/>
    <cellStyle name="Normal 4 6 2 4 2 2 2 2 2" xfId="14077" xr:uid="{00000000-0005-0000-0000-000074310000}"/>
    <cellStyle name="Normal 4 6 2 4 2 2 2 3" xfId="10898" xr:uid="{00000000-0005-0000-0000-000075310000}"/>
    <cellStyle name="Normal 4 6 2 4 2 2 3" xfId="6132" xr:uid="{00000000-0005-0000-0000-000076310000}"/>
    <cellStyle name="Normal 4 6 2 4 2 2 3 2" xfId="12493" xr:uid="{00000000-0005-0000-0000-000077310000}"/>
    <cellStyle name="Normal 4 6 2 4 2 2 4" xfId="9314" xr:uid="{00000000-0005-0000-0000-000078310000}"/>
    <cellStyle name="Normal 4 6 2 4 2 3" xfId="3696" xr:uid="{00000000-0005-0000-0000-000079310000}"/>
    <cellStyle name="Normal 4 6 2 4 2 3 2" xfId="6924" xr:uid="{00000000-0005-0000-0000-00007A310000}"/>
    <cellStyle name="Normal 4 6 2 4 2 3 2 2" xfId="13285" xr:uid="{00000000-0005-0000-0000-00007B310000}"/>
    <cellStyle name="Normal 4 6 2 4 2 3 3" xfId="10106" xr:uid="{00000000-0005-0000-0000-00007C310000}"/>
    <cellStyle name="Normal 4 6 2 4 2 4" xfId="5340" xr:uid="{00000000-0005-0000-0000-00007D310000}"/>
    <cellStyle name="Normal 4 6 2 4 2 4 2" xfId="11701" xr:uid="{00000000-0005-0000-0000-00007E310000}"/>
    <cellStyle name="Normal 4 6 2 4 2 5" xfId="8522" xr:uid="{00000000-0005-0000-0000-00007F310000}"/>
    <cellStyle name="Normal 4 6 2 4 3" xfId="2508" xr:uid="{00000000-0005-0000-0000-000080310000}"/>
    <cellStyle name="Normal 4 6 2 4 3 2" xfId="4092" xr:uid="{00000000-0005-0000-0000-000081310000}"/>
    <cellStyle name="Normal 4 6 2 4 3 2 2" xfId="7320" xr:uid="{00000000-0005-0000-0000-000082310000}"/>
    <cellStyle name="Normal 4 6 2 4 3 2 2 2" xfId="13681" xr:uid="{00000000-0005-0000-0000-000083310000}"/>
    <cellStyle name="Normal 4 6 2 4 3 2 3" xfId="10502" xr:uid="{00000000-0005-0000-0000-000084310000}"/>
    <cellStyle name="Normal 4 6 2 4 3 3" xfId="5736" xr:uid="{00000000-0005-0000-0000-000085310000}"/>
    <cellStyle name="Normal 4 6 2 4 3 3 2" xfId="12097" xr:uid="{00000000-0005-0000-0000-000086310000}"/>
    <cellStyle name="Normal 4 6 2 4 3 4" xfId="8918" xr:uid="{00000000-0005-0000-0000-000087310000}"/>
    <cellStyle name="Normal 4 6 2 4 4" xfId="3300" xr:uid="{00000000-0005-0000-0000-000088310000}"/>
    <cellStyle name="Normal 4 6 2 4 4 2" xfId="6528" xr:uid="{00000000-0005-0000-0000-000089310000}"/>
    <cellStyle name="Normal 4 6 2 4 4 2 2" xfId="12889" xr:uid="{00000000-0005-0000-0000-00008A310000}"/>
    <cellStyle name="Normal 4 6 2 4 4 3" xfId="9710" xr:uid="{00000000-0005-0000-0000-00008B310000}"/>
    <cellStyle name="Normal 4 6 2 4 5" xfId="4944" xr:uid="{00000000-0005-0000-0000-00008C310000}"/>
    <cellStyle name="Normal 4 6 2 4 5 2" xfId="11305" xr:uid="{00000000-0005-0000-0000-00008D310000}"/>
    <cellStyle name="Normal 4 6 2 4 6" xfId="8126" xr:uid="{00000000-0005-0000-0000-00008E310000}"/>
    <cellStyle name="Normal 4 6 2 5" xfId="1914" xr:uid="{00000000-0005-0000-0000-00008F310000}"/>
    <cellStyle name="Normal 4 6 2 5 2" xfId="2706" xr:uid="{00000000-0005-0000-0000-000090310000}"/>
    <cellStyle name="Normal 4 6 2 5 2 2" xfId="4290" xr:uid="{00000000-0005-0000-0000-000091310000}"/>
    <cellStyle name="Normal 4 6 2 5 2 2 2" xfId="7518" xr:uid="{00000000-0005-0000-0000-000092310000}"/>
    <cellStyle name="Normal 4 6 2 5 2 2 2 2" xfId="13879" xr:uid="{00000000-0005-0000-0000-000093310000}"/>
    <cellStyle name="Normal 4 6 2 5 2 2 3" xfId="10700" xr:uid="{00000000-0005-0000-0000-000094310000}"/>
    <cellStyle name="Normal 4 6 2 5 2 3" xfId="5934" xr:uid="{00000000-0005-0000-0000-000095310000}"/>
    <cellStyle name="Normal 4 6 2 5 2 3 2" xfId="12295" xr:uid="{00000000-0005-0000-0000-000096310000}"/>
    <cellStyle name="Normal 4 6 2 5 2 4" xfId="9116" xr:uid="{00000000-0005-0000-0000-000097310000}"/>
    <cellStyle name="Normal 4 6 2 5 3" xfId="3498" xr:uid="{00000000-0005-0000-0000-000098310000}"/>
    <cellStyle name="Normal 4 6 2 5 3 2" xfId="6726" xr:uid="{00000000-0005-0000-0000-000099310000}"/>
    <cellStyle name="Normal 4 6 2 5 3 2 2" xfId="13087" xr:uid="{00000000-0005-0000-0000-00009A310000}"/>
    <cellStyle name="Normal 4 6 2 5 3 3" xfId="9908" xr:uid="{00000000-0005-0000-0000-00009B310000}"/>
    <cellStyle name="Normal 4 6 2 5 4" xfId="5142" xr:uid="{00000000-0005-0000-0000-00009C310000}"/>
    <cellStyle name="Normal 4 6 2 5 4 2" xfId="11503" xr:uid="{00000000-0005-0000-0000-00009D310000}"/>
    <cellStyle name="Normal 4 6 2 5 5" xfId="8324" xr:uid="{00000000-0005-0000-0000-00009E310000}"/>
    <cellStyle name="Normal 4 6 2 6" xfId="2310" xr:uid="{00000000-0005-0000-0000-00009F310000}"/>
    <cellStyle name="Normal 4 6 2 6 2" xfId="3894" xr:uid="{00000000-0005-0000-0000-0000A0310000}"/>
    <cellStyle name="Normal 4 6 2 6 2 2" xfId="7122" xr:uid="{00000000-0005-0000-0000-0000A1310000}"/>
    <cellStyle name="Normal 4 6 2 6 2 2 2" xfId="13483" xr:uid="{00000000-0005-0000-0000-0000A2310000}"/>
    <cellStyle name="Normal 4 6 2 6 2 3" xfId="10304" xr:uid="{00000000-0005-0000-0000-0000A3310000}"/>
    <cellStyle name="Normal 4 6 2 6 3" xfId="5538" xr:uid="{00000000-0005-0000-0000-0000A4310000}"/>
    <cellStyle name="Normal 4 6 2 6 3 2" xfId="11899" xr:uid="{00000000-0005-0000-0000-0000A5310000}"/>
    <cellStyle name="Normal 4 6 2 6 4" xfId="8720" xr:uid="{00000000-0005-0000-0000-0000A6310000}"/>
    <cellStyle name="Normal 4 6 2 7" xfId="3102" xr:uid="{00000000-0005-0000-0000-0000A7310000}"/>
    <cellStyle name="Normal 4 6 2 7 2" xfId="6330" xr:uid="{00000000-0005-0000-0000-0000A8310000}"/>
    <cellStyle name="Normal 4 6 2 7 2 2" xfId="12691" xr:uid="{00000000-0005-0000-0000-0000A9310000}"/>
    <cellStyle name="Normal 4 6 2 7 3" xfId="9512" xr:uid="{00000000-0005-0000-0000-0000AA310000}"/>
    <cellStyle name="Normal 4 6 2 8" xfId="4746" xr:uid="{00000000-0005-0000-0000-0000AB310000}"/>
    <cellStyle name="Normal 4 6 2 8 2" xfId="11107" xr:uid="{00000000-0005-0000-0000-0000AC310000}"/>
    <cellStyle name="Normal 4 6 2 9" xfId="7928" xr:uid="{00000000-0005-0000-0000-0000AD310000}"/>
    <cellStyle name="Normal 4 6 3" xfId="1551" xr:uid="{00000000-0005-0000-0000-0000AE310000}"/>
    <cellStyle name="Normal 4 6 3 2" xfId="1749" xr:uid="{00000000-0005-0000-0000-0000AF310000}"/>
    <cellStyle name="Normal 4 6 3 2 2" xfId="2145" xr:uid="{00000000-0005-0000-0000-0000B0310000}"/>
    <cellStyle name="Normal 4 6 3 2 2 2" xfId="2937" xr:uid="{00000000-0005-0000-0000-0000B1310000}"/>
    <cellStyle name="Normal 4 6 3 2 2 2 2" xfId="4521" xr:uid="{00000000-0005-0000-0000-0000B2310000}"/>
    <cellStyle name="Normal 4 6 3 2 2 2 2 2" xfId="7749" xr:uid="{00000000-0005-0000-0000-0000B3310000}"/>
    <cellStyle name="Normal 4 6 3 2 2 2 2 2 2" xfId="14110" xr:uid="{00000000-0005-0000-0000-0000B4310000}"/>
    <cellStyle name="Normal 4 6 3 2 2 2 2 3" xfId="10931" xr:uid="{00000000-0005-0000-0000-0000B5310000}"/>
    <cellStyle name="Normal 4 6 3 2 2 2 3" xfId="6165" xr:uid="{00000000-0005-0000-0000-0000B6310000}"/>
    <cellStyle name="Normal 4 6 3 2 2 2 3 2" xfId="12526" xr:uid="{00000000-0005-0000-0000-0000B7310000}"/>
    <cellStyle name="Normal 4 6 3 2 2 2 4" xfId="9347" xr:uid="{00000000-0005-0000-0000-0000B8310000}"/>
    <cellStyle name="Normal 4 6 3 2 2 3" xfId="3729" xr:uid="{00000000-0005-0000-0000-0000B9310000}"/>
    <cellStyle name="Normal 4 6 3 2 2 3 2" xfId="6957" xr:uid="{00000000-0005-0000-0000-0000BA310000}"/>
    <cellStyle name="Normal 4 6 3 2 2 3 2 2" xfId="13318" xr:uid="{00000000-0005-0000-0000-0000BB310000}"/>
    <cellStyle name="Normal 4 6 3 2 2 3 3" xfId="10139" xr:uid="{00000000-0005-0000-0000-0000BC310000}"/>
    <cellStyle name="Normal 4 6 3 2 2 4" xfId="5373" xr:uid="{00000000-0005-0000-0000-0000BD310000}"/>
    <cellStyle name="Normal 4 6 3 2 2 4 2" xfId="11734" xr:uid="{00000000-0005-0000-0000-0000BE310000}"/>
    <cellStyle name="Normal 4 6 3 2 2 5" xfId="8555" xr:uid="{00000000-0005-0000-0000-0000BF310000}"/>
    <cellStyle name="Normal 4 6 3 2 3" xfId="2541" xr:uid="{00000000-0005-0000-0000-0000C0310000}"/>
    <cellStyle name="Normal 4 6 3 2 3 2" xfId="4125" xr:uid="{00000000-0005-0000-0000-0000C1310000}"/>
    <cellStyle name="Normal 4 6 3 2 3 2 2" xfId="7353" xr:uid="{00000000-0005-0000-0000-0000C2310000}"/>
    <cellStyle name="Normal 4 6 3 2 3 2 2 2" xfId="13714" xr:uid="{00000000-0005-0000-0000-0000C3310000}"/>
    <cellStyle name="Normal 4 6 3 2 3 2 3" xfId="10535" xr:uid="{00000000-0005-0000-0000-0000C4310000}"/>
    <cellStyle name="Normal 4 6 3 2 3 3" xfId="5769" xr:uid="{00000000-0005-0000-0000-0000C5310000}"/>
    <cellStyle name="Normal 4 6 3 2 3 3 2" xfId="12130" xr:uid="{00000000-0005-0000-0000-0000C6310000}"/>
    <cellStyle name="Normal 4 6 3 2 3 4" xfId="8951" xr:uid="{00000000-0005-0000-0000-0000C7310000}"/>
    <cellStyle name="Normal 4 6 3 2 4" xfId="3333" xr:uid="{00000000-0005-0000-0000-0000C8310000}"/>
    <cellStyle name="Normal 4 6 3 2 4 2" xfId="6561" xr:uid="{00000000-0005-0000-0000-0000C9310000}"/>
    <cellStyle name="Normal 4 6 3 2 4 2 2" xfId="12922" xr:uid="{00000000-0005-0000-0000-0000CA310000}"/>
    <cellStyle name="Normal 4 6 3 2 4 3" xfId="9743" xr:uid="{00000000-0005-0000-0000-0000CB310000}"/>
    <cellStyle name="Normal 4 6 3 2 5" xfId="4977" xr:uid="{00000000-0005-0000-0000-0000CC310000}"/>
    <cellStyle name="Normal 4 6 3 2 5 2" xfId="11338" xr:uid="{00000000-0005-0000-0000-0000CD310000}"/>
    <cellStyle name="Normal 4 6 3 2 6" xfId="8159" xr:uid="{00000000-0005-0000-0000-0000CE310000}"/>
    <cellStyle name="Normal 4 6 3 3" xfId="1947" xr:uid="{00000000-0005-0000-0000-0000CF310000}"/>
    <cellStyle name="Normal 4 6 3 3 2" xfId="2739" xr:uid="{00000000-0005-0000-0000-0000D0310000}"/>
    <cellStyle name="Normal 4 6 3 3 2 2" xfId="4323" xr:uid="{00000000-0005-0000-0000-0000D1310000}"/>
    <cellStyle name="Normal 4 6 3 3 2 2 2" xfId="7551" xr:uid="{00000000-0005-0000-0000-0000D2310000}"/>
    <cellStyle name="Normal 4 6 3 3 2 2 2 2" xfId="13912" xr:uid="{00000000-0005-0000-0000-0000D3310000}"/>
    <cellStyle name="Normal 4 6 3 3 2 2 3" xfId="10733" xr:uid="{00000000-0005-0000-0000-0000D4310000}"/>
    <cellStyle name="Normal 4 6 3 3 2 3" xfId="5967" xr:uid="{00000000-0005-0000-0000-0000D5310000}"/>
    <cellStyle name="Normal 4 6 3 3 2 3 2" xfId="12328" xr:uid="{00000000-0005-0000-0000-0000D6310000}"/>
    <cellStyle name="Normal 4 6 3 3 2 4" xfId="9149" xr:uid="{00000000-0005-0000-0000-0000D7310000}"/>
    <cellStyle name="Normal 4 6 3 3 3" xfId="3531" xr:uid="{00000000-0005-0000-0000-0000D8310000}"/>
    <cellStyle name="Normal 4 6 3 3 3 2" xfId="6759" xr:uid="{00000000-0005-0000-0000-0000D9310000}"/>
    <cellStyle name="Normal 4 6 3 3 3 2 2" xfId="13120" xr:uid="{00000000-0005-0000-0000-0000DA310000}"/>
    <cellStyle name="Normal 4 6 3 3 3 3" xfId="9941" xr:uid="{00000000-0005-0000-0000-0000DB310000}"/>
    <cellStyle name="Normal 4 6 3 3 4" xfId="5175" xr:uid="{00000000-0005-0000-0000-0000DC310000}"/>
    <cellStyle name="Normal 4 6 3 3 4 2" xfId="11536" xr:uid="{00000000-0005-0000-0000-0000DD310000}"/>
    <cellStyle name="Normal 4 6 3 3 5" xfId="8357" xr:uid="{00000000-0005-0000-0000-0000DE310000}"/>
    <cellStyle name="Normal 4 6 3 4" xfId="2343" xr:uid="{00000000-0005-0000-0000-0000DF310000}"/>
    <cellStyle name="Normal 4 6 3 4 2" xfId="3927" xr:uid="{00000000-0005-0000-0000-0000E0310000}"/>
    <cellStyle name="Normal 4 6 3 4 2 2" xfId="7155" xr:uid="{00000000-0005-0000-0000-0000E1310000}"/>
    <cellStyle name="Normal 4 6 3 4 2 2 2" xfId="13516" xr:uid="{00000000-0005-0000-0000-0000E2310000}"/>
    <cellStyle name="Normal 4 6 3 4 2 3" xfId="10337" xr:uid="{00000000-0005-0000-0000-0000E3310000}"/>
    <cellStyle name="Normal 4 6 3 4 3" xfId="5571" xr:uid="{00000000-0005-0000-0000-0000E4310000}"/>
    <cellStyle name="Normal 4 6 3 4 3 2" xfId="11932" xr:uid="{00000000-0005-0000-0000-0000E5310000}"/>
    <cellStyle name="Normal 4 6 3 4 4" xfId="8753" xr:uid="{00000000-0005-0000-0000-0000E6310000}"/>
    <cellStyle name="Normal 4 6 3 5" xfId="3135" xr:uid="{00000000-0005-0000-0000-0000E7310000}"/>
    <cellStyle name="Normal 4 6 3 5 2" xfId="6363" xr:uid="{00000000-0005-0000-0000-0000E8310000}"/>
    <cellStyle name="Normal 4 6 3 5 2 2" xfId="12724" xr:uid="{00000000-0005-0000-0000-0000E9310000}"/>
    <cellStyle name="Normal 4 6 3 5 3" xfId="9545" xr:uid="{00000000-0005-0000-0000-0000EA310000}"/>
    <cellStyle name="Normal 4 6 3 6" xfId="4779" xr:uid="{00000000-0005-0000-0000-0000EB310000}"/>
    <cellStyle name="Normal 4 6 3 6 2" xfId="11140" xr:uid="{00000000-0005-0000-0000-0000EC310000}"/>
    <cellStyle name="Normal 4 6 3 7" xfId="7961" xr:uid="{00000000-0005-0000-0000-0000ED310000}"/>
    <cellStyle name="Normal 4 6 4" xfId="1619" xr:uid="{00000000-0005-0000-0000-0000EE310000}"/>
    <cellStyle name="Normal 4 6 4 2" xfId="1817" xr:uid="{00000000-0005-0000-0000-0000EF310000}"/>
    <cellStyle name="Normal 4 6 4 2 2" xfId="2213" xr:uid="{00000000-0005-0000-0000-0000F0310000}"/>
    <cellStyle name="Normal 4 6 4 2 2 2" xfId="3005" xr:uid="{00000000-0005-0000-0000-0000F1310000}"/>
    <cellStyle name="Normal 4 6 4 2 2 2 2" xfId="4589" xr:uid="{00000000-0005-0000-0000-0000F2310000}"/>
    <cellStyle name="Normal 4 6 4 2 2 2 2 2" xfId="7817" xr:uid="{00000000-0005-0000-0000-0000F3310000}"/>
    <cellStyle name="Normal 4 6 4 2 2 2 2 2 2" xfId="14178" xr:uid="{00000000-0005-0000-0000-0000F4310000}"/>
    <cellStyle name="Normal 4 6 4 2 2 2 2 3" xfId="10999" xr:uid="{00000000-0005-0000-0000-0000F5310000}"/>
    <cellStyle name="Normal 4 6 4 2 2 2 3" xfId="6233" xr:uid="{00000000-0005-0000-0000-0000F6310000}"/>
    <cellStyle name="Normal 4 6 4 2 2 2 3 2" xfId="12594" xr:uid="{00000000-0005-0000-0000-0000F7310000}"/>
    <cellStyle name="Normal 4 6 4 2 2 2 4" xfId="9415" xr:uid="{00000000-0005-0000-0000-0000F8310000}"/>
    <cellStyle name="Normal 4 6 4 2 2 3" xfId="3797" xr:uid="{00000000-0005-0000-0000-0000F9310000}"/>
    <cellStyle name="Normal 4 6 4 2 2 3 2" xfId="7025" xr:uid="{00000000-0005-0000-0000-0000FA310000}"/>
    <cellStyle name="Normal 4 6 4 2 2 3 2 2" xfId="13386" xr:uid="{00000000-0005-0000-0000-0000FB310000}"/>
    <cellStyle name="Normal 4 6 4 2 2 3 3" xfId="10207" xr:uid="{00000000-0005-0000-0000-0000FC310000}"/>
    <cellStyle name="Normal 4 6 4 2 2 4" xfId="5441" xr:uid="{00000000-0005-0000-0000-0000FD310000}"/>
    <cellStyle name="Normal 4 6 4 2 2 4 2" xfId="11802" xr:uid="{00000000-0005-0000-0000-0000FE310000}"/>
    <cellStyle name="Normal 4 6 4 2 2 5" xfId="8623" xr:uid="{00000000-0005-0000-0000-0000FF310000}"/>
    <cellStyle name="Normal 4 6 4 2 3" xfId="2609" xr:uid="{00000000-0005-0000-0000-000000320000}"/>
    <cellStyle name="Normal 4 6 4 2 3 2" xfId="4193" xr:uid="{00000000-0005-0000-0000-000001320000}"/>
    <cellStyle name="Normal 4 6 4 2 3 2 2" xfId="7421" xr:uid="{00000000-0005-0000-0000-000002320000}"/>
    <cellStyle name="Normal 4 6 4 2 3 2 2 2" xfId="13782" xr:uid="{00000000-0005-0000-0000-000003320000}"/>
    <cellStyle name="Normal 4 6 4 2 3 2 3" xfId="10603" xr:uid="{00000000-0005-0000-0000-000004320000}"/>
    <cellStyle name="Normal 4 6 4 2 3 3" xfId="5837" xr:uid="{00000000-0005-0000-0000-000005320000}"/>
    <cellStyle name="Normal 4 6 4 2 3 3 2" xfId="12198" xr:uid="{00000000-0005-0000-0000-000006320000}"/>
    <cellStyle name="Normal 4 6 4 2 3 4" xfId="9019" xr:uid="{00000000-0005-0000-0000-000007320000}"/>
    <cellStyle name="Normal 4 6 4 2 4" xfId="3401" xr:uid="{00000000-0005-0000-0000-000008320000}"/>
    <cellStyle name="Normal 4 6 4 2 4 2" xfId="6629" xr:uid="{00000000-0005-0000-0000-000009320000}"/>
    <cellStyle name="Normal 4 6 4 2 4 2 2" xfId="12990" xr:uid="{00000000-0005-0000-0000-00000A320000}"/>
    <cellStyle name="Normal 4 6 4 2 4 3" xfId="9811" xr:uid="{00000000-0005-0000-0000-00000B320000}"/>
    <cellStyle name="Normal 4 6 4 2 5" xfId="5045" xr:uid="{00000000-0005-0000-0000-00000C320000}"/>
    <cellStyle name="Normal 4 6 4 2 5 2" xfId="11406" xr:uid="{00000000-0005-0000-0000-00000D320000}"/>
    <cellStyle name="Normal 4 6 4 2 6" xfId="8227" xr:uid="{00000000-0005-0000-0000-00000E320000}"/>
    <cellStyle name="Normal 4 6 4 3" xfId="2015" xr:uid="{00000000-0005-0000-0000-00000F320000}"/>
    <cellStyle name="Normal 4 6 4 3 2" xfId="2807" xr:uid="{00000000-0005-0000-0000-000010320000}"/>
    <cellStyle name="Normal 4 6 4 3 2 2" xfId="4391" xr:uid="{00000000-0005-0000-0000-000011320000}"/>
    <cellStyle name="Normal 4 6 4 3 2 2 2" xfId="7619" xr:uid="{00000000-0005-0000-0000-000012320000}"/>
    <cellStyle name="Normal 4 6 4 3 2 2 2 2" xfId="13980" xr:uid="{00000000-0005-0000-0000-000013320000}"/>
    <cellStyle name="Normal 4 6 4 3 2 2 3" xfId="10801" xr:uid="{00000000-0005-0000-0000-000014320000}"/>
    <cellStyle name="Normal 4 6 4 3 2 3" xfId="6035" xr:uid="{00000000-0005-0000-0000-000015320000}"/>
    <cellStyle name="Normal 4 6 4 3 2 3 2" xfId="12396" xr:uid="{00000000-0005-0000-0000-000016320000}"/>
    <cellStyle name="Normal 4 6 4 3 2 4" xfId="9217" xr:uid="{00000000-0005-0000-0000-000017320000}"/>
    <cellStyle name="Normal 4 6 4 3 3" xfId="3599" xr:uid="{00000000-0005-0000-0000-000018320000}"/>
    <cellStyle name="Normal 4 6 4 3 3 2" xfId="6827" xr:uid="{00000000-0005-0000-0000-000019320000}"/>
    <cellStyle name="Normal 4 6 4 3 3 2 2" xfId="13188" xr:uid="{00000000-0005-0000-0000-00001A320000}"/>
    <cellStyle name="Normal 4 6 4 3 3 3" xfId="10009" xr:uid="{00000000-0005-0000-0000-00001B320000}"/>
    <cellStyle name="Normal 4 6 4 3 4" xfId="5243" xr:uid="{00000000-0005-0000-0000-00001C320000}"/>
    <cellStyle name="Normal 4 6 4 3 4 2" xfId="11604" xr:uid="{00000000-0005-0000-0000-00001D320000}"/>
    <cellStyle name="Normal 4 6 4 3 5" xfId="8425" xr:uid="{00000000-0005-0000-0000-00001E320000}"/>
    <cellStyle name="Normal 4 6 4 4" xfId="2411" xr:uid="{00000000-0005-0000-0000-00001F320000}"/>
    <cellStyle name="Normal 4 6 4 4 2" xfId="3995" xr:uid="{00000000-0005-0000-0000-000020320000}"/>
    <cellStyle name="Normal 4 6 4 4 2 2" xfId="7223" xr:uid="{00000000-0005-0000-0000-000021320000}"/>
    <cellStyle name="Normal 4 6 4 4 2 2 2" xfId="13584" xr:uid="{00000000-0005-0000-0000-000022320000}"/>
    <cellStyle name="Normal 4 6 4 4 2 3" xfId="10405" xr:uid="{00000000-0005-0000-0000-000023320000}"/>
    <cellStyle name="Normal 4 6 4 4 3" xfId="5639" xr:uid="{00000000-0005-0000-0000-000024320000}"/>
    <cellStyle name="Normal 4 6 4 4 3 2" xfId="12000" xr:uid="{00000000-0005-0000-0000-000025320000}"/>
    <cellStyle name="Normal 4 6 4 4 4" xfId="8821" xr:uid="{00000000-0005-0000-0000-000026320000}"/>
    <cellStyle name="Normal 4 6 4 5" xfId="3203" xr:uid="{00000000-0005-0000-0000-000027320000}"/>
    <cellStyle name="Normal 4 6 4 5 2" xfId="6431" xr:uid="{00000000-0005-0000-0000-000028320000}"/>
    <cellStyle name="Normal 4 6 4 5 2 2" xfId="12792" xr:uid="{00000000-0005-0000-0000-000029320000}"/>
    <cellStyle name="Normal 4 6 4 5 3" xfId="9613" xr:uid="{00000000-0005-0000-0000-00002A320000}"/>
    <cellStyle name="Normal 4 6 4 6" xfId="4847" xr:uid="{00000000-0005-0000-0000-00002B320000}"/>
    <cellStyle name="Normal 4 6 4 6 2" xfId="11208" xr:uid="{00000000-0005-0000-0000-00002C320000}"/>
    <cellStyle name="Normal 4 6 4 7" xfId="8029" xr:uid="{00000000-0005-0000-0000-00002D320000}"/>
    <cellStyle name="Normal 4 6 5" xfId="1684" xr:uid="{00000000-0005-0000-0000-00002E320000}"/>
    <cellStyle name="Normal 4 6 5 2" xfId="2080" xr:uid="{00000000-0005-0000-0000-00002F320000}"/>
    <cellStyle name="Normal 4 6 5 2 2" xfId="2872" xr:uid="{00000000-0005-0000-0000-000030320000}"/>
    <cellStyle name="Normal 4 6 5 2 2 2" xfId="4456" xr:uid="{00000000-0005-0000-0000-000031320000}"/>
    <cellStyle name="Normal 4 6 5 2 2 2 2" xfId="7684" xr:uid="{00000000-0005-0000-0000-000032320000}"/>
    <cellStyle name="Normal 4 6 5 2 2 2 2 2" xfId="14045" xr:uid="{00000000-0005-0000-0000-000033320000}"/>
    <cellStyle name="Normal 4 6 5 2 2 2 3" xfId="10866" xr:uid="{00000000-0005-0000-0000-000034320000}"/>
    <cellStyle name="Normal 4 6 5 2 2 3" xfId="6100" xr:uid="{00000000-0005-0000-0000-000035320000}"/>
    <cellStyle name="Normal 4 6 5 2 2 3 2" xfId="12461" xr:uid="{00000000-0005-0000-0000-000036320000}"/>
    <cellStyle name="Normal 4 6 5 2 2 4" xfId="9282" xr:uid="{00000000-0005-0000-0000-000037320000}"/>
    <cellStyle name="Normal 4 6 5 2 3" xfId="3664" xr:uid="{00000000-0005-0000-0000-000038320000}"/>
    <cellStyle name="Normal 4 6 5 2 3 2" xfId="6892" xr:uid="{00000000-0005-0000-0000-000039320000}"/>
    <cellStyle name="Normal 4 6 5 2 3 2 2" xfId="13253" xr:uid="{00000000-0005-0000-0000-00003A320000}"/>
    <cellStyle name="Normal 4 6 5 2 3 3" xfId="10074" xr:uid="{00000000-0005-0000-0000-00003B320000}"/>
    <cellStyle name="Normal 4 6 5 2 4" xfId="5308" xr:uid="{00000000-0005-0000-0000-00003C320000}"/>
    <cellStyle name="Normal 4 6 5 2 4 2" xfId="11669" xr:uid="{00000000-0005-0000-0000-00003D320000}"/>
    <cellStyle name="Normal 4 6 5 2 5" xfId="8490" xr:uid="{00000000-0005-0000-0000-00003E320000}"/>
    <cellStyle name="Normal 4 6 5 3" xfId="2476" xr:uid="{00000000-0005-0000-0000-00003F320000}"/>
    <cellStyle name="Normal 4 6 5 3 2" xfId="4060" xr:uid="{00000000-0005-0000-0000-000040320000}"/>
    <cellStyle name="Normal 4 6 5 3 2 2" xfId="7288" xr:uid="{00000000-0005-0000-0000-000041320000}"/>
    <cellStyle name="Normal 4 6 5 3 2 2 2" xfId="13649" xr:uid="{00000000-0005-0000-0000-000042320000}"/>
    <cellStyle name="Normal 4 6 5 3 2 3" xfId="10470" xr:uid="{00000000-0005-0000-0000-000043320000}"/>
    <cellStyle name="Normal 4 6 5 3 3" xfId="5704" xr:uid="{00000000-0005-0000-0000-000044320000}"/>
    <cellStyle name="Normal 4 6 5 3 3 2" xfId="12065" xr:uid="{00000000-0005-0000-0000-000045320000}"/>
    <cellStyle name="Normal 4 6 5 3 4" xfId="8886" xr:uid="{00000000-0005-0000-0000-000046320000}"/>
    <cellStyle name="Normal 4 6 5 4" xfId="3268" xr:uid="{00000000-0005-0000-0000-000047320000}"/>
    <cellStyle name="Normal 4 6 5 4 2" xfId="6496" xr:uid="{00000000-0005-0000-0000-000048320000}"/>
    <cellStyle name="Normal 4 6 5 4 2 2" xfId="12857" xr:uid="{00000000-0005-0000-0000-000049320000}"/>
    <cellStyle name="Normal 4 6 5 4 3" xfId="9678" xr:uid="{00000000-0005-0000-0000-00004A320000}"/>
    <cellStyle name="Normal 4 6 5 5" xfId="4912" xr:uid="{00000000-0005-0000-0000-00004B320000}"/>
    <cellStyle name="Normal 4 6 5 5 2" xfId="11273" xr:uid="{00000000-0005-0000-0000-00004C320000}"/>
    <cellStyle name="Normal 4 6 5 6" xfId="8094" xr:uid="{00000000-0005-0000-0000-00004D320000}"/>
    <cellStyle name="Normal 4 6 6" xfId="1882" xr:uid="{00000000-0005-0000-0000-00004E320000}"/>
    <cellStyle name="Normal 4 6 6 2" xfId="2674" xr:uid="{00000000-0005-0000-0000-00004F320000}"/>
    <cellStyle name="Normal 4 6 6 2 2" xfId="4258" xr:uid="{00000000-0005-0000-0000-000050320000}"/>
    <cellStyle name="Normal 4 6 6 2 2 2" xfId="7486" xr:uid="{00000000-0005-0000-0000-000051320000}"/>
    <cellStyle name="Normal 4 6 6 2 2 2 2" xfId="13847" xr:uid="{00000000-0005-0000-0000-000052320000}"/>
    <cellStyle name="Normal 4 6 6 2 2 3" xfId="10668" xr:uid="{00000000-0005-0000-0000-000053320000}"/>
    <cellStyle name="Normal 4 6 6 2 3" xfId="5902" xr:uid="{00000000-0005-0000-0000-000054320000}"/>
    <cellStyle name="Normal 4 6 6 2 3 2" xfId="12263" xr:uid="{00000000-0005-0000-0000-000055320000}"/>
    <cellStyle name="Normal 4 6 6 2 4" xfId="9084" xr:uid="{00000000-0005-0000-0000-000056320000}"/>
    <cellStyle name="Normal 4 6 6 3" xfId="3466" xr:uid="{00000000-0005-0000-0000-000057320000}"/>
    <cellStyle name="Normal 4 6 6 3 2" xfId="6694" xr:uid="{00000000-0005-0000-0000-000058320000}"/>
    <cellStyle name="Normal 4 6 6 3 2 2" xfId="13055" xr:uid="{00000000-0005-0000-0000-000059320000}"/>
    <cellStyle name="Normal 4 6 6 3 3" xfId="9876" xr:uid="{00000000-0005-0000-0000-00005A320000}"/>
    <cellStyle name="Normal 4 6 6 4" xfId="5110" xr:uid="{00000000-0005-0000-0000-00005B320000}"/>
    <cellStyle name="Normal 4 6 6 4 2" xfId="11471" xr:uid="{00000000-0005-0000-0000-00005C320000}"/>
    <cellStyle name="Normal 4 6 6 5" xfId="8292" xr:uid="{00000000-0005-0000-0000-00005D320000}"/>
    <cellStyle name="Normal 4 6 7" xfId="2278" xr:uid="{00000000-0005-0000-0000-00005E320000}"/>
    <cellStyle name="Normal 4 6 7 2" xfId="3862" xr:uid="{00000000-0005-0000-0000-00005F320000}"/>
    <cellStyle name="Normal 4 6 7 2 2" xfId="7090" xr:uid="{00000000-0005-0000-0000-000060320000}"/>
    <cellStyle name="Normal 4 6 7 2 2 2" xfId="13451" xr:uid="{00000000-0005-0000-0000-000061320000}"/>
    <cellStyle name="Normal 4 6 7 2 3" xfId="10272" xr:uid="{00000000-0005-0000-0000-000062320000}"/>
    <cellStyle name="Normal 4 6 7 3" xfId="5506" xr:uid="{00000000-0005-0000-0000-000063320000}"/>
    <cellStyle name="Normal 4 6 7 3 2" xfId="11867" xr:uid="{00000000-0005-0000-0000-000064320000}"/>
    <cellStyle name="Normal 4 6 7 4" xfId="8688" xr:uid="{00000000-0005-0000-0000-000065320000}"/>
    <cellStyle name="Normal 4 6 8" xfId="3070" xr:uid="{00000000-0005-0000-0000-000066320000}"/>
    <cellStyle name="Normal 4 6 8 2" xfId="6298" xr:uid="{00000000-0005-0000-0000-000067320000}"/>
    <cellStyle name="Normal 4 6 8 2 2" xfId="12659" xr:uid="{00000000-0005-0000-0000-000068320000}"/>
    <cellStyle name="Normal 4 6 8 3" xfId="9480" xr:uid="{00000000-0005-0000-0000-000069320000}"/>
    <cellStyle name="Normal 4 6 9" xfId="4714" xr:uid="{00000000-0005-0000-0000-00006A320000}"/>
    <cellStyle name="Normal 4 6 9 2" xfId="11075" xr:uid="{00000000-0005-0000-0000-00006B320000}"/>
    <cellStyle name="Normal 4 7" xfId="1455" xr:uid="{00000000-0005-0000-0000-00006C320000}"/>
    <cellStyle name="Normal 4 7 2" xfId="1567" xr:uid="{00000000-0005-0000-0000-00006D320000}"/>
    <cellStyle name="Normal 4 7 2 2" xfId="1765" xr:uid="{00000000-0005-0000-0000-00006E320000}"/>
    <cellStyle name="Normal 4 7 2 2 2" xfId="2161" xr:uid="{00000000-0005-0000-0000-00006F320000}"/>
    <cellStyle name="Normal 4 7 2 2 2 2" xfId="2953" xr:uid="{00000000-0005-0000-0000-000070320000}"/>
    <cellStyle name="Normal 4 7 2 2 2 2 2" xfId="4537" xr:uid="{00000000-0005-0000-0000-000071320000}"/>
    <cellStyle name="Normal 4 7 2 2 2 2 2 2" xfId="7765" xr:uid="{00000000-0005-0000-0000-000072320000}"/>
    <cellStyle name="Normal 4 7 2 2 2 2 2 2 2" xfId="14126" xr:uid="{00000000-0005-0000-0000-000073320000}"/>
    <cellStyle name="Normal 4 7 2 2 2 2 2 3" xfId="10947" xr:uid="{00000000-0005-0000-0000-000074320000}"/>
    <cellStyle name="Normal 4 7 2 2 2 2 3" xfId="6181" xr:uid="{00000000-0005-0000-0000-000075320000}"/>
    <cellStyle name="Normal 4 7 2 2 2 2 3 2" xfId="12542" xr:uid="{00000000-0005-0000-0000-000076320000}"/>
    <cellStyle name="Normal 4 7 2 2 2 2 4" xfId="9363" xr:uid="{00000000-0005-0000-0000-000077320000}"/>
    <cellStyle name="Normal 4 7 2 2 2 3" xfId="3745" xr:uid="{00000000-0005-0000-0000-000078320000}"/>
    <cellStyle name="Normal 4 7 2 2 2 3 2" xfId="6973" xr:uid="{00000000-0005-0000-0000-000079320000}"/>
    <cellStyle name="Normal 4 7 2 2 2 3 2 2" xfId="13334" xr:uid="{00000000-0005-0000-0000-00007A320000}"/>
    <cellStyle name="Normal 4 7 2 2 2 3 3" xfId="10155" xr:uid="{00000000-0005-0000-0000-00007B320000}"/>
    <cellStyle name="Normal 4 7 2 2 2 4" xfId="5389" xr:uid="{00000000-0005-0000-0000-00007C320000}"/>
    <cellStyle name="Normal 4 7 2 2 2 4 2" xfId="11750" xr:uid="{00000000-0005-0000-0000-00007D320000}"/>
    <cellStyle name="Normal 4 7 2 2 2 5" xfId="8571" xr:uid="{00000000-0005-0000-0000-00007E320000}"/>
    <cellStyle name="Normal 4 7 2 2 3" xfId="2557" xr:uid="{00000000-0005-0000-0000-00007F320000}"/>
    <cellStyle name="Normal 4 7 2 2 3 2" xfId="4141" xr:uid="{00000000-0005-0000-0000-000080320000}"/>
    <cellStyle name="Normal 4 7 2 2 3 2 2" xfId="7369" xr:uid="{00000000-0005-0000-0000-000081320000}"/>
    <cellStyle name="Normal 4 7 2 2 3 2 2 2" xfId="13730" xr:uid="{00000000-0005-0000-0000-000082320000}"/>
    <cellStyle name="Normal 4 7 2 2 3 2 3" xfId="10551" xr:uid="{00000000-0005-0000-0000-000083320000}"/>
    <cellStyle name="Normal 4 7 2 2 3 3" xfId="5785" xr:uid="{00000000-0005-0000-0000-000084320000}"/>
    <cellStyle name="Normal 4 7 2 2 3 3 2" xfId="12146" xr:uid="{00000000-0005-0000-0000-000085320000}"/>
    <cellStyle name="Normal 4 7 2 2 3 4" xfId="8967" xr:uid="{00000000-0005-0000-0000-000086320000}"/>
    <cellStyle name="Normal 4 7 2 2 4" xfId="3349" xr:uid="{00000000-0005-0000-0000-000087320000}"/>
    <cellStyle name="Normal 4 7 2 2 4 2" xfId="6577" xr:uid="{00000000-0005-0000-0000-000088320000}"/>
    <cellStyle name="Normal 4 7 2 2 4 2 2" xfId="12938" xr:uid="{00000000-0005-0000-0000-000089320000}"/>
    <cellStyle name="Normal 4 7 2 2 4 3" xfId="9759" xr:uid="{00000000-0005-0000-0000-00008A320000}"/>
    <cellStyle name="Normal 4 7 2 2 5" xfId="4993" xr:uid="{00000000-0005-0000-0000-00008B320000}"/>
    <cellStyle name="Normal 4 7 2 2 5 2" xfId="11354" xr:uid="{00000000-0005-0000-0000-00008C320000}"/>
    <cellStyle name="Normal 4 7 2 2 6" xfId="8175" xr:uid="{00000000-0005-0000-0000-00008D320000}"/>
    <cellStyle name="Normal 4 7 2 3" xfId="1963" xr:uid="{00000000-0005-0000-0000-00008E320000}"/>
    <cellStyle name="Normal 4 7 2 3 2" xfId="2755" xr:uid="{00000000-0005-0000-0000-00008F320000}"/>
    <cellStyle name="Normal 4 7 2 3 2 2" xfId="4339" xr:uid="{00000000-0005-0000-0000-000090320000}"/>
    <cellStyle name="Normal 4 7 2 3 2 2 2" xfId="7567" xr:uid="{00000000-0005-0000-0000-000091320000}"/>
    <cellStyle name="Normal 4 7 2 3 2 2 2 2" xfId="13928" xr:uid="{00000000-0005-0000-0000-000092320000}"/>
    <cellStyle name="Normal 4 7 2 3 2 2 3" xfId="10749" xr:uid="{00000000-0005-0000-0000-000093320000}"/>
    <cellStyle name="Normal 4 7 2 3 2 3" xfId="5983" xr:uid="{00000000-0005-0000-0000-000094320000}"/>
    <cellStyle name="Normal 4 7 2 3 2 3 2" xfId="12344" xr:uid="{00000000-0005-0000-0000-000095320000}"/>
    <cellStyle name="Normal 4 7 2 3 2 4" xfId="9165" xr:uid="{00000000-0005-0000-0000-000096320000}"/>
    <cellStyle name="Normal 4 7 2 3 3" xfId="3547" xr:uid="{00000000-0005-0000-0000-000097320000}"/>
    <cellStyle name="Normal 4 7 2 3 3 2" xfId="6775" xr:uid="{00000000-0005-0000-0000-000098320000}"/>
    <cellStyle name="Normal 4 7 2 3 3 2 2" xfId="13136" xr:uid="{00000000-0005-0000-0000-000099320000}"/>
    <cellStyle name="Normal 4 7 2 3 3 3" xfId="9957" xr:uid="{00000000-0005-0000-0000-00009A320000}"/>
    <cellStyle name="Normal 4 7 2 3 4" xfId="5191" xr:uid="{00000000-0005-0000-0000-00009B320000}"/>
    <cellStyle name="Normal 4 7 2 3 4 2" xfId="11552" xr:uid="{00000000-0005-0000-0000-00009C320000}"/>
    <cellStyle name="Normal 4 7 2 3 5" xfId="8373" xr:uid="{00000000-0005-0000-0000-00009D320000}"/>
    <cellStyle name="Normal 4 7 2 4" xfId="2359" xr:uid="{00000000-0005-0000-0000-00009E320000}"/>
    <cellStyle name="Normal 4 7 2 4 2" xfId="3943" xr:uid="{00000000-0005-0000-0000-00009F320000}"/>
    <cellStyle name="Normal 4 7 2 4 2 2" xfId="7171" xr:uid="{00000000-0005-0000-0000-0000A0320000}"/>
    <cellStyle name="Normal 4 7 2 4 2 2 2" xfId="13532" xr:uid="{00000000-0005-0000-0000-0000A1320000}"/>
    <cellStyle name="Normal 4 7 2 4 2 3" xfId="10353" xr:uid="{00000000-0005-0000-0000-0000A2320000}"/>
    <cellStyle name="Normal 4 7 2 4 3" xfId="5587" xr:uid="{00000000-0005-0000-0000-0000A3320000}"/>
    <cellStyle name="Normal 4 7 2 4 3 2" xfId="11948" xr:uid="{00000000-0005-0000-0000-0000A4320000}"/>
    <cellStyle name="Normal 4 7 2 4 4" xfId="8769" xr:uid="{00000000-0005-0000-0000-0000A5320000}"/>
    <cellStyle name="Normal 4 7 2 5" xfId="3151" xr:uid="{00000000-0005-0000-0000-0000A6320000}"/>
    <cellStyle name="Normal 4 7 2 5 2" xfId="6379" xr:uid="{00000000-0005-0000-0000-0000A7320000}"/>
    <cellStyle name="Normal 4 7 2 5 2 2" xfId="12740" xr:uid="{00000000-0005-0000-0000-0000A8320000}"/>
    <cellStyle name="Normal 4 7 2 5 3" xfId="9561" xr:uid="{00000000-0005-0000-0000-0000A9320000}"/>
    <cellStyle name="Normal 4 7 2 6" xfId="4795" xr:uid="{00000000-0005-0000-0000-0000AA320000}"/>
    <cellStyle name="Normal 4 7 2 6 2" xfId="11156" xr:uid="{00000000-0005-0000-0000-0000AB320000}"/>
    <cellStyle name="Normal 4 7 2 7" xfId="7977" xr:uid="{00000000-0005-0000-0000-0000AC320000}"/>
    <cellStyle name="Normal 4 7 3" xfId="1635" xr:uid="{00000000-0005-0000-0000-0000AD320000}"/>
    <cellStyle name="Normal 4 7 3 2" xfId="1833" xr:uid="{00000000-0005-0000-0000-0000AE320000}"/>
    <cellStyle name="Normal 4 7 3 2 2" xfId="2229" xr:uid="{00000000-0005-0000-0000-0000AF320000}"/>
    <cellStyle name="Normal 4 7 3 2 2 2" xfId="3021" xr:uid="{00000000-0005-0000-0000-0000B0320000}"/>
    <cellStyle name="Normal 4 7 3 2 2 2 2" xfId="4605" xr:uid="{00000000-0005-0000-0000-0000B1320000}"/>
    <cellStyle name="Normal 4 7 3 2 2 2 2 2" xfId="7833" xr:uid="{00000000-0005-0000-0000-0000B2320000}"/>
    <cellStyle name="Normal 4 7 3 2 2 2 2 2 2" xfId="14194" xr:uid="{00000000-0005-0000-0000-0000B3320000}"/>
    <cellStyle name="Normal 4 7 3 2 2 2 2 3" xfId="11015" xr:uid="{00000000-0005-0000-0000-0000B4320000}"/>
    <cellStyle name="Normal 4 7 3 2 2 2 3" xfId="6249" xr:uid="{00000000-0005-0000-0000-0000B5320000}"/>
    <cellStyle name="Normal 4 7 3 2 2 2 3 2" xfId="12610" xr:uid="{00000000-0005-0000-0000-0000B6320000}"/>
    <cellStyle name="Normal 4 7 3 2 2 2 4" xfId="9431" xr:uid="{00000000-0005-0000-0000-0000B7320000}"/>
    <cellStyle name="Normal 4 7 3 2 2 3" xfId="3813" xr:uid="{00000000-0005-0000-0000-0000B8320000}"/>
    <cellStyle name="Normal 4 7 3 2 2 3 2" xfId="7041" xr:uid="{00000000-0005-0000-0000-0000B9320000}"/>
    <cellStyle name="Normal 4 7 3 2 2 3 2 2" xfId="13402" xr:uid="{00000000-0005-0000-0000-0000BA320000}"/>
    <cellStyle name="Normal 4 7 3 2 2 3 3" xfId="10223" xr:uid="{00000000-0005-0000-0000-0000BB320000}"/>
    <cellStyle name="Normal 4 7 3 2 2 4" xfId="5457" xr:uid="{00000000-0005-0000-0000-0000BC320000}"/>
    <cellStyle name="Normal 4 7 3 2 2 4 2" xfId="11818" xr:uid="{00000000-0005-0000-0000-0000BD320000}"/>
    <cellStyle name="Normal 4 7 3 2 2 5" xfId="8639" xr:uid="{00000000-0005-0000-0000-0000BE320000}"/>
    <cellStyle name="Normal 4 7 3 2 3" xfId="2625" xr:uid="{00000000-0005-0000-0000-0000BF320000}"/>
    <cellStyle name="Normal 4 7 3 2 3 2" xfId="4209" xr:uid="{00000000-0005-0000-0000-0000C0320000}"/>
    <cellStyle name="Normal 4 7 3 2 3 2 2" xfId="7437" xr:uid="{00000000-0005-0000-0000-0000C1320000}"/>
    <cellStyle name="Normal 4 7 3 2 3 2 2 2" xfId="13798" xr:uid="{00000000-0005-0000-0000-0000C2320000}"/>
    <cellStyle name="Normal 4 7 3 2 3 2 3" xfId="10619" xr:uid="{00000000-0005-0000-0000-0000C3320000}"/>
    <cellStyle name="Normal 4 7 3 2 3 3" xfId="5853" xr:uid="{00000000-0005-0000-0000-0000C4320000}"/>
    <cellStyle name="Normal 4 7 3 2 3 3 2" xfId="12214" xr:uid="{00000000-0005-0000-0000-0000C5320000}"/>
    <cellStyle name="Normal 4 7 3 2 3 4" xfId="9035" xr:uid="{00000000-0005-0000-0000-0000C6320000}"/>
    <cellStyle name="Normal 4 7 3 2 4" xfId="3417" xr:uid="{00000000-0005-0000-0000-0000C7320000}"/>
    <cellStyle name="Normal 4 7 3 2 4 2" xfId="6645" xr:uid="{00000000-0005-0000-0000-0000C8320000}"/>
    <cellStyle name="Normal 4 7 3 2 4 2 2" xfId="13006" xr:uid="{00000000-0005-0000-0000-0000C9320000}"/>
    <cellStyle name="Normal 4 7 3 2 4 3" xfId="9827" xr:uid="{00000000-0005-0000-0000-0000CA320000}"/>
    <cellStyle name="Normal 4 7 3 2 5" xfId="5061" xr:uid="{00000000-0005-0000-0000-0000CB320000}"/>
    <cellStyle name="Normal 4 7 3 2 5 2" xfId="11422" xr:uid="{00000000-0005-0000-0000-0000CC320000}"/>
    <cellStyle name="Normal 4 7 3 2 6" xfId="8243" xr:uid="{00000000-0005-0000-0000-0000CD320000}"/>
    <cellStyle name="Normal 4 7 3 3" xfId="2031" xr:uid="{00000000-0005-0000-0000-0000CE320000}"/>
    <cellStyle name="Normal 4 7 3 3 2" xfId="2823" xr:uid="{00000000-0005-0000-0000-0000CF320000}"/>
    <cellStyle name="Normal 4 7 3 3 2 2" xfId="4407" xr:uid="{00000000-0005-0000-0000-0000D0320000}"/>
    <cellStyle name="Normal 4 7 3 3 2 2 2" xfId="7635" xr:uid="{00000000-0005-0000-0000-0000D1320000}"/>
    <cellStyle name="Normal 4 7 3 3 2 2 2 2" xfId="13996" xr:uid="{00000000-0005-0000-0000-0000D2320000}"/>
    <cellStyle name="Normal 4 7 3 3 2 2 3" xfId="10817" xr:uid="{00000000-0005-0000-0000-0000D3320000}"/>
    <cellStyle name="Normal 4 7 3 3 2 3" xfId="6051" xr:uid="{00000000-0005-0000-0000-0000D4320000}"/>
    <cellStyle name="Normal 4 7 3 3 2 3 2" xfId="12412" xr:uid="{00000000-0005-0000-0000-0000D5320000}"/>
    <cellStyle name="Normal 4 7 3 3 2 4" xfId="9233" xr:uid="{00000000-0005-0000-0000-0000D6320000}"/>
    <cellStyle name="Normal 4 7 3 3 3" xfId="3615" xr:uid="{00000000-0005-0000-0000-0000D7320000}"/>
    <cellStyle name="Normal 4 7 3 3 3 2" xfId="6843" xr:uid="{00000000-0005-0000-0000-0000D8320000}"/>
    <cellStyle name="Normal 4 7 3 3 3 2 2" xfId="13204" xr:uid="{00000000-0005-0000-0000-0000D9320000}"/>
    <cellStyle name="Normal 4 7 3 3 3 3" xfId="10025" xr:uid="{00000000-0005-0000-0000-0000DA320000}"/>
    <cellStyle name="Normal 4 7 3 3 4" xfId="5259" xr:uid="{00000000-0005-0000-0000-0000DB320000}"/>
    <cellStyle name="Normal 4 7 3 3 4 2" xfId="11620" xr:uid="{00000000-0005-0000-0000-0000DC320000}"/>
    <cellStyle name="Normal 4 7 3 3 5" xfId="8441" xr:uid="{00000000-0005-0000-0000-0000DD320000}"/>
    <cellStyle name="Normal 4 7 3 4" xfId="2427" xr:uid="{00000000-0005-0000-0000-0000DE320000}"/>
    <cellStyle name="Normal 4 7 3 4 2" xfId="4011" xr:uid="{00000000-0005-0000-0000-0000DF320000}"/>
    <cellStyle name="Normal 4 7 3 4 2 2" xfId="7239" xr:uid="{00000000-0005-0000-0000-0000E0320000}"/>
    <cellStyle name="Normal 4 7 3 4 2 2 2" xfId="13600" xr:uid="{00000000-0005-0000-0000-0000E1320000}"/>
    <cellStyle name="Normal 4 7 3 4 2 3" xfId="10421" xr:uid="{00000000-0005-0000-0000-0000E2320000}"/>
    <cellStyle name="Normal 4 7 3 4 3" xfId="5655" xr:uid="{00000000-0005-0000-0000-0000E3320000}"/>
    <cellStyle name="Normal 4 7 3 4 3 2" xfId="12016" xr:uid="{00000000-0005-0000-0000-0000E4320000}"/>
    <cellStyle name="Normal 4 7 3 4 4" xfId="8837" xr:uid="{00000000-0005-0000-0000-0000E5320000}"/>
    <cellStyle name="Normal 4 7 3 5" xfId="3219" xr:uid="{00000000-0005-0000-0000-0000E6320000}"/>
    <cellStyle name="Normal 4 7 3 5 2" xfId="6447" xr:uid="{00000000-0005-0000-0000-0000E7320000}"/>
    <cellStyle name="Normal 4 7 3 5 2 2" xfId="12808" xr:uid="{00000000-0005-0000-0000-0000E8320000}"/>
    <cellStyle name="Normal 4 7 3 5 3" xfId="9629" xr:uid="{00000000-0005-0000-0000-0000E9320000}"/>
    <cellStyle name="Normal 4 7 3 6" xfId="4863" xr:uid="{00000000-0005-0000-0000-0000EA320000}"/>
    <cellStyle name="Normal 4 7 3 6 2" xfId="11224" xr:uid="{00000000-0005-0000-0000-0000EB320000}"/>
    <cellStyle name="Normal 4 7 3 7" xfId="8045" xr:uid="{00000000-0005-0000-0000-0000EC320000}"/>
    <cellStyle name="Normal 4 7 4" xfId="1700" xr:uid="{00000000-0005-0000-0000-0000ED320000}"/>
    <cellStyle name="Normal 4 7 4 2" xfId="2096" xr:uid="{00000000-0005-0000-0000-0000EE320000}"/>
    <cellStyle name="Normal 4 7 4 2 2" xfId="2888" xr:uid="{00000000-0005-0000-0000-0000EF320000}"/>
    <cellStyle name="Normal 4 7 4 2 2 2" xfId="4472" xr:uid="{00000000-0005-0000-0000-0000F0320000}"/>
    <cellStyle name="Normal 4 7 4 2 2 2 2" xfId="7700" xr:uid="{00000000-0005-0000-0000-0000F1320000}"/>
    <cellStyle name="Normal 4 7 4 2 2 2 2 2" xfId="14061" xr:uid="{00000000-0005-0000-0000-0000F2320000}"/>
    <cellStyle name="Normal 4 7 4 2 2 2 3" xfId="10882" xr:uid="{00000000-0005-0000-0000-0000F3320000}"/>
    <cellStyle name="Normal 4 7 4 2 2 3" xfId="6116" xr:uid="{00000000-0005-0000-0000-0000F4320000}"/>
    <cellStyle name="Normal 4 7 4 2 2 3 2" xfId="12477" xr:uid="{00000000-0005-0000-0000-0000F5320000}"/>
    <cellStyle name="Normal 4 7 4 2 2 4" xfId="9298" xr:uid="{00000000-0005-0000-0000-0000F6320000}"/>
    <cellStyle name="Normal 4 7 4 2 3" xfId="3680" xr:uid="{00000000-0005-0000-0000-0000F7320000}"/>
    <cellStyle name="Normal 4 7 4 2 3 2" xfId="6908" xr:uid="{00000000-0005-0000-0000-0000F8320000}"/>
    <cellStyle name="Normal 4 7 4 2 3 2 2" xfId="13269" xr:uid="{00000000-0005-0000-0000-0000F9320000}"/>
    <cellStyle name="Normal 4 7 4 2 3 3" xfId="10090" xr:uid="{00000000-0005-0000-0000-0000FA320000}"/>
    <cellStyle name="Normal 4 7 4 2 4" xfId="5324" xr:uid="{00000000-0005-0000-0000-0000FB320000}"/>
    <cellStyle name="Normal 4 7 4 2 4 2" xfId="11685" xr:uid="{00000000-0005-0000-0000-0000FC320000}"/>
    <cellStyle name="Normal 4 7 4 2 5" xfId="8506" xr:uid="{00000000-0005-0000-0000-0000FD320000}"/>
    <cellStyle name="Normal 4 7 4 3" xfId="2492" xr:uid="{00000000-0005-0000-0000-0000FE320000}"/>
    <cellStyle name="Normal 4 7 4 3 2" xfId="4076" xr:uid="{00000000-0005-0000-0000-0000FF320000}"/>
    <cellStyle name="Normal 4 7 4 3 2 2" xfId="7304" xr:uid="{00000000-0005-0000-0000-000000330000}"/>
    <cellStyle name="Normal 4 7 4 3 2 2 2" xfId="13665" xr:uid="{00000000-0005-0000-0000-000001330000}"/>
    <cellStyle name="Normal 4 7 4 3 2 3" xfId="10486" xr:uid="{00000000-0005-0000-0000-000002330000}"/>
    <cellStyle name="Normal 4 7 4 3 3" xfId="5720" xr:uid="{00000000-0005-0000-0000-000003330000}"/>
    <cellStyle name="Normal 4 7 4 3 3 2" xfId="12081" xr:uid="{00000000-0005-0000-0000-000004330000}"/>
    <cellStyle name="Normal 4 7 4 3 4" xfId="8902" xr:uid="{00000000-0005-0000-0000-000005330000}"/>
    <cellStyle name="Normal 4 7 4 4" xfId="3284" xr:uid="{00000000-0005-0000-0000-000006330000}"/>
    <cellStyle name="Normal 4 7 4 4 2" xfId="6512" xr:uid="{00000000-0005-0000-0000-000007330000}"/>
    <cellStyle name="Normal 4 7 4 4 2 2" xfId="12873" xr:uid="{00000000-0005-0000-0000-000008330000}"/>
    <cellStyle name="Normal 4 7 4 4 3" xfId="9694" xr:uid="{00000000-0005-0000-0000-000009330000}"/>
    <cellStyle name="Normal 4 7 4 5" xfId="4928" xr:uid="{00000000-0005-0000-0000-00000A330000}"/>
    <cellStyle name="Normal 4 7 4 5 2" xfId="11289" xr:uid="{00000000-0005-0000-0000-00000B330000}"/>
    <cellStyle name="Normal 4 7 4 6" xfId="8110" xr:uid="{00000000-0005-0000-0000-00000C330000}"/>
    <cellStyle name="Normal 4 7 5" xfId="1898" xr:uid="{00000000-0005-0000-0000-00000D330000}"/>
    <cellStyle name="Normal 4 7 5 2" xfId="2690" xr:uid="{00000000-0005-0000-0000-00000E330000}"/>
    <cellStyle name="Normal 4 7 5 2 2" xfId="4274" xr:uid="{00000000-0005-0000-0000-00000F330000}"/>
    <cellStyle name="Normal 4 7 5 2 2 2" xfId="7502" xr:uid="{00000000-0005-0000-0000-000010330000}"/>
    <cellStyle name="Normal 4 7 5 2 2 2 2" xfId="13863" xr:uid="{00000000-0005-0000-0000-000011330000}"/>
    <cellStyle name="Normal 4 7 5 2 2 3" xfId="10684" xr:uid="{00000000-0005-0000-0000-000012330000}"/>
    <cellStyle name="Normal 4 7 5 2 3" xfId="5918" xr:uid="{00000000-0005-0000-0000-000013330000}"/>
    <cellStyle name="Normal 4 7 5 2 3 2" xfId="12279" xr:uid="{00000000-0005-0000-0000-000014330000}"/>
    <cellStyle name="Normal 4 7 5 2 4" xfId="9100" xr:uid="{00000000-0005-0000-0000-000015330000}"/>
    <cellStyle name="Normal 4 7 5 3" xfId="3482" xr:uid="{00000000-0005-0000-0000-000016330000}"/>
    <cellStyle name="Normal 4 7 5 3 2" xfId="6710" xr:uid="{00000000-0005-0000-0000-000017330000}"/>
    <cellStyle name="Normal 4 7 5 3 2 2" xfId="13071" xr:uid="{00000000-0005-0000-0000-000018330000}"/>
    <cellStyle name="Normal 4 7 5 3 3" xfId="9892" xr:uid="{00000000-0005-0000-0000-000019330000}"/>
    <cellStyle name="Normal 4 7 5 4" xfId="5126" xr:uid="{00000000-0005-0000-0000-00001A330000}"/>
    <cellStyle name="Normal 4 7 5 4 2" xfId="11487" xr:uid="{00000000-0005-0000-0000-00001B330000}"/>
    <cellStyle name="Normal 4 7 5 5" xfId="8308" xr:uid="{00000000-0005-0000-0000-00001C330000}"/>
    <cellStyle name="Normal 4 7 6" xfId="2294" xr:uid="{00000000-0005-0000-0000-00001D330000}"/>
    <cellStyle name="Normal 4 7 6 2" xfId="3878" xr:uid="{00000000-0005-0000-0000-00001E330000}"/>
    <cellStyle name="Normal 4 7 6 2 2" xfId="7106" xr:uid="{00000000-0005-0000-0000-00001F330000}"/>
    <cellStyle name="Normal 4 7 6 2 2 2" xfId="13467" xr:uid="{00000000-0005-0000-0000-000020330000}"/>
    <cellStyle name="Normal 4 7 6 2 3" xfId="10288" xr:uid="{00000000-0005-0000-0000-000021330000}"/>
    <cellStyle name="Normal 4 7 6 3" xfId="5522" xr:uid="{00000000-0005-0000-0000-000022330000}"/>
    <cellStyle name="Normal 4 7 6 3 2" xfId="11883" xr:uid="{00000000-0005-0000-0000-000023330000}"/>
    <cellStyle name="Normal 4 7 6 4" xfId="8704" xr:uid="{00000000-0005-0000-0000-000024330000}"/>
    <cellStyle name="Normal 4 7 7" xfId="3086" xr:uid="{00000000-0005-0000-0000-000025330000}"/>
    <cellStyle name="Normal 4 7 7 2" xfId="6314" xr:uid="{00000000-0005-0000-0000-000026330000}"/>
    <cellStyle name="Normal 4 7 7 2 2" xfId="12675" xr:uid="{00000000-0005-0000-0000-000027330000}"/>
    <cellStyle name="Normal 4 7 7 3" xfId="9496" xr:uid="{00000000-0005-0000-0000-000028330000}"/>
    <cellStyle name="Normal 4 7 8" xfId="4730" xr:uid="{00000000-0005-0000-0000-000029330000}"/>
    <cellStyle name="Normal 4 7 8 2" xfId="11091" xr:uid="{00000000-0005-0000-0000-00002A330000}"/>
    <cellStyle name="Normal 4 7 9" xfId="7912" xr:uid="{00000000-0005-0000-0000-00002B330000}"/>
    <cellStyle name="Normal 4 8" xfId="1535" xr:uid="{00000000-0005-0000-0000-00002C330000}"/>
    <cellStyle name="Normal 4 8 2" xfId="1733" xr:uid="{00000000-0005-0000-0000-00002D330000}"/>
    <cellStyle name="Normal 4 8 2 2" xfId="2129" xr:uid="{00000000-0005-0000-0000-00002E330000}"/>
    <cellStyle name="Normal 4 8 2 2 2" xfId="2921" xr:uid="{00000000-0005-0000-0000-00002F330000}"/>
    <cellStyle name="Normal 4 8 2 2 2 2" xfId="4505" xr:uid="{00000000-0005-0000-0000-000030330000}"/>
    <cellStyle name="Normal 4 8 2 2 2 2 2" xfId="7733" xr:uid="{00000000-0005-0000-0000-000031330000}"/>
    <cellStyle name="Normal 4 8 2 2 2 2 2 2" xfId="14094" xr:uid="{00000000-0005-0000-0000-000032330000}"/>
    <cellStyle name="Normal 4 8 2 2 2 2 3" xfId="10915" xr:uid="{00000000-0005-0000-0000-000033330000}"/>
    <cellStyle name="Normal 4 8 2 2 2 3" xfId="6149" xr:uid="{00000000-0005-0000-0000-000034330000}"/>
    <cellStyle name="Normal 4 8 2 2 2 3 2" xfId="12510" xr:uid="{00000000-0005-0000-0000-000035330000}"/>
    <cellStyle name="Normal 4 8 2 2 2 4" xfId="9331" xr:uid="{00000000-0005-0000-0000-000036330000}"/>
    <cellStyle name="Normal 4 8 2 2 3" xfId="3713" xr:uid="{00000000-0005-0000-0000-000037330000}"/>
    <cellStyle name="Normal 4 8 2 2 3 2" xfId="6941" xr:uid="{00000000-0005-0000-0000-000038330000}"/>
    <cellStyle name="Normal 4 8 2 2 3 2 2" xfId="13302" xr:uid="{00000000-0005-0000-0000-000039330000}"/>
    <cellStyle name="Normal 4 8 2 2 3 3" xfId="10123" xr:uid="{00000000-0005-0000-0000-00003A330000}"/>
    <cellStyle name="Normal 4 8 2 2 4" xfId="5357" xr:uid="{00000000-0005-0000-0000-00003B330000}"/>
    <cellStyle name="Normal 4 8 2 2 4 2" xfId="11718" xr:uid="{00000000-0005-0000-0000-00003C330000}"/>
    <cellStyle name="Normal 4 8 2 2 5" xfId="8539" xr:uid="{00000000-0005-0000-0000-00003D330000}"/>
    <cellStyle name="Normal 4 8 2 3" xfId="2525" xr:uid="{00000000-0005-0000-0000-00003E330000}"/>
    <cellStyle name="Normal 4 8 2 3 2" xfId="4109" xr:uid="{00000000-0005-0000-0000-00003F330000}"/>
    <cellStyle name="Normal 4 8 2 3 2 2" xfId="7337" xr:uid="{00000000-0005-0000-0000-000040330000}"/>
    <cellStyle name="Normal 4 8 2 3 2 2 2" xfId="13698" xr:uid="{00000000-0005-0000-0000-000041330000}"/>
    <cellStyle name="Normal 4 8 2 3 2 3" xfId="10519" xr:uid="{00000000-0005-0000-0000-000042330000}"/>
    <cellStyle name="Normal 4 8 2 3 3" xfId="5753" xr:uid="{00000000-0005-0000-0000-000043330000}"/>
    <cellStyle name="Normal 4 8 2 3 3 2" xfId="12114" xr:uid="{00000000-0005-0000-0000-000044330000}"/>
    <cellStyle name="Normal 4 8 2 3 4" xfId="8935" xr:uid="{00000000-0005-0000-0000-000045330000}"/>
    <cellStyle name="Normal 4 8 2 4" xfId="3317" xr:uid="{00000000-0005-0000-0000-000046330000}"/>
    <cellStyle name="Normal 4 8 2 4 2" xfId="6545" xr:uid="{00000000-0005-0000-0000-000047330000}"/>
    <cellStyle name="Normal 4 8 2 4 2 2" xfId="12906" xr:uid="{00000000-0005-0000-0000-000048330000}"/>
    <cellStyle name="Normal 4 8 2 4 3" xfId="9727" xr:uid="{00000000-0005-0000-0000-000049330000}"/>
    <cellStyle name="Normal 4 8 2 5" xfId="4961" xr:uid="{00000000-0005-0000-0000-00004A330000}"/>
    <cellStyle name="Normal 4 8 2 5 2" xfId="11322" xr:uid="{00000000-0005-0000-0000-00004B330000}"/>
    <cellStyle name="Normal 4 8 2 6" xfId="8143" xr:uid="{00000000-0005-0000-0000-00004C330000}"/>
    <cellStyle name="Normal 4 8 3" xfId="1931" xr:uid="{00000000-0005-0000-0000-00004D330000}"/>
    <cellStyle name="Normal 4 8 3 2" xfId="2723" xr:uid="{00000000-0005-0000-0000-00004E330000}"/>
    <cellStyle name="Normal 4 8 3 2 2" xfId="4307" xr:uid="{00000000-0005-0000-0000-00004F330000}"/>
    <cellStyle name="Normal 4 8 3 2 2 2" xfId="7535" xr:uid="{00000000-0005-0000-0000-000050330000}"/>
    <cellStyle name="Normal 4 8 3 2 2 2 2" xfId="13896" xr:uid="{00000000-0005-0000-0000-000051330000}"/>
    <cellStyle name="Normal 4 8 3 2 2 3" xfId="10717" xr:uid="{00000000-0005-0000-0000-000052330000}"/>
    <cellStyle name="Normal 4 8 3 2 3" xfId="5951" xr:uid="{00000000-0005-0000-0000-000053330000}"/>
    <cellStyle name="Normal 4 8 3 2 3 2" xfId="12312" xr:uid="{00000000-0005-0000-0000-000054330000}"/>
    <cellStyle name="Normal 4 8 3 2 4" xfId="9133" xr:uid="{00000000-0005-0000-0000-000055330000}"/>
    <cellStyle name="Normal 4 8 3 3" xfId="3515" xr:uid="{00000000-0005-0000-0000-000056330000}"/>
    <cellStyle name="Normal 4 8 3 3 2" xfId="6743" xr:uid="{00000000-0005-0000-0000-000057330000}"/>
    <cellStyle name="Normal 4 8 3 3 2 2" xfId="13104" xr:uid="{00000000-0005-0000-0000-000058330000}"/>
    <cellStyle name="Normal 4 8 3 3 3" xfId="9925" xr:uid="{00000000-0005-0000-0000-000059330000}"/>
    <cellStyle name="Normal 4 8 3 4" xfId="5159" xr:uid="{00000000-0005-0000-0000-00005A330000}"/>
    <cellStyle name="Normal 4 8 3 4 2" xfId="11520" xr:uid="{00000000-0005-0000-0000-00005B330000}"/>
    <cellStyle name="Normal 4 8 3 5" xfId="8341" xr:uid="{00000000-0005-0000-0000-00005C330000}"/>
    <cellStyle name="Normal 4 8 4" xfId="2327" xr:uid="{00000000-0005-0000-0000-00005D330000}"/>
    <cellStyle name="Normal 4 8 4 2" xfId="3911" xr:uid="{00000000-0005-0000-0000-00005E330000}"/>
    <cellStyle name="Normal 4 8 4 2 2" xfId="7139" xr:uid="{00000000-0005-0000-0000-00005F330000}"/>
    <cellStyle name="Normal 4 8 4 2 2 2" xfId="13500" xr:uid="{00000000-0005-0000-0000-000060330000}"/>
    <cellStyle name="Normal 4 8 4 2 3" xfId="10321" xr:uid="{00000000-0005-0000-0000-000061330000}"/>
    <cellStyle name="Normal 4 8 4 3" xfId="5555" xr:uid="{00000000-0005-0000-0000-000062330000}"/>
    <cellStyle name="Normal 4 8 4 3 2" xfId="11916" xr:uid="{00000000-0005-0000-0000-000063330000}"/>
    <cellStyle name="Normal 4 8 4 4" xfId="8737" xr:uid="{00000000-0005-0000-0000-000064330000}"/>
    <cellStyle name="Normal 4 8 5" xfId="3119" xr:uid="{00000000-0005-0000-0000-000065330000}"/>
    <cellStyle name="Normal 4 8 5 2" xfId="6347" xr:uid="{00000000-0005-0000-0000-000066330000}"/>
    <cellStyle name="Normal 4 8 5 2 2" xfId="12708" xr:uid="{00000000-0005-0000-0000-000067330000}"/>
    <cellStyle name="Normal 4 8 5 3" xfId="9529" xr:uid="{00000000-0005-0000-0000-000068330000}"/>
    <cellStyle name="Normal 4 8 6" xfId="4763" xr:uid="{00000000-0005-0000-0000-000069330000}"/>
    <cellStyle name="Normal 4 8 6 2" xfId="11124" xr:uid="{00000000-0005-0000-0000-00006A330000}"/>
    <cellStyle name="Normal 4 8 7" xfId="7945" xr:uid="{00000000-0005-0000-0000-00006B330000}"/>
    <cellStyle name="Normal 4 9" xfId="1603" xr:uid="{00000000-0005-0000-0000-00006C330000}"/>
    <cellStyle name="Normal 4 9 2" xfId="1801" xr:uid="{00000000-0005-0000-0000-00006D330000}"/>
    <cellStyle name="Normal 4 9 2 2" xfId="2197" xr:uid="{00000000-0005-0000-0000-00006E330000}"/>
    <cellStyle name="Normal 4 9 2 2 2" xfId="2989" xr:uid="{00000000-0005-0000-0000-00006F330000}"/>
    <cellStyle name="Normal 4 9 2 2 2 2" xfId="4573" xr:uid="{00000000-0005-0000-0000-000070330000}"/>
    <cellStyle name="Normal 4 9 2 2 2 2 2" xfId="7801" xr:uid="{00000000-0005-0000-0000-000071330000}"/>
    <cellStyle name="Normal 4 9 2 2 2 2 2 2" xfId="14162" xr:uid="{00000000-0005-0000-0000-000072330000}"/>
    <cellStyle name="Normal 4 9 2 2 2 2 3" xfId="10983" xr:uid="{00000000-0005-0000-0000-000073330000}"/>
    <cellStyle name="Normal 4 9 2 2 2 3" xfId="6217" xr:uid="{00000000-0005-0000-0000-000074330000}"/>
    <cellStyle name="Normal 4 9 2 2 2 3 2" xfId="12578" xr:uid="{00000000-0005-0000-0000-000075330000}"/>
    <cellStyle name="Normal 4 9 2 2 2 4" xfId="9399" xr:uid="{00000000-0005-0000-0000-000076330000}"/>
    <cellStyle name="Normal 4 9 2 2 3" xfId="3781" xr:uid="{00000000-0005-0000-0000-000077330000}"/>
    <cellStyle name="Normal 4 9 2 2 3 2" xfId="7009" xr:uid="{00000000-0005-0000-0000-000078330000}"/>
    <cellStyle name="Normal 4 9 2 2 3 2 2" xfId="13370" xr:uid="{00000000-0005-0000-0000-000079330000}"/>
    <cellStyle name="Normal 4 9 2 2 3 3" xfId="10191" xr:uid="{00000000-0005-0000-0000-00007A330000}"/>
    <cellStyle name="Normal 4 9 2 2 4" xfId="5425" xr:uid="{00000000-0005-0000-0000-00007B330000}"/>
    <cellStyle name="Normal 4 9 2 2 4 2" xfId="11786" xr:uid="{00000000-0005-0000-0000-00007C330000}"/>
    <cellStyle name="Normal 4 9 2 2 5" xfId="8607" xr:uid="{00000000-0005-0000-0000-00007D330000}"/>
    <cellStyle name="Normal 4 9 2 3" xfId="2593" xr:uid="{00000000-0005-0000-0000-00007E330000}"/>
    <cellStyle name="Normal 4 9 2 3 2" xfId="4177" xr:uid="{00000000-0005-0000-0000-00007F330000}"/>
    <cellStyle name="Normal 4 9 2 3 2 2" xfId="7405" xr:uid="{00000000-0005-0000-0000-000080330000}"/>
    <cellStyle name="Normal 4 9 2 3 2 2 2" xfId="13766" xr:uid="{00000000-0005-0000-0000-000081330000}"/>
    <cellStyle name="Normal 4 9 2 3 2 3" xfId="10587" xr:uid="{00000000-0005-0000-0000-000082330000}"/>
    <cellStyle name="Normal 4 9 2 3 3" xfId="5821" xr:uid="{00000000-0005-0000-0000-000083330000}"/>
    <cellStyle name="Normal 4 9 2 3 3 2" xfId="12182" xr:uid="{00000000-0005-0000-0000-000084330000}"/>
    <cellStyle name="Normal 4 9 2 3 4" xfId="9003" xr:uid="{00000000-0005-0000-0000-000085330000}"/>
    <cellStyle name="Normal 4 9 2 4" xfId="3385" xr:uid="{00000000-0005-0000-0000-000086330000}"/>
    <cellStyle name="Normal 4 9 2 4 2" xfId="6613" xr:uid="{00000000-0005-0000-0000-000087330000}"/>
    <cellStyle name="Normal 4 9 2 4 2 2" xfId="12974" xr:uid="{00000000-0005-0000-0000-000088330000}"/>
    <cellStyle name="Normal 4 9 2 4 3" xfId="9795" xr:uid="{00000000-0005-0000-0000-000089330000}"/>
    <cellStyle name="Normal 4 9 2 5" xfId="5029" xr:uid="{00000000-0005-0000-0000-00008A330000}"/>
    <cellStyle name="Normal 4 9 2 5 2" xfId="11390" xr:uid="{00000000-0005-0000-0000-00008B330000}"/>
    <cellStyle name="Normal 4 9 2 6" xfId="8211" xr:uid="{00000000-0005-0000-0000-00008C330000}"/>
    <cellStyle name="Normal 4 9 3" xfId="1999" xr:uid="{00000000-0005-0000-0000-00008D330000}"/>
    <cellStyle name="Normal 4 9 3 2" xfId="2791" xr:uid="{00000000-0005-0000-0000-00008E330000}"/>
    <cellStyle name="Normal 4 9 3 2 2" xfId="4375" xr:uid="{00000000-0005-0000-0000-00008F330000}"/>
    <cellStyle name="Normal 4 9 3 2 2 2" xfId="7603" xr:uid="{00000000-0005-0000-0000-000090330000}"/>
    <cellStyle name="Normal 4 9 3 2 2 2 2" xfId="13964" xr:uid="{00000000-0005-0000-0000-000091330000}"/>
    <cellStyle name="Normal 4 9 3 2 2 3" xfId="10785" xr:uid="{00000000-0005-0000-0000-000092330000}"/>
    <cellStyle name="Normal 4 9 3 2 3" xfId="6019" xr:uid="{00000000-0005-0000-0000-000093330000}"/>
    <cellStyle name="Normal 4 9 3 2 3 2" xfId="12380" xr:uid="{00000000-0005-0000-0000-000094330000}"/>
    <cellStyle name="Normal 4 9 3 2 4" xfId="9201" xr:uid="{00000000-0005-0000-0000-000095330000}"/>
    <cellStyle name="Normal 4 9 3 3" xfId="3583" xr:uid="{00000000-0005-0000-0000-000096330000}"/>
    <cellStyle name="Normal 4 9 3 3 2" xfId="6811" xr:uid="{00000000-0005-0000-0000-000097330000}"/>
    <cellStyle name="Normal 4 9 3 3 2 2" xfId="13172" xr:uid="{00000000-0005-0000-0000-000098330000}"/>
    <cellStyle name="Normal 4 9 3 3 3" xfId="9993" xr:uid="{00000000-0005-0000-0000-000099330000}"/>
    <cellStyle name="Normal 4 9 3 4" xfId="5227" xr:uid="{00000000-0005-0000-0000-00009A330000}"/>
    <cellStyle name="Normal 4 9 3 4 2" xfId="11588" xr:uid="{00000000-0005-0000-0000-00009B330000}"/>
    <cellStyle name="Normal 4 9 3 5" xfId="8409" xr:uid="{00000000-0005-0000-0000-00009C330000}"/>
    <cellStyle name="Normal 4 9 4" xfId="2395" xr:uid="{00000000-0005-0000-0000-00009D330000}"/>
    <cellStyle name="Normal 4 9 4 2" xfId="3979" xr:uid="{00000000-0005-0000-0000-00009E330000}"/>
    <cellStyle name="Normal 4 9 4 2 2" xfId="7207" xr:uid="{00000000-0005-0000-0000-00009F330000}"/>
    <cellStyle name="Normal 4 9 4 2 2 2" xfId="13568" xr:uid="{00000000-0005-0000-0000-0000A0330000}"/>
    <cellStyle name="Normal 4 9 4 2 3" xfId="10389" xr:uid="{00000000-0005-0000-0000-0000A1330000}"/>
    <cellStyle name="Normal 4 9 4 3" xfId="5623" xr:uid="{00000000-0005-0000-0000-0000A2330000}"/>
    <cellStyle name="Normal 4 9 4 3 2" xfId="11984" xr:uid="{00000000-0005-0000-0000-0000A3330000}"/>
    <cellStyle name="Normal 4 9 4 4" xfId="8805" xr:uid="{00000000-0005-0000-0000-0000A4330000}"/>
    <cellStyle name="Normal 4 9 5" xfId="3187" xr:uid="{00000000-0005-0000-0000-0000A5330000}"/>
    <cellStyle name="Normal 4 9 5 2" xfId="6415" xr:uid="{00000000-0005-0000-0000-0000A6330000}"/>
    <cellStyle name="Normal 4 9 5 2 2" xfId="12776" xr:uid="{00000000-0005-0000-0000-0000A7330000}"/>
    <cellStyle name="Normal 4 9 5 3" xfId="9597" xr:uid="{00000000-0005-0000-0000-0000A8330000}"/>
    <cellStyle name="Normal 4 9 6" xfId="4831" xr:uid="{00000000-0005-0000-0000-0000A9330000}"/>
    <cellStyle name="Normal 4 9 6 2" xfId="11192" xr:uid="{00000000-0005-0000-0000-0000AA330000}"/>
    <cellStyle name="Normal 4 9 7" xfId="8013" xr:uid="{00000000-0005-0000-0000-0000AB330000}"/>
    <cellStyle name="Normal 5" xfId="1487" xr:uid="{00000000-0005-0000-0000-0000AC330000}"/>
    <cellStyle name="Normal 5 2" xfId="1599" xr:uid="{00000000-0005-0000-0000-0000AD330000}"/>
    <cellStyle name="Normal 5 2 2" xfId="1797" xr:uid="{00000000-0005-0000-0000-0000AE330000}"/>
    <cellStyle name="Normal 5 2 2 2" xfId="2193" xr:uid="{00000000-0005-0000-0000-0000AF330000}"/>
    <cellStyle name="Normal 5 2 2 2 2" xfId="2985" xr:uid="{00000000-0005-0000-0000-0000B0330000}"/>
    <cellStyle name="Normal 5 2 2 2 2 2" xfId="4569" xr:uid="{00000000-0005-0000-0000-0000B1330000}"/>
    <cellStyle name="Normal 5 2 2 2 2 2 2" xfId="7797" xr:uid="{00000000-0005-0000-0000-0000B2330000}"/>
    <cellStyle name="Normal 5 2 2 2 2 2 2 2" xfId="14158" xr:uid="{00000000-0005-0000-0000-0000B3330000}"/>
    <cellStyle name="Normal 5 2 2 2 2 2 3" xfId="10979" xr:uid="{00000000-0005-0000-0000-0000B4330000}"/>
    <cellStyle name="Normal 5 2 2 2 2 3" xfId="6213" xr:uid="{00000000-0005-0000-0000-0000B5330000}"/>
    <cellStyle name="Normal 5 2 2 2 2 3 2" xfId="12574" xr:uid="{00000000-0005-0000-0000-0000B6330000}"/>
    <cellStyle name="Normal 5 2 2 2 2 4" xfId="9395" xr:uid="{00000000-0005-0000-0000-0000B7330000}"/>
    <cellStyle name="Normal 5 2 2 2 3" xfId="3777" xr:uid="{00000000-0005-0000-0000-0000B8330000}"/>
    <cellStyle name="Normal 5 2 2 2 3 2" xfId="7005" xr:uid="{00000000-0005-0000-0000-0000B9330000}"/>
    <cellStyle name="Normal 5 2 2 2 3 2 2" xfId="13366" xr:uid="{00000000-0005-0000-0000-0000BA330000}"/>
    <cellStyle name="Normal 5 2 2 2 3 3" xfId="10187" xr:uid="{00000000-0005-0000-0000-0000BB330000}"/>
    <cellStyle name="Normal 5 2 2 2 4" xfId="5421" xr:uid="{00000000-0005-0000-0000-0000BC330000}"/>
    <cellStyle name="Normal 5 2 2 2 4 2" xfId="11782" xr:uid="{00000000-0005-0000-0000-0000BD330000}"/>
    <cellStyle name="Normal 5 2 2 2 5" xfId="8603" xr:uid="{00000000-0005-0000-0000-0000BE330000}"/>
    <cellStyle name="Normal 5 2 2 3" xfId="2589" xr:uid="{00000000-0005-0000-0000-0000BF330000}"/>
    <cellStyle name="Normal 5 2 2 3 2" xfId="4173" xr:uid="{00000000-0005-0000-0000-0000C0330000}"/>
    <cellStyle name="Normal 5 2 2 3 2 2" xfId="7401" xr:uid="{00000000-0005-0000-0000-0000C1330000}"/>
    <cellStyle name="Normal 5 2 2 3 2 2 2" xfId="13762" xr:uid="{00000000-0005-0000-0000-0000C2330000}"/>
    <cellStyle name="Normal 5 2 2 3 2 3" xfId="10583" xr:uid="{00000000-0005-0000-0000-0000C3330000}"/>
    <cellStyle name="Normal 5 2 2 3 3" xfId="5817" xr:uid="{00000000-0005-0000-0000-0000C4330000}"/>
    <cellStyle name="Normal 5 2 2 3 3 2" xfId="12178" xr:uid="{00000000-0005-0000-0000-0000C5330000}"/>
    <cellStyle name="Normal 5 2 2 3 4" xfId="8999" xr:uid="{00000000-0005-0000-0000-0000C6330000}"/>
    <cellStyle name="Normal 5 2 2 4" xfId="3381" xr:uid="{00000000-0005-0000-0000-0000C7330000}"/>
    <cellStyle name="Normal 5 2 2 4 2" xfId="6609" xr:uid="{00000000-0005-0000-0000-0000C8330000}"/>
    <cellStyle name="Normal 5 2 2 4 2 2" xfId="12970" xr:uid="{00000000-0005-0000-0000-0000C9330000}"/>
    <cellStyle name="Normal 5 2 2 4 3" xfId="9791" xr:uid="{00000000-0005-0000-0000-0000CA330000}"/>
    <cellStyle name="Normal 5 2 2 5" xfId="5025" xr:uid="{00000000-0005-0000-0000-0000CB330000}"/>
    <cellStyle name="Normal 5 2 2 5 2" xfId="11386" xr:uid="{00000000-0005-0000-0000-0000CC330000}"/>
    <cellStyle name="Normal 5 2 2 6" xfId="8207" xr:uid="{00000000-0005-0000-0000-0000CD330000}"/>
    <cellStyle name="Normal 5 2 3" xfId="1995" xr:uid="{00000000-0005-0000-0000-0000CE330000}"/>
    <cellStyle name="Normal 5 2 3 2" xfId="2787" xr:uid="{00000000-0005-0000-0000-0000CF330000}"/>
    <cellStyle name="Normal 5 2 3 2 2" xfId="4371" xr:uid="{00000000-0005-0000-0000-0000D0330000}"/>
    <cellStyle name="Normal 5 2 3 2 2 2" xfId="7599" xr:uid="{00000000-0005-0000-0000-0000D1330000}"/>
    <cellStyle name="Normal 5 2 3 2 2 2 2" xfId="13960" xr:uid="{00000000-0005-0000-0000-0000D2330000}"/>
    <cellStyle name="Normal 5 2 3 2 2 3" xfId="10781" xr:uid="{00000000-0005-0000-0000-0000D3330000}"/>
    <cellStyle name="Normal 5 2 3 2 3" xfId="6015" xr:uid="{00000000-0005-0000-0000-0000D4330000}"/>
    <cellStyle name="Normal 5 2 3 2 3 2" xfId="12376" xr:uid="{00000000-0005-0000-0000-0000D5330000}"/>
    <cellStyle name="Normal 5 2 3 2 4" xfId="9197" xr:uid="{00000000-0005-0000-0000-0000D6330000}"/>
    <cellStyle name="Normal 5 2 3 3" xfId="3579" xr:uid="{00000000-0005-0000-0000-0000D7330000}"/>
    <cellStyle name="Normal 5 2 3 3 2" xfId="6807" xr:uid="{00000000-0005-0000-0000-0000D8330000}"/>
    <cellStyle name="Normal 5 2 3 3 2 2" xfId="13168" xr:uid="{00000000-0005-0000-0000-0000D9330000}"/>
    <cellStyle name="Normal 5 2 3 3 3" xfId="9989" xr:uid="{00000000-0005-0000-0000-0000DA330000}"/>
    <cellStyle name="Normal 5 2 3 4" xfId="5223" xr:uid="{00000000-0005-0000-0000-0000DB330000}"/>
    <cellStyle name="Normal 5 2 3 4 2" xfId="11584" xr:uid="{00000000-0005-0000-0000-0000DC330000}"/>
    <cellStyle name="Normal 5 2 3 5" xfId="8405" xr:uid="{00000000-0005-0000-0000-0000DD330000}"/>
    <cellStyle name="Normal 5 2 4" xfId="2391" xr:uid="{00000000-0005-0000-0000-0000DE330000}"/>
    <cellStyle name="Normal 5 2 4 2" xfId="3975" xr:uid="{00000000-0005-0000-0000-0000DF330000}"/>
    <cellStyle name="Normal 5 2 4 2 2" xfId="7203" xr:uid="{00000000-0005-0000-0000-0000E0330000}"/>
    <cellStyle name="Normal 5 2 4 2 2 2" xfId="13564" xr:uid="{00000000-0005-0000-0000-0000E1330000}"/>
    <cellStyle name="Normal 5 2 4 2 3" xfId="10385" xr:uid="{00000000-0005-0000-0000-0000E2330000}"/>
    <cellStyle name="Normal 5 2 4 3" xfId="5619" xr:uid="{00000000-0005-0000-0000-0000E3330000}"/>
    <cellStyle name="Normal 5 2 4 3 2" xfId="11980" xr:uid="{00000000-0005-0000-0000-0000E4330000}"/>
    <cellStyle name="Normal 5 2 4 4" xfId="8801" xr:uid="{00000000-0005-0000-0000-0000E5330000}"/>
    <cellStyle name="Normal 5 2 5" xfId="3183" xr:uid="{00000000-0005-0000-0000-0000E6330000}"/>
    <cellStyle name="Normal 5 2 5 2" xfId="6411" xr:uid="{00000000-0005-0000-0000-0000E7330000}"/>
    <cellStyle name="Normal 5 2 5 2 2" xfId="12772" xr:uid="{00000000-0005-0000-0000-0000E8330000}"/>
    <cellStyle name="Normal 5 2 5 3" xfId="9593" xr:uid="{00000000-0005-0000-0000-0000E9330000}"/>
    <cellStyle name="Normal 5 2 6" xfId="4827" xr:uid="{00000000-0005-0000-0000-0000EA330000}"/>
    <cellStyle name="Normal 5 2 6 2" xfId="11188" xr:uid="{00000000-0005-0000-0000-0000EB330000}"/>
    <cellStyle name="Normal 5 2 7" xfId="8009" xr:uid="{00000000-0005-0000-0000-0000EC330000}"/>
    <cellStyle name="Normal 5 3" xfId="1667" xr:uid="{00000000-0005-0000-0000-0000ED330000}"/>
    <cellStyle name="Normal 5 3 2" xfId="1865" xr:uid="{00000000-0005-0000-0000-0000EE330000}"/>
    <cellStyle name="Normal 5 3 2 2" xfId="2261" xr:uid="{00000000-0005-0000-0000-0000EF330000}"/>
    <cellStyle name="Normal 5 3 2 2 2" xfId="3053" xr:uid="{00000000-0005-0000-0000-0000F0330000}"/>
    <cellStyle name="Normal 5 3 2 2 2 2" xfId="4637" xr:uid="{00000000-0005-0000-0000-0000F1330000}"/>
    <cellStyle name="Normal 5 3 2 2 2 2 2" xfId="7865" xr:uid="{00000000-0005-0000-0000-0000F2330000}"/>
    <cellStyle name="Normal 5 3 2 2 2 2 2 2" xfId="14226" xr:uid="{00000000-0005-0000-0000-0000F3330000}"/>
    <cellStyle name="Normal 5 3 2 2 2 2 3" xfId="11047" xr:uid="{00000000-0005-0000-0000-0000F4330000}"/>
    <cellStyle name="Normal 5 3 2 2 2 3" xfId="6281" xr:uid="{00000000-0005-0000-0000-0000F5330000}"/>
    <cellStyle name="Normal 5 3 2 2 2 3 2" xfId="12642" xr:uid="{00000000-0005-0000-0000-0000F6330000}"/>
    <cellStyle name="Normal 5 3 2 2 2 4" xfId="9463" xr:uid="{00000000-0005-0000-0000-0000F7330000}"/>
    <cellStyle name="Normal 5 3 2 2 3" xfId="3845" xr:uid="{00000000-0005-0000-0000-0000F8330000}"/>
    <cellStyle name="Normal 5 3 2 2 3 2" xfId="7073" xr:uid="{00000000-0005-0000-0000-0000F9330000}"/>
    <cellStyle name="Normal 5 3 2 2 3 2 2" xfId="13434" xr:uid="{00000000-0005-0000-0000-0000FA330000}"/>
    <cellStyle name="Normal 5 3 2 2 3 3" xfId="10255" xr:uid="{00000000-0005-0000-0000-0000FB330000}"/>
    <cellStyle name="Normal 5 3 2 2 4" xfId="5489" xr:uid="{00000000-0005-0000-0000-0000FC330000}"/>
    <cellStyle name="Normal 5 3 2 2 4 2" xfId="11850" xr:uid="{00000000-0005-0000-0000-0000FD330000}"/>
    <cellStyle name="Normal 5 3 2 2 5" xfId="8671" xr:uid="{00000000-0005-0000-0000-0000FE330000}"/>
    <cellStyle name="Normal 5 3 2 3" xfId="2657" xr:uid="{00000000-0005-0000-0000-0000FF330000}"/>
    <cellStyle name="Normal 5 3 2 3 2" xfId="4241" xr:uid="{00000000-0005-0000-0000-000000340000}"/>
    <cellStyle name="Normal 5 3 2 3 2 2" xfId="7469" xr:uid="{00000000-0005-0000-0000-000001340000}"/>
    <cellStyle name="Normal 5 3 2 3 2 2 2" xfId="13830" xr:uid="{00000000-0005-0000-0000-000002340000}"/>
    <cellStyle name="Normal 5 3 2 3 2 3" xfId="10651" xr:uid="{00000000-0005-0000-0000-000003340000}"/>
    <cellStyle name="Normal 5 3 2 3 3" xfId="5885" xr:uid="{00000000-0005-0000-0000-000004340000}"/>
    <cellStyle name="Normal 5 3 2 3 3 2" xfId="12246" xr:uid="{00000000-0005-0000-0000-000005340000}"/>
    <cellStyle name="Normal 5 3 2 3 4" xfId="9067" xr:uid="{00000000-0005-0000-0000-000006340000}"/>
    <cellStyle name="Normal 5 3 2 4" xfId="3449" xr:uid="{00000000-0005-0000-0000-000007340000}"/>
    <cellStyle name="Normal 5 3 2 4 2" xfId="6677" xr:uid="{00000000-0005-0000-0000-000008340000}"/>
    <cellStyle name="Normal 5 3 2 4 2 2" xfId="13038" xr:uid="{00000000-0005-0000-0000-000009340000}"/>
    <cellStyle name="Normal 5 3 2 4 3" xfId="9859" xr:uid="{00000000-0005-0000-0000-00000A340000}"/>
    <cellStyle name="Normal 5 3 2 5" xfId="5093" xr:uid="{00000000-0005-0000-0000-00000B340000}"/>
    <cellStyle name="Normal 5 3 2 5 2" xfId="11454" xr:uid="{00000000-0005-0000-0000-00000C340000}"/>
    <cellStyle name="Normal 5 3 2 6" xfId="8275" xr:uid="{00000000-0005-0000-0000-00000D340000}"/>
    <cellStyle name="Normal 5 3 3" xfId="2063" xr:uid="{00000000-0005-0000-0000-00000E340000}"/>
    <cellStyle name="Normal 5 3 3 2" xfId="2855" xr:uid="{00000000-0005-0000-0000-00000F340000}"/>
    <cellStyle name="Normal 5 3 3 2 2" xfId="4439" xr:uid="{00000000-0005-0000-0000-000010340000}"/>
    <cellStyle name="Normal 5 3 3 2 2 2" xfId="7667" xr:uid="{00000000-0005-0000-0000-000011340000}"/>
    <cellStyle name="Normal 5 3 3 2 2 2 2" xfId="14028" xr:uid="{00000000-0005-0000-0000-000012340000}"/>
    <cellStyle name="Normal 5 3 3 2 2 3" xfId="10849" xr:uid="{00000000-0005-0000-0000-000013340000}"/>
    <cellStyle name="Normal 5 3 3 2 3" xfId="6083" xr:uid="{00000000-0005-0000-0000-000014340000}"/>
    <cellStyle name="Normal 5 3 3 2 3 2" xfId="12444" xr:uid="{00000000-0005-0000-0000-000015340000}"/>
    <cellStyle name="Normal 5 3 3 2 4" xfId="9265" xr:uid="{00000000-0005-0000-0000-000016340000}"/>
    <cellStyle name="Normal 5 3 3 3" xfId="3647" xr:uid="{00000000-0005-0000-0000-000017340000}"/>
    <cellStyle name="Normal 5 3 3 3 2" xfId="6875" xr:uid="{00000000-0005-0000-0000-000018340000}"/>
    <cellStyle name="Normal 5 3 3 3 2 2" xfId="13236" xr:uid="{00000000-0005-0000-0000-000019340000}"/>
    <cellStyle name="Normal 5 3 3 3 3" xfId="10057" xr:uid="{00000000-0005-0000-0000-00001A340000}"/>
    <cellStyle name="Normal 5 3 3 4" xfId="5291" xr:uid="{00000000-0005-0000-0000-00001B340000}"/>
    <cellStyle name="Normal 5 3 3 4 2" xfId="11652" xr:uid="{00000000-0005-0000-0000-00001C340000}"/>
    <cellStyle name="Normal 5 3 3 5" xfId="8473" xr:uid="{00000000-0005-0000-0000-00001D340000}"/>
    <cellStyle name="Normal 5 3 4" xfId="2459" xr:uid="{00000000-0005-0000-0000-00001E340000}"/>
    <cellStyle name="Normal 5 3 4 2" xfId="4043" xr:uid="{00000000-0005-0000-0000-00001F340000}"/>
    <cellStyle name="Normal 5 3 4 2 2" xfId="7271" xr:uid="{00000000-0005-0000-0000-000020340000}"/>
    <cellStyle name="Normal 5 3 4 2 2 2" xfId="13632" xr:uid="{00000000-0005-0000-0000-000021340000}"/>
    <cellStyle name="Normal 5 3 4 2 3" xfId="10453" xr:uid="{00000000-0005-0000-0000-000022340000}"/>
    <cellStyle name="Normal 5 3 4 3" xfId="5687" xr:uid="{00000000-0005-0000-0000-000023340000}"/>
    <cellStyle name="Normal 5 3 4 3 2" xfId="12048" xr:uid="{00000000-0005-0000-0000-000024340000}"/>
    <cellStyle name="Normal 5 3 4 4" xfId="8869" xr:uid="{00000000-0005-0000-0000-000025340000}"/>
    <cellStyle name="Normal 5 3 5" xfId="3251" xr:uid="{00000000-0005-0000-0000-000026340000}"/>
    <cellStyle name="Normal 5 3 5 2" xfId="6479" xr:uid="{00000000-0005-0000-0000-000027340000}"/>
    <cellStyle name="Normal 5 3 5 2 2" xfId="12840" xr:uid="{00000000-0005-0000-0000-000028340000}"/>
    <cellStyle name="Normal 5 3 5 3" xfId="9661" xr:uid="{00000000-0005-0000-0000-000029340000}"/>
    <cellStyle name="Normal 5 3 6" xfId="4895" xr:uid="{00000000-0005-0000-0000-00002A340000}"/>
    <cellStyle name="Normal 5 3 6 2" xfId="11256" xr:uid="{00000000-0005-0000-0000-00002B340000}"/>
    <cellStyle name="Normal 5 3 7" xfId="8077" xr:uid="{00000000-0005-0000-0000-00002C340000}"/>
    <cellStyle name="Normal 5 4" xfId="1732" xr:uid="{00000000-0005-0000-0000-00002D340000}"/>
    <cellStyle name="Normal 5 4 2" xfId="2128" xr:uid="{00000000-0005-0000-0000-00002E340000}"/>
    <cellStyle name="Normal 5 4 2 2" xfId="2920" xr:uid="{00000000-0005-0000-0000-00002F340000}"/>
    <cellStyle name="Normal 5 4 2 2 2" xfId="4504" xr:uid="{00000000-0005-0000-0000-000030340000}"/>
    <cellStyle name="Normal 5 4 2 2 2 2" xfId="7732" xr:uid="{00000000-0005-0000-0000-000031340000}"/>
    <cellStyle name="Normal 5 4 2 2 2 2 2" xfId="14093" xr:uid="{00000000-0005-0000-0000-000032340000}"/>
    <cellStyle name="Normal 5 4 2 2 2 3" xfId="10914" xr:uid="{00000000-0005-0000-0000-000033340000}"/>
    <cellStyle name="Normal 5 4 2 2 3" xfId="6148" xr:uid="{00000000-0005-0000-0000-000034340000}"/>
    <cellStyle name="Normal 5 4 2 2 3 2" xfId="12509" xr:uid="{00000000-0005-0000-0000-000035340000}"/>
    <cellStyle name="Normal 5 4 2 2 4" xfId="9330" xr:uid="{00000000-0005-0000-0000-000036340000}"/>
    <cellStyle name="Normal 5 4 2 3" xfId="3712" xr:uid="{00000000-0005-0000-0000-000037340000}"/>
    <cellStyle name="Normal 5 4 2 3 2" xfId="6940" xr:uid="{00000000-0005-0000-0000-000038340000}"/>
    <cellStyle name="Normal 5 4 2 3 2 2" xfId="13301" xr:uid="{00000000-0005-0000-0000-000039340000}"/>
    <cellStyle name="Normal 5 4 2 3 3" xfId="10122" xr:uid="{00000000-0005-0000-0000-00003A340000}"/>
    <cellStyle name="Normal 5 4 2 4" xfId="5356" xr:uid="{00000000-0005-0000-0000-00003B340000}"/>
    <cellStyle name="Normal 5 4 2 4 2" xfId="11717" xr:uid="{00000000-0005-0000-0000-00003C340000}"/>
    <cellStyle name="Normal 5 4 2 5" xfId="8538" xr:uid="{00000000-0005-0000-0000-00003D340000}"/>
    <cellStyle name="Normal 5 4 3" xfId="2524" xr:uid="{00000000-0005-0000-0000-00003E340000}"/>
    <cellStyle name="Normal 5 4 3 2" xfId="4108" xr:uid="{00000000-0005-0000-0000-00003F340000}"/>
    <cellStyle name="Normal 5 4 3 2 2" xfId="7336" xr:uid="{00000000-0005-0000-0000-000040340000}"/>
    <cellStyle name="Normal 5 4 3 2 2 2" xfId="13697" xr:uid="{00000000-0005-0000-0000-000041340000}"/>
    <cellStyle name="Normal 5 4 3 2 3" xfId="10518" xr:uid="{00000000-0005-0000-0000-000042340000}"/>
    <cellStyle name="Normal 5 4 3 3" xfId="5752" xr:uid="{00000000-0005-0000-0000-000043340000}"/>
    <cellStyle name="Normal 5 4 3 3 2" xfId="12113" xr:uid="{00000000-0005-0000-0000-000044340000}"/>
    <cellStyle name="Normal 5 4 3 4" xfId="8934" xr:uid="{00000000-0005-0000-0000-000045340000}"/>
    <cellStyle name="Normal 5 4 4" xfId="3316" xr:uid="{00000000-0005-0000-0000-000046340000}"/>
    <cellStyle name="Normal 5 4 4 2" xfId="6544" xr:uid="{00000000-0005-0000-0000-000047340000}"/>
    <cellStyle name="Normal 5 4 4 2 2" xfId="12905" xr:uid="{00000000-0005-0000-0000-000048340000}"/>
    <cellStyle name="Normal 5 4 4 3" xfId="9726" xr:uid="{00000000-0005-0000-0000-000049340000}"/>
    <cellStyle name="Normal 5 4 5" xfId="4960" xr:uid="{00000000-0005-0000-0000-00004A340000}"/>
    <cellStyle name="Normal 5 4 5 2" xfId="11321" xr:uid="{00000000-0005-0000-0000-00004B340000}"/>
    <cellStyle name="Normal 5 4 6" xfId="8142" xr:uid="{00000000-0005-0000-0000-00004C340000}"/>
    <cellStyle name="Normal 5 5" xfId="1930" xr:uid="{00000000-0005-0000-0000-00004D340000}"/>
    <cellStyle name="Normal 5 5 2" xfId="2722" xr:uid="{00000000-0005-0000-0000-00004E340000}"/>
    <cellStyle name="Normal 5 5 2 2" xfId="4306" xr:uid="{00000000-0005-0000-0000-00004F340000}"/>
    <cellStyle name="Normal 5 5 2 2 2" xfId="7534" xr:uid="{00000000-0005-0000-0000-000050340000}"/>
    <cellStyle name="Normal 5 5 2 2 2 2" xfId="13895" xr:uid="{00000000-0005-0000-0000-000051340000}"/>
    <cellStyle name="Normal 5 5 2 2 3" xfId="10716" xr:uid="{00000000-0005-0000-0000-000052340000}"/>
    <cellStyle name="Normal 5 5 2 3" xfId="5950" xr:uid="{00000000-0005-0000-0000-000053340000}"/>
    <cellStyle name="Normal 5 5 2 3 2" xfId="12311" xr:uid="{00000000-0005-0000-0000-000054340000}"/>
    <cellStyle name="Normal 5 5 2 4" xfId="9132" xr:uid="{00000000-0005-0000-0000-000055340000}"/>
    <cellStyle name="Normal 5 5 3" xfId="3514" xr:uid="{00000000-0005-0000-0000-000056340000}"/>
    <cellStyle name="Normal 5 5 3 2" xfId="6742" xr:uid="{00000000-0005-0000-0000-000057340000}"/>
    <cellStyle name="Normal 5 5 3 2 2" xfId="13103" xr:uid="{00000000-0005-0000-0000-000058340000}"/>
    <cellStyle name="Normal 5 5 3 3" xfId="9924" xr:uid="{00000000-0005-0000-0000-000059340000}"/>
    <cellStyle name="Normal 5 5 4" xfId="5158" xr:uid="{00000000-0005-0000-0000-00005A340000}"/>
    <cellStyle name="Normal 5 5 4 2" xfId="11519" xr:uid="{00000000-0005-0000-0000-00005B340000}"/>
    <cellStyle name="Normal 5 5 5" xfId="8340" xr:uid="{00000000-0005-0000-0000-00005C340000}"/>
    <cellStyle name="Normal 5 6" xfId="2326" xr:uid="{00000000-0005-0000-0000-00005D340000}"/>
    <cellStyle name="Normal 5 6 2" xfId="3910" xr:uid="{00000000-0005-0000-0000-00005E340000}"/>
    <cellStyle name="Normal 5 6 2 2" xfId="7138" xr:uid="{00000000-0005-0000-0000-00005F340000}"/>
    <cellStyle name="Normal 5 6 2 2 2" xfId="13499" xr:uid="{00000000-0005-0000-0000-000060340000}"/>
    <cellStyle name="Normal 5 6 2 3" xfId="10320" xr:uid="{00000000-0005-0000-0000-000061340000}"/>
    <cellStyle name="Normal 5 6 3" xfId="5554" xr:uid="{00000000-0005-0000-0000-000062340000}"/>
    <cellStyle name="Normal 5 6 3 2" xfId="11915" xr:uid="{00000000-0005-0000-0000-000063340000}"/>
    <cellStyle name="Normal 5 6 4" xfId="8736" xr:uid="{00000000-0005-0000-0000-000064340000}"/>
    <cellStyle name="Normal 5 7" xfId="3118" xr:uid="{00000000-0005-0000-0000-000065340000}"/>
    <cellStyle name="Normal 5 7 2" xfId="6346" xr:uid="{00000000-0005-0000-0000-000066340000}"/>
    <cellStyle name="Normal 5 7 2 2" xfId="12707" xr:uid="{00000000-0005-0000-0000-000067340000}"/>
    <cellStyle name="Normal 5 7 3" xfId="9528" xr:uid="{00000000-0005-0000-0000-000068340000}"/>
    <cellStyle name="Normal 5 8" xfId="4762" xr:uid="{00000000-0005-0000-0000-000069340000}"/>
    <cellStyle name="Normal 5 8 2" xfId="11123" xr:uid="{00000000-0005-0000-0000-00006A340000}"/>
    <cellStyle name="Normal 5 9" xfId="7944" xr:uid="{00000000-0005-0000-0000-00006B340000}"/>
    <cellStyle name="Normal 6" xfId="1602" xr:uid="{00000000-0005-0000-0000-00006C340000}"/>
    <cellStyle name="Normal 6 2" xfId="1800" xr:uid="{00000000-0005-0000-0000-00006D340000}"/>
    <cellStyle name="Normal 6 2 2" xfId="2196" xr:uid="{00000000-0005-0000-0000-00006E340000}"/>
    <cellStyle name="Normal 6 2 2 2" xfId="2988" xr:uid="{00000000-0005-0000-0000-00006F340000}"/>
    <cellStyle name="Normal 6 2 2 2 2" xfId="4572" xr:uid="{00000000-0005-0000-0000-000070340000}"/>
    <cellStyle name="Normal 6 2 2 2 2 2" xfId="7800" xr:uid="{00000000-0005-0000-0000-000071340000}"/>
    <cellStyle name="Normal 6 2 2 2 2 2 2" xfId="14161" xr:uid="{00000000-0005-0000-0000-000072340000}"/>
    <cellStyle name="Normal 6 2 2 2 2 3" xfId="10982" xr:uid="{00000000-0005-0000-0000-000073340000}"/>
    <cellStyle name="Normal 6 2 2 2 3" xfId="6216" xr:uid="{00000000-0005-0000-0000-000074340000}"/>
    <cellStyle name="Normal 6 2 2 2 3 2" xfId="12577" xr:uid="{00000000-0005-0000-0000-000075340000}"/>
    <cellStyle name="Normal 6 2 2 2 4" xfId="9398" xr:uid="{00000000-0005-0000-0000-000076340000}"/>
    <cellStyle name="Normal 6 2 2 3" xfId="3780" xr:uid="{00000000-0005-0000-0000-000077340000}"/>
    <cellStyle name="Normal 6 2 2 3 2" xfId="7008" xr:uid="{00000000-0005-0000-0000-000078340000}"/>
    <cellStyle name="Normal 6 2 2 3 2 2" xfId="13369" xr:uid="{00000000-0005-0000-0000-000079340000}"/>
    <cellStyle name="Normal 6 2 2 3 3" xfId="10190" xr:uid="{00000000-0005-0000-0000-00007A340000}"/>
    <cellStyle name="Normal 6 2 2 4" xfId="5424" xr:uid="{00000000-0005-0000-0000-00007B340000}"/>
    <cellStyle name="Normal 6 2 2 4 2" xfId="11785" xr:uid="{00000000-0005-0000-0000-00007C340000}"/>
    <cellStyle name="Normal 6 2 2 5" xfId="8606" xr:uid="{00000000-0005-0000-0000-00007D340000}"/>
    <cellStyle name="Normal 6 2 3" xfId="2592" xr:uid="{00000000-0005-0000-0000-00007E340000}"/>
    <cellStyle name="Normal 6 2 3 2" xfId="4176" xr:uid="{00000000-0005-0000-0000-00007F340000}"/>
    <cellStyle name="Normal 6 2 3 2 2" xfId="7404" xr:uid="{00000000-0005-0000-0000-000080340000}"/>
    <cellStyle name="Normal 6 2 3 2 2 2" xfId="13765" xr:uid="{00000000-0005-0000-0000-000081340000}"/>
    <cellStyle name="Normal 6 2 3 2 3" xfId="10586" xr:uid="{00000000-0005-0000-0000-000082340000}"/>
    <cellStyle name="Normal 6 2 3 3" xfId="5820" xr:uid="{00000000-0005-0000-0000-000083340000}"/>
    <cellStyle name="Normal 6 2 3 3 2" xfId="12181" xr:uid="{00000000-0005-0000-0000-000084340000}"/>
    <cellStyle name="Normal 6 2 3 4" xfId="9002" xr:uid="{00000000-0005-0000-0000-000085340000}"/>
    <cellStyle name="Normal 6 2 4" xfId="3384" xr:uid="{00000000-0005-0000-0000-000086340000}"/>
    <cellStyle name="Normal 6 2 4 2" xfId="6612" xr:uid="{00000000-0005-0000-0000-000087340000}"/>
    <cellStyle name="Normal 6 2 4 2 2" xfId="12973" xr:uid="{00000000-0005-0000-0000-000088340000}"/>
    <cellStyle name="Normal 6 2 4 3" xfId="9794" xr:uid="{00000000-0005-0000-0000-000089340000}"/>
    <cellStyle name="Normal 6 2 5" xfId="5028" xr:uid="{00000000-0005-0000-0000-00008A340000}"/>
    <cellStyle name="Normal 6 2 5 2" xfId="11389" xr:uid="{00000000-0005-0000-0000-00008B340000}"/>
    <cellStyle name="Normal 6 2 6" xfId="8210" xr:uid="{00000000-0005-0000-0000-00008C340000}"/>
    <cellStyle name="Normal 6 3" xfId="1998" xr:uid="{00000000-0005-0000-0000-00008D340000}"/>
    <cellStyle name="Normal 6 3 2" xfId="2790" xr:uid="{00000000-0005-0000-0000-00008E340000}"/>
    <cellStyle name="Normal 6 3 2 2" xfId="4374" xr:uid="{00000000-0005-0000-0000-00008F340000}"/>
    <cellStyle name="Normal 6 3 2 2 2" xfId="7602" xr:uid="{00000000-0005-0000-0000-000090340000}"/>
    <cellStyle name="Normal 6 3 2 2 2 2" xfId="13963" xr:uid="{00000000-0005-0000-0000-000091340000}"/>
    <cellStyle name="Normal 6 3 2 2 3" xfId="10784" xr:uid="{00000000-0005-0000-0000-000092340000}"/>
    <cellStyle name="Normal 6 3 2 3" xfId="6018" xr:uid="{00000000-0005-0000-0000-000093340000}"/>
    <cellStyle name="Normal 6 3 2 3 2" xfId="12379" xr:uid="{00000000-0005-0000-0000-000094340000}"/>
    <cellStyle name="Normal 6 3 2 4" xfId="9200" xr:uid="{00000000-0005-0000-0000-000095340000}"/>
    <cellStyle name="Normal 6 3 3" xfId="3582" xr:uid="{00000000-0005-0000-0000-000096340000}"/>
    <cellStyle name="Normal 6 3 3 2" xfId="6810" xr:uid="{00000000-0005-0000-0000-000097340000}"/>
    <cellStyle name="Normal 6 3 3 2 2" xfId="13171" xr:uid="{00000000-0005-0000-0000-000098340000}"/>
    <cellStyle name="Normal 6 3 3 3" xfId="9992" xr:uid="{00000000-0005-0000-0000-000099340000}"/>
    <cellStyle name="Normal 6 3 4" xfId="5226" xr:uid="{00000000-0005-0000-0000-00009A340000}"/>
    <cellStyle name="Normal 6 3 4 2" xfId="11587" xr:uid="{00000000-0005-0000-0000-00009B340000}"/>
    <cellStyle name="Normal 6 3 5" xfId="8408" xr:uid="{00000000-0005-0000-0000-00009C340000}"/>
    <cellStyle name="Normal 6 4" xfId="2394" xr:uid="{00000000-0005-0000-0000-00009D340000}"/>
    <cellStyle name="Normal 6 4 2" xfId="3978" xr:uid="{00000000-0005-0000-0000-00009E340000}"/>
    <cellStyle name="Normal 6 4 2 2" xfId="7206" xr:uid="{00000000-0005-0000-0000-00009F340000}"/>
    <cellStyle name="Normal 6 4 2 2 2" xfId="13567" xr:uid="{00000000-0005-0000-0000-0000A0340000}"/>
    <cellStyle name="Normal 6 4 2 3" xfId="10388" xr:uid="{00000000-0005-0000-0000-0000A1340000}"/>
    <cellStyle name="Normal 6 4 3" xfId="5622" xr:uid="{00000000-0005-0000-0000-0000A2340000}"/>
    <cellStyle name="Normal 6 4 3 2" xfId="11983" xr:uid="{00000000-0005-0000-0000-0000A3340000}"/>
    <cellStyle name="Normal 6 4 4" xfId="8804" xr:uid="{00000000-0005-0000-0000-0000A4340000}"/>
    <cellStyle name="Normal 6 5" xfId="3186" xr:uid="{00000000-0005-0000-0000-0000A5340000}"/>
    <cellStyle name="Normal 6 5 2" xfId="6414" xr:uid="{00000000-0005-0000-0000-0000A6340000}"/>
    <cellStyle name="Normal 6 5 2 2" xfId="12775" xr:uid="{00000000-0005-0000-0000-0000A7340000}"/>
    <cellStyle name="Normal 6 5 3" xfId="9596" xr:uid="{00000000-0005-0000-0000-0000A8340000}"/>
    <cellStyle name="Normal 6 6" xfId="4830" xr:uid="{00000000-0005-0000-0000-0000A9340000}"/>
    <cellStyle name="Normal 6 6 2" xfId="11191" xr:uid="{00000000-0005-0000-0000-0000AA340000}"/>
    <cellStyle name="Normal 6 7" xfId="8012" xr:uid="{00000000-0005-0000-0000-0000AB340000}"/>
    <cellStyle name="Normal 7" xfId="1601" xr:uid="{00000000-0005-0000-0000-0000AC340000}"/>
    <cellStyle name="Normal 7 2" xfId="1799" xr:uid="{00000000-0005-0000-0000-0000AD340000}"/>
    <cellStyle name="Normal 7 2 2" xfId="2195" xr:uid="{00000000-0005-0000-0000-0000AE340000}"/>
    <cellStyle name="Normal 7 2 2 2" xfId="2987" xr:uid="{00000000-0005-0000-0000-0000AF340000}"/>
    <cellStyle name="Normal 7 2 2 2 2" xfId="4571" xr:uid="{00000000-0005-0000-0000-0000B0340000}"/>
    <cellStyle name="Normal 7 2 2 2 2 2" xfId="7799" xr:uid="{00000000-0005-0000-0000-0000B1340000}"/>
    <cellStyle name="Normal 7 2 2 2 2 2 2" xfId="14160" xr:uid="{00000000-0005-0000-0000-0000B2340000}"/>
    <cellStyle name="Normal 7 2 2 2 2 3" xfId="10981" xr:uid="{00000000-0005-0000-0000-0000B3340000}"/>
    <cellStyle name="Normal 7 2 2 2 3" xfId="6215" xr:uid="{00000000-0005-0000-0000-0000B4340000}"/>
    <cellStyle name="Normal 7 2 2 2 3 2" xfId="12576" xr:uid="{00000000-0005-0000-0000-0000B5340000}"/>
    <cellStyle name="Normal 7 2 2 2 4" xfId="9397" xr:uid="{00000000-0005-0000-0000-0000B6340000}"/>
    <cellStyle name="Normal 7 2 2 3" xfId="3779" xr:uid="{00000000-0005-0000-0000-0000B7340000}"/>
    <cellStyle name="Normal 7 2 2 3 2" xfId="7007" xr:uid="{00000000-0005-0000-0000-0000B8340000}"/>
    <cellStyle name="Normal 7 2 2 3 2 2" xfId="13368" xr:uid="{00000000-0005-0000-0000-0000B9340000}"/>
    <cellStyle name="Normal 7 2 2 3 3" xfId="10189" xr:uid="{00000000-0005-0000-0000-0000BA340000}"/>
    <cellStyle name="Normal 7 2 2 4" xfId="5423" xr:uid="{00000000-0005-0000-0000-0000BB340000}"/>
    <cellStyle name="Normal 7 2 2 4 2" xfId="11784" xr:uid="{00000000-0005-0000-0000-0000BC340000}"/>
    <cellStyle name="Normal 7 2 2 5" xfId="8605" xr:uid="{00000000-0005-0000-0000-0000BD340000}"/>
    <cellStyle name="Normal 7 2 3" xfId="2591" xr:uid="{00000000-0005-0000-0000-0000BE340000}"/>
    <cellStyle name="Normal 7 2 3 2" xfId="4175" xr:uid="{00000000-0005-0000-0000-0000BF340000}"/>
    <cellStyle name="Normal 7 2 3 2 2" xfId="7403" xr:uid="{00000000-0005-0000-0000-0000C0340000}"/>
    <cellStyle name="Normal 7 2 3 2 2 2" xfId="13764" xr:uid="{00000000-0005-0000-0000-0000C1340000}"/>
    <cellStyle name="Normal 7 2 3 2 3" xfId="10585" xr:uid="{00000000-0005-0000-0000-0000C2340000}"/>
    <cellStyle name="Normal 7 2 3 3" xfId="5819" xr:uid="{00000000-0005-0000-0000-0000C3340000}"/>
    <cellStyle name="Normal 7 2 3 3 2" xfId="12180" xr:uid="{00000000-0005-0000-0000-0000C4340000}"/>
    <cellStyle name="Normal 7 2 3 4" xfId="9001" xr:uid="{00000000-0005-0000-0000-0000C5340000}"/>
    <cellStyle name="Normal 7 2 4" xfId="3383" xr:uid="{00000000-0005-0000-0000-0000C6340000}"/>
    <cellStyle name="Normal 7 2 4 2" xfId="6611" xr:uid="{00000000-0005-0000-0000-0000C7340000}"/>
    <cellStyle name="Normal 7 2 4 2 2" xfId="12972" xr:uid="{00000000-0005-0000-0000-0000C8340000}"/>
    <cellStyle name="Normal 7 2 4 3" xfId="9793" xr:uid="{00000000-0005-0000-0000-0000C9340000}"/>
    <cellStyle name="Normal 7 2 5" xfId="5027" xr:uid="{00000000-0005-0000-0000-0000CA340000}"/>
    <cellStyle name="Normal 7 2 5 2" xfId="11388" xr:uid="{00000000-0005-0000-0000-0000CB340000}"/>
    <cellStyle name="Normal 7 2 6" xfId="8209" xr:uid="{00000000-0005-0000-0000-0000CC340000}"/>
    <cellStyle name="Normal 7 3" xfId="1997" xr:uid="{00000000-0005-0000-0000-0000CD340000}"/>
    <cellStyle name="Normal 7 3 2" xfId="2789" xr:uid="{00000000-0005-0000-0000-0000CE340000}"/>
    <cellStyle name="Normal 7 3 2 2" xfId="4373" xr:uid="{00000000-0005-0000-0000-0000CF340000}"/>
    <cellStyle name="Normal 7 3 2 2 2" xfId="7601" xr:uid="{00000000-0005-0000-0000-0000D0340000}"/>
    <cellStyle name="Normal 7 3 2 2 2 2" xfId="13962" xr:uid="{00000000-0005-0000-0000-0000D1340000}"/>
    <cellStyle name="Normal 7 3 2 2 3" xfId="10783" xr:uid="{00000000-0005-0000-0000-0000D2340000}"/>
    <cellStyle name="Normal 7 3 2 3" xfId="6017" xr:uid="{00000000-0005-0000-0000-0000D3340000}"/>
    <cellStyle name="Normal 7 3 2 3 2" xfId="12378" xr:uid="{00000000-0005-0000-0000-0000D4340000}"/>
    <cellStyle name="Normal 7 3 2 4" xfId="9199" xr:uid="{00000000-0005-0000-0000-0000D5340000}"/>
    <cellStyle name="Normal 7 3 3" xfId="3581" xr:uid="{00000000-0005-0000-0000-0000D6340000}"/>
    <cellStyle name="Normal 7 3 3 2" xfId="6809" xr:uid="{00000000-0005-0000-0000-0000D7340000}"/>
    <cellStyle name="Normal 7 3 3 2 2" xfId="13170" xr:uid="{00000000-0005-0000-0000-0000D8340000}"/>
    <cellStyle name="Normal 7 3 3 3" xfId="9991" xr:uid="{00000000-0005-0000-0000-0000D9340000}"/>
    <cellStyle name="Normal 7 3 4" xfId="5225" xr:uid="{00000000-0005-0000-0000-0000DA340000}"/>
    <cellStyle name="Normal 7 3 4 2" xfId="11586" xr:uid="{00000000-0005-0000-0000-0000DB340000}"/>
    <cellStyle name="Normal 7 3 5" xfId="8407" xr:uid="{00000000-0005-0000-0000-0000DC340000}"/>
    <cellStyle name="Normal 7 4" xfId="2393" xr:uid="{00000000-0005-0000-0000-0000DD340000}"/>
    <cellStyle name="Normal 7 4 2" xfId="3977" xr:uid="{00000000-0005-0000-0000-0000DE340000}"/>
    <cellStyle name="Normal 7 4 2 2" xfId="7205" xr:uid="{00000000-0005-0000-0000-0000DF340000}"/>
    <cellStyle name="Normal 7 4 2 2 2" xfId="13566" xr:uid="{00000000-0005-0000-0000-0000E0340000}"/>
    <cellStyle name="Normal 7 4 2 3" xfId="10387" xr:uid="{00000000-0005-0000-0000-0000E1340000}"/>
    <cellStyle name="Normal 7 4 3" xfId="5621" xr:uid="{00000000-0005-0000-0000-0000E2340000}"/>
    <cellStyle name="Normal 7 4 3 2" xfId="11982" xr:uid="{00000000-0005-0000-0000-0000E3340000}"/>
    <cellStyle name="Normal 7 4 4" xfId="8803" xr:uid="{00000000-0005-0000-0000-0000E4340000}"/>
    <cellStyle name="Normal 7 5" xfId="3185" xr:uid="{00000000-0005-0000-0000-0000E5340000}"/>
    <cellStyle name="Normal 7 5 2" xfId="6413" xr:uid="{00000000-0005-0000-0000-0000E6340000}"/>
    <cellStyle name="Normal 7 5 2 2" xfId="12774" xr:uid="{00000000-0005-0000-0000-0000E7340000}"/>
    <cellStyle name="Normal 7 5 3" xfId="9595" xr:uid="{00000000-0005-0000-0000-0000E8340000}"/>
    <cellStyle name="Normal 7 6" xfId="4829" xr:uid="{00000000-0005-0000-0000-0000E9340000}"/>
    <cellStyle name="Normal 7 6 2" xfId="11190" xr:uid="{00000000-0005-0000-0000-0000EA340000}"/>
    <cellStyle name="Normal 7 7" xfId="8011" xr:uid="{00000000-0005-0000-0000-0000EB340000}"/>
    <cellStyle name="Normal 8" xfId="1600" xr:uid="{00000000-0005-0000-0000-0000EC340000}"/>
    <cellStyle name="Normal 8 2" xfId="1798" xr:uid="{00000000-0005-0000-0000-0000ED340000}"/>
    <cellStyle name="Normal 8 2 2" xfId="2194" xr:uid="{00000000-0005-0000-0000-0000EE340000}"/>
    <cellStyle name="Normal 8 2 2 2" xfId="2986" xr:uid="{00000000-0005-0000-0000-0000EF340000}"/>
    <cellStyle name="Normal 8 2 2 2 2" xfId="4570" xr:uid="{00000000-0005-0000-0000-0000F0340000}"/>
    <cellStyle name="Normal 8 2 2 2 2 2" xfId="7798" xr:uid="{00000000-0005-0000-0000-0000F1340000}"/>
    <cellStyle name="Normal 8 2 2 2 2 2 2" xfId="14159" xr:uid="{00000000-0005-0000-0000-0000F2340000}"/>
    <cellStyle name="Normal 8 2 2 2 2 3" xfId="10980" xr:uid="{00000000-0005-0000-0000-0000F3340000}"/>
    <cellStyle name="Normal 8 2 2 2 3" xfId="6214" xr:uid="{00000000-0005-0000-0000-0000F4340000}"/>
    <cellStyle name="Normal 8 2 2 2 3 2" xfId="12575" xr:uid="{00000000-0005-0000-0000-0000F5340000}"/>
    <cellStyle name="Normal 8 2 2 2 4" xfId="9396" xr:uid="{00000000-0005-0000-0000-0000F6340000}"/>
    <cellStyle name="Normal 8 2 2 3" xfId="3778" xr:uid="{00000000-0005-0000-0000-0000F7340000}"/>
    <cellStyle name="Normal 8 2 2 3 2" xfId="7006" xr:uid="{00000000-0005-0000-0000-0000F8340000}"/>
    <cellStyle name="Normal 8 2 2 3 2 2" xfId="13367" xr:uid="{00000000-0005-0000-0000-0000F9340000}"/>
    <cellStyle name="Normal 8 2 2 3 3" xfId="10188" xr:uid="{00000000-0005-0000-0000-0000FA340000}"/>
    <cellStyle name="Normal 8 2 2 4" xfId="5422" xr:uid="{00000000-0005-0000-0000-0000FB340000}"/>
    <cellStyle name="Normal 8 2 2 4 2" xfId="11783" xr:uid="{00000000-0005-0000-0000-0000FC340000}"/>
    <cellStyle name="Normal 8 2 2 5" xfId="8604" xr:uid="{00000000-0005-0000-0000-0000FD340000}"/>
    <cellStyle name="Normal 8 2 3" xfId="2590" xr:uid="{00000000-0005-0000-0000-0000FE340000}"/>
    <cellStyle name="Normal 8 2 3 2" xfId="4174" xr:uid="{00000000-0005-0000-0000-0000FF340000}"/>
    <cellStyle name="Normal 8 2 3 2 2" xfId="7402" xr:uid="{00000000-0005-0000-0000-000000350000}"/>
    <cellStyle name="Normal 8 2 3 2 2 2" xfId="13763" xr:uid="{00000000-0005-0000-0000-000001350000}"/>
    <cellStyle name="Normal 8 2 3 2 3" xfId="10584" xr:uid="{00000000-0005-0000-0000-000002350000}"/>
    <cellStyle name="Normal 8 2 3 3" xfId="5818" xr:uid="{00000000-0005-0000-0000-000003350000}"/>
    <cellStyle name="Normal 8 2 3 3 2" xfId="12179" xr:uid="{00000000-0005-0000-0000-000004350000}"/>
    <cellStyle name="Normal 8 2 3 4" xfId="9000" xr:uid="{00000000-0005-0000-0000-000005350000}"/>
    <cellStyle name="Normal 8 2 4" xfId="3382" xr:uid="{00000000-0005-0000-0000-000006350000}"/>
    <cellStyle name="Normal 8 2 4 2" xfId="6610" xr:uid="{00000000-0005-0000-0000-000007350000}"/>
    <cellStyle name="Normal 8 2 4 2 2" xfId="12971" xr:uid="{00000000-0005-0000-0000-000008350000}"/>
    <cellStyle name="Normal 8 2 4 3" xfId="9792" xr:uid="{00000000-0005-0000-0000-000009350000}"/>
    <cellStyle name="Normal 8 2 5" xfId="5026" xr:uid="{00000000-0005-0000-0000-00000A350000}"/>
    <cellStyle name="Normal 8 2 5 2" xfId="11387" xr:uid="{00000000-0005-0000-0000-00000B350000}"/>
    <cellStyle name="Normal 8 2 6" xfId="8208" xr:uid="{00000000-0005-0000-0000-00000C350000}"/>
    <cellStyle name="Normal 8 3" xfId="1996" xr:uid="{00000000-0005-0000-0000-00000D350000}"/>
    <cellStyle name="Normal 8 3 2" xfId="2788" xr:uid="{00000000-0005-0000-0000-00000E350000}"/>
    <cellStyle name="Normal 8 3 2 2" xfId="4372" xr:uid="{00000000-0005-0000-0000-00000F350000}"/>
    <cellStyle name="Normal 8 3 2 2 2" xfId="7600" xr:uid="{00000000-0005-0000-0000-000010350000}"/>
    <cellStyle name="Normal 8 3 2 2 2 2" xfId="13961" xr:uid="{00000000-0005-0000-0000-000011350000}"/>
    <cellStyle name="Normal 8 3 2 2 3" xfId="10782" xr:uid="{00000000-0005-0000-0000-000012350000}"/>
    <cellStyle name="Normal 8 3 2 3" xfId="6016" xr:uid="{00000000-0005-0000-0000-000013350000}"/>
    <cellStyle name="Normal 8 3 2 3 2" xfId="12377" xr:uid="{00000000-0005-0000-0000-000014350000}"/>
    <cellStyle name="Normal 8 3 2 4" xfId="9198" xr:uid="{00000000-0005-0000-0000-000015350000}"/>
    <cellStyle name="Normal 8 3 3" xfId="3580" xr:uid="{00000000-0005-0000-0000-000016350000}"/>
    <cellStyle name="Normal 8 3 3 2" xfId="6808" xr:uid="{00000000-0005-0000-0000-000017350000}"/>
    <cellStyle name="Normal 8 3 3 2 2" xfId="13169" xr:uid="{00000000-0005-0000-0000-000018350000}"/>
    <cellStyle name="Normal 8 3 3 3" xfId="9990" xr:uid="{00000000-0005-0000-0000-000019350000}"/>
    <cellStyle name="Normal 8 3 4" xfId="5224" xr:uid="{00000000-0005-0000-0000-00001A350000}"/>
    <cellStyle name="Normal 8 3 4 2" xfId="11585" xr:uid="{00000000-0005-0000-0000-00001B350000}"/>
    <cellStyle name="Normal 8 3 5" xfId="8406" xr:uid="{00000000-0005-0000-0000-00001C350000}"/>
    <cellStyle name="Normal 8 4" xfId="2392" xr:uid="{00000000-0005-0000-0000-00001D350000}"/>
    <cellStyle name="Normal 8 4 2" xfId="3976" xr:uid="{00000000-0005-0000-0000-00001E350000}"/>
    <cellStyle name="Normal 8 4 2 2" xfId="7204" xr:uid="{00000000-0005-0000-0000-00001F350000}"/>
    <cellStyle name="Normal 8 4 2 2 2" xfId="13565" xr:uid="{00000000-0005-0000-0000-000020350000}"/>
    <cellStyle name="Normal 8 4 2 3" xfId="10386" xr:uid="{00000000-0005-0000-0000-000021350000}"/>
    <cellStyle name="Normal 8 4 3" xfId="5620" xr:uid="{00000000-0005-0000-0000-000022350000}"/>
    <cellStyle name="Normal 8 4 3 2" xfId="11981" xr:uid="{00000000-0005-0000-0000-000023350000}"/>
    <cellStyle name="Normal 8 4 4" xfId="8802" xr:uid="{00000000-0005-0000-0000-000024350000}"/>
    <cellStyle name="Normal 8 5" xfId="3184" xr:uid="{00000000-0005-0000-0000-000025350000}"/>
    <cellStyle name="Normal 8 5 2" xfId="6412" xr:uid="{00000000-0005-0000-0000-000026350000}"/>
    <cellStyle name="Normal 8 5 2 2" xfId="12773" xr:uid="{00000000-0005-0000-0000-000027350000}"/>
    <cellStyle name="Normal 8 5 3" xfId="9594" xr:uid="{00000000-0005-0000-0000-000028350000}"/>
    <cellStyle name="Normal 8 6" xfId="4828" xr:uid="{00000000-0005-0000-0000-000029350000}"/>
    <cellStyle name="Normal 8 6 2" xfId="11189" xr:uid="{00000000-0005-0000-0000-00002A350000}"/>
    <cellStyle name="Normal 8 7" xfId="8010" xr:uid="{00000000-0005-0000-0000-00002B350000}"/>
    <cellStyle name="Normal 9" xfId="4638" xr:uid="{00000000-0005-0000-0000-00002C350000}"/>
    <cellStyle name="Normal 9 2" xfId="7866" xr:uid="{00000000-0005-0000-0000-00002D350000}"/>
    <cellStyle name="Normal 9 2 2" xfId="14227" xr:uid="{00000000-0005-0000-0000-00002E350000}"/>
    <cellStyle name="Normal 9 3" xfId="11048" xr:uid="{00000000-0005-0000-0000-00002F350000}"/>
    <cellStyle name="Output 2" xfId="1502" xr:uid="{00000000-0005-0000-0000-000030350000}"/>
    <cellStyle name="Output 3" xfId="4656" xr:uid="{00000000-0005-0000-0000-000031350000}"/>
    <cellStyle name="Output 4" xfId="14262" xr:uid="{00000000-0005-0000-0000-000032350000}"/>
    <cellStyle name="Output 5" xfId="14443" xr:uid="{00000000-0005-0000-0000-000033350000}"/>
    <cellStyle name="Percent 2" xfId="675" xr:uid="{00000000-0005-0000-0000-000034350000}"/>
    <cellStyle name="Percent 3" xfId="1419" xr:uid="{00000000-0005-0000-0000-000035350000}"/>
    <cellStyle name="Percent 4" xfId="14417" xr:uid="{00000000-0005-0000-0000-000036350000}"/>
    <cellStyle name="Pivot Table Category" xfId="676" xr:uid="{00000000-0005-0000-0000-000037350000}"/>
    <cellStyle name="Pivot Table Category 2" xfId="1417" xr:uid="{00000000-0005-0000-0000-000038350000}"/>
    <cellStyle name="Pivot Table Result" xfId="677" xr:uid="{00000000-0005-0000-0000-000039350000}"/>
    <cellStyle name="Pivot Table Value" xfId="678" xr:uid="{00000000-0005-0000-0000-00003A350000}"/>
    <cellStyle name="Pivot Table Value 2" xfId="1418" xr:uid="{00000000-0005-0000-0000-00003B350000}"/>
    <cellStyle name="Title 2" xfId="1493" xr:uid="{00000000-0005-0000-0000-00003C350000}"/>
    <cellStyle name="Title 3" xfId="4647" xr:uid="{00000000-0005-0000-0000-00003D350000}"/>
    <cellStyle name="Title 4" xfId="14253" xr:uid="{00000000-0005-0000-0000-00003E350000}"/>
    <cellStyle name="Title 5" xfId="14434" xr:uid="{00000000-0005-0000-0000-00003F350000}"/>
    <cellStyle name="Total 2" xfId="1508" xr:uid="{00000000-0005-0000-0000-000040350000}"/>
    <cellStyle name="Total 3" xfId="4662" xr:uid="{00000000-0005-0000-0000-000041350000}"/>
    <cellStyle name="Total 4" xfId="14268" xr:uid="{00000000-0005-0000-0000-000042350000}"/>
    <cellStyle name="Total 5" xfId="14449" xr:uid="{00000000-0005-0000-0000-000043350000}"/>
    <cellStyle name="Warning Text 2" xfId="1506" xr:uid="{00000000-0005-0000-0000-000044350000}"/>
    <cellStyle name="Warning Text 3" xfId="4660" xr:uid="{00000000-0005-0000-0000-000045350000}"/>
    <cellStyle name="Warning Text 4" xfId="14266" xr:uid="{00000000-0005-0000-0000-000046350000}"/>
    <cellStyle name="Warning Text 5" xfId="14447" xr:uid="{00000000-0005-0000-0000-000047350000}"/>
    <cellStyle name="一般" xfId="0" builtinId="0"/>
    <cellStyle name="一般 11" xfId="679" xr:uid="{00000000-0005-0000-0000-000033380000}"/>
    <cellStyle name="一般 11 2" xfId="680" xr:uid="{00000000-0005-0000-0000-000034380000}"/>
    <cellStyle name="一般 11 3" xfId="681" xr:uid="{00000000-0005-0000-0000-000035380000}"/>
    <cellStyle name="一般 2" xfId="682" xr:uid="{00000000-0005-0000-0000-000036380000}"/>
    <cellStyle name="一般 2 13" xfId="1490" xr:uid="{00000000-0005-0000-0000-000037380000}"/>
    <cellStyle name="一般 2 13 2" xfId="4644" xr:uid="{00000000-0005-0000-0000-000038380000}"/>
    <cellStyle name="一般 2 13 3" xfId="14250" xr:uid="{00000000-0005-0000-0000-000039380000}"/>
    <cellStyle name="一般 2 13 4" xfId="14431" xr:uid="{00000000-0005-0000-0000-00003A380000}"/>
    <cellStyle name="一般 2 2" xfId="14411" xr:uid="{00000000-0005-0000-0000-00003B380000}"/>
    <cellStyle name="一般 3" xfId="683" xr:uid="{00000000-0005-0000-0000-00003C380000}"/>
    <cellStyle name="一般 3 2" xfId="684" xr:uid="{00000000-0005-0000-0000-00003D380000}"/>
    <cellStyle name="一般 4 2" xfId="685" xr:uid="{00000000-0005-0000-0000-00003E380000}"/>
    <cellStyle name="一般 6" xfId="14410" xr:uid="{00000000-0005-0000-0000-00003F380000}"/>
    <cellStyle name="강조색1 2" xfId="14357" xr:uid="{00000000-0005-0000-0000-000048350000}"/>
    <cellStyle name="강조색1 3" xfId="14358" xr:uid="{00000000-0005-0000-0000-000049350000}"/>
    <cellStyle name="강조색2 2" xfId="14359" xr:uid="{00000000-0005-0000-0000-00004A350000}"/>
    <cellStyle name="강조색2 3" xfId="14360" xr:uid="{00000000-0005-0000-0000-00004B350000}"/>
    <cellStyle name="강조색3 2" xfId="14361" xr:uid="{00000000-0005-0000-0000-00004C350000}"/>
    <cellStyle name="강조색3 3" xfId="14362" xr:uid="{00000000-0005-0000-0000-00004D350000}"/>
    <cellStyle name="강조색4 2" xfId="14363" xr:uid="{00000000-0005-0000-0000-00004E350000}"/>
    <cellStyle name="강조색4 3" xfId="14364" xr:uid="{00000000-0005-0000-0000-00004F350000}"/>
    <cellStyle name="강조색5 2" xfId="14365" xr:uid="{00000000-0005-0000-0000-000050350000}"/>
    <cellStyle name="강조색5 3" xfId="14366" xr:uid="{00000000-0005-0000-0000-000051350000}"/>
    <cellStyle name="강조색6 2" xfId="14367" xr:uid="{00000000-0005-0000-0000-000052350000}"/>
    <cellStyle name="강조색6 3" xfId="14368" xr:uid="{00000000-0005-0000-0000-000053350000}"/>
    <cellStyle name="경고문 2" xfId="14369" xr:uid="{00000000-0005-0000-0000-0000E7350000}"/>
    <cellStyle name="경고문 3" xfId="14370" xr:uid="{00000000-0005-0000-0000-0000E8350000}"/>
    <cellStyle name="계산 2" xfId="14371" xr:uid="{00000000-0005-0000-0000-0000E9350000}"/>
    <cellStyle name="계산 3" xfId="14372" xr:uid="{00000000-0005-0000-0000-0000EA350000}"/>
    <cellStyle name="千分位 2" xfId="693" xr:uid="{00000000-0005-0000-0000-000027370000}"/>
    <cellStyle name="千分位 2 2" xfId="694" xr:uid="{00000000-0005-0000-0000-000028370000}"/>
    <cellStyle name="千位分隔[0] 2" xfId="686" xr:uid="{00000000-0005-0000-0000-000029370000}"/>
    <cellStyle name="千位分隔[0] 2 2" xfId="687" xr:uid="{00000000-0005-0000-0000-00002A370000}"/>
    <cellStyle name="千位分隔[0] 3" xfId="688" xr:uid="{00000000-0005-0000-0000-00002B370000}"/>
    <cellStyle name="千位分隔[0] 3 2" xfId="689" xr:uid="{00000000-0005-0000-0000-00002C370000}"/>
    <cellStyle name="千位分隔[0] 4" xfId="690" xr:uid="{00000000-0005-0000-0000-00002D370000}"/>
    <cellStyle name="千位分隔[0] 4 2" xfId="691" xr:uid="{00000000-0005-0000-0000-00002E370000}"/>
    <cellStyle name="千位分隔[0] 5" xfId="692" xr:uid="{00000000-0005-0000-0000-00002F370000}"/>
    <cellStyle name="天详细信息 2" xfId="14419" xr:uid="{00000000-0005-0000-0000-00002E380000}"/>
    <cellStyle name="日期 2" xfId="14418" xr:uid="{00000000-0005-0000-0000-0000D9370000}"/>
    <cellStyle name="计算 10" xfId="1275" xr:uid="{00000000-0005-0000-0000-000097360000}"/>
    <cellStyle name="计算 11" xfId="1276" xr:uid="{00000000-0005-0000-0000-000098360000}"/>
    <cellStyle name="计算 12" xfId="1277" xr:uid="{00000000-0005-0000-0000-000099360000}"/>
    <cellStyle name="计算 13" xfId="1278" xr:uid="{00000000-0005-0000-0000-00009A360000}"/>
    <cellStyle name="计算 14" xfId="1279" xr:uid="{00000000-0005-0000-0000-00009B360000}"/>
    <cellStyle name="计算 15" xfId="1280" xr:uid="{00000000-0005-0000-0000-00009C360000}"/>
    <cellStyle name="计算 16" xfId="1281" xr:uid="{00000000-0005-0000-0000-00009D360000}"/>
    <cellStyle name="计算 17" xfId="1282" xr:uid="{00000000-0005-0000-0000-00009E360000}"/>
    <cellStyle name="计算 18" xfId="1283" xr:uid="{00000000-0005-0000-0000-00009F360000}"/>
    <cellStyle name="计算 19" xfId="1284" xr:uid="{00000000-0005-0000-0000-0000A0360000}"/>
    <cellStyle name="计算 2" xfId="1285" xr:uid="{00000000-0005-0000-0000-0000A1360000}"/>
    <cellStyle name="计算 20" xfId="1286" xr:uid="{00000000-0005-0000-0000-0000A2360000}"/>
    <cellStyle name="计算 21" xfId="1287" xr:uid="{00000000-0005-0000-0000-0000A3360000}"/>
    <cellStyle name="计算 22" xfId="1288" xr:uid="{00000000-0005-0000-0000-0000A4360000}"/>
    <cellStyle name="计算 23" xfId="1289" xr:uid="{00000000-0005-0000-0000-0000A5360000}"/>
    <cellStyle name="计算 24" xfId="1290" xr:uid="{00000000-0005-0000-0000-0000A6360000}"/>
    <cellStyle name="计算 25" xfId="1291" xr:uid="{00000000-0005-0000-0000-0000A7360000}"/>
    <cellStyle name="计算 26" xfId="1292" xr:uid="{00000000-0005-0000-0000-0000A8360000}"/>
    <cellStyle name="计算 27" xfId="1293" xr:uid="{00000000-0005-0000-0000-0000A9360000}"/>
    <cellStyle name="计算 28" xfId="1294" xr:uid="{00000000-0005-0000-0000-0000AA360000}"/>
    <cellStyle name="计算 29" xfId="1295" xr:uid="{00000000-0005-0000-0000-0000AB360000}"/>
    <cellStyle name="计算 3" xfId="1296" xr:uid="{00000000-0005-0000-0000-0000AC360000}"/>
    <cellStyle name="计算 4" xfId="1297" xr:uid="{00000000-0005-0000-0000-0000AD360000}"/>
    <cellStyle name="计算 5" xfId="1298" xr:uid="{00000000-0005-0000-0000-0000AE360000}"/>
    <cellStyle name="计算 6" xfId="1299" xr:uid="{00000000-0005-0000-0000-0000AF360000}"/>
    <cellStyle name="计算 7" xfId="1300" xr:uid="{00000000-0005-0000-0000-0000B0360000}"/>
    <cellStyle name="计算 8" xfId="1301" xr:uid="{00000000-0005-0000-0000-0000B1360000}"/>
    <cellStyle name="计算 9" xfId="1302" xr:uid="{00000000-0005-0000-0000-0000B2360000}"/>
    <cellStyle name="汇总 10" xfId="1144" xr:uid="{00000000-0005-0000-0000-00007B360000}"/>
    <cellStyle name="汇总 11" xfId="1145" xr:uid="{00000000-0005-0000-0000-00007C360000}"/>
    <cellStyle name="汇总 12" xfId="1146" xr:uid="{00000000-0005-0000-0000-00007D360000}"/>
    <cellStyle name="汇总 13" xfId="1147" xr:uid="{00000000-0005-0000-0000-00007E360000}"/>
    <cellStyle name="汇总 14" xfId="1148" xr:uid="{00000000-0005-0000-0000-00007F360000}"/>
    <cellStyle name="汇总 15" xfId="1149" xr:uid="{00000000-0005-0000-0000-000080360000}"/>
    <cellStyle name="汇总 16" xfId="1150" xr:uid="{00000000-0005-0000-0000-000081360000}"/>
    <cellStyle name="汇总 17" xfId="1151" xr:uid="{00000000-0005-0000-0000-000082360000}"/>
    <cellStyle name="汇总 18" xfId="1152" xr:uid="{00000000-0005-0000-0000-000083360000}"/>
    <cellStyle name="汇总 19" xfId="1153" xr:uid="{00000000-0005-0000-0000-000084360000}"/>
    <cellStyle name="汇总 2" xfId="1154" xr:uid="{00000000-0005-0000-0000-000085360000}"/>
    <cellStyle name="汇总 20" xfId="1155" xr:uid="{00000000-0005-0000-0000-000086360000}"/>
    <cellStyle name="汇总 21" xfId="1156" xr:uid="{00000000-0005-0000-0000-000087360000}"/>
    <cellStyle name="汇总 22" xfId="1157" xr:uid="{00000000-0005-0000-0000-000088360000}"/>
    <cellStyle name="汇总 23" xfId="1158" xr:uid="{00000000-0005-0000-0000-000089360000}"/>
    <cellStyle name="汇总 24" xfId="1159" xr:uid="{00000000-0005-0000-0000-00008A360000}"/>
    <cellStyle name="汇总 25" xfId="1160" xr:uid="{00000000-0005-0000-0000-00008B360000}"/>
    <cellStyle name="汇总 26" xfId="1161" xr:uid="{00000000-0005-0000-0000-00008C360000}"/>
    <cellStyle name="汇总 27" xfId="1162" xr:uid="{00000000-0005-0000-0000-00008D360000}"/>
    <cellStyle name="汇总 28" xfId="1163" xr:uid="{00000000-0005-0000-0000-00008E360000}"/>
    <cellStyle name="汇总 29" xfId="1164" xr:uid="{00000000-0005-0000-0000-00008F360000}"/>
    <cellStyle name="汇总 3" xfId="1165" xr:uid="{00000000-0005-0000-0000-000090360000}"/>
    <cellStyle name="汇总 4" xfId="1166" xr:uid="{00000000-0005-0000-0000-000091360000}"/>
    <cellStyle name="汇总 5" xfId="1167" xr:uid="{00000000-0005-0000-0000-000092360000}"/>
    <cellStyle name="汇总 6" xfId="1168" xr:uid="{00000000-0005-0000-0000-000093360000}"/>
    <cellStyle name="汇总 7" xfId="1169" xr:uid="{00000000-0005-0000-0000-000094360000}"/>
    <cellStyle name="汇总 8" xfId="1170" xr:uid="{00000000-0005-0000-0000-000095360000}"/>
    <cellStyle name="汇总 9" xfId="1171" xr:uid="{00000000-0005-0000-0000-000096360000}"/>
    <cellStyle name="나쁨 2" xfId="14373" xr:uid="{00000000-0005-0000-0000-00005C360000}"/>
    <cellStyle name="나쁨 3" xfId="14374" xr:uid="{00000000-0005-0000-0000-00005D360000}"/>
    <cellStyle name="好 10" xfId="695" xr:uid="{00000000-0005-0000-0000-00005E360000}"/>
    <cellStyle name="好 11" xfId="696" xr:uid="{00000000-0005-0000-0000-00005F360000}"/>
    <cellStyle name="好 12" xfId="697" xr:uid="{00000000-0005-0000-0000-000060360000}"/>
    <cellStyle name="好 13" xfId="698" xr:uid="{00000000-0005-0000-0000-000061360000}"/>
    <cellStyle name="好 14" xfId="699" xr:uid="{00000000-0005-0000-0000-000062360000}"/>
    <cellStyle name="好 15" xfId="700" xr:uid="{00000000-0005-0000-0000-000063360000}"/>
    <cellStyle name="好 16" xfId="701" xr:uid="{00000000-0005-0000-0000-000064360000}"/>
    <cellStyle name="好 17" xfId="702" xr:uid="{00000000-0005-0000-0000-000065360000}"/>
    <cellStyle name="好 18" xfId="703" xr:uid="{00000000-0005-0000-0000-000066360000}"/>
    <cellStyle name="好 19" xfId="704" xr:uid="{00000000-0005-0000-0000-000067360000}"/>
    <cellStyle name="好 2" xfId="705" xr:uid="{00000000-0005-0000-0000-000068360000}"/>
    <cellStyle name="好 20" xfId="706" xr:uid="{00000000-0005-0000-0000-000069360000}"/>
    <cellStyle name="好 21" xfId="707" xr:uid="{00000000-0005-0000-0000-00006A360000}"/>
    <cellStyle name="好 22" xfId="708" xr:uid="{00000000-0005-0000-0000-00006B360000}"/>
    <cellStyle name="好 23" xfId="709" xr:uid="{00000000-0005-0000-0000-00006C360000}"/>
    <cellStyle name="好 24" xfId="710" xr:uid="{00000000-0005-0000-0000-00006D360000}"/>
    <cellStyle name="好 25" xfId="711" xr:uid="{00000000-0005-0000-0000-00006E360000}"/>
    <cellStyle name="好 26" xfId="712" xr:uid="{00000000-0005-0000-0000-00006F360000}"/>
    <cellStyle name="好 27" xfId="713" xr:uid="{00000000-0005-0000-0000-000070360000}"/>
    <cellStyle name="好 28" xfId="714" xr:uid="{00000000-0005-0000-0000-000071360000}"/>
    <cellStyle name="好 29" xfId="715" xr:uid="{00000000-0005-0000-0000-000072360000}"/>
    <cellStyle name="好 3" xfId="716" xr:uid="{00000000-0005-0000-0000-000073360000}"/>
    <cellStyle name="好 30" xfId="1422" xr:uid="{00000000-0005-0000-0000-000074360000}"/>
    <cellStyle name="好 4" xfId="717" xr:uid="{00000000-0005-0000-0000-000075360000}"/>
    <cellStyle name="好 5" xfId="718" xr:uid="{00000000-0005-0000-0000-000076360000}"/>
    <cellStyle name="好 6" xfId="719" xr:uid="{00000000-0005-0000-0000-000077360000}"/>
    <cellStyle name="好 7" xfId="720" xr:uid="{00000000-0005-0000-0000-000078360000}"/>
    <cellStyle name="好 8" xfId="721" xr:uid="{00000000-0005-0000-0000-000079360000}"/>
    <cellStyle name="好 9" xfId="722" xr:uid="{00000000-0005-0000-0000-00007A360000}"/>
    <cellStyle name="百分比 2" xfId="1218" xr:uid="{00000000-0005-0000-0000-000054350000}"/>
    <cellStyle name="备注 2" xfId="14421" xr:uid="{00000000-0005-0000-0000-000055350000}"/>
    <cellStyle name="备注页眉 2" xfId="14420" xr:uid="{00000000-0005-0000-0000-000056350000}"/>
    <cellStyle name="注释 10" xfId="1172" xr:uid="{00000000-0005-0000-0000-000043380000}"/>
    <cellStyle name="注释 11" xfId="1173" xr:uid="{00000000-0005-0000-0000-000044380000}"/>
    <cellStyle name="注释 12" xfId="1174" xr:uid="{00000000-0005-0000-0000-000045380000}"/>
    <cellStyle name="注释 13" xfId="1175" xr:uid="{00000000-0005-0000-0000-000046380000}"/>
    <cellStyle name="注释 14" xfId="1176" xr:uid="{00000000-0005-0000-0000-000047380000}"/>
    <cellStyle name="注释 15" xfId="1177" xr:uid="{00000000-0005-0000-0000-000048380000}"/>
    <cellStyle name="注释 16" xfId="1178" xr:uid="{00000000-0005-0000-0000-000049380000}"/>
    <cellStyle name="注释 17" xfId="1179" xr:uid="{00000000-0005-0000-0000-00004A380000}"/>
    <cellStyle name="注释 18" xfId="1180" xr:uid="{00000000-0005-0000-0000-00004B380000}"/>
    <cellStyle name="注释 19" xfId="1181" xr:uid="{00000000-0005-0000-0000-00004C380000}"/>
    <cellStyle name="注释 2" xfId="1182" xr:uid="{00000000-0005-0000-0000-00004D380000}"/>
    <cellStyle name="注释 2 2" xfId="1183" xr:uid="{00000000-0005-0000-0000-00004E380000}"/>
    <cellStyle name="注释 2 2 2" xfId="1184" xr:uid="{00000000-0005-0000-0000-00004F380000}"/>
    <cellStyle name="注释 2 2 2 2" xfId="1185" xr:uid="{00000000-0005-0000-0000-000050380000}"/>
    <cellStyle name="注释 2 2 3" xfId="1186" xr:uid="{00000000-0005-0000-0000-000051380000}"/>
    <cellStyle name="注释 2 3" xfId="1534" xr:uid="{00000000-0005-0000-0000-000052380000}"/>
    <cellStyle name="注释 2 4" xfId="4688" xr:uid="{00000000-0005-0000-0000-000053380000}"/>
    <cellStyle name="注释 2 5" xfId="14294" xr:uid="{00000000-0005-0000-0000-000054380000}"/>
    <cellStyle name="注释 2 6" xfId="14475" xr:uid="{00000000-0005-0000-0000-000055380000}"/>
    <cellStyle name="注释 20" xfId="1187" xr:uid="{00000000-0005-0000-0000-000056380000}"/>
    <cellStyle name="注释 21" xfId="1188" xr:uid="{00000000-0005-0000-0000-000057380000}"/>
    <cellStyle name="注释 22" xfId="1189" xr:uid="{00000000-0005-0000-0000-000058380000}"/>
    <cellStyle name="注释 23" xfId="1190" xr:uid="{00000000-0005-0000-0000-000059380000}"/>
    <cellStyle name="注释 24" xfId="1191" xr:uid="{00000000-0005-0000-0000-00005A380000}"/>
    <cellStyle name="注释 25" xfId="1192" xr:uid="{00000000-0005-0000-0000-00005B380000}"/>
    <cellStyle name="注释 26" xfId="1193" xr:uid="{00000000-0005-0000-0000-00005C380000}"/>
    <cellStyle name="注释 27" xfId="1194" xr:uid="{00000000-0005-0000-0000-00005D380000}"/>
    <cellStyle name="注释 28" xfId="1195" xr:uid="{00000000-0005-0000-0000-00005E380000}"/>
    <cellStyle name="注释 29" xfId="1196" xr:uid="{00000000-0005-0000-0000-00005F380000}"/>
    <cellStyle name="注释 3" xfId="1197" xr:uid="{00000000-0005-0000-0000-000060380000}"/>
    <cellStyle name="注释 30" xfId="1198" xr:uid="{00000000-0005-0000-0000-000061380000}"/>
    <cellStyle name="注释 31" xfId="1199" xr:uid="{00000000-0005-0000-0000-000062380000}"/>
    <cellStyle name="注释 32" xfId="1200" xr:uid="{00000000-0005-0000-0000-000063380000}"/>
    <cellStyle name="注释 32 2" xfId="1201" xr:uid="{00000000-0005-0000-0000-000064380000}"/>
    <cellStyle name="注释 32 2 2" xfId="1202" xr:uid="{00000000-0005-0000-0000-000065380000}"/>
    <cellStyle name="注释 32 3" xfId="1203" xr:uid="{00000000-0005-0000-0000-000066380000}"/>
    <cellStyle name="注释 33" xfId="1204" xr:uid="{00000000-0005-0000-0000-000067380000}"/>
    <cellStyle name="注释 33 2" xfId="1205" xr:uid="{00000000-0005-0000-0000-000068380000}"/>
    <cellStyle name="注释 33 2 2" xfId="1206" xr:uid="{00000000-0005-0000-0000-000069380000}"/>
    <cellStyle name="注释 33 3" xfId="1207" xr:uid="{00000000-0005-0000-0000-00006A380000}"/>
    <cellStyle name="注释 34" xfId="1208" xr:uid="{00000000-0005-0000-0000-00006B380000}"/>
    <cellStyle name="注释 34 2" xfId="1209" xr:uid="{00000000-0005-0000-0000-00006C380000}"/>
    <cellStyle name="注释 34 2 2" xfId="1210" xr:uid="{00000000-0005-0000-0000-00006D380000}"/>
    <cellStyle name="注释 34 3" xfId="1211" xr:uid="{00000000-0005-0000-0000-00006E380000}"/>
    <cellStyle name="注释 4" xfId="1212" xr:uid="{00000000-0005-0000-0000-00006F380000}"/>
    <cellStyle name="注释 5" xfId="1213" xr:uid="{00000000-0005-0000-0000-000070380000}"/>
    <cellStyle name="注释 6" xfId="1214" xr:uid="{00000000-0005-0000-0000-000071380000}"/>
    <cellStyle name="注释 7" xfId="1215" xr:uid="{00000000-0005-0000-0000-000072380000}"/>
    <cellStyle name="注释 8" xfId="1216" xr:uid="{00000000-0005-0000-0000-000073380000}"/>
    <cellStyle name="注释 9" xfId="1217" xr:uid="{00000000-0005-0000-0000-000074380000}"/>
    <cellStyle name="钎霖_  辆  钦  " xfId="14375" xr:uid="{00000000-0005-0000-0000-000030370000}"/>
    <cellStyle name="咬訌裝?report-2 " xfId="14376" xr:uid="{00000000-0005-0000-0000-000032380000}"/>
    <cellStyle name="标题 1 10" xfId="975" xr:uid="{00000000-0005-0000-0000-000057350000}"/>
    <cellStyle name="标题 1 11" xfId="976" xr:uid="{00000000-0005-0000-0000-000058350000}"/>
    <cellStyle name="标题 1 12" xfId="977" xr:uid="{00000000-0005-0000-0000-000059350000}"/>
    <cellStyle name="标题 1 13" xfId="978" xr:uid="{00000000-0005-0000-0000-00005A350000}"/>
    <cellStyle name="标题 1 14" xfId="979" xr:uid="{00000000-0005-0000-0000-00005B350000}"/>
    <cellStyle name="标题 1 15" xfId="980" xr:uid="{00000000-0005-0000-0000-00005C350000}"/>
    <cellStyle name="标题 1 16" xfId="981" xr:uid="{00000000-0005-0000-0000-00005D350000}"/>
    <cellStyle name="标题 1 17" xfId="982" xr:uid="{00000000-0005-0000-0000-00005E350000}"/>
    <cellStyle name="标题 1 18" xfId="983" xr:uid="{00000000-0005-0000-0000-00005F350000}"/>
    <cellStyle name="标题 1 19" xfId="984" xr:uid="{00000000-0005-0000-0000-000060350000}"/>
    <cellStyle name="标题 1 2" xfId="985" xr:uid="{00000000-0005-0000-0000-000061350000}"/>
    <cellStyle name="标题 1 20" xfId="986" xr:uid="{00000000-0005-0000-0000-000062350000}"/>
    <cellStyle name="标题 1 21" xfId="987" xr:uid="{00000000-0005-0000-0000-000063350000}"/>
    <cellStyle name="标题 1 22" xfId="988" xr:uid="{00000000-0005-0000-0000-000064350000}"/>
    <cellStyle name="标题 1 23" xfId="989" xr:uid="{00000000-0005-0000-0000-000065350000}"/>
    <cellStyle name="标题 1 24" xfId="990" xr:uid="{00000000-0005-0000-0000-000066350000}"/>
    <cellStyle name="标题 1 25" xfId="991" xr:uid="{00000000-0005-0000-0000-000067350000}"/>
    <cellStyle name="标题 1 26" xfId="992" xr:uid="{00000000-0005-0000-0000-000068350000}"/>
    <cellStyle name="标题 1 27" xfId="993" xr:uid="{00000000-0005-0000-0000-000069350000}"/>
    <cellStyle name="标题 1 28" xfId="994" xr:uid="{00000000-0005-0000-0000-00006A350000}"/>
    <cellStyle name="标题 1 29" xfId="995" xr:uid="{00000000-0005-0000-0000-00006B350000}"/>
    <cellStyle name="标题 1 3" xfId="996" xr:uid="{00000000-0005-0000-0000-00006C350000}"/>
    <cellStyle name="标题 1 3 2" xfId="14424" xr:uid="{00000000-0005-0000-0000-00006D350000}"/>
    <cellStyle name="标题 1 4" xfId="997" xr:uid="{00000000-0005-0000-0000-00006E350000}"/>
    <cellStyle name="标题 1 5" xfId="998" xr:uid="{00000000-0005-0000-0000-00006F350000}"/>
    <cellStyle name="标题 1 6" xfId="999" xr:uid="{00000000-0005-0000-0000-000070350000}"/>
    <cellStyle name="标题 1 7" xfId="1000" xr:uid="{00000000-0005-0000-0000-000071350000}"/>
    <cellStyle name="标题 1 8" xfId="1001" xr:uid="{00000000-0005-0000-0000-000072350000}"/>
    <cellStyle name="标题 1 9" xfId="1002" xr:uid="{00000000-0005-0000-0000-000073350000}"/>
    <cellStyle name="标题 10" xfId="1003" xr:uid="{00000000-0005-0000-0000-000074350000}"/>
    <cellStyle name="标题 11" xfId="1004" xr:uid="{00000000-0005-0000-0000-000075350000}"/>
    <cellStyle name="标题 12" xfId="1005" xr:uid="{00000000-0005-0000-0000-000076350000}"/>
    <cellStyle name="标题 13" xfId="1006" xr:uid="{00000000-0005-0000-0000-000077350000}"/>
    <cellStyle name="标题 14" xfId="1007" xr:uid="{00000000-0005-0000-0000-000078350000}"/>
    <cellStyle name="标题 15" xfId="1008" xr:uid="{00000000-0005-0000-0000-000079350000}"/>
    <cellStyle name="标题 16" xfId="1009" xr:uid="{00000000-0005-0000-0000-00007A350000}"/>
    <cellStyle name="标题 17" xfId="1010" xr:uid="{00000000-0005-0000-0000-00007B350000}"/>
    <cellStyle name="标题 18" xfId="1011" xr:uid="{00000000-0005-0000-0000-00007C350000}"/>
    <cellStyle name="标题 19" xfId="1012" xr:uid="{00000000-0005-0000-0000-00007D350000}"/>
    <cellStyle name="标题 2 10" xfId="1013" xr:uid="{00000000-0005-0000-0000-00007E350000}"/>
    <cellStyle name="标题 2 11" xfId="1014" xr:uid="{00000000-0005-0000-0000-00007F350000}"/>
    <cellStyle name="标题 2 12" xfId="1015" xr:uid="{00000000-0005-0000-0000-000080350000}"/>
    <cellStyle name="标题 2 13" xfId="1016" xr:uid="{00000000-0005-0000-0000-000081350000}"/>
    <cellStyle name="标题 2 14" xfId="1017" xr:uid="{00000000-0005-0000-0000-000082350000}"/>
    <cellStyle name="标题 2 15" xfId="1018" xr:uid="{00000000-0005-0000-0000-000083350000}"/>
    <cellStyle name="标题 2 16" xfId="1019" xr:uid="{00000000-0005-0000-0000-000084350000}"/>
    <cellStyle name="标题 2 17" xfId="1020" xr:uid="{00000000-0005-0000-0000-000085350000}"/>
    <cellStyle name="标题 2 18" xfId="1021" xr:uid="{00000000-0005-0000-0000-000086350000}"/>
    <cellStyle name="标题 2 19" xfId="1022" xr:uid="{00000000-0005-0000-0000-000087350000}"/>
    <cellStyle name="标题 2 2" xfId="1023" xr:uid="{00000000-0005-0000-0000-000088350000}"/>
    <cellStyle name="标题 2 20" xfId="1024" xr:uid="{00000000-0005-0000-0000-000089350000}"/>
    <cellStyle name="标题 2 21" xfId="1025" xr:uid="{00000000-0005-0000-0000-00008A350000}"/>
    <cellStyle name="标题 2 22" xfId="1026" xr:uid="{00000000-0005-0000-0000-00008B350000}"/>
    <cellStyle name="标题 2 23" xfId="1027" xr:uid="{00000000-0005-0000-0000-00008C350000}"/>
    <cellStyle name="标题 2 24" xfId="1028" xr:uid="{00000000-0005-0000-0000-00008D350000}"/>
    <cellStyle name="标题 2 25" xfId="1029" xr:uid="{00000000-0005-0000-0000-00008E350000}"/>
    <cellStyle name="标题 2 26" xfId="1030" xr:uid="{00000000-0005-0000-0000-00008F350000}"/>
    <cellStyle name="标题 2 27" xfId="1031" xr:uid="{00000000-0005-0000-0000-000090350000}"/>
    <cellStyle name="标题 2 28" xfId="1032" xr:uid="{00000000-0005-0000-0000-000091350000}"/>
    <cellStyle name="标题 2 29" xfId="1033" xr:uid="{00000000-0005-0000-0000-000092350000}"/>
    <cellStyle name="标题 2 3" xfId="1034" xr:uid="{00000000-0005-0000-0000-000093350000}"/>
    <cellStyle name="标题 2 3 2" xfId="14425" xr:uid="{00000000-0005-0000-0000-000094350000}"/>
    <cellStyle name="标题 2 4" xfId="1035" xr:uid="{00000000-0005-0000-0000-000095350000}"/>
    <cellStyle name="标题 2 5" xfId="1036" xr:uid="{00000000-0005-0000-0000-000096350000}"/>
    <cellStyle name="标题 2 6" xfId="1037" xr:uid="{00000000-0005-0000-0000-000097350000}"/>
    <cellStyle name="标题 2 7" xfId="1038" xr:uid="{00000000-0005-0000-0000-000098350000}"/>
    <cellStyle name="标题 2 8" xfId="1039" xr:uid="{00000000-0005-0000-0000-000099350000}"/>
    <cellStyle name="标题 2 9" xfId="1040" xr:uid="{00000000-0005-0000-0000-00009A350000}"/>
    <cellStyle name="标题 20" xfId="1041" xr:uid="{00000000-0005-0000-0000-00009B350000}"/>
    <cellStyle name="标题 21" xfId="1042" xr:uid="{00000000-0005-0000-0000-00009C350000}"/>
    <cellStyle name="标题 22" xfId="1043" xr:uid="{00000000-0005-0000-0000-00009D350000}"/>
    <cellStyle name="标题 23" xfId="1044" xr:uid="{00000000-0005-0000-0000-00009E350000}"/>
    <cellStyle name="标题 24" xfId="1045" xr:uid="{00000000-0005-0000-0000-00009F350000}"/>
    <cellStyle name="标题 25" xfId="1046" xr:uid="{00000000-0005-0000-0000-0000A0350000}"/>
    <cellStyle name="标题 26" xfId="1047" xr:uid="{00000000-0005-0000-0000-0000A1350000}"/>
    <cellStyle name="标题 27" xfId="1048" xr:uid="{00000000-0005-0000-0000-0000A2350000}"/>
    <cellStyle name="标题 28" xfId="1049" xr:uid="{00000000-0005-0000-0000-0000A3350000}"/>
    <cellStyle name="标题 29" xfId="1050" xr:uid="{00000000-0005-0000-0000-0000A4350000}"/>
    <cellStyle name="标题 3 10" xfId="1051" xr:uid="{00000000-0005-0000-0000-0000A5350000}"/>
    <cellStyle name="标题 3 11" xfId="1052" xr:uid="{00000000-0005-0000-0000-0000A6350000}"/>
    <cellStyle name="标题 3 12" xfId="1053" xr:uid="{00000000-0005-0000-0000-0000A7350000}"/>
    <cellStyle name="标题 3 13" xfId="1054" xr:uid="{00000000-0005-0000-0000-0000A8350000}"/>
    <cellStyle name="标题 3 14" xfId="1055" xr:uid="{00000000-0005-0000-0000-0000A9350000}"/>
    <cellStyle name="标题 3 15" xfId="1056" xr:uid="{00000000-0005-0000-0000-0000AA350000}"/>
    <cellStyle name="标题 3 16" xfId="1057" xr:uid="{00000000-0005-0000-0000-0000AB350000}"/>
    <cellStyle name="标题 3 17" xfId="1058" xr:uid="{00000000-0005-0000-0000-0000AC350000}"/>
    <cellStyle name="标题 3 18" xfId="1059" xr:uid="{00000000-0005-0000-0000-0000AD350000}"/>
    <cellStyle name="标题 3 19" xfId="1060" xr:uid="{00000000-0005-0000-0000-0000AE350000}"/>
    <cellStyle name="标题 3 2" xfId="1061" xr:uid="{00000000-0005-0000-0000-0000AF350000}"/>
    <cellStyle name="标题 3 20" xfId="1062" xr:uid="{00000000-0005-0000-0000-0000B0350000}"/>
    <cellStyle name="标题 3 21" xfId="1063" xr:uid="{00000000-0005-0000-0000-0000B1350000}"/>
    <cellStyle name="标题 3 22" xfId="1064" xr:uid="{00000000-0005-0000-0000-0000B2350000}"/>
    <cellStyle name="标题 3 23" xfId="1065" xr:uid="{00000000-0005-0000-0000-0000B3350000}"/>
    <cellStyle name="标题 3 24" xfId="1066" xr:uid="{00000000-0005-0000-0000-0000B4350000}"/>
    <cellStyle name="标题 3 25" xfId="1067" xr:uid="{00000000-0005-0000-0000-0000B5350000}"/>
    <cellStyle name="标题 3 26" xfId="1068" xr:uid="{00000000-0005-0000-0000-0000B6350000}"/>
    <cellStyle name="标题 3 27" xfId="1069" xr:uid="{00000000-0005-0000-0000-0000B7350000}"/>
    <cellStyle name="标题 3 28" xfId="1070" xr:uid="{00000000-0005-0000-0000-0000B8350000}"/>
    <cellStyle name="标题 3 29" xfId="1071" xr:uid="{00000000-0005-0000-0000-0000B9350000}"/>
    <cellStyle name="标题 3 3" xfId="1072" xr:uid="{00000000-0005-0000-0000-0000BA350000}"/>
    <cellStyle name="标题 3 3 2" xfId="14426" xr:uid="{00000000-0005-0000-0000-0000BB350000}"/>
    <cellStyle name="标题 3 4" xfId="1073" xr:uid="{00000000-0005-0000-0000-0000BC350000}"/>
    <cellStyle name="标题 3 5" xfId="1074" xr:uid="{00000000-0005-0000-0000-0000BD350000}"/>
    <cellStyle name="标题 3 6" xfId="1075" xr:uid="{00000000-0005-0000-0000-0000BE350000}"/>
    <cellStyle name="标题 3 7" xfId="1076" xr:uid="{00000000-0005-0000-0000-0000BF350000}"/>
    <cellStyle name="标题 3 8" xfId="1077" xr:uid="{00000000-0005-0000-0000-0000C0350000}"/>
    <cellStyle name="标题 3 9" xfId="1078" xr:uid="{00000000-0005-0000-0000-0000C1350000}"/>
    <cellStyle name="标题 30" xfId="1079" xr:uid="{00000000-0005-0000-0000-0000C2350000}"/>
    <cellStyle name="标题 31" xfId="1080" xr:uid="{00000000-0005-0000-0000-0000C3350000}"/>
    <cellStyle name="标题 32" xfId="1081" xr:uid="{00000000-0005-0000-0000-0000C4350000}"/>
    <cellStyle name="标题 4 10" xfId="1082" xr:uid="{00000000-0005-0000-0000-0000C5350000}"/>
    <cellStyle name="标题 4 11" xfId="1083" xr:uid="{00000000-0005-0000-0000-0000C6350000}"/>
    <cellStyle name="标题 4 12" xfId="1084" xr:uid="{00000000-0005-0000-0000-0000C7350000}"/>
    <cellStyle name="标题 4 13" xfId="1085" xr:uid="{00000000-0005-0000-0000-0000C8350000}"/>
    <cellStyle name="标题 4 14" xfId="1086" xr:uid="{00000000-0005-0000-0000-0000C9350000}"/>
    <cellStyle name="标题 4 15" xfId="1087" xr:uid="{00000000-0005-0000-0000-0000CA350000}"/>
    <cellStyle name="标题 4 16" xfId="1088" xr:uid="{00000000-0005-0000-0000-0000CB350000}"/>
    <cellStyle name="标题 4 17" xfId="1089" xr:uid="{00000000-0005-0000-0000-0000CC350000}"/>
    <cellStyle name="标题 4 18" xfId="1090" xr:uid="{00000000-0005-0000-0000-0000CD350000}"/>
    <cellStyle name="标题 4 19" xfId="1091" xr:uid="{00000000-0005-0000-0000-0000CE350000}"/>
    <cellStyle name="标题 4 2" xfId="1092" xr:uid="{00000000-0005-0000-0000-0000CF350000}"/>
    <cellStyle name="标题 4 20" xfId="1093" xr:uid="{00000000-0005-0000-0000-0000D0350000}"/>
    <cellStyle name="标题 4 21" xfId="1094" xr:uid="{00000000-0005-0000-0000-0000D1350000}"/>
    <cellStyle name="标题 4 22" xfId="1095" xr:uid="{00000000-0005-0000-0000-0000D2350000}"/>
    <cellStyle name="标题 4 23" xfId="1096" xr:uid="{00000000-0005-0000-0000-0000D3350000}"/>
    <cellStyle name="标题 4 24" xfId="1097" xr:uid="{00000000-0005-0000-0000-0000D4350000}"/>
    <cellStyle name="标题 4 25" xfId="1098" xr:uid="{00000000-0005-0000-0000-0000D5350000}"/>
    <cellStyle name="标题 4 26" xfId="1099" xr:uid="{00000000-0005-0000-0000-0000D6350000}"/>
    <cellStyle name="标题 4 27" xfId="1100" xr:uid="{00000000-0005-0000-0000-0000D7350000}"/>
    <cellStyle name="标题 4 28" xfId="1101" xr:uid="{00000000-0005-0000-0000-0000D8350000}"/>
    <cellStyle name="标题 4 29" xfId="1102" xr:uid="{00000000-0005-0000-0000-0000D9350000}"/>
    <cellStyle name="标题 4 3" xfId="1103" xr:uid="{00000000-0005-0000-0000-0000DA350000}"/>
    <cellStyle name="标题 4 4" xfId="1104" xr:uid="{00000000-0005-0000-0000-0000DB350000}"/>
    <cellStyle name="标题 4 5" xfId="1105" xr:uid="{00000000-0005-0000-0000-0000DC350000}"/>
    <cellStyle name="标题 4 6" xfId="1106" xr:uid="{00000000-0005-0000-0000-0000DD350000}"/>
    <cellStyle name="标题 4 7" xfId="1107" xr:uid="{00000000-0005-0000-0000-0000DE350000}"/>
    <cellStyle name="标题 4 8" xfId="1108" xr:uid="{00000000-0005-0000-0000-0000DF350000}"/>
    <cellStyle name="标题 4 9" xfId="1109" xr:uid="{00000000-0005-0000-0000-0000E0350000}"/>
    <cellStyle name="标题 5" xfId="1110" xr:uid="{00000000-0005-0000-0000-0000E1350000}"/>
    <cellStyle name="标题 6" xfId="1111" xr:uid="{00000000-0005-0000-0000-0000E2350000}"/>
    <cellStyle name="标题 6 2" xfId="14423" xr:uid="{00000000-0005-0000-0000-0000E3350000}"/>
    <cellStyle name="标题 7" xfId="1112" xr:uid="{00000000-0005-0000-0000-0000E4350000}"/>
    <cellStyle name="标题 8" xfId="1113" xr:uid="{00000000-0005-0000-0000-0000E5350000}"/>
    <cellStyle name="标题 9" xfId="1114" xr:uid="{00000000-0005-0000-0000-0000E6350000}"/>
    <cellStyle name="差 10" xfId="723" xr:uid="{00000000-0005-0000-0000-0000EB350000}"/>
    <cellStyle name="差 11" xfId="724" xr:uid="{00000000-0005-0000-0000-0000EC350000}"/>
    <cellStyle name="差 12" xfId="725" xr:uid="{00000000-0005-0000-0000-0000ED350000}"/>
    <cellStyle name="差 13" xfId="726" xr:uid="{00000000-0005-0000-0000-0000EE350000}"/>
    <cellStyle name="差 14" xfId="727" xr:uid="{00000000-0005-0000-0000-0000EF350000}"/>
    <cellStyle name="差 15" xfId="728" xr:uid="{00000000-0005-0000-0000-0000F0350000}"/>
    <cellStyle name="差 16" xfId="729" xr:uid="{00000000-0005-0000-0000-0000F1350000}"/>
    <cellStyle name="差 17" xfId="730" xr:uid="{00000000-0005-0000-0000-0000F2350000}"/>
    <cellStyle name="差 18" xfId="731" xr:uid="{00000000-0005-0000-0000-0000F3350000}"/>
    <cellStyle name="差 19" xfId="732" xr:uid="{00000000-0005-0000-0000-0000F4350000}"/>
    <cellStyle name="差 2" xfId="733" xr:uid="{00000000-0005-0000-0000-0000F5350000}"/>
    <cellStyle name="差 20" xfId="734" xr:uid="{00000000-0005-0000-0000-0000F6350000}"/>
    <cellStyle name="差 21" xfId="735" xr:uid="{00000000-0005-0000-0000-0000F7350000}"/>
    <cellStyle name="差 22" xfId="736" xr:uid="{00000000-0005-0000-0000-0000F8350000}"/>
    <cellStyle name="差 23" xfId="737" xr:uid="{00000000-0005-0000-0000-0000F9350000}"/>
    <cellStyle name="差 24" xfId="738" xr:uid="{00000000-0005-0000-0000-0000FA350000}"/>
    <cellStyle name="差 25" xfId="739" xr:uid="{00000000-0005-0000-0000-0000FB350000}"/>
    <cellStyle name="差 26" xfId="740" xr:uid="{00000000-0005-0000-0000-0000FC350000}"/>
    <cellStyle name="差 27" xfId="741" xr:uid="{00000000-0005-0000-0000-0000FD350000}"/>
    <cellStyle name="差 28" xfId="742" xr:uid="{00000000-0005-0000-0000-0000FE350000}"/>
    <cellStyle name="差 29" xfId="743" xr:uid="{00000000-0005-0000-0000-0000FF350000}"/>
    <cellStyle name="差 3" xfId="744" xr:uid="{00000000-0005-0000-0000-000000360000}"/>
    <cellStyle name="差 4" xfId="745" xr:uid="{00000000-0005-0000-0000-000001360000}"/>
    <cellStyle name="差 5" xfId="746" xr:uid="{00000000-0005-0000-0000-000002360000}"/>
    <cellStyle name="差 6" xfId="747" xr:uid="{00000000-0005-0000-0000-000003360000}"/>
    <cellStyle name="差 7" xfId="748" xr:uid="{00000000-0005-0000-0000-000004360000}"/>
    <cellStyle name="差 8" xfId="749" xr:uid="{00000000-0005-0000-0000-000005360000}"/>
    <cellStyle name="差 9" xfId="750" xr:uid="{00000000-0005-0000-0000-000006360000}"/>
    <cellStyle name="样式 1" xfId="1115" xr:uid="{00000000-0005-0000-0000-000031380000}"/>
    <cellStyle name="适中 10" xfId="1359" xr:uid="{00000000-0005-0000-0000-0000DA370000}"/>
    <cellStyle name="适中 11" xfId="1360" xr:uid="{00000000-0005-0000-0000-0000DB370000}"/>
    <cellStyle name="适中 12" xfId="1361" xr:uid="{00000000-0005-0000-0000-0000DC370000}"/>
    <cellStyle name="适中 13" xfId="1362" xr:uid="{00000000-0005-0000-0000-0000DD370000}"/>
    <cellStyle name="适中 14" xfId="1363" xr:uid="{00000000-0005-0000-0000-0000DE370000}"/>
    <cellStyle name="适中 15" xfId="1364" xr:uid="{00000000-0005-0000-0000-0000DF370000}"/>
    <cellStyle name="适中 16" xfId="1365" xr:uid="{00000000-0005-0000-0000-0000E0370000}"/>
    <cellStyle name="适中 17" xfId="1366" xr:uid="{00000000-0005-0000-0000-0000E1370000}"/>
    <cellStyle name="适中 18" xfId="1367" xr:uid="{00000000-0005-0000-0000-0000E2370000}"/>
    <cellStyle name="适中 19" xfId="1368" xr:uid="{00000000-0005-0000-0000-0000E3370000}"/>
    <cellStyle name="适中 2" xfId="1369" xr:uid="{00000000-0005-0000-0000-0000E4370000}"/>
    <cellStyle name="适中 20" xfId="1370" xr:uid="{00000000-0005-0000-0000-0000E5370000}"/>
    <cellStyle name="适中 21" xfId="1371" xr:uid="{00000000-0005-0000-0000-0000E6370000}"/>
    <cellStyle name="适中 22" xfId="1372" xr:uid="{00000000-0005-0000-0000-0000E7370000}"/>
    <cellStyle name="适中 23" xfId="1373" xr:uid="{00000000-0005-0000-0000-0000E8370000}"/>
    <cellStyle name="适中 24" xfId="1374" xr:uid="{00000000-0005-0000-0000-0000E9370000}"/>
    <cellStyle name="适中 25" xfId="1375" xr:uid="{00000000-0005-0000-0000-0000EA370000}"/>
    <cellStyle name="适中 26" xfId="1376" xr:uid="{00000000-0005-0000-0000-0000EB370000}"/>
    <cellStyle name="适中 27" xfId="1377" xr:uid="{00000000-0005-0000-0000-0000EC370000}"/>
    <cellStyle name="适中 28" xfId="1378" xr:uid="{00000000-0005-0000-0000-0000ED370000}"/>
    <cellStyle name="适中 29" xfId="1379" xr:uid="{00000000-0005-0000-0000-0000EE370000}"/>
    <cellStyle name="适中 3" xfId="1380" xr:uid="{00000000-0005-0000-0000-0000EF370000}"/>
    <cellStyle name="适中 4" xfId="1381" xr:uid="{00000000-0005-0000-0000-0000F0370000}"/>
    <cellStyle name="适中 5" xfId="1382" xr:uid="{00000000-0005-0000-0000-0000F1370000}"/>
    <cellStyle name="适中 6" xfId="1383" xr:uid="{00000000-0005-0000-0000-0000F2370000}"/>
    <cellStyle name="适中 7" xfId="1384" xr:uid="{00000000-0005-0000-0000-0000F3370000}"/>
    <cellStyle name="适中 8" xfId="1385" xr:uid="{00000000-0005-0000-0000-0000F4370000}"/>
    <cellStyle name="适中 9" xfId="1386" xr:uid="{00000000-0005-0000-0000-0000F5370000}"/>
    <cellStyle name="常规 10" xfId="751" xr:uid="{00000000-0005-0000-0000-000008360000}"/>
    <cellStyle name="常规 11" xfId="752" xr:uid="{00000000-0005-0000-0000-000009360000}"/>
    <cellStyle name="常规 12" xfId="753" xr:uid="{00000000-0005-0000-0000-00000A360000}"/>
    <cellStyle name="常规 13" xfId="754" xr:uid="{00000000-0005-0000-0000-00000B360000}"/>
    <cellStyle name="常规 13 2" xfId="755" xr:uid="{00000000-0005-0000-0000-00000C360000}"/>
    <cellStyle name="常规 14" xfId="756" xr:uid="{00000000-0005-0000-0000-00000D360000}"/>
    <cellStyle name="常规 15" xfId="757" xr:uid="{00000000-0005-0000-0000-00000E360000}"/>
    <cellStyle name="常规 16" xfId="758" xr:uid="{00000000-0005-0000-0000-00000F360000}"/>
    <cellStyle name="常规 17" xfId="759" xr:uid="{00000000-0005-0000-0000-000010360000}"/>
    <cellStyle name="常规 18" xfId="760" xr:uid="{00000000-0005-0000-0000-000011360000}"/>
    <cellStyle name="常规 19" xfId="761" xr:uid="{00000000-0005-0000-0000-000012360000}"/>
    <cellStyle name="常规 2" xfId="762" xr:uid="{00000000-0005-0000-0000-000013360000}"/>
    <cellStyle name="常规 2 10" xfId="14298" xr:uid="{00000000-0005-0000-0000-000014360000}"/>
    <cellStyle name="常规 2 11" xfId="14429" xr:uid="{00000000-0005-0000-0000-000015360000}"/>
    <cellStyle name="常规 2 2" xfId="763" xr:uid="{00000000-0005-0000-0000-000016360000}"/>
    <cellStyle name="常规 2 3" xfId="764" xr:uid="{00000000-0005-0000-0000-000017360000}"/>
    <cellStyle name="常规 2 4" xfId="765" xr:uid="{00000000-0005-0000-0000-000018360000}"/>
    <cellStyle name="常规 2 5" xfId="766" xr:uid="{00000000-0005-0000-0000-000019360000}"/>
    <cellStyle name="常规 2 6" xfId="767" xr:uid="{00000000-0005-0000-0000-00001A360000}"/>
    <cellStyle name="常规 2 7" xfId="1488" xr:uid="{00000000-0005-0000-0000-00001B360000}"/>
    <cellStyle name="常规 2 8" xfId="4642" xr:uid="{00000000-0005-0000-0000-00001C360000}"/>
    <cellStyle name="常规 2 9" xfId="14248" xr:uid="{00000000-0005-0000-0000-00001D360000}"/>
    <cellStyle name="常规 20" xfId="768" xr:uid="{00000000-0005-0000-0000-00001E360000}"/>
    <cellStyle name="常规 202" xfId="769" xr:uid="{00000000-0005-0000-0000-00001F360000}"/>
    <cellStyle name="常规 202 2" xfId="770" xr:uid="{00000000-0005-0000-0000-000020360000}"/>
    <cellStyle name="常规 21" xfId="771" xr:uid="{00000000-0005-0000-0000-000021360000}"/>
    <cellStyle name="常规 21 2" xfId="1491" xr:uid="{00000000-0005-0000-0000-000022360000}"/>
    <cellStyle name="常规 21 3" xfId="4645" xr:uid="{00000000-0005-0000-0000-000023360000}"/>
    <cellStyle name="常规 21 4" xfId="14251" xr:uid="{00000000-0005-0000-0000-000024360000}"/>
    <cellStyle name="常规 21 5" xfId="14432" xr:uid="{00000000-0005-0000-0000-000025360000}"/>
    <cellStyle name="常规 22" xfId="772" xr:uid="{00000000-0005-0000-0000-000026360000}"/>
    <cellStyle name="常规 22 2" xfId="1492" xr:uid="{00000000-0005-0000-0000-000027360000}"/>
    <cellStyle name="常规 22 3" xfId="4646" xr:uid="{00000000-0005-0000-0000-000028360000}"/>
    <cellStyle name="常规 22 4" xfId="14252" xr:uid="{00000000-0005-0000-0000-000029360000}"/>
    <cellStyle name="常规 22 5" xfId="14433" xr:uid="{00000000-0005-0000-0000-00002A360000}"/>
    <cellStyle name="常规 23" xfId="773" xr:uid="{00000000-0005-0000-0000-00002B360000}"/>
    <cellStyle name="常规 23 2" xfId="774" xr:uid="{00000000-0005-0000-0000-00002C360000}"/>
    <cellStyle name="常规 23 2 2" xfId="775" xr:uid="{00000000-0005-0000-0000-00002D360000}"/>
    <cellStyle name="常规 23 3" xfId="776" xr:uid="{00000000-0005-0000-0000-00002E360000}"/>
    <cellStyle name="常规 24" xfId="777" xr:uid="{00000000-0005-0000-0000-00002F360000}"/>
    <cellStyle name="常规 24 2" xfId="778" xr:uid="{00000000-0005-0000-0000-000030360000}"/>
    <cellStyle name="常规 24 2 2" xfId="779" xr:uid="{00000000-0005-0000-0000-000031360000}"/>
    <cellStyle name="常规 24 3" xfId="780" xr:uid="{00000000-0005-0000-0000-000032360000}"/>
    <cellStyle name="常规 25" xfId="781" xr:uid="{00000000-0005-0000-0000-000033360000}"/>
    <cellStyle name="常规 25 2" xfId="782" xr:uid="{00000000-0005-0000-0000-000034360000}"/>
    <cellStyle name="常规 25 2 2" xfId="783" xr:uid="{00000000-0005-0000-0000-000035360000}"/>
    <cellStyle name="常规 25 3" xfId="784" xr:uid="{00000000-0005-0000-0000-000036360000}"/>
    <cellStyle name="常规 255" xfId="785" xr:uid="{00000000-0005-0000-0000-000037360000}"/>
    <cellStyle name="常规 257" xfId="786" xr:uid="{00000000-0005-0000-0000-000038360000}"/>
    <cellStyle name="常规 26" xfId="787" xr:uid="{00000000-0005-0000-0000-000039360000}"/>
    <cellStyle name="常规 27" xfId="1421" xr:uid="{00000000-0005-0000-0000-00003A360000}"/>
    <cellStyle name="常规 27 3" xfId="14416" xr:uid="{00000000-0005-0000-0000-00003B360000}"/>
    <cellStyle name="常规 28" xfId="788" xr:uid="{00000000-0005-0000-0000-00003C360000}"/>
    <cellStyle name="常规 29" xfId="14476" xr:uid="{00000000-0005-0000-0000-00003D360000}"/>
    <cellStyle name="常规 3" xfId="789" xr:uid="{00000000-0005-0000-0000-00003E360000}"/>
    <cellStyle name="常规 3 10" xfId="14293" xr:uid="{00000000-0005-0000-0000-00003F360000}"/>
    <cellStyle name="常规 3 11" xfId="14299" xr:uid="{00000000-0005-0000-0000-000040360000}"/>
    <cellStyle name="常规 3 12" xfId="14474" xr:uid="{00000000-0005-0000-0000-000041360000}"/>
    <cellStyle name="常规 3 2" xfId="790" xr:uid="{00000000-0005-0000-0000-000042360000}"/>
    <cellStyle name="常规 3 3" xfId="791" xr:uid="{00000000-0005-0000-0000-000043360000}"/>
    <cellStyle name="常规 3 3 2" xfId="1489" xr:uid="{00000000-0005-0000-0000-000044360000}"/>
    <cellStyle name="常规 3 3 3" xfId="4643" xr:uid="{00000000-0005-0000-0000-000045360000}"/>
    <cellStyle name="常规 3 3 4" xfId="14249" xr:uid="{00000000-0005-0000-0000-000046360000}"/>
    <cellStyle name="常规 3 3 5" xfId="14430" xr:uid="{00000000-0005-0000-0000-000047360000}"/>
    <cellStyle name="常规 3 4" xfId="792" xr:uid="{00000000-0005-0000-0000-000048360000}"/>
    <cellStyle name="常规 3 5" xfId="793" xr:uid="{00000000-0005-0000-0000-000049360000}"/>
    <cellStyle name="常规 3 6" xfId="794" xr:uid="{00000000-0005-0000-0000-00004A360000}"/>
    <cellStyle name="常规 3 6 2" xfId="795" xr:uid="{00000000-0005-0000-0000-00004B360000}"/>
    <cellStyle name="常规 3 6 2 2" xfId="796" xr:uid="{00000000-0005-0000-0000-00004C360000}"/>
    <cellStyle name="常规 3 6 3" xfId="797" xr:uid="{00000000-0005-0000-0000-00004D360000}"/>
    <cellStyle name="常规 3 7" xfId="1423" xr:uid="{00000000-0005-0000-0000-00004E360000}"/>
    <cellStyle name="常规 3 8" xfId="1533" xr:uid="{00000000-0005-0000-0000-00004F360000}"/>
    <cellStyle name="常规 3 9" xfId="4687" xr:uid="{00000000-0005-0000-0000-000050360000}"/>
    <cellStyle name="常规 4" xfId="798" xr:uid="{00000000-0005-0000-0000-000051360000}"/>
    <cellStyle name="常规 4 2" xfId="799" xr:uid="{00000000-0005-0000-0000-000052360000}"/>
    <cellStyle name="常规 4 3" xfId="800" xr:uid="{00000000-0005-0000-0000-000053360000}"/>
    <cellStyle name="常规 4 4" xfId="14412" xr:uid="{00000000-0005-0000-0000-000054360000}"/>
    <cellStyle name="常规 4 5" xfId="14422" xr:uid="{00000000-0005-0000-0000-000055360000}"/>
    <cellStyle name="常规 5" xfId="801" xr:uid="{00000000-0005-0000-0000-000056360000}"/>
    <cellStyle name="常规 5 2" xfId="802" xr:uid="{00000000-0005-0000-0000-000057360000}"/>
    <cellStyle name="常规 6" xfId="803" xr:uid="{00000000-0005-0000-0000-000058360000}"/>
    <cellStyle name="常规 7" xfId="804" xr:uid="{00000000-0005-0000-0000-000059360000}"/>
    <cellStyle name="常规 8" xfId="805" xr:uid="{00000000-0005-0000-0000-00005A360000}"/>
    <cellStyle name="常规 9" xfId="806" xr:uid="{00000000-0005-0000-0000-00005B360000}"/>
    <cellStyle name="检查单元格 10" xfId="1116" xr:uid="{00000000-0005-0000-0000-0000B3360000}"/>
    <cellStyle name="检查单元格 11" xfId="1117" xr:uid="{00000000-0005-0000-0000-0000B4360000}"/>
    <cellStyle name="检查单元格 12" xfId="1118" xr:uid="{00000000-0005-0000-0000-0000B5360000}"/>
    <cellStyle name="检查单元格 13" xfId="1119" xr:uid="{00000000-0005-0000-0000-0000B6360000}"/>
    <cellStyle name="检查单元格 14" xfId="1120" xr:uid="{00000000-0005-0000-0000-0000B7360000}"/>
    <cellStyle name="检查单元格 15" xfId="1121" xr:uid="{00000000-0005-0000-0000-0000B8360000}"/>
    <cellStyle name="检查单元格 16" xfId="1122" xr:uid="{00000000-0005-0000-0000-0000B9360000}"/>
    <cellStyle name="检查单元格 17" xfId="1123" xr:uid="{00000000-0005-0000-0000-0000BA360000}"/>
    <cellStyle name="检查单元格 18" xfId="1124" xr:uid="{00000000-0005-0000-0000-0000BB360000}"/>
    <cellStyle name="检查单元格 19" xfId="1125" xr:uid="{00000000-0005-0000-0000-0000BC360000}"/>
    <cellStyle name="检查单元格 2" xfId="1126" xr:uid="{00000000-0005-0000-0000-0000BD360000}"/>
    <cellStyle name="检查单元格 20" xfId="1127" xr:uid="{00000000-0005-0000-0000-0000BE360000}"/>
    <cellStyle name="检查单元格 21" xfId="1128" xr:uid="{00000000-0005-0000-0000-0000BF360000}"/>
    <cellStyle name="检查单元格 22" xfId="1129" xr:uid="{00000000-0005-0000-0000-0000C0360000}"/>
    <cellStyle name="检查单元格 23" xfId="1130" xr:uid="{00000000-0005-0000-0000-0000C1360000}"/>
    <cellStyle name="检查单元格 24" xfId="1131" xr:uid="{00000000-0005-0000-0000-0000C2360000}"/>
    <cellStyle name="检查单元格 25" xfId="1132" xr:uid="{00000000-0005-0000-0000-0000C3360000}"/>
    <cellStyle name="检查单元格 26" xfId="1133" xr:uid="{00000000-0005-0000-0000-0000C4360000}"/>
    <cellStyle name="检查单元格 27" xfId="1134" xr:uid="{00000000-0005-0000-0000-0000C5360000}"/>
    <cellStyle name="检查单元格 28" xfId="1135" xr:uid="{00000000-0005-0000-0000-0000C6360000}"/>
    <cellStyle name="检查单元格 29" xfId="1136" xr:uid="{00000000-0005-0000-0000-0000C7360000}"/>
    <cellStyle name="检查单元格 3" xfId="1137" xr:uid="{00000000-0005-0000-0000-0000C8360000}"/>
    <cellStyle name="检查单元格 4" xfId="1138" xr:uid="{00000000-0005-0000-0000-0000C9360000}"/>
    <cellStyle name="检查单元格 5" xfId="1139" xr:uid="{00000000-0005-0000-0000-0000CA360000}"/>
    <cellStyle name="检查单元格 6" xfId="1140" xr:uid="{00000000-0005-0000-0000-0000CB360000}"/>
    <cellStyle name="检查单元格 7" xfId="1141" xr:uid="{00000000-0005-0000-0000-0000CC360000}"/>
    <cellStyle name="检查单元格 8" xfId="1142" xr:uid="{00000000-0005-0000-0000-0000CD360000}"/>
    <cellStyle name="检查单元格 9" xfId="1143" xr:uid="{00000000-0005-0000-0000-0000CE360000}"/>
    <cellStyle name="烹拳 [0]_  辆  钦  " xfId="14377" xr:uid="{00000000-0005-0000-0000-000025370000}"/>
    <cellStyle name="烹拳_  辆  钦  " xfId="14378" xr:uid="{00000000-0005-0000-0000-000026370000}"/>
    <cellStyle name="强调文字颜色 1 10" xfId="807" xr:uid="{00000000-0005-0000-0000-000031370000}"/>
    <cellStyle name="强调文字颜色 1 11" xfId="808" xr:uid="{00000000-0005-0000-0000-000032370000}"/>
    <cellStyle name="强调文字颜色 1 12" xfId="809" xr:uid="{00000000-0005-0000-0000-000033370000}"/>
    <cellStyle name="强调文字颜色 1 13" xfId="810" xr:uid="{00000000-0005-0000-0000-000034370000}"/>
    <cellStyle name="强调文字颜色 1 14" xfId="811" xr:uid="{00000000-0005-0000-0000-000035370000}"/>
    <cellStyle name="强调文字颜色 1 15" xfId="812" xr:uid="{00000000-0005-0000-0000-000036370000}"/>
    <cellStyle name="强调文字颜色 1 16" xfId="813" xr:uid="{00000000-0005-0000-0000-000037370000}"/>
    <cellStyle name="强调文字颜色 1 17" xfId="814" xr:uid="{00000000-0005-0000-0000-000038370000}"/>
    <cellStyle name="强调文字颜色 1 18" xfId="815" xr:uid="{00000000-0005-0000-0000-000039370000}"/>
    <cellStyle name="强调文字颜色 1 19" xfId="816" xr:uid="{00000000-0005-0000-0000-00003A370000}"/>
    <cellStyle name="强调文字颜色 1 2" xfId="817" xr:uid="{00000000-0005-0000-0000-00003B370000}"/>
    <cellStyle name="强调文字颜色 1 20" xfId="818" xr:uid="{00000000-0005-0000-0000-00003C370000}"/>
    <cellStyle name="强调文字颜色 1 21" xfId="819" xr:uid="{00000000-0005-0000-0000-00003D370000}"/>
    <cellStyle name="强调文字颜色 1 22" xfId="820" xr:uid="{00000000-0005-0000-0000-00003E370000}"/>
    <cellStyle name="强调文字颜色 1 23" xfId="821" xr:uid="{00000000-0005-0000-0000-00003F370000}"/>
    <cellStyle name="强调文字颜色 1 24" xfId="822" xr:uid="{00000000-0005-0000-0000-000040370000}"/>
    <cellStyle name="强调文字颜色 1 25" xfId="823" xr:uid="{00000000-0005-0000-0000-000041370000}"/>
    <cellStyle name="强调文字颜色 1 26" xfId="824" xr:uid="{00000000-0005-0000-0000-000042370000}"/>
    <cellStyle name="强调文字颜色 1 27" xfId="825" xr:uid="{00000000-0005-0000-0000-000043370000}"/>
    <cellStyle name="强调文字颜色 1 28" xfId="826" xr:uid="{00000000-0005-0000-0000-000044370000}"/>
    <cellStyle name="强调文字颜色 1 29" xfId="827" xr:uid="{00000000-0005-0000-0000-000045370000}"/>
    <cellStyle name="强调文字颜色 1 3" xfId="828" xr:uid="{00000000-0005-0000-0000-000046370000}"/>
    <cellStyle name="强调文字颜色 1 4" xfId="829" xr:uid="{00000000-0005-0000-0000-000047370000}"/>
    <cellStyle name="强调文字颜色 1 5" xfId="830" xr:uid="{00000000-0005-0000-0000-000048370000}"/>
    <cellStyle name="强调文字颜色 1 6" xfId="831" xr:uid="{00000000-0005-0000-0000-000049370000}"/>
    <cellStyle name="强调文字颜色 1 7" xfId="832" xr:uid="{00000000-0005-0000-0000-00004A370000}"/>
    <cellStyle name="强调文字颜色 1 8" xfId="833" xr:uid="{00000000-0005-0000-0000-00004B370000}"/>
    <cellStyle name="强调文字颜色 1 9" xfId="834" xr:uid="{00000000-0005-0000-0000-00004C370000}"/>
    <cellStyle name="强调文字颜色 2 10" xfId="835" xr:uid="{00000000-0005-0000-0000-00004D370000}"/>
    <cellStyle name="强调文字颜色 2 11" xfId="836" xr:uid="{00000000-0005-0000-0000-00004E370000}"/>
    <cellStyle name="强调文字颜色 2 12" xfId="837" xr:uid="{00000000-0005-0000-0000-00004F370000}"/>
    <cellStyle name="强调文字颜色 2 13" xfId="838" xr:uid="{00000000-0005-0000-0000-000050370000}"/>
    <cellStyle name="强调文字颜色 2 14" xfId="839" xr:uid="{00000000-0005-0000-0000-000051370000}"/>
    <cellStyle name="强调文字颜色 2 15" xfId="840" xr:uid="{00000000-0005-0000-0000-000052370000}"/>
    <cellStyle name="强调文字颜色 2 16" xfId="841" xr:uid="{00000000-0005-0000-0000-000053370000}"/>
    <cellStyle name="强调文字颜色 2 17" xfId="842" xr:uid="{00000000-0005-0000-0000-000054370000}"/>
    <cellStyle name="强调文字颜色 2 18" xfId="843" xr:uid="{00000000-0005-0000-0000-000055370000}"/>
    <cellStyle name="强调文字颜色 2 19" xfId="844" xr:uid="{00000000-0005-0000-0000-000056370000}"/>
    <cellStyle name="强调文字颜色 2 2" xfId="845" xr:uid="{00000000-0005-0000-0000-000057370000}"/>
    <cellStyle name="强调文字颜色 2 20" xfId="846" xr:uid="{00000000-0005-0000-0000-000058370000}"/>
    <cellStyle name="强调文字颜色 2 21" xfId="847" xr:uid="{00000000-0005-0000-0000-000059370000}"/>
    <cellStyle name="强调文字颜色 2 22" xfId="848" xr:uid="{00000000-0005-0000-0000-00005A370000}"/>
    <cellStyle name="强调文字颜色 2 23" xfId="849" xr:uid="{00000000-0005-0000-0000-00005B370000}"/>
    <cellStyle name="强调文字颜色 2 24" xfId="850" xr:uid="{00000000-0005-0000-0000-00005C370000}"/>
    <cellStyle name="强调文字颜色 2 25" xfId="851" xr:uid="{00000000-0005-0000-0000-00005D370000}"/>
    <cellStyle name="强调文字颜色 2 26" xfId="852" xr:uid="{00000000-0005-0000-0000-00005E370000}"/>
    <cellStyle name="强调文字颜色 2 27" xfId="853" xr:uid="{00000000-0005-0000-0000-00005F370000}"/>
    <cellStyle name="强调文字颜色 2 28" xfId="854" xr:uid="{00000000-0005-0000-0000-000060370000}"/>
    <cellStyle name="强调文字颜色 2 29" xfId="855" xr:uid="{00000000-0005-0000-0000-000061370000}"/>
    <cellStyle name="强调文字颜色 2 3" xfId="856" xr:uid="{00000000-0005-0000-0000-000062370000}"/>
    <cellStyle name="强调文字颜色 2 4" xfId="857" xr:uid="{00000000-0005-0000-0000-000063370000}"/>
    <cellStyle name="强调文字颜色 2 5" xfId="858" xr:uid="{00000000-0005-0000-0000-000064370000}"/>
    <cellStyle name="强调文字颜色 2 6" xfId="859" xr:uid="{00000000-0005-0000-0000-000065370000}"/>
    <cellStyle name="强调文字颜色 2 7" xfId="860" xr:uid="{00000000-0005-0000-0000-000066370000}"/>
    <cellStyle name="强调文字颜色 2 8" xfId="861" xr:uid="{00000000-0005-0000-0000-000067370000}"/>
    <cellStyle name="强调文字颜色 2 9" xfId="862" xr:uid="{00000000-0005-0000-0000-000068370000}"/>
    <cellStyle name="强调文字颜色 3 10" xfId="863" xr:uid="{00000000-0005-0000-0000-000069370000}"/>
    <cellStyle name="强调文字颜色 3 11" xfId="864" xr:uid="{00000000-0005-0000-0000-00006A370000}"/>
    <cellStyle name="强调文字颜色 3 12" xfId="865" xr:uid="{00000000-0005-0000-0000-00006B370000}"/>
    <cellStyle name="强调文字颜色 3 13" xfId="866" xr:uid="{00000000-0005-0000-0000-00006C370000}"/>
    <cellStyle name="强调文字颜色 3 14" xfId="867" xr:uid="{00000000-0005-0000-0000-00006D370000}"/>
    <cellStyle name="强调文字颜色 3 15" xfId="868" xr:uid="{00000000-0005-0000-0000-00006E370000}"/>
    <cellStyle name="强调文字颜色 3 16" xfId="869" xr:uid="{00000000-0005-0000-0000-00006F370000}"/>
    <cellStyle name="强调文字颜色 3 17" xfId="870" xr:uid="{00000000-0005-0000-0000-000070370000}"/>
    <cellStyle name="强调文字颜色 3 18" xfId="871" xr:uid="{00000000-0005-0000-0000-000071370000}"/>
    <cellStyle name="强调文字颜色 3 19" xfId="872" xr:uid="{00000000-0005-0000-0000-000072370000}"/>
    <cellStyle name="强调文字颜色 3 2" xfId="873" xr:uid="{00000000-0005-0000-0000-000073370000}"/>
    <cellStyle name="强调文字颜色 3 20" xfId="874" xr:uid="{00000000-0005-0000-0000-000074370000}"/>
    <cellStyle name="强调文字颜色 3 21" xfId="875" xr:uid="{00000000-0005-0000-0000-000075370000}"/>
    <cellStyle name="强调文字颜色 3 22" xfId="876" xr:uid="{00000000-0005-0000-0000-000076370000}"/>
    <cellStyle name="强调文字颜色 3 23" xfId="877" xr:uid="{00000000-0005-0000-0000-000077370000}"/>
    <cellStyle name="强调文字颜色 3 24" xfId="878" xr:uid="{00000000-0005-0000-0000-000078370000}"/>
    <cellStyle name="强调文字颜色 3 25" xfId="879" xr:uid="{00000000-0005-0000-0000-000079370000}"/>
    <cellStyle name="强调文字颜色 3 26" xfId="880" xr:uid="{00000000-0005-0000-0000-00007A370000}"/>
    <cellStyle name="强调文字颜色 3 27" xfId="881" xr:uid="{00000000-0005-0000-0000-00007B370000}"/>
    <cellStyle name="强调文字颜色 3 28" xfId="882" xr:uid="{00000000-0005-0000-0000-00007C370000}"/>
    <cellStyle name="强调文字颜色 3 29" xfId="883" xr:uid="{00000000-0005-0000-0000-00007D370000}"/>
    <cellStyle name="强调文字颜色 3 3" xfId="884" xr:uid="{00000000-0005-0000-0000-00007E370000}"/>
    <cellStyle name="强调文字颜色 3 4" xfId="885" xr:uid="{00000000-0005-0000-0000-00007F370000}"/>
    <cellStyle name="强调文字颜色 3 5" xfId="886" xr:uid="{00000000-0005-0000-0000-000080370000}"/>
    <cellStyle name="强调文字颜色 3 6" xfId="887" xr:uid="{00000000-0005-0000-0000-000081370000}"/>
    <cellStyle name="强调文字颜色 3 7" xfId="888" xr:uid="{00000000-0005-0000-0000-000082370000}"/>
    <cellStyle name="强调文字颜色 3 8" xfId="889" xr:uid="{00000000-0005-0000-0000-000083370000}"/>
    <cellStyle name="强调文字颜色 3 9" xfId="890" xr:uid="{00000000-0005-0000-0000-000084370000}"/>
    <cellStyle name="强调文字颜色 4 10" xfId="891" xr:uid="{00000000-0005-0000-0000-000085370000}"/>
    <cellStyle name="强调文字颜色 4 11" xfId="892" xr:uid="{00000000-0005-0000-0000-000086370000}"/>
    <cellStyle name="强调文字颜色 4 12" xfId="893" xr:uid="{00000000-0005-0000-0000-000087370000}"/>
    <cellStyle name="强调文字颜色 4 13" xfId="894" xr:uid="{00000000-0005-0000-0000-000088370000}"/>
    <cellStyle name="强调文字颜色 4 14" xfId="895" xr:uid="{00000000-0005-0000-0000-000089370000}"/>
    <cellStyle name="强调文字颜色 4 15" xfId="896" xr:uid="{00000000-0005-0000-0000-00008A370000}"/>
    <cellStyle name="强调文字颜色 4 16" xfId="897" xr:uid="{00000000-0005-0000-0000-00008B370000}"/>
    <cellStyle name="强调文字颜色 4 17" xfId="898" xr:uid="{00000000-0005-0000-0000-00008C370000}"/>
    <cellStyle name="强调文字颜色 4 18" xfId="899" xr:uid="{00000000-0005-0000-0000-00008D370000}"/>
    <cellStyle name="强调文字颜色 4 19" xfId="900" xr:uid="{00000000-0005-0000-0000-00008E370000}"/>
    <cellStyle name="强调文字颜色 4 2" xfId="901" xr:uid="{00000000-0005-0000-0000-00008F370000}"/>
    <cellStyle name="强调文字颜色 4 20" xfId="902" xr:uid="{00000000-0005-0000-0000-000090370000}"/>
    <cellStyle name="强调文字颜色 4 21" xfId="903" xr:uid="{00000000-0005-0000-0000-000091370000}"/>
    <cellStyle name="强调文字颜色 4 22" xfId="904" xr:uid="{00000000-0005-0000-0000-000092370000}"/>
    <cellStyle name="强调文字颜色 4 23" xfId="905" xr:uid="{00000000-0005-0000-0000-000093370000}"/>
    <cellStyle name="强调文字颜色 4 24" xfId="906" xr:uid="{00000000-0005-0000-0000-000094370000}"/>
    <cellStyle name="强调文字颜色 4 25" xfId="907" xr:uid="{00000000-0005-0000-0000-000095370000}"/>
    <cellStyle name="强调文字颜色 4 26" xfId="908" xr:uid="{00000000-0005-0000-0000-000096370000}"/>
    <cellStyle name="强调文字颜色 4 27" xfId="909" xr:uid="{00000000-0005-0000-0000-000097370000}"/>
    <cellStyle name="强调文字颜色 4 28" xfId="910" xr:uid="{00000000-0005-0000-0000-000098370000}"/>
    <cellStyle name="强调文字颜色 4 29" xfId="911" xr:uid="{00000000-0005-0000-0000-000099370000}"/>
    <cellStyle name="强调文字颜色 4 3" xfId="912" xr:uid="{00000000-0005-0000-0000-00009A370000}"/>
    <cellStyle name="强调文字颜色 4 4" xfId="913" xr:uid="{00000000-0005-0000-0000-00009B370000}"/>
    <cellStyle name="强调文字颜色 4 5" xfId="914" xr:uid="{00000000-0005-0000-0000-00009C370000}"/>
    <cellStyle name="强调文字颜色 4 6" xfId="915" xr:uid="{00000000-0005-0000-0000-00009D370000}"/>
    <cellStyle name="强调文字颜色 4 7" xfId="916" xr:uid="{00000000-0005-0000-0000-00009E370000}"/>
    <cellStyle name="强调文字颜色 4 8" xfId="917" xr:uid="{00000000-0005-0000-0000-00009F370000}"/>
    <cellStyle name="强调文字颜色 4 9" xfId="918" xr:uid="{00000000-0005-0000-0000-0000A0370000}"/>
    <cellStyle name="强调文字颜色 5 10" xfId="919" xr:uid="{00000000-0005-0000-0000-0000A1370000}"/>
    <cellStyle name="强调文字颜色 5 11" xfId="920" xr:uid="{00000000-0005-0000-0000-0000A2370000}"/>
    <cellStyle name="强调文字颜色 5 12" xfId="921" xr:uid="{00000000-0005-0000-0000-0000A3370000}"/>
    <cellStyle name="强调文字颜色 5 13" xfId="922" xr:uid="{00000000-0005-0000-0000-0000A4370000}"/>
    <cellStyle name="强调文字颜色 5 14" xfId="923" xr:uid="{00000000-0005-0000-0000-0000A5370000}"/>
    <cellStyle name="强调文字颜色 5 15" xfId="924" xr:uid="{00000000-0005-0000-0000-0000A6370000}"/>
    <cellStyle name="强调文字颜色 5 16" xfId="925" xr:uid="{00000000-0005-0000-0000-0000A7370000}"/>
    <cellStyle name="强调文字颜色 5 17" xfId="926" xr:uid="{00000000-0005-0000-0000-0000A8370000}"/>
    <cellStyle name="强调文字颜色 5 18" xfId="927" xr:uid="{00000000-0005-0000-0000-0000A9370000}"/>
    <cellStyle name="强调文字颜色 5 19" xfId="928" xr:uid="{00000000-0005-0000-0000-0000AA370000}"/>
    <cellStyle name="强调文字颜色 5 2" xfId="929" xr:uid="{00000000-0005-0000-0000-0000AB370000}"/>
    <cellStyle name="强调文字颜色 5 20" xfId="930" xr:uid="{00000000-0005-0000-0000-0000AC370000}"/>
    <cellStyle name="强调文字颜色 5 21" xfId="931" xr:uid="{00000000-0005-0000-0000-0000AD370000}"/>
    <cellStyle name="强调文字颜色 5 22" xfId="932" xr:uid="{00000000-0005-0000-0000-0000AE370000}"/>
    <cellStyle name="强调文字颜色 5 23" xfId="933" xr:uid="{00000000-0005-0000-0000-0000AF370000}"/>
    <cellStyle name="强调文字颜色 5 24" xfId="934" xr:uid="{00000000-0005-0000-0000-0000B0370000}"/>
    <cellStyle name="强调文字颜色 5 25" xfId="935" xr:uid="{00000000-0005-0000-0000-0000B1370000}"/>
    <cellStyle name="强调文字颜色 5 26" xfId="936" xr:uid="{00000000-0005-0000-0000-0000B2370000}"/>
    <cellStyle name="强调文字颜色 5 27" xfId="937" xr:uid="{00000000-0005-0000-0000-0000B3370000}"/>
    <cellStyle name="强调文字颜色 5 28" xfId="938" xr:uid="{00000000-0005-0000-0000-0000B4370000}"/>
    <cellStyle name="强调文字颜色 5 29" xfId="939" xr:uid="{00000000-0005-0000-0000-0000B5370000}"/>
    <cellStyle name="强调文字颜色 5 3" xfId="940" xr:uid="{00000000-0005-0000-0000-0000B6370000}"/>
    <cellStyle name="强调文字颜色 5 4" xfId="941" xr:uid="{00000000-0005-0000-0000-0000B7370000}"/>
    <cellStyle name="强调文字颜色 5 5" xfId="942" xr:uid="{00000000-0005-0000-0000-0000B8370000}"/>
    <cellStyle name="强调文字颜色 5 6" xfId="943" xr:uid="{00000000-0005-0000-0000-0000B9370000}"/>
    <cellStyle name="强调文字颜色 5 7" xfId="944" xr:uid="{00000000-0005-0000-0000-0000BA370000}"/>
    <cellStyle name="强调文字颜色 5 8" xfId="945" xr:uid="{00000000-0005-0000-0000-0000BB370000}"/>
    <cellStyle name="强调文字颜色 5 9" xfId="946" xr:uid="{00000000-0005-0000-0000-0000BC370000}"/>
    <cellStyle name="强调文字颜色 6 10" xfId="947" xr:uid="{00000000-0005-0000-0000-0000BD370000}"/>
    <cellStyle name="强调文字颜色 6 11" xfId="948" xr:uid="{00000000-0005-0000-0000-0000BE370000}"/>
    <cellStyle name="强调文字颜色 6 12" xfId="949" xr:uid="{00000000-0005-0000-0000-0000BF370000}"/>
    <cellStyle name="强调文字颜色 6 13" xfId="950" xr:uid="{00000000-0005-0000-0000-0000C0370000}"/>
    <cellStyle name="强调文字颜色 6 14" xfId="951" xr:uid="{00000000-0005-0000-0000-0000C1370000}"/>
    <cellStyle name="强调文字颜色 6 15" xfId="952" xr:uid="{00000000-0005-0000-0000-0000C2370000}"/>
    <cellStyle name="强调文字颜色 6 16" xfId="953" xr:uid="{00000000-0005-0000-0000-0000C3370000}"/>
    <cellStyle name="强调文字颜色 6 17" xfId="954" xr:uid="{00000000-0005-0000-0000-0000C4370000}"/>
    <cellStyle name="强调文字颜色 6 18" xfId="955" xr:uid="{00000000-0005-0000-0000-0000C5370000}"/>
    <cellStyle name="强调文字颜色 6 19" xfId="956" xr:uid="{00000000-0005-0000-0000-0000C6370000}"/>
    <cellStyle name="强调文字颜色 6 2" xfId="957" xr:uid="{00000000-0005-0000-0000-0000C7370000}"/>
    <cellStyle name="强调文字颜色 6 20" xfId="958" xr:uid="{00000000-0005-0000-0000-0000C8370000}"/>
    <cellStyle name="强调文字颜色 6 21" xfId="959" xr:uid="{00000000-0005-0000-0000-0000C9370000}"/>
    <cellStyle name="强调文字颜色 6 22" xfId="960" xr:uid="{00000000-0005-0000-0000-0000CA370000}"/>
    <cellStyle name="强调文字颜色 6 23" xfId="961" xr:uid="{00000000-0005-0000-0000-0000CB370000}"/>
    <cellStyle name="强调文字颜色 6 24" xfId="962" xr:uid="{00000000-0005-0000-0000-0000CC370000}"/>
    <cellStyle name="强调文字颜色 6 25" xfId="963" xr:uid="{00000000-0005-0000-0000-0000CD370000}"/>
    <cellStyle name="强调文字颜色 6 26" xfId="964" xr:uid="{00000000-0005-0000-0000-0000CE370000}"/>
    <cellStyle name="强调文字颜色 6 27" xfId="965" xr:uid="{00000000-0005-0000-0000-0000CF370000}"/>
    <cellStyle name="强调文字颜色 6 28" xfId="966" xr:uid="{00000000-0005-0000-0000-0000D0370000}"/>
    <cellStyle name="强调文字颜色 6 29" xfId="967" xr:uid="{00000000-0005-0000-0000-0000D1370000}"/>
    <cellStyle name="强调文字颜色 6 3" xfId="968" xr:uid="{00000000-0005-0000-0000-0000D2370000}"/>
    <cellStyle name="强调文字颜色 6 4" xfId="969" xr:uid="{00000000-0005-0000-0000-0000D3370000}"/>
    <cellStyle name="强调文字颜色 6 5" xfId="970" xr:uid="{00000000-0005-0000-0000-0000D4370000}"/>
    <cellStyle name="强调文字颜色 6 6" xfId="971" xr:uid="{00000000-0005-0000-0000-0000D5370000}"/>
    <cellStyle name="强调文字颜色 6 7" xfId="972" xr:uid="{00000000-0005-0000-0000-0000D6370000}"/>
    <cellStyle name="强调文字颜色 6 8" xfId="973" xr:uid="{00000000-0005-0000-0000-0000D7370000}"/>
    <cellStyle name="强调文字颜色 6 9" xfId="974" xr:uid="{00000000-0005-0000-0000-0000D8370000}"/>
    <cellStyle name="链接单元格 10" xfId="1387" xr:uid="{00000000-0005-0000-0000-000007370000}"/>
    <cellStyle name="链接单元格 11" xfId="1388" xr:uid="{00000000-0005-0000-0000-000008370000}"/>
    <cellStyle name="链接单元格 12" xfId="1389" xr:uid="{00000000-0005-0000-0000-000009370000}"/>
    <cellStyle name="链接单元格 13" xfId="1390" xr:uid="{00000000-0005-0000-0000-00000A370000}"/>
    <cellStyle name="链接单元格 14" xfId="1391" xr:uid="{00000000-0005-0000-0000-00000B370000}"/>
    <cellStyle name="链接单元格 15" xfId="1392" xr:uid="{00000000-0005-0000-0000-00000C370000}"/>
    <cellStyle name="链接单元格 16" xfId="1393" xr:uid="{00000000-0005-0000-0000-00000D370000}"/>
    <cellStyle name="链接单元格 17" xfId="1394" xr:uid="{00000000-0005-0000-0000-00000E370000}"/>
    <cellStyle name="链接单元格 18" xfId="1395" xr:uid="{00000000-0005-0000-0000-00000F370000}"/>
    <cellStyle name="链接单元格 19" xfId="1396" xr:uid="{00000000-0005-0000-0000-000010370000}"/>
    <cellStyle name="链接单元格 2" xfId="1397" xr:uid="{00000000-0005-0000-0000-000011370000}"/>
    <cellStyle name="链接单元格 20" xfId="1398" xr:uid="{00000000-0005-0000-0000-000012370000}"/>
    <cellStyle name="链接单元格 21" xfId="1399" xr:uid="{00000000-0005-0000-0000-000013370000}"/>
    <cellStyle name="链接单元格 22" xfId="1400" xr:uid="{00000000-0005-0000-0000-000014370000}"/>
    <cellStyle name="链接单元格 23" xfId="1401" xr:uid="{00000000-0005-0000-0000-000015370000}"/>
    <cellStyle name="链接单元格 24" xfId="1402" xr:uid="{00000000-0005-0000-0000-000016370000}"/>
    <cellStyle name="链接单元格 25" xfId="1403" xr:uid="{00000000-0005-0000-0000-000017370000}"/>
    <cellStyle name="链接单元格 26" xfId="1404" xr:uid="{00000000-0005-0000-0000-000018370000}"/>
    <cellStyle name="链接单元格 27" xfId="1405" xr:uid="{00000000-0005-0000-0000-000019370000}"/>
    <cellStyle name="链接单元格 28" xfId="1406" xr:uid="{00000000-0005-0000-0000-00001A370000}"/>
    <cellStyle name="链接单元格 29" xfId="1407" xr:uid="{00000000-0005-0000-0000-00001B370000}"/>
    <cellStyle name="链接单元格 3" xfId="1408" xr:uid="{00000000-0005-0000-0000-00001C370000}"/>
    <cellStyle name="链接单元格 4" xfId="1409" xr:uid="{00000000-0005-0000-0000-00001D370000}"/>
    <cellStyle name="链接单元格 5" xfId="1410" xr:uid="{00000000-0005-0000-0000-00001E370000}"/>
    <cellStyle name="链接单元格 6" xfId="1411" xr:uid="{00000000-0005-0000-0000-00001F370000}"/>
    <cellStyle name="链接单元格 7" xfId="1412" xr:uid="{00000000-0005-0000-0000-000020370000}"/>
    <cellStyle name="链接单元格 8" xfId="1413" xr:uid="{00000000-0005-0000-0000-000021370000}"/>
    <cellStyle name="链接单元格 9" xfId="1414" xr:uid="{00000000-0005-0000-0000-000022370000}"/>
    <cellStyle name="解释性文本 10" xfId="1219" xr:uid="{00000000-0005-0000-0000-0000CF360000}"/>
    <cellStyle name="解释性文本 11" xfId="1220" xr:uid="{00000000-0005-0000-0000-0000D0360000}"/>
    <cellStyle name="解释性文本 12" xfId="1221" xr:uid="{00000000-0005-0000-0000-0000D1360000}"/>
    <cellStyle name="解释性文本 13" xfId="1222" xr:uid="{00000000-0005-0000-0000-0000D2360000}"/>
    <cellStyle name="解释性文本 14" xfId="1223" xr:uid="{00000000-0005-0000-0000-0000D3360000}"/>
    <cellStyle name="解释性文本 15" xfId="1224" xr:uid="{00000000-0005-0000-0000-0000D4360000}"/>
    <cellStyle name="解释性文本 16" xfId="1225" xr:uid="{00000000-0005-0000-0000-0000D5360000}"/>
    <cellStyle name="解释性文本 17" xfId="1226" xr:uid="{00000000-0005-0000-0000-0000D6360000}"/>
    <cellStyle name="解释性文本 18" xfId="1227" xr:uid="{00000000-0005-0000-0000-0000D7360000}"/>
    <cellStyle name="解释性文本 19" xfId="1228" xr:uid="{00000000-0005-0000-0000-0000D8360000}"/>
    <cellStyle name="解释性文本 2" xfId="1229" xr:uid="{00000000-0005-0000-0000-0000D9360000}"/>
    <cellStyle name="解释性文本 20" xfId="1230" xr:uid="{00000000-0005-0000-0000-0000DA360000}"/>
    <cellStyle name="解释性文本 21" xfId="1231" xr:uid="{00000000-0005-0000-0000-0000DB360000}"/>
    <cellStyle name="解释性文本 22" xfId="1232" xr:uid="{00000000-0005-0000-0000-0000DC360000}"/>
    <cellStyle name="解释性文本 23" xfId="1233" xr:uid="{00000000-0005-0000-0000-0000DD360000}"/>
    <cellStyle name="解释性文本 24" xfId="1234" xr:uid="{00000000-0005-0000-0000-0000DE360000}"/>
    <cellStyle name="解释性文本 25" xfId="1235" xr:uid="{00000000-0005-0000-0000-0000DF360000}"/>
    <cellStyle name="解释性文本 26" xfId="1236" xr:uid="{00000000-0005-0000-0000-0000E0360000}"/>
    <cellStyle name="解释性文本 27" xfId="1237" xr:uid="{00000000-0005-0000-0000-0000E1360000}"/>
    <cellStyle name="解释性文本 28" xfId="1238" xr:uid="{00000000-0005-0000-0000-0000E2360000}"/>
    <cellStyle name="解释性文本 29" xfId="1239" xr:uid="{00000000-0005-0000-0000-0000E3360000}"/>
    <cellStyle name="解释性文本 3" xfId="1240" xr:uid="{00000000-0005-0000-0000-0000E4360000}"/>
    <cellStyle name="解释性文本 4" xfId="1241" xr:uid="{00000000-0005-0000-0000-0000E5360000}"/>
    <cellStyle name="解释性文本 5" xfId="1242" xr:uid="{00000000-0005-0000-0000-0000E6360000}"/>
    <cellStyle name="解释性文本 6" xfId="1243" xr:uid="{00000000-0005-0000-0000-0000E7360000}"/>
    <cellStyle name="解释性文本 7" xfId="1244" xr:uid="{00000000-0005-0000-0000-0000E8360000}"/>
    <cellStyle name="解释性文本 8" xfId="1245" xr:uid="{00000000-0005-0000-0000-0000E9360000}"/>
    <cellStyle name="解释性文本 9" xfId="1246" xr:uid="{00000000-0005-0000-0000-0000EA360000}"/>
    <cellStyle name="输入 10" xfId="1303" xr:uid="{00000000-0005-0000-0000-000012380000}"/>
    <cellStyle name="输入 11" xfId="1304" xr:uid="{00000000-0005-0000-0000-000013380000}"/>
    <cellStyle name="输入 12" xfId="1305" xr:uid="{00000000-0005-0000-0000-000014380000}"/>
    <cellStyle name="输入 13" xfId="1306" xr:uid="{00000000-0005-0000-0000-000015380000}"/>
    <cellStyle name="输入 14" xfId="1307" xr:uid="{00000000-0005-0000-0000-000016380000}"/>
    <cellStyle name="输入 15" xfId="1308" xr:uid="{00000000-0005-0000-0000-000017380000}"/>
    <cellStyle name="输入 16" xfId="1309" xr:uid="{00000000-0005-0000-0000-000018380000}"/>
    <cellStyle name="输入 17" xfId="1310" xr:uid="{00000000-0005-0000-0000-000019380000}"/>
    <cellStyle name="输入 18" xfId="1311" xr:uid="{00000000-0005-0000-0000-00001A380000}"/>
    <cellStyle name="输入 19" xfId="1312" xr:uid="{00000000-0005-0000-0000-00001B380000}"/>
    <cellStyle name="输入 2" xfId="1313" xr:uid="{00000000-0005-0000-0000-00001C380000}"/>
    <cellStyle name="输入 20" xfId="1314" xr:uid="{00000000-0005-0000-0000-00001D380000}"/>
    <cellStyle name="输入 21" xfId="1315" xr:uid="{00000000-0005-0000-0000-00001E380000}"/>
    <cellStyle name="输入 22" xfId="1316" xr:uid="{00000000-0005-0000-0000-00001F380000}"/>
    <cellStyle name="输入 23" xfId="1317" xr:uid="{00000000-0005-0000-0000-000020380000}"/>
    <cellStyle name="输入 24" xfId="1318" xr:uid="{00000000-0005-0000-0000-000021380000}"/>
    <cellStyle name="输入 25" xfId="1319" xr:uid="{00000000-0005-0000-0000-000022380000}"/>
    <cellStyle name="输入 26" xfId="1320" xr:uid="{00000000-0005-0000-0000-000023380000}"/>
    <cellStyle name="输入 27" xfId="1321" xr:uid="{00000000-0005-0000-0000-000024380000}"/>
    <cellStyle name="输入 28" xfId="1322" xr:uid="{00000000-0005-0000-0000-000025380000}"/>
    <cellStyle name="输入 29" xfId="1323" xr:uid="{00000000-0005-0000-0000-000026380000}"/>
    <cellStyle name="输入 3" xfId="1324" xr:uid="{00000000-0005-0000-0000-000027380000}"/>
    <cellStyle name="输入 4" xfId="1325" xr:uid="{00000000-0005-0000-0000-000028380000}"/>
    <cellStyle name="输入 5" xfId="1326" xr:uid="{00000000-0005-0000-0000-000029380000}"/>
    <cellStyle name="输入 6" xfId="1327" xr:uid="{00000000-0005-0000-0000-00002A380000}"/>
    <cellStyle name="输入 7" xfId="1328" xr:uid="{00000000-0005-0000-0000-00002B380000}"/>
    <cellStyle name="输入 8" xfId="1329" xr:uid="{00000000-0005-0000-0000-00002C380000}"/>
    <cellStyle name="输入 9" xfId="1330" xr:uid="{00000000-0005-0000-0000-00002D380000}"/>
    <cellStyle name="输出 10" xfId="1331" xr:uid="{00000000-0005-0000-0000-0000F6370000}"/>
    <cellStyle name="输出 11" xfId="1332" xr:uid="{00000000-0005-0000-0000-0000F7370000}"/>
    <cellStyle name="输出 12" xfId="1333" xr:uid="{00000000-0005-0000-0000-0000F8370000}"/>
    <cellStyle name="输出 13" xfId="1334" xr:uid="{00000000-0005-0000-0000-0000F9370000}"/>
    <cellStyle name="输出 14" xfId="1335" xr:uid="{00000000-0005-0000-0000-0000FA370000}"/>
    <cellStyle name="输出 15" xfId="1336" xr:uid="{00000000-0005-0000-0000-0000FB370000}"/>
    <cellStyle name="输出 16" xfId="1337" xr:uid="{00000000-0005-0000-0000-0000FC370000}"/>
    <cellStyle name="输出 17" xfId="1338" xr:uid="{00000000-0005-0000-0000-0000FD370000}"/>
    <cellStyle name="输出 18" xfId="1339" xr:uid="{00000000-0005-0000-0000-0000FE370000}"/>
    <cellStyle name="输出 19" xfId="1340" xr:uid="{00000000-0005-0000-0000-0000FF370000}"/>
    <cellStyle name="输出 2" xfId="1341" xr:uid="{00000000-0005-0000-0000-000000380000}"/>
    <cellStyle name="输出 20" xfId="1342" xr:uid="{00000000-0005-0000-0000-000001380000}"/>
    <cellStyle name="输出 21" xfId="1343" xr:uid="{00000000-0005-0000-0000-000002380000}"/>
    <cellStyle name="输出 22" xfId="1344" xr:uid="{00000000-0005-0000-0000-000003380000}"/>
    <cellStyle name="输出 23" xfId="1345" xr:uid="{00000000-0005-0000-0000-000004380000}"/>
    <cellStyle name="输出 24" xfId="1346" xr:uid="{00000000-0005-0000-0000-000005380000}"/>
    <cellStyle name="输出 25" xfId="1347" xr:uid="{00000000-0005-0000-0000-000006380000}"/>
    <cellStyle name="输出 26" xfId="1348" xr:uid="{00000000-0005-0000-0000-000007380000}"/>
    <cellStyle name="输出 27" xfId="1349" xr:uid="{00000000-0005-0000-0000-000008380000}"/>
    <cellStyle name="输出 28" xfId="1350" xr:uid="{00000000-0005-0000-0000-000009380000}"/>
    <cellStyle name="输出 29" xfId="1351" xr:uid="{00000000-0005-0000-0000-00000A380000}"/>
    <cellStyle name="输出 3" xfId="1352" xr:uid="{00000000-0005-0000-0000-00000B380000}"/>
    <cellStyle name="输出 4" xfId="1353" xr:uid="{00000000-0005-0000-0000-00000C380000}"/>
    <cellStyle name="输出 5" xfId="1354" xr:uid="{00000000-0005-0000-0000-00000D380000}"/>
    <cellStyle name="输出 6" xfId="1355" xr:uid="{00000000-0005-0000-0000-00000E380000}"/>
    <cellStyle name="输出 7" xfId="1356" xr:uid="{00000000-0005-0000-0000-00000F380000}"/>
    <cellStyle name="输出 8" xfId="1357" xr:uid="{00000000-0005-0000-0000-000010380000}"/>
    <cellStyle name="输出 9" xfId="1358" xr:uid="{00000000-0005-0000-0000-000011380000}"/>
    <cellStyle name="메모 2" xfId="14379" xr:uid="{00000000-0005-0000-0000-00002F380000}"/>
    <cellStyle name="메모 3" xfId="14380" xr:uid="{00000000-0005-0000-0000-000030380000}"/>
    <cellStyle name="霓付 [0]_  辆  钦  " xfId="14381" xr:uid="{00000000-0005-0000-0000-000023370000}"/>
    <cellStyle name="霓付_  辆  钦  " xfId="14382" xr:uid="{00000000-0005-0000-0000-000024370000}"/>
    <cellStyle name="보통 2" xfId="14383" xr:uid="{00000000-0005-0000-0000-000041380000}"/>
    <cellStyle name="보통 3" xfId="14384" xr:uid="{00000000-0005-0000-0000-000042380000}"/>
    <cellStyle name="警告文本 10" xfId="1247" xr:uid="{00000000-0005-0000-0000-0000EB360000}"/>
    <cellStyle name="警告文本 11" xfId="1248" xr:uid="{00000000-0005-0000-0000-0000EC360000}"/>
    <cellStyle name="警告文本 12" xfId="1249" xr:uid="{00000000-0005-0000-0000-0000ED360000}"/>
    <cellStyle name="警告文本 13" xfId="1250" xr:uid="{00000000-0005-0000-0000-0000EE360000}"/>
    <cellStyle name="警告文本 14" xfId="1251" xr:uid="{00000000-0005-0000-0000-0000EF360000}"/>
    <cellStyle name="警告文本 15" xfId="1252" xr:uid="{00000000-0005-0000-0000-0000F0360000}"/>
    <cellStyle name="警告文本 16" xfId="1253" xr:uid="{00000000-0005-0000-0000-0000F1360000}"/>
    <cellStyle name="警告文本 17" xfId="1254" xr:uid="{00000000-0005-0000-0000-0000F2360000}"/>
    <cellStyle name="警告文本 18" xfId="1255" xr:uid="{00000000-0005-0000-0000-0000F3360000}"/>
    <cellStyle name="警告文本 19" xfId="1256" xr:uid="{00000000-0005-0000-0000-0000F4360000}"/>
    <cellStyle name="警告文本 2" xfId="1257" xr:uid="{00000000-0005-0000-0000-0000F5360000}"/>
    <cellStyle name="警告文本 20" xfId="1258" xr:uid="{00000000-0005-0000-0000-0000F6360000}"/>
    <cellStyle name="警告文本 21" xfId="1259" xr:uid="{00000000-0005-0000-0000-0000F7360000}"/>
    <cellStyle name="警告文本 22" xfId="1260" xr:uid="{00000000-0005-0000-0000-0000F8360000}"/>
    <cellStyle name="警告文本 23" xfId="1261" xr:uid="{00000000-0005-0000-0000-0000F9360000}"/>
    <cellStyle name="警告文本 24" xfId="1262" xr:uid="{00000000-0005-0000-0000-0000FA360000}"/>
    <cellStyle name="警告文本 25" xfId="1263" xr:uid="{00000000-0005-0000-0000-0000FB360000}"/>
    <cellStyle name="警告文本 26" xfId="1264" xr:uid="{00000000-0005-0000-0000-0000FC360000}"/>
    <cellStyle name="警告文本 27" xfId="1265" xr:uid="{00000000-0005-0000-0000-0000FD360000}"/>
    <cellStyle name="警告文本 28" xfId="1266" xr:uid="{00000000-0005-0000-0000-0000FE360000}"/>
    <cellStyle name="警告文本 29" xfId="1267" xr:uid="{00000000-0005-0000-0000-0000FF360000}"/>
    <cellStyle name="警告文本 3" xfId="1268" xr:uid="{00000000-0005-0000-0000-000000370000}"/>
    <cellStyle name="警告文本 4" xfId="1269" xr:uid="{00000000-0005-0000-0000-000001370000}"/>
    <cellStyle name="警告文本 5" xfId="1270" xr:uid="{00000000-0005-0000-0000-000002370000}"/>
    <cellStyle name="警告文本 6" xfId="1271" xr:uid="{00000000-0005-0000-0000-000003370000}"/>
    <cellStyle name="警告文本 7" xfId="1272" xr:uid="{00000000-0005-0000-0000-000004370000}"/>
    <cellStyle name="警告文本 8" xfId="1273" xr:uid="{00000000-0005-0000-0000-000005370000}"/>
    <cellStyle name="警告文本 9" xfId="1274" xr:uid="{00000000-0005-0000-0000-000006370000}"/>
    <cellStyle name="새귑[0]_롤痰삠悧 " xfId="14385" xr:uid="{00000000-0005-0000-0000-000075380000}"/>
    <cellStyle name="새귑_롤痰삠悧 " xfId="14386" xr:uid="{00000000-0005-0000-0000-000076380000}"/>
    <cellStyle name="설명 텍스트 2" xfId="14387" xr:uid="{00000000-0005-0000-0000-000077380000}"/>
    <cellStyle name="설명 텍스트 3" xfId="14388" xr:uid="{00000000-0005-0000-0000-000078380000}"/>
    <cellStyle name="셀 확인 2" xfId="14389" xr:uid="{00000000-0005-0000-0000-000079380000}"/>
    <cellStyle name="셀 확인 3" xfId="14390" xr:uid="{00000000-0005-0000-0000-00007A380000}"/>
    <cellStyle name="연결된 셀 2" xfId="14391" xr:uid="{00000000-0005-0000-0000-00007B380000}"/>
    <cellStyle name="연결된 셀 3" xfId="14392" xr:uid="{00000000-0005-0000-0000-00007C380000}"/>
    <cellStyle name="요약 2" xfId="14393" xr:uid="{00000000-0005-0000-0000-00007D380000}"/>
    <cellStyle name="요약 3" xfId="14394" xr:uid="{00000000-0005-0000-0000-00007E380000}"/>
    <cellStyle name="입력 2" xfId="14395" xr:uid="{00000000-0005-0000-0000-00007F380000}"/>
    <cellStyle name="입력 3" xfId="14396" xr:uid="{00000000-0005-0000-0000-000080380000}"/>
    <cellStyle name="제목 1 2" xfId="14397" xr:uid="{00000000-0005-0000-0000-000081380000}"/>
    <cellStyle name="제목 2 2" xfId="14398" xr:uid="{00000000-0005-0000-0000-000082380000}"/>
    <cellStyle name="제목 3 2" xfId="14399" xr:uid="{00000000-0005-0000-0000-000083380000}"/>
    <cellStyle name="제목 4 2" xfId="14400" xr:uid="{00000000-0005-0000-0000-000084380000}"/>
    <cellStyle name="제목 5" xfId="14401" xr:uid="{00000000-0005-0000-0000-000085380000}"/>
    <cellStyle name="좋음 2" xfId="14402" xr:uid="{00000000-0005-0000-0000-000086380000}"/>
    <cellStyle name="좋음 3" xfId="14403" xr:uid="{00000000-0005-0000-0000-000087380000}"/>
    <cellStyle name="출력 2" xfId="14404" xr:uid="{00000000-0005-0000-0000-000088380000}"/>
    <cellStyle name="출력 3" xfId="14405" xr:uid="{00000000-0005-0000-0000-000089380000}"/>
    <cellStyle name="콤마 [0]_  종  합  " xfId="14406" xr:uid="{00000000-0005-0000-0000-00008A380000}"/>
    <cellStyle name="콤마_  종  합  " xfId="14407" xr:uid="{00000000-0005-0000-0000-00008B380000}"/>
    <cellStyle name="표준 2" xfId="14408" xr:uid="{00000000-0005-0000-0000-00008C380000}"/>
    <cellStyle name="표준 3" xfId="14409" xr:uid="{00000000-0005-0000-0000-00008D380000}"/>
  </cellStyles>
  <dxfs count="2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C3D69A"/>
      <rgbColor rgb="FF0000FF"/>
      <rgbColor rgb="FFFFFF00"/>
      <rgbColor rgb="FFFAC090"/>
      <rgbColor rgb="FFB7DEE8"/>
      <rgbColor rgb="FFC2070D"/>
      <rgbColor rgb="FF017201"/>
      <rgbColor rgb="FFF2F2F2"/>
      <rgbColor rgb="FF9C6500"/>
      <rgbColor rgb="FFF2DCDB"/>
      <rgbColor rgb="FFBECDA0"/>
      <rgbColor rgb="FFCCC1DA"/>
      <rgbColor rgb="FF808080"/>
      <rgbColor rgb="FF7EACD3"/>
      <rgbColor rgb="FFD99694"/>
      <rgbColor rgb="FFFFFFCC"/>
      <rgbColor rgb="FFDBEEF4"/>
      <rgbColor rgb="FFDCE6F2"/>
      <rgbColor rgb="FFF79646"/>
      <rgbColor rgb="FFD8E4BF"/>
      <rgbColor rgb="FFB9CDE5"/>
      <rgbColor rgb="FFFFFFB4"/>
      <rgbColor rgb="FFFFC7CE"/>
      <rgbColor rgb="FFFFBF00"/>
      <rgbColor rgb="FFA7C0DE"/>
      <rgbColor rgb="FFE6E0EC"/>
      <rgbColor rgb="FFFFEB9C"/>
      <rgbColor rgb="FFE6B9B8"/>
      <rgbColor rgb="FFFDEADA"/>
      <rgbColor rgb="FF87B3D8"/>
      <rgbColor rgb="FFC6EFCE"/>
      <rgbColor rgb="FFCCFFCC"/>
      <rgbColor rgb="FFFFFFAC"/>
      <rgbColor rgb="FF93CDDD"/>
      <rgbColor rgb="FFFF99CC"/>
      <rgbColor rgb="FFB3A2C7"/>
      <rgbColor rgb="FFFFCC99"/>
      <rgbColor rgb="FF4F81BD"/>
      <rgbColor rgb="FF57ACC9"/>
      <rgbColor rgb="FF9ABD53"/>
      <rgbColor rgb="FFFFC000"/>
      <rgbColor rgb="FFFF8001"/>
      <rgbColor rgb="FFFA7D00"/>
      <rgbColor rgb="FF8064A2"/>
      <rgbColor rgb="FFA5A5A5"/>
      <rgbColor rgb="FFDAE3F3"/>
      <rgbColor rgb="FF7D7F79"/>
      <rgbColor rgb="FFEBF1DE"/>
      <rgbColor rgb="FFFCD5B5"/>
      <rgbColor rgb="FFAA5704"/>
      <rgbColor rgb="FFB2B2B2"/>
      <rgbColor rgb="FF1F497D"/>
      <rgbColor rgb="FF3F3F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66FFFF"/>
      <color rgb="FFFF3399"/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116540</xdr:colOff>
      <xdr:row>0</xdr:row>
      <xdr:rowOff>53789</xdr:rowOff>
    </xdr:from>
    <xdr:to>
      <xdr:col>2</xdr:col>
      <xdr:colOff>30119</xdr:colOff>
      <xdr:row>1</xdr:row>
      <xdr:rowOff>57459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540" y="53789"/>
          <a:ext cx="2028461" cy="3316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8" name="AutoShape 1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9" name="AutoShape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10" name="AutoShape 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276225</xdr:colOff>
      <xdr:row>6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858500" cy="1371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3395;&#33410;&#24615;&#29031;&#29255;&#26085;&#21382;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bingen.huang.AMTRAN/Documents/xwechat_files/wxid_zlb2wxb0w7xb21_8fe5/msg/file/2026-04/TV%20DPS%20Apr%2022-Ver%202.xlsx" TargetMode="External"/><Relationship Id="rId1" Type="http://schemas.openxmlformats.org/officeDocument/2006/relationships/externalLinkPath" Target="/Users/bingen.huang.AMTRAN/Documents/xwechat_files/wxid_zlb2wxb0w7xb21_8fe5/msg/file/2026-04/TV%20DPS%20Apr%2022-V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月"/>
      <sheetName val="2 月"/>
      <sheetName val="3 月"/>
      <sheetName val="4 月"/>
      <sheetName val="5 月"/>
      <sheetName val="6 月"/>
      <sheetName val="7 月"/>
      <sheetName val="8 月"/>
      <sheetName val="9 月"/>
      <sheetName val="10 月"/>
      <sheetName val="11 月"/>
      <sheetName val="12 月"/>
    </sheetNames>
    <sheetDataSet>
      <sheetData sheetId="0">
        <row r="5">
          <cell r="K5">
            <v>2019</v>
          </cell>
          <cell r="L5" t="str">
            <v>星期日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PS"/>
      <sheetName val="PP"/>
      <sheetName val="DPS CTB"/>
      <sheetName val="OT"/>
      <sheetName val="UPH"/>
      <sheetName val="Dixie"/>
      <sheetName val="工单发料"/>
      <sheetName val="Sheet1"/>
      <sheetName val="Sheet2"/>
      <sheetName val="Sheet3"/>
      <sheetName val="AVTC 标准工时"/>
      <sheetName val="AVTC标准工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</row>
        <row r="2">
          <cell r="C2" t="str">
            <v>料号</v>
          </cell>
          <cell r="D2" t="str">
            <v>料号+MES线体</v>
          </cell>
          <cell r="E2" t="str">
            <v>ERP线体</v>
          </cell>
          <cell r="F2" t="str">
            <v>MES线体</v>
          </cell>
          <cell r="G2" t="str">
            <v>UPH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C6" t="str">
            <v>M32TWAM22FH-.AMT32C1</v>
          </cell>
          <cell r="D6" t="str">
            <v>M32TWAM22FH-.AMT32C1(D901)</v>
          </cell>
          <cell r="E6" t="str">
            <v>D901</v>
          </cell>
          <cell r="F6" t="str">
            <v>D901</v>
          </cell>
          <cell r="G6">
            <v>250</v>
          </cell>
        </row>
        <row r="7">
          <cell r="C7" t="str">
            <v>M32TWAM22FH-.AMT32C1</v>
          </cell>
          <cell r="D7" t="str">
            <v>M32TWAM22FH-.AMT32C1(D902)</v>
          </cell>
          <cell r="E7" t="str">
            <v>D902</v>
          </cell>
          <cell r="F7" t="str">
            <v>D902</v>
          </cell>
          <cell r="G7">
            <v>250</v>
          </cell>
        </row>
        <row r="8">
          <cell r="C8" t="str">
            <v>M32TWAM22AH-.AMT32C1</v>
          </cell>
          <cell r="D8" t="str">
            <v>M32TWAM22AH-.AMT32C1(D901)</v>
          </cell>
          <cell r="E8" t="str">
            <v>D901</v>
          </cell>
          <cell r="F8" t="str">
            <v>D901</v>
          </cell>
          <cell r="G8">
            <v>250</v>
          </cell>
        </row>
        <row r="9">
          <cell r="C9" t="str">
            <v>M32TWAM22AH-.AMT32C1</v>
          </cell>
          <cell r="D9" t="str">
            <v>M32TWAM22AH-.AMT32C1(D902)</v>
          </cell>
          <cell r="E9" t="str">
            <v>D902</v>
          </cell>
          <cell r="F9" t="str">
            <v>D902</v>
          </cell>
          <cell r="G9">
            <v>250</v>
          </cell>
        </row>
        <row r="10">
          <cell r="C10" t="str">
            <v>M32TWAM22EH-.AMT32C1</v>
          </cell>
          <cell r="D10" t="str">
            <v>M32TWAM22EH-.AMT32C1(D901)</v>
          </cell>
          <cell r="E10" t="str">
            <v>D901</v>
          </cell>
          <cell r="F10" t="str">
            <v>D901</v>
          </cell>
          <cell r="G10">
            <v>250</v>
          </cell>
        </row>
        <row r="11">
          <cell r="C11" t="str">
            <v>M32TWAM22EH-.AMT32C2</v>
          </cell>
          <cell r="D11" t="str">
            <v>M32TWAM22EH-.AMT32C2(D901)</v>
          </cell>
          <cell r="E11" t="str">
            <v>D901</v>
          </cell>
          <cell r="F11" t="str">
            <v>D901</v>
          </cell>
          <cell r="G11">
            <v>250</v>
          </cell>
        </row>
        <row r="12">
          <cell r="C12" t="str">
            <v>M32TWAM22EH-.AMT32C2</v>
          </cell>
          <cell r="D12" t="str">
            <v>M32TWAM22EH-.AMT32C2(D902)</v>
          </cell>
          <cell r="E12" t="str">
            <v>D902</v>
          </cell>
          <cell r="F12" t="str">
            <v>D902</v>
          </cell>
          <cell r="G12">
            <v>250</v>
          </cell>
        </row>
        <row r="13">
          <cell r="C13" t="str">
            <v>M32TWAM22EH-.AMT32C1</v>
          </cell>
          <cell r="D13" t="str">
            <v>M32TWAM22EH-.AMT32C1(D902)</v>
          </cell>
          <cell r="E13" t="str">
            <v>D902</v>
          </cell>
          <cell r="F13" t="str">
            <v>D902</v>
          </cell>
          <cell r="G13">
            <v>250</v>
          </cell>
        </row>
        <row r="14">
          <cell r="C14" t="str">
            <v>M32TWAM22AH-.JVC32J1</v>
          </cell>
          <cell r="D14" t="str">
            <v>M32TWAM22AH-.JVC32J1(D901)</v>
          </cell>
          <cell r="E14" t="str">
            <v>D901</v>
          </cell>
          <cell r="F14" t="str">
            <v>D901</v>
          </cell>
          <cell r="G14">
            <v>250</v>
          </cell>
        </row>
        <row r="15">
          <cell r="C15" t="str">
            <v>M32TWAM22AH-.JVC32J1</v>
          </cell>
          <cell r="D15" t="str">
            <v>M32TWAM22AH-.JVC32J1(D902)</v>
          </cell>
          <cell r="E15" t="str">
            <v>D902</v>
          </cell>
          <cell r="F15" t="str">
            <v>D902</v>
          </cell>
          <cell r="G15">
            <v>250</v>
          </cell>
        </row>
        <row r="16">
          <cell r="C16" t="str">
            <v>M32TWAM22EH-.JVC32J1</v>
          </cell>
          <cell r="D16" t="str">
            <v>M32TWAM22EH-.JVC32J1(D901)</v>
          </cell>
          <cell r="E16" t="str">
            <v>D901</v>
          </cell>
          <cell r="F16" t="str">
            <v>D901</v>
          </cell>
          <cell r="G16">
            <v>250</v>
          </cell>
        </row>
        <row r="17">
          <cell r="C17" t="str">
            <v>M32TWAM22EH-.JVC32J1</v>
          </cell>
          <cell r="D17" t="str">
            <v>M32TWAM22EH-.JVC32J1(D902)</v>
          </cell>
          <cell r="E17" t="str">
            <v>D902</v>
          </cell>
          <cell r="F17" t="str">
            <v>D902</v>
          </cell>
          <cell r="G17">
            <v>250</v>
          </cell>
        </row>
        <row r="18">
          <cell r="C18" t="str">
            <v>M32TWAM22EH-.JVC32J2</v>
          </cell>
          <cell r="D18" t="str">
            <v>M32TWAM22EH-.JVC32J2(D901)</v>
          </cell>
          <cell r="E18" t="str">
            <v>D901</v>
          </cell>
          <cell r="F18" t="str">
            <v>D901</v>
          </cell>
          <cell r="G18">
            <v>250</v>
          </cell>
        </row>
        <row r="19">
          <cell r="C19" t="str">
            <v>M32TWAM22EH-.JVC32J2</v>
          </cell>
          <cell r="D19" t="str">
            <v>M32TWAM22EH-.JVC32J2(D902)</v>
          </cell>
          <cell r="E19" t="str">
            <v>D902</v>
          </cell>
          <cell r="F19" t="str">
            <v>D902</v>
          </cell>
          <cell r="G19">
            <v>250</v>
          </cell>
        </row>
        <row r="20">
          <cell r="C20" t="str">
            <v>M32TWAM22A5S.32GWEB1</v>
          </cell>
          <cell r="D20" t="str">
            <v>M32TWAM22A5S.32GWEB1(D901)</v>
          </cell>
          <cell r="E20" t="str">
            <v>D901</v>
          </cell>
          <cell r="F20" t="str">
            <v>D901</v>
          </cell>
          <cell r="G20">
            <v>240</v>
          </cell>
        </row>
        <row r="21">
          <cell r="C21" t="str">
            <v>M32TWAM22A5S.32GWEB1</v>
          </cell>
          <cell r="D21" t="str">
            <v>M32TWAM22A5S.32GWEB1(D902)</v>
          </cell>
          <cell r="E21" t="str">
            <v>D902</v>
          </cell>
          <cell r="F21" t="str">
            <v>D902</v>
          </cell>
          <cell r="G21">
            <v>240</v>
          </cell>
        </row>
        <row r="22">
          <cell r="C22" t="str">
            <v>M32TWAM22EHS.32GHDW1</v>
          </cell>
          <cell r="D22" t="str">
            <v>M32TWAM22EHS.32GHDW1(D901)</v>
          </cell>
          <cell r="E22" t="str">
            <v>D901</v>
          </cell>
          <cell r="F22" t="str">
            <v>D901</v>
          </cell>
          <cell r="G22">
            <v>240</v>
          </cell>
        </row>
        <row r="23">
          <cell r="C23" t="str">
            <v>M32TWAM22EHS.32GHDW1</v>
          </cell>
          <cell r="D23" t="str">
            <v>M32TWAM22EHS.32GHDW1(D902)</v>
          </cell>
          <cell r="E23" t="str">
            <v>D902</v>
          </cell>
          <cell r="F23" t="str">
            <v>D902</v>
          </cell>
          <cell r="G23">
            <v>240</v>
          </cell>
        </row>
        <row r="24">
          <cell r="C24" t="str">
            <v>M32TWAM22EHS.32GHDW2</v>
          </cell>
          <cell r="D24" t="str">
            <v>M32TWAM22EHS.32GHDW2(D901)</v>
          </cell>
          <cell r="E24" t="str">
            <v>D901</v>
          </cell>
          <cell r="F24" t="str">
            <v>D901</v>
          </cell>
          <cell r="G24">
            <v>240</v>
          </cell>
        </row>
        <row r="25">
          <cell r="C25" t="str">
            <v>M32TWAM22EHS.32GHDW2</v>
          </cell>
          <cell r="D25" t="str">
            <v>M32TWAM22EHS.32GHDW2(D902)</v>
          </cell>
          <cell r="E25" t="str">
            <v>D902</v>
          </cell>
          <cell r="F25" t="str">
            <v>D902</v>
          </cell>
          <cell r="G25">
            <v>240</v>
          </cell>
        </row>
        <row r="26">
          <cell r="C26" t="str">
            <v>M40TWAM22CF-.40BFHD4</v>
          </cell>
          <cell r="D26" t="str">
            <v>M40TWAM22CF-.40BFHD4(D901)</v>
          </cell>
          <cell r="E26" t="str">
            <v>D901</v>
          </cell>
          <cell r="F26" t="str">
            <v>D901</v>
          </cell>
          <cell r="G26">
            <v>210</v>
          </cell>
        </row>
        <row r="27">
          <cell r="C27" t="str">
            <v>M40TWAM22CF-.40BFHD4</v>
          </cell>
          <cell r="D27" t="str">
            <v>M40TWAM22CF-.40BFHD4(D902)</v>
          </cell>
          <cell r="E27" t="str">
            <v>D902</v>
          </cell>
          <cell r="F27" t="str">
            <v>D902</v>
          </cell>
          <cell r="G27">
            <v>210</v>
          </cell>
        </row>
        <row r="28">
          <cell r="C28" t="str">
            <v>M40TWAM22CF-.40BFHD5</v>
          </cell>
          <cell r="D28" t="str">
            <v>M40TWAM22CF-.40BFHD5(D901)</v>
          </cell>
          <cell r="E28" t="str">
            <v>D901</v>
          </cell>
          <cell r="F28" t="str">
            <v>D901</v>
          </cell>
          <cell r="G28">
            <v>210</v>
          </cell>
        </row>
        <row r="29">
          <cell r="C29" t="str">
            <v>M40TWAM22CF-.40BFHD5</v>
          </cell>
          <cell r="D29" t="str">
            <v>M40TWAM22CF-.40BFHD5(D902)</v>
          </cell>
          <cell r="E29" t="str">
            <v>D902</v>
          </cell>
          <cell r="F29" t="str">
            <v>D902</v>
          </cell>
          <cell r="G29">
            <v>210</v>
          </cell>
        </row>
        <row r="30">
          <cell r="C30" t="str">
            <v>M40TWAM22CF-.40BFHD6</v>
          </cell>
          <cell r="D30" t="str">
            <v>M40TWAM22CF-.40BFHD6(D901)</v>
          </cell>
          <cell r="E30" t="str">
            <v>D901</v>
          </cell>
          <cell r="F30" t="str">
            <v>D901</v>
          </cell>
          <cell r="G30">
            <v>210</v>
          </cell>
        </row>
        <row r="31">
          <cell r="C31" t="str">
            <v>M40TWAM22CF-.40BFHD6</v>
          </cell>
          <cell r="D31" t="str">
            <v>M40TWAM22CF-.40BFHD6(D902)</v>
          </cell>
          <cell r="E31" t="str">
            <v>D902</v>
          </cell>
          <cell r="F31" t="str">
            <v>D902</v>
          </cell>
          <cell r="G31">
            <v>210</v>
          </cell>
        </row>
        <row r="32">
          <cell r="C32" t="str">
            <v>M50TWAM22COB.50W2UD1</v>
          </cell>
          <cell r="D32" t="str">
            <v>M50TWAM22COB.50W2UD1(D902)</v>
          </cell>
          <cell r="E32" t="str">
            <v>D902</v>
          </cell>
          <cell r="F32" t="str">
            <v>D902</v>
          </cell>
          <cell r="G32">
            <v>135</v>
          </cell>
        </row>
        <row r="33">
          <cell r="C33" t="str">
            <v>M50TWAM22COB.50W2UD2</v>
          </cell>
          <cell r="D33" t="str">
            <v>M50TWAM22COB.50W2UD2(D902)</v>
          </cell>
          <cell r="E33" t="str">
            <v>D902</v>
          </cell>
          <cell r="F33" t="str">
            <v>D902</v>
          </cell>
          <cell r="G33">
            <v>135</v>
          </cell>
        </row>
        <row r="34">
          <cell r="C34" t="str">
            <v>M55TWAM22EOB.55W2UD1</v>
          </cell>
          <cell r="D34" t="str">
            <v>M55TWAM22EOB.55W2UD1(D902)</v>
          </cell>
          <cell r="E34" t="str">
            <v>D902</v>
          </cell>
          <cell r="F34" t="str">
            <v>D902</v>
          </cell>
          <cell r="G34">
            <v>125</v>
          </cell>
        </row>
        <row r="35">
          <cell r="C35" t="str">
            <v>M55TWAM22EOB.55W2UD2</v>
          </cell>
          <cell r="D35" t="str">
            <v>M55TWAM22EOB.55W2UD2(D902)</v>
          </cell>
          <cell r="E35" t="str">
            <v>D902</v>
          </cell>
          <cell r="F35" t="str">
            <v>D902</v>
          </cell>
          <cell r="G35">
            <v>125</v>
          </cell>
        </row>
        <row r="36">
          <cell r="C36" t="str">
            <v>M50TWAM22COS.50TG2U1</v>
          </cell>
          <cell r="D36" t="str">
            <v>M50TWAM22COS.50TG2U1(D902)</v>
          </cell>
          <cell r="E36" t="str">
            <v>D902</v>
          </cell>
          <cell r="F36" t="str">
            <v>D902</v>
          </cell>
          <cell r="G36">
            <v>135</v>
          </cell>
        </row>
        <row r="37">
          <cell r="C37" t="str">
            <v>M50TWAM22COS.50TG2U2</v>
          </cell>
          <cell r="D37" t="str">
            <v>M50TWAM22COS.50TG2U2(D902)</v>
          </cell>
          <cell r="E37" t="str">
            <v>D902</v>
          </cell>
          <cell r="F37" t="str">
            <v>D902</v>
          </cell>
          <cell r="G37">
            <v>135</v>
          </cell>
        </row>
        <row r="38">
          <cell r="C38" t="str">
            <v>M55TWAM22EOS.55TG2U1</v>
          </cell>
          <cell r="D38" t="str">
            <v>M55TWAM22EOS.55TG2U1(D902)</v>
          </cell>
          <cell r="E38" t="str">
            <v>D902</v>
          </cell>
          <cell r="F38" t="str">
            <v>D902</v>
          </cell>
          <cell r="G38">
            <v>125</v>
          </cell>
        </row>
        <row r="39">
          <cell r="C39" t="str">
            <v>M55TWAM22EOS.55TG2U2</v>
          </cell>
          <cell r="D39" t="str">
            <v>M55TWAM22EOS.55TG2U2(D902)</v>
          </cell>
          <cell r="E39" t="str">
            <v>D902</v>
          </cell>
          <cell r="F39" t="str">
            <v>D902</v>
          </cell>
          <cell r="G39">
            <v>125</v>
          </cell>
        </row>
        <row r="40">
          <cell r="C40" t="str">
            <v>M55TWAM22EOS.55TG2U3</v>
          </cell>
          <cell r="D40" t="str">
            <v>M55TWAM22EOS.55TG2U3(D902)</v>
          </cell>
          <cell r="E40" t="str">
            <v>D902</v>
          </cell>
          <cell r="F40" t="str">
            <v>D902</v>
          </cell>
          <cell r="G40">
            <v>125</v>
          </cell>
        </row>
        <row r="41">
          <cell r="C41" t="str">
            <v>M24NLSS22AFH.24D3601</v>
          </cell>
          <cell r="D41" t="str">
            <v>M24NLSS22AFH.24D3601(D901)</v>
          </cell>
          <cell r="E41" t="str">
            <v>D901</v>
          </cell>
          <cell r="F41" t="str">
            <v>D901</v>
          </cell>
          <cell r="G41">
            <v>240</v>
          </cell>
        </row>
        <row r="42">
          <cell r="C42" t="str">
            <v>M24NLSS22AFH.24D3621</v>
          </cell>
          <cell r="D42" t="str">
            <v>M24NLSS22AFH.24D3621(D901)</v>
          </cell>
          <cell r="E42" t="str">
            <v>D901</v>
          </cell>
          <cell r="F42" t="str">
            <v>D901</v>
          </cell>
          <cell r="G42">
            <v>240</v>
          </cell>
        </row>
        <row r="43">
          <cell r="C43" t="str">
            <v>M24NLSS22AFH.24D3641</v>
          </cell>
          <cell r="D43" t="str">
            <v>M24NLSS22AFH.24D3641(D901)</v>
          </cell>
          <cell r="E43" t="str">
            <v>D901</v>
          </cell>
          <cell r="F43" t="str">
            <v>D901</v>
          </cell>
          <cell r="G43">
            <v>240</v>
          </cell>
        </row>
        <row r="44">
          <cell r="C44" t="str">
            <v>M24NLSS22AFH.24D3661</v>
          </cell>
          <cell r="D44" t="str">
            <v>M24NLSS22AFH.24D3661(D901)</v>
          </cell>
          <cell r="E44" t="str">
            <v>D901</v>
          </cell>
          <cell r="F44" t="str">
            <v>D901</v>
          </cell>
          <cell r="G44">
            <v>240</v>
          </cell>
        </row>
        <row r="45">
          <cell r="C45" t="str">
            <v>M24VNSS22AF-.24D3661</v>
          </cell>
          <cell r="D45" t="str">
            <v>M24VNSS22AF-.24D3661(D901)</v>
          </cell>
          <cell r="E45" t="str">
            <v>D901</v>
          </cell>
          <cell r="F45" t="str">
            <v>D901</v>
          </cell>
          <cell r="G45">
            <v>240</v>
          </cell>
        </row>
        <row r="46">
          <cell r="C46" t="str">
            <v>M24AUSS22AFH.24D3601</v>
          </cell>
          <cell r="D46" t="str">
            <v>M24AUSS22AFH.24D3601(D901)</v>
          </cell>
          <cell r="E46" t="str">
            <v>D901</v>
          </cell>
          <cell r="F46" t="str">
            <v>D901</v>
          </cell>
          <cell r="G46">
            <v>240</v>
          </cell>
        </row>
        <row r="47">
          <cell r="C47" t="str">
            <v>M24AUSS22AF-.24D3601</v>
          </cell>
          <cell r="D47" t="str">
            <v>M24AUSS22AF-.24D3601(D901)</v>
          </cell>
          <cell r="E47" t="str">
            <v>D901</v>
          </cell>
          <cell r="F47" t="str">
            <v>D901</v>
          </cell>
          <cell r="G47">
            <v>240</v>
          </cell>
        </row>
        <row r="48">
          <cell r="C48" t="str">
            <v>M24AUSS22AFH.24D3661</v>
          </cell>
          <cell r="D48" t="str">
            <v>M24AUSS22AFH.24D3661(D901)</v>
          </cell>
          <cell r="E48" t="str">
            <v>D901</v>
          </cell>
          <cell r="F48" t="str">
            <v>D901</v>
          </cell>
          <cell r="G48">
            <v>240</v>
          </cell>
        </row>
        <row r="49">
          <cell r="C49" t="str">
            <v>M24CLSS22AFH.24D3601</v>
          </cell>
          <cell r="D49" t="str">
            <v>M24CLSS22AFH.24D3601(D901)</v>
          </cell>
          <cell r="E49" t="str">
            <v>D901</v>
          </cell>
          <cell r="F49" t="str">
            <v>D901</v>
          </cell>
          <cell r="G49">
            <v>240</v>
          </cell>
        </row>
        <row r="50">
          <cell r="C50" t="str">
            <v>M24CLSS22AFH.24D3661</v>
          </cell>
          <cell r="D50" t="str">
            <v>M24CLSS22AFH.24D3661(D901)</v>
          </cell>
          <cell r="E50" t="str">
            <v>D901</v>
          </cell>
          <cell r="F50" t="str">
            <v>D901</v>
          </cell>
          <cell r="G50">
            <v>240</v>
          </cell>
        </row>
        <row r="51">
          <cell r="C51" t="str">
            <v>M24USSS22AFH.24D3601</v>
          </cell>
          <cell r="D51" t="str">
            <v>M24USSS22AFH.24D3601(D901)</v>
          </cell>
          <cell r="E51" t="str">
            <v>D901</v>
          </cell>
          <cell r="F51" t="str">
            <v>D901</v>
          </cell>
          <cell r="G51">
            <v>240</v>
          </cell>
        </row>
        <row r="52">
          <cell r="C52" t="str">
            <v>M24USSS22AFH.24D3661</v>
          </cell>
          <cell r="D52" t="str">
            <v>M24USSS22AFH.24D3661(D901)</v>
          </cell>
          <cell r="E52" t="str">
            <v>D901</v>
          </cell>
          <cell r="F52" t="str">
            <v>D901</v>
          </cell>
          <cell r="G52">
            <v>240</v>
          </cell>
        </row>
        <row r="53">
          <cell r="C53" t="str">
            <v>M24AESS22AFH.24D3621</v>
          </cell>
          <cell r="D53" t="str">
            <v>M24AESS22AFH.24D3621(D901)</v>
          </cell>
          <cell r="E53" t="str">
            <v>D901</v>
          </cell>
          <cell r="F53" t="str">
            <v>D901</v>
          </cell>
          <cell r="G53">
            <v>240</v>
          </cell>
        </row>
        <row r="54">
          <cell r="C54" t="str">
            <v>M24GBSS22AFH.24D3601</v>
          </cell>
          <cell r="D54" t="str">
            <v>M24GBSS22AFH.24D3601(D901)</v>
          </cell>
          <cell r="E54" t="str">
            <v>D901</v>
          </cell>
          <cell r="F54" t="str">
            <v>D901</v>
          </cell>
          <cell r="G54">
            <v>240</v>
          </cell>
        </row>
        <row r="55">
          <cell r="C55" t="str">
            <v>M24GBSS22AFH.24D3621</v>
          </cell>
          <cell r="D55" t="str">
            <v>M24GBSS22AFH.24D3621(D901)</v>
          </cell>
          <cell r="E55" t="str">
            <v>D901</v>
          </cell>
          <cell r="F55" t="str">
            <v>D901</v>
          </cell>
          <cell r="G55">
            <v>240</v>
          </cell>
        </row>
        <row r="56">
          <cell r="C56" t="str">
            <v>M24GBSS22AFH.24D3661</v>
          </cell>
          <cell r="D56" t="str">
            <v>M24GBSS22AFH.24D3661(D901)</v>
          </cell>
          <cell r="E56" t="str">
            <v>D901</v>
          </cell>
          <cell r="F56" t="str">
            <v>D901</v>
          </cell>
          <cell r="G56">
            <v>240</v>
          </cell>
        </row>
        <row r="57">
          <cell r="C57" t="str">
            <v>M24PHSS22AFH.24D3661</v>
          </cell>
          <cell r="D57" t="str">
            <v>M24PHSS22AFH.24D3661(D901)</v>
          </cell>
          <cell r="E57" t="str">
            <v>D901</v>
          </cell>
          <cell r="F57" t="str">
            <v>D901</v>
          </cell>
          <cell r="G57">
            <v>240</v>
          </cell>
        </row>
        <row r="58">
          <cell r="C58" t="str">
            <v>M24TRSS22AF-.24D3661</v>
          </cell>
          <cell r="D58" t="str">
            <v>M24TRSS22AF-.24D3661(D901)</v>
          </cell>
          <cell r="E58" t="str">
            <v>D901</v>
          </cell>
          <cell r="F58" t="str">
            <v>D901</v>
          </cell>
          <cell r="G58">
            <v>240</v>
          </cell>
        </row>
        <row r="59">
          <cell r="C59" t="str">
            <v>M24TRSS22AFH.24D3661</v>
          </cell>
          <cell r="D59" t="str">
            <v>M24TRSS22AFH.24D3661(D901)</v>
          </cell>
          <cell r="E59" t="str">
            <v>D901</v>
          </cell>
          <cell r="F59" t="str">
            <v>D901</v>
          </cell>
          <cell r="G59">
            <v>240</v>
          </cell>
        </row>
        <row r="60">
          <cell r="C60" t="str">
            <v>M24ARSS22AFH.24D3661</v>
          </cell>
          <cell r="D60" t="str">
            <v>M24ARSS22AFH.24D3661(D901)</v>
          </cell>
          <cell r="E60" t="str">
            <v>D901</v>
          </cell>
          <cell r="F60" t="str">
            <v>D901</v>
          </cell>
          <cell r="G60">
            <v>240</v>
          </cell>
        </row>
        <row r="61">
          <cell r="C61" t="str">
            <v>M24NLSS22EFH.24D3601</v>
          </cell>
          <cell r="D61" t="str">
            <v>M24NLSS22EFH.24D3601(D901)</v>
          </cell>
          <cell r="E61" t="str">
            <v>D901</v>
          </cell>
          <cell r="F61" t="str">
            <v>D901</v>
          </cell>
          <cell r="G61">
            <v>240</v>
          </cell>
        </row>
        <row r="62">
          <cell r="C62" t="str">
            <v>M24NLSS22EFH.24D3641</v>
          </cell>
          <cell r="D62" t="str">
            <v>M24NLSS22EFH.24D3641(D901)</v>
          </cell>
          <cell r="E62" t="str">
            <v>D901</v>
          </cell>
          <cell r="F62" t="str">
            <v>D901</v>
          </cell>
          <cell r="G62">
            <v>240</v>
          </cell>
        </row>
        <row r="63">
          <cell r="C63" t="str">
            <v>M24IDSS22AFH.24D3661</v>
          </cell>
          <cell r="D63" t="str">
            <v>M24IDSS22AFH.24D3661(D901)</v>
          </cell>
          <cell r="E63" t="str">
            <v>D901</v>
          </cell>
          <cell r="F63" t="str">
            <v>D901</v>
          </cell>
          <cell r="G63">
            <v>240</v>
          </cell>
        </row>
        <row r="64">
          <cell r="C64" t="str">
            <v>M24NLSS22AF-.24D3601</v>
          </cell>
          <cell r="D64" t="str">
            <v>M24NLSS22AF-.24D3601(D905)</v>
          </cell>
          <cell r="E64" t="str">
            <v>D905</v>
          </cell>
          <cell r="F64" t="str">
            <v>D905</v>
          </cell>
          <cell r="G64">
            <v>310</v>
          </cell>
        </row>
        <row r="65">
          <cell r="C65" t="str">
            <v>M24NLSS22AFH.24D3601</v>
          </cell>
          <cell r="D65" t="str">
            <v>M24NLSS22AFH.24D3601(D905)</v>
          </cell>
          <cell r="E65" t="str">
            <v>D905</v>
          </cell>
          <cell r="F65" t="str">
            <v>D905</v>
          </cell>
          <cell r="G65">
            <v>310</v>
          </cell>
        </row>
        <row r="66">
          <cell r="C66" t="str">
            <v>M24NLSS22AFH.24D3661</v>
          </cell>
          <cell r="D66" t="str">
            <v>M24NLSS22AFH.24D3661(D905)</v>
          </cell>
          <cell r="E66" t="str">
            <v>D905</v>
          </cell>
          <cell r="F66" t="str">
            <v>D905</v>
          </cell>
          <cell r="G66">
            <v>310</v>
          </cell>
        </row>
        <row r="67">
          <cell r="C67" t="str">
            <v>M24NLSS22AFH.24D3621</v>
          </cell>
          <cell r="D67" t="str">
            <v>M24NLSS22AFH.24D3621(D905)</v>
          </cell>
          <cell r="E67" t="str">
            <v>D905</v>
          </cell>
          <cell r="F67" t="str">
            <v>D905</v>
          </cell>
          <cell r="G67">
            <v>310</v>
          </cell>
        </row>
        <row r="68">
          <cell r="C68" t="str">
            <v>M24NLSS22AFH.24D3641</v>
          </cell>
          <cell r="D68" t="str">
            <v>M24NLSS22AFH.24D3641(D905)</v>
          </cell>
          <cell r="E68" t="str">
            <v>D905</v>
          </cell>
          <cell r="F68" t="str">
            <v>D905</v>
          </cell>
          <cell r="G68">
            <v>310</v>
          </cell>
        </row>
        <row r="69">
          <cell r="C69" t="str">
            <v>M24VNSS22AFH.24D3661</v>
          </cell>
          <cell r="D69" t="str">
            <v>M24VNSS22AFH.24D3661(D905)</v>
          </cell>
          <cell r="E69" t="str">
            <v>D905</v>
          </cell>
          <cell r="F69" t="str">
            <v>D905</v>
          </cell>
          <cell r="G69">
            <v>310</v>
          </cell>
        </row>
        <row r="70">
          <cell r="C70" t="str">
            <v>M24VNSS22AF-.24D3661</v>
          </cell>
          <cell r="D70" t="str">
            <v>M24VNSS22AF-.24D3661(D905)</v>
          </cell>
          <cell r="E70" t="str">
            <v>D905</v>
          </cell>
          <cell r="F70" t="str">
            <v>D905</v>
          </cell>
          <cell r="G70">
            <v>310</v>
          </cell>
        </row>
        <row r="71">
          <cell r="C71" t="str">
            <v>M24AUSS22AFH.24D3601</v>
          </cell>
          <cell r="D71" t="str">
            <v>M24AUSS22AFH.24D3601(D905)</v>
          </cell>
          <cell r="E71" t="str">
            <v>D905</v>
          </cell>
          <cell r="F71" t="str">
            <v>D905</v>
          </cell>
          <cell r="G71">
            <v>310</v>
          </cell>
        </row>
        <row r="72">
          <cell r="C72" t="str">
            <v>M24AUSS22AF-.24D3601</v>
          </cell>
          <cell r="D72" t="str">
            <v>M24AUSS22AF-.24D3601(D905)</v>
          </cell>
          <cell r="E72" t="str">
            <v>D905</v>
          </cell>
          <cell r="F72" t="str">
            <v>D905</v>
          </cell>
          <cell r="G72">
            <v>310</v>
          </cell>
        </row>
        <row r="73">
          <cell r="C73" t="str">
            <v>M24AUSS22AFH.24D3661</v>
          </cell>
          <cell r="D73" t="str">
            <v>M24AUSS22AFH.24D3661(D905)</v>
          </cell>
          <cell r="E73" t="str">
            <v>D905</v>
          </cell>
          <cell r="F73" t="str">
            <v>D905</v>
          </cell>
          <cell r="G73">
            <v>310</v>
          </cell>
        </row>
        <row r="74">
          <cell r="C74" t="str">
            <v>M24AESS22AF-.24D3621</v>
          </cell>
          <cell r="D74" t="str">
            <v>M24AESS22AF-.24D3621(D905)</v>
          </cell>
          <cell r="E74" t="str">
            <v>D905</v>
          </cell>
          <cell r="F74" t="str">
            <v>D905</v>
          </cell>
          <cell r="G74">
            <v>310</v>
          </cell>
        </row>
        <row r="75">
          <cell r="C75" t="str">
            <v>M24CLSS22AFH.24D3601</v>
          </cell>
          <cell r="D75" t="str">
            <v>M24CLSS22AFH.24D3601(D905)</v>
          </cell>
          <cell r="E75" t="str">
            <v>D905</v>
          </cell>
          <cell r="F75" t="str">
            <v>D905</v>
          </cell>
          <cell r="G75">
            <v>310</v>
          </cell>
        </row>
        <row r="76">
          <cell r="C76" t="str">
            <v>M24CLSS22AFH.24D3661</v>
          </cell>
          <cell r="D76" t="str">
            <v>M24CLSS22AFH.24D3661(D905)</v>
          </cell>
          <cell r="E76" t="str">
            <v>D905</v>
          </cell>
          <cell r="F76" t="str">
            <v>D905</v>
          </cell>
          <cell r="G76">
            <v>310</v>
          </cell>
        </row>
        <row r="77">
          <cell r="C77" t="str">
            <v>M24USSS22AFH.24D3601</v>
          </cell>
          <cell r="D77" t="str">
            <v>M24USSS22AFH.24D3601(D905)</v>
          </cell>
          <cell r="E77" t="str">
            <v>D905</v>
          </cell>
          <cell r="F77" t="str">
            <v>D905</v>
          </cell>
          <cell r="G77">
            <v>310</v>
          </cell>
        </row>
        <row r="78">
          <cell r="C78" t="str">
            <v>M24USSS22AFH.24D3661</v>
          </cell>
          <cell r="D78" t="str">
            <v>M24USSS22AFH.24D3661(D905)</v>
          </cell>
          <cell r="E78" t="str">
            <v>D905</v>
          </cell>
          <cell r="F78" t="str">
            <v>D905</v>
          </cell>
          <cell r="G78">
            <v>310</v>
          </cell>
        </row>
        <row r="79">
          <cell r="C79" t="str">
            <v>M24USSS22AFH.24D3681</v>
          </cell>
          <cell r="D79" t="str">
            <v>M24USSS22AFH.24D3681(D905)</v>
          </cell>
          <cell r="E79" t="str">
            <v>D905</v>
          </cell>
          <cell r="F79" t="str">
            <v>D905</v>
          </cell>
          <cell r="G79">
            <v>310</v>
          </cell>
        </row>
        <row r="80">
          <cell r="C80" t="str">
            <v>M24AESS22AFH.24D3621</v>
          </cell>
          <cell r="D80" t="str">
            <v>M24AESS22AFH.24D3621(D905)</v>
          </cell>
          <cell r="E80" t="str">
            <v>D905</v>
          </cell>
          <cell r="F80" t="str">
            <v>D905</v>
          </cell>
          <cell r="G80">
            <v>310</v>
          </cell>
        </row>
        <row r="81">
          <cell r="C81" t="str">
            <v>M24GBSS22AFH.24D3601</v>
          </cell>
          <cell r="D81" t="str">
            <v>M24GBSS22AFH.24D3601(D905)</v>
          </cell>
          <cell r="E81" t="str">
            <v>D905</v>
          </cell>
          <cell r="F81" t="str">
            <v>D905</v>
          </cell>
          <cell r="G81">
            <v>310</v>
          </cell>
        </row>
        <row r="82">
          <cell r="C82" t="str">
            <v>M24GBSS22EFH.24D3601</v>
          </cell>
          <cell r="D82" t="str">
            <v>M24GBSS22EFH.24D3601(D905)</v>
          </cell>
          <cell r="E82" t="str">
            <v>D905</v>
          </cell>
          <cell r="F82" t="str">
            <v>D905</v>
          </cell>
          <cell r="G82">
            <v>310</v>
          </cell>
        </row>
        <row r="83">
          <cell r="C83" t="str">
            <v>M24GBSS22EFH.24D3661</v>
          </cell>
          <cell r="D83" t="str">
            <v>M24GBSS22EFH.24D3661(D905)</v>
          </cell>
          <cell r="E83" t="str">
            <v>D905</v>
          </cell>
          <cell r="F83" t="str">
            <v>D905</v>
          </cell>
          <cell r="G83">
            <v>310</v>
          </cell>
        </row>
        <row r="84">
          <cell r="C84" t="str">
            <v>M24PHSS22AFH.24D3661</v>
          </cell>
          <cell r="D84" t="str">
            <v>M24PHSS22AFH.24D3661(D905)</v>
          </cell>
          <cell r="E84" t="str">
            <v>D905</v>
          </cell>
          <cell r="F84" t="str">
            <v>D905</v>
          </cell>
          <cell r="G84">
            <v>310</v>
          </cell>
        </row>
        <row r="85">
          <cell r="C85" t="str">
            <v>M24TRSS22AF-.24D3661</v>
          </cell>
          <cell r="D85" t="str">
            <v>M24TRSS22AF-.24D3661(D905)</v>
          </cell>
          <cell r="E85" t="str">
            <v>D905</v>
          </cell>
          <cell r="F85" t="str">
            <v>D905</v>
          </cell>
          <cell r="G85">
            <v>310</v>
          </cell>
        </row>
        <row r="86">
          <cell r="C86" t="str">
            <v>M24TRSS22AFH.24D3661</v>
          </cell>
          <cell r="D86" t="str">
            <v>M24TRSS22AFH.24D3661(D905)</v>
          </cell>
          <cell r="E86" t="str">
            <v>D905</v>
          </cell>
          <cell r="F86" t="str">
            <v>D905</v>
          </cell>
          <cell r="G86">
            <v>310</v>
          </cell>
        </row>
        <row r="87">
          <cell r="C87" t="str">
            <v>M24ARSS22AFH.24D3661</v>
          </cell>
          <cell r="D87" t="str">
            <v>M24ARSS22AFH.24D3661(D905)</v>
          </cell>
          <cell r="E87" t="str">
            <v>D905</v>
          </cell>
          <cell r="F87" t="str">
            <v>D905</v>
          </cell>
          <cell r="G87">
            <v>310</v>
          </cell>
        </row>
        <row r="88">
          <cell r="C88" t="str">
            <v>M24NLSS22EFH.24D3601</v>
          </cell>
          <cell r="D88" t="str">
            <v>M24NLSS22EFH.24D3601(D905)</v>
          </cell>
          <cell r="E88" t="str">
            <v>D905</v>
          </cell>
          <cell r="F88" t="str">
            <v>D905</v>
          </cell>
          <cell r="G88">
            <v>310</v>
          </cell>
        </row>
        <row r="89">
          <cell r="C89" t="str">
            <v>M24NLSS22EFH.24D3641</v>
          </cell>
          <cell r="D89" t="str">
            <v>M24NLSS22EFH.24D3641(D905)</v>
          </cell>
          <cell r="E89" t="str">
            <v>D905</v>
          </cell>
          <cell r="F89" t="str">
            <v>D905</v>
          </cell>
          <cell r="G89">
            <v>310</v>
          </cell>
        </row>
        <row r="90">
          <cell r="C90" t="str">
            <v>M24USSS22EFH.24D3661</v>
          </cell>
          <cell r="D90" t="str">
            <v>M24USSS22EFH.24D3661(D905)</v>
          </cell>
          <cell r="E90" t="str">
            <v>D905</v>
          </cell>
          <cell r="F90" t="str">
            <v>D905</v>
          </cell>
          <cell r="G90">
            <v>310</v>
          </cell>
        </row>
        <row r="91">
          <cell r="C91" t="str">
            <v>M24USSS22EFH.24D3681</v>
          </cell>
          <cell r="D91" t="str">
            <v>M24USSS22EFH.24D3681(D905)</v>
          </cell>
          <cell r="E91" t="str">
            <v>D905</v>
          </cell>
          <cell r="F91" t="str">
            <v>D905</v>
          </cell>
          <cell r="G91">
            <v>310</v>
          </cell>
        </row>
        <row r="92">
          <cell r="C92" t="str">
            <v>M24ARSS22EFH.24D3661</v>
          </cell>
          <cell r="D92" t="str">
            <v>M24ARSS22EFH.24D3661(D905)</v>
          </cell>
          <cell r="E92" t="str">
            <v>D905</v>
          </cell>
          <cell r="F92" t="str">
            <v>D905</v>
          </cell>
          <cell r="G92">
            <v>310</v>
          </cell>
        </row>
        <row r="93">
          <cell r="C93" t="str">
            <v>M24AUSS22EFH.24D3661</v>
          </cell>
          <cell r="D93" t="str">
            <v>M24AUSS22EFH.24D3661(D905)</v>
          </cell>
          <cell r="E93" t="str">
            <v>D905</v>
          </cell>
          <cell r="F93" t="str">
            <v>D905</v>
          </cell>
          <cell r="G93">
            <v>310</v>
          </cell>
        </row>
        <row r="94">
          <cell r="C94" t="str">
            <v>M24IDSS22EFH.24D3661</v>
          </cell>
          <cell r="D94" t="str">
            <v>M24IDSS22EFH.24D3661(D905)</v>
          </cell>
          <cell r="E94" t="str">
            <v>D905</v>
          </cell>
          <cell r="F94" t="str">
            <v>D905</v>
          </cell>
          <cell r="G94">
            <v>310</v>
          </cell>
        </row>
        <row r="95">
          <cell r="C95" t="str">
            <v>M24CLSS22EFH.24D3661</v>
          </cell>
          <cell r="D95" t="str">
            <v>M24CLSS22EFH.24D3661(D905)</v>
          </cell>
          <cell r="E95" t="str">
            <v>D905</v>
          </cell>
          <cell r="F95" t="str">
            <v>D905</v>
          </cell>
          <cell r="G95">
            <v>310</v>
          </cell>
        </row>
        <row r="96">
          <cell r="C96" t="str">
            <v>M24AUSS22EFH.24D3601</v>
          </cell>
          <cell r="D96" t="str">
            <v>M24AUSS22EFH.24D3601(D905)</v>
          </cell>
          <cell r="E96" t="str">
            <v>D905</v>
          </cell>
          <cell r="F96" t="str">
            <v>D905</v>
          </cell>
          <cell r="G96">
            <v>310</v>
          </cell>
        </row>
        <row r="97">
          <cell r="C97" t="str">
            <v>M24AESS22EFH.24D3621</v>
          </cell>
          <cell r="D97" t="str">
            <v>M24AESS22EFH.24D3621(D905)</v>
          </cell>
          <cell r="E97" t="str">
            <v>D905</v>
          </cell>
          <cell r="F97" t="str">
            <v>D905</v>
          </cell>
          <cell r="G97">
            <v>310</v>
          </cell>
        </row>
        <row r="98">
          <cell r="C98" t="str">
            <v>M24USSS22AFH.24D3601</v>
          </cell>
          <cell r="D98" t="str">
            <v>M24USSS22AFH.24D3601(D905)</v>
          </cell>
          <cell r="E98" t="str">
            <v>D905</v>
          </cell>
          <cell r="F98" t="str">
            <v>D905</v>
          </cell>
          <cell r="G98">
            <v>215</v>
          </cell>
        </row>
        <row r="99">
          <cell r="C99" t="str">
            <v>M24NLSS22AF-.24D3601</v>
          </cell>
          <cell r="D99" t="str">
            <v>M24NLSS22AF-.24D3601(D905)</v>
          </cell>
          <cell r="E99" t="str">
            <v>D905</v>
          </cell>
          <cell r="F99" t="str">
            <v>D905</v>
          </cell>
          <cell r="G99">
            <v>450</v>
          </cell>
        </row>
        <row r="100">
          <cell r="C100" t="str">
            <v>M24NLSS22AFH.24D3601</v>
          </cell>
          <cell r="D100" t="str">
            <v>M24NLSS22AFH.24D3601(D905)</v>
          </cell>
          <cell r="E100" t="str">
            <v>D905</v>
          </cell>
          <cell r="F100" t="str">
            <v>D905</v>
          </cell>
          <cell r="G100">
            <v>450</v>
          </cell>
        </row>
        <row r="101">
          <cell r="C101" t="str">
            <v>M24NLSS22AFH.24D3661</v>
          </cell>
          <cell r="D101" t="str">
            <v>M24NLSS22AFH.24D3661(D905)</v>
          </cell>
          <cell r="E101" t="str">
            <v>D905</v>
          </cell>
          <cell r="F101" t="str">
            <v>D905</v>
          </cell>
          <cell r="G101">
            <v>450</v>
          </cell>
        </row>
        <row r="102">
          <cell r="C102" t="str">
            <v>M24NLSS22AFH.24D3621</v>
          </cell>
          <cell r="D102" t="str">
            <v>M24NLSS22AFH.24D3621(D905)</v>
          </cell>
          <cell r="E102" t="str">
            <v>D905</v>
          </cell>
          <cell r="F102" t="str">
            <v>D905</v>
          </cell>
          <cell r="G102">
            <v>450</v>
          </cell>
        </row>
        <row r="103">
          <cell r="C103" t="str">
            <v>M24NLSS22AFH.24D3641</v>
          </cell>
          <cell r="D103" t="str">
            <v>M24NLSS22AFH.24D3641(D905)</v>
          </cell>
          <cell r="E103" t="str">
            <v>D905</v>
          </cell>
          <cell r="F103" t="str">
            <v>D905</v>
          </cell>
          <cell r="G103">
            <v>450</v>
          </cell>
        </row>
        <row r="104">
          <cell r="C104" t="str">
            <v>M24VNSS22AF-.24D3661</v>
          </cell>
          <cell r="D104" t="str">
            <v>M24VNSS22AF-.24D3661(D905)</v>
          </cell>
          <cell r="E104" t="str">
            <v>D905</v>
          </cell>
          <cell r="F104" t="str">
            <v>D905</v>
          </cell>
          <cell r="G104">
            <v>450</v>
          </cell>
        </row>
        <row r="105">
          <cell r="C105" t="str">
            <v>M24VNSS22AFH.24D3661</v>
          </cell>
          <cell r="D105" t="str">
            <v>M24VNSS22AFH.24D3661(D905)</v>
          </cell>
          <cell r="E105" t="str">
            <v>D905</v>
          </cell>
          <cell r="F105" t="str">
            <v>D905</v>
          </cell>
          <cell r="G105">
            <v>450</v>
          </cell>
        </row>
        <row r="106">
          <cell r="C106" t="str">
            <v>M24AUSS22AFH.24D3601</v>
          </cell>
          <cell r="D106" t="str">
            <v>M24AUSS22AFH.24D3601(D905)</v>
          </cell>
          <cell r="E106" t="str">
            <v>D905</v>
          </cell>
          <cell r="F106" t="str">
            <v>D905</v>
          </cell>
          <cell r="G106">
            <v>450</v>
          </cell>
        </row>
        <row r="107">
          <cell r="C107" t="str">
            <v>M24AUSS22AF-.24D3601</v>
          </cell>
          <cell r="D107" t="str">
            <v>M24AUSS22AF-.24D3601(D905)</v>
          </cell>
          <cell r="E107" t="str">
            <v>D905</v>
          </cell>
          <cell r="F107" t="str">
            <v>D905</v>
          </cell>
          <cell r="G107">
            <v>450</v>
          </cell>
        </row>
        <row r="108">
          <cell r="C108" t="str">
            <v>M24AUSS22AFH.24D3661</v>
          </cell>
          <cell r="D108" t="str">
            <v>M24AUSS22AFH.24D3661(D905)</v>
          </cell>
          <cell r="E108" t="str">
            <v>D905</v>
          </cell>
          <cell r="F108" t="str">
            <v>D905</v>
          </cell>
          <cell r="G108">
            <v>450</v>
          </cell>
        </row>
        <row r="109">
          <cell r="C109" t="str">
            <v>M24CLSS22AFH.24D3601</v>
          </cell>
          <cell r="D109" t="str">
            <v>M24CLSS22AFH.24D3601(D905)</v>
          </cell>
          <cell r="E109" t="str">
            <v>D905</v>
          </cell>
          <cell r="F109" t="str">
            <v>D905</v>
          </cell>
          <cell r="G109">
            <v>450</v>
          </cell>
        </row>
        <row r="110">
          <cell r="C110" t="str">
            <v>M24CLSS22AFH.24D3661</v>
          </cell>
          <cell r="D110" t="str">
            <v>M24CLSS22AFH.24D3661(D905)</v>
          </cell>
          <cell r="E110" t="str">
            <v>D905</v>
          </cell>
          <cell r="F110" t="str">
            <v>D905</v>
          </cell>
          <cell r="G110">
            <v>450</v>
          </cell>
        </row>
        <row r="111">
          <cell r="C111" t="str">
            <v>M24USSS22AFH.24D3601</v>
          </cell>
          <cell r="D111" t="str">
            <v>M24USSS22AFH.24D3601(D905)</v>
          </cell>
          <cell r="E111" t="str">
            <v>D905</v>
          </cell>
          <cell r="F111" t="str">
            <v>D905</v>
          </cell>
          <cell r="G111">
            <v>450</v>
          </cell>
        </row>
        <row r="112">
          <cell r="C112" t="str">
            <v>M24USSS22AFH.24D3661</v>
          </cell>
          <cell r="D112" t="str">
            <v>M24USSS22AFH.24D3661(D905)</v>
          </cell>
          <cell r="E112" t="str">
            <v>D905</v>
          </cell>
          <cell r="F112" t="str">
            <v>D905</v>
          </cell>
          <cell r="G112">
            <v>450</v>
          </cell>
        </row>
        <row r="113">
          <cell r="C113" t="str">
            <v>M24AESS22AFH.24D3621</v>
          </cell>
          <cell r="D113" t="str">
            <v>M24AESS22AFH.24D3621(D905)</v>
          </cell>
          <cell r="E113" t="str">
            <v>D905</v>
          </cell>
          <cell r="F113" t="str">
            <v>D905</v>
          </cell>
          <cell r="G113">
            <v>450</v>
          </cell>
        </row>
        <row r="114">
          <cell r="C114" t="str">
            <v>M24GBSS22AFH.24D3601</v>
          </cell>
          <cell r="D114" t="str">
            <v>M24GBSS22AFH.24D3601(D905)</v>
          </cell>
          <cell r="E114" t="str">
            <v>D905</v>
          </cell>
          <cell r="F114" t="str">
            <v>D905</v>
          </cell>
          <cell r="G114">
            <v>450</v>
          </cell>
        </row>
        <row r="115">
          <cell r="C115" t="str">
            <v>M24GBSS22AFH.24D3621</v>
          </cell>
          <cell r="D115" t="str">
            <v>M24GBSS22AFH.24D3621(D905)</v>
          </cell>
          <cell r="E115" t="str">
            <v>D905</v>
          </cell>
          <cell r="F115" t="str">
            <v>D905</v>
          </cell>
          <cell r="G115">
            <v>450</v>
          </cell>
        </row>
        <row r="116">
          <cell r="C116" t="str">
            <v>M24GBSS22AFH.24D3661</v>
          </cell>
          <cell r="D116" t="str">
            <v>M24GBSS22AFH.24D3661(D905)</v>
          </cell>
          <cell r="E116" t="str">
            <v>D905</v>
          </cell>
          <cell r="F116" t="str">
            <v>D905</v>
          </cell>
          <cell r="G116">
            <v>450</v>
          </cell>
        </row>
        <row r="117">
          <cell r="C117" t="str">
            <v>M24PHSS22AFH.24D3661</v>
          </cell>
          <cell r="D117" t="str">
            <v>M24PHSS22AFH.24D3661(D905)</v>
          </cell>
          <cell r="E117" t="str">
            <v>D905</v>
          </cell>
          <cell r="F117" t="str">
            <v>D905</v>
          </cell>
          <cell r="G117">
            <v>450</v>
          </cell>
        </row>
        <row r="118">
          <cell r="C118" t="str">
            <v>M24TRSS22AF-.24D3661</v>
          </cell>
          <cell r="D118" t="str">
            <v>M24TRSS22AF-.24D3661(D905)</v>
          </cell>
          <cell r="E118" t="str">
            <v>D905</v>
          </cell>
          <cell r="F118" t="str">
            <v>D905</v>
          </cell>
          <cell r="G118">
            <v>450</v>
          </cell>
        </row>
        <row r="119">
          <cell r="C119" t="str">
            <v>M24ARSS22AFH.24D3661</v>
          </cell>
          <cell r="D119" t="str">
            <v>M24ARSS22AFH.24D3661(D905)</v>
          </cell>
          <cell r="E119" t="str">
            <v>D905</v>
          </cell>
          <cell r="F119" t="str">
            <v>D905</v>
          </cell>
          <cell r="G119">
            <v>450</v>
          </cell>
        </row>
        <row r="120">
          <cell r="C120" t="str">
            <v>M24TRSS22AFH.24D3661</v>
          </cell>
          <cell r="D120" t="str">
            <v>M24TRSS22AFH.24D3661(D905)</v>
          </cell>
          <cell r="E120" t="str">
            <v>D905</v>
          </cell>
          <cell r="F120" t="str">
            <v>D905</v>
          </cell>
          <cell r="G120">
            <v>450</v>
          </cell>
        </row>
        <row r="121">
          <cell r="C121" t="str">
            <v>M24NLSS22EFH.24D3601</v>
          </cell>
          <cell r="D121" t="str">
            <v>M24NLSS22EFH.24D3601(D905)</v>
          </cell>
          <cell r="E121" t="str">
            <v>D905</v>
          </cell>
          <cell r="F121" t="str">
            <v>D905</v>
          </cell>
          <cell r="G121">
            <v>450</v>
          </cell>
        </row>
        <row r="122">
          <cell r="C122" t="str">
            <v>M24NLSS22EFH.24D3641</v>
          </cell>
          <cell r="D122" t="str">
            <v>M24NLSS22EFH.24D3641(D905)</v>
          </cell>
          <cell r="E122" t="str">
            <v>D905</v>
          </cell>
          <cell r="F122" t="str">
            <v>D905</v>
          </cell>
          <cell r="G122">
            <v>450</v>
          </cell>
        </row>
        <row r="123">
          <cell r="C123" t="str">
            <v>M24IDSS22AFH.24D3661</v>
          </cell>
          <cell r="D123" t="str">
            <v>M24IDSS22AFH.24D3661(D905)</v>
          </cell>
          <cell r="E123" t="str">
            <v>D905</v>
          </cell>
          <cell r="F123" t="str">
            <v>D905</v>
          </cell>
          <cell r="G123">
            <v>450</v>
          </cell>
        </row>
        <row r="124">
          <cell r="C124" t="str">
            <v>M27NLSS22AFH.27D3601</v>
          </cell>
          <cell r="D124" t="str">
            <v>M27NLSS22AFH.27D3601(D901)</v>
          </cell>
          <cell r="E124" t="str">
            <v>D901</v>
          </cell>
          <cell r="F124" t="str">
            <v>D901</v>
          </cell>
          <cell r="G124">
            <v>220</v>
          </cell>
        </row>
        <row r="125">
          <cell r="C125" t="str">
            <v>M27NLSS22AFH.27D3602</v>
          </cell>
          <cell r="D125" t="str">
            <v>M27NLSS22AFH.27D3602(D901)</v>
          </cell>
          <cell r="E125" t="str">
            <v>D901</v>
          </cell>
          <cell r="F125" t="str">
            <v>D901</v>
          </cell>
          <cell r="G125">
            <v>220</v>
          </cell>
        </row>
        <row r="126">
          <cell r="C126" t="str">
            <v>M27NLSS22AFH.27D3621</v>
          </cell>
          <cell r="D126" t="str">
            <v>M27NLSS22AFH.27D3621(D901)</v>
          </cell>
          <cell r="E126" t="str">
            <v>D901</v>
          </cell>
          <cell r="F126" t="str">
            <v>D901</v>
          </cell>
          <cell r="G126">
            <v>220</v>
          </cell>
        </row>
        <row r="127">
          <cell r="C127" t="str">
            <v>M27NLSS22AFH.27D3622</v>
          </cell>
          <cell r="D127" t="str">
            <v>M27NLSS22AFH.27D3622(D901)</v>
          </cell>
          <cell r="E127" t="str">
            <v>D901</v>
          </cell>
          <cell r="F127" t="str">
            <v>D901</v>
          </cell>
          <cell r="G127">
            <v>220</v>
          </cell>
        </row>
        <row r="128">
          <cell r="C128" t="str">
            <v>M27NLSS22AFH.27D3641</v>
          </cell>
          <cell r="D128" t="str">
            <v>M27NLSS22AFH.27D3641(D901)</v>
          </cell>
          <cell r="E128" t="str">
            <v>D901</v>
          </cell>
          <cell r="F128" t="str">
            <v>D901</v>
          </cell>
          <cell r="G128">
            <v>220</v>
          </cell>
        </row>
        <row r="129">
          <cell r="C129" t="str">
            <v>M27NLSS22AFH.27D3642</v>
          </cell>
          <cell r="D129" t="str">
            <v>M27NLSS22AFH.27D3642(D901)</v>
          </cell>
          <cell r="E129" t="str">
            <v>D901</v>
          </cell>
          <cell r="F129" t="str">
            <v>D901</v>
          </cell>
          <cell r="G129">
            <v>220</v>
          </cell>
        </row>
        <row r="130">
          <cell r="C130" t="str">
            <v>M27NLSS22AFH.27D3661</v>
          </cell>
          <cell r="D130" t="str">
            <v>M27NLSS22AFH.27D3661(D901)</v>
          </cell>
          <cell r="E130" t="str">
            <v>D901</v>
          </cell>
          <cell r="F130" t="str">
            <v>D901</v>
          </cell>
          <cell r="G130">
            <v>220</v>
          </cell>
        </row>
        <row r="131">
          <cell r="C131" t="str">
            <v>M27NLSS22AFH.27D3662</v>
          </cell>
          <cell r="D131" t="str">
            <v>M27NLSS22AFH.27D3662(D901)</v>
          </cell>
          <cell r="E131" t="str">
            <v>D901</v>
          </cell>
          <cell r="F131" t="str">
            <v>D901</v>
          </cell>
          <cell r="G131">
            <v>220</v>
          </cell>
        </row>
        <row r="132">
          <cell r="C132" t="str">
            <v>M27VNSS22AFH.27D3661</v>
          </cell>
          <cell r="D132" t="str">
            <v>M27VNSS22AFH.27D3661(D901)</v>
          </cell>
          <cell r="E132" t="str">
            <v>D901</v>
          </cell>
          <cell r="F132" t="str">
            <v>D901</v>
          </cell>
          <cell r="G132">
            <v>220</v>
          </cell>
        </row>
        <row r="133">
          <cell r="C133" t="str">
            <v>M27VNSS22AF-.27D3662</v>
          </cell>
          <cell r="D133" t="str">
            <v>M27VNSS22AF-.27D3662(D901)</v>
          </cell>
          <cell r="E133" t="str">
            <v>D901</v>
          </cell>
          <cell r="F133" t="str">
            <v>D901</v>
          </cell>
          <cell r="G133">
            <v>220</v>
          </cell>
        </row>
        <row r="134">
          <cell r="C134" t="str">
            <v>M27VNSS22AFH.27D3662</v>
          </cell>
          <cell r="D134" t="str">
            <v>M27VNSS22AFH.27D3662(D901)</v>
          </cell>
          <cell r="E134" t="str">
            <v>D901</v>
          </cell>
          <cell r="F134" t="str">
            <v>D901</v>
          </cell>
          <cell r="G134">
            <v>220</v>
          </cell>
        </row>
        <row r="135">
          <cell r="C135" t="str">
            <v>M27AUSS22AFH.27D3601</v>
          </cell>
          <cell r="D135" t="str">
            <v>M27AUSS22AFH.27D3601(D901)</v>
          </cell>
          <cell r="E135" t="str">
            <v>D901</v>
          </cell>
          <cell r="F135" t="str">
            <v>D901</v>
          </cell>
          <cell r="G135">
            <v>220</v>
          </cell>
        </row>
        <row r="136">
          <cell r="C136" t="str">
            <v>M27AUSS22AF-.27D3602</v>
          </cell>
          <cell r="D136" t="str">
            <v>M27AUSS22AF-.27D3602(D901)</v>
          </cell>
          <cell r="E136" t="str">
            <v>D901</v>
          </cell>
          <cell r="F136" t="str">
            <v>D901</v>
          </cell>
          <cell r="G136">
            <v>220</v>
          </cell>
        </row>
        <row r="137">
          <cell r="C137" t="str">
            <v>M27AUSS22AFH.27D3602</v>
          </cell>
          <cell r="D137" t="str">
            <v>M27AUSS22AFH.27D3602(D901)</v>
          </cell>
          <cell r="E137" t="str">
            <v>D901</v>
          </cell>
          <cell r="F137" t="str">
            <v>D901</v>
          </cell>
          <cell r="G137">
            <v>220</v>
          </cell>
        </row>
        <row r="138">
          <cell r="C138" t="str">
            <v>M27AUSS22AFH.27D3662</v>
          </cell>
          <cell r="D138" t="str">
            <v>M27AUSS22AFH.27D3662(D901)</v>
          </cell>
          <cell r="E138" t="str">
            <v>D901</v>
          </cell>
          <cell r="F138" t="str">
            <v>D901</v>
          </cell>
          <cell r="G138">
            <v>220</v>
          </cell>
        </row>
        <row r="139">
          <cell r="C139" t="str">
            <v>M27CLSS22AFH.27D3601</v>
          </cell>
          <cell r="D139" t="str">
            <v>M27CLSS22AFH.27D3601(D901)</v>
          </cell>
          <cell r="E139" t="str">
            <v>D901</v>
          </cell>
          <cell r="F139" t="str">
            <v>D901</v>
          </cell>
          <cell r="G139">
            <v>220</v>
          </cell>
        </row>
        <row r="140">
          <cell r="C140" t="str">
            <v>M27CLSS22AFH.27D3602</v>
          </cell>
          <cell r="D140" t="str">
            <v>M27CLSS22AFH.27D3602(D901)</v>
          </cell>
          <cell r="E140" t="str">
            <v>D901</v>
          </cell>
          <cell r="F140" t="str">
            <v>D901</v>
          </cell>
          <cell r="G140">
            <v>220</v>
          </cell>
        </row>
        <row r="141">
          <cell r="C141" t="str">
            <v>M27CLSS22AFH.27D3662</v>
          </cell>
          <cell r="D141" t="str">
            <v>M27CLSS22AFH.27D3662(D901)</v>
          </cell>
          <cell r="E141" t="str">
            <v>D901</v>
          </cell>
          <cell r="F141" t="str">
            <v>D901</v>
          </cell>
          <cell r="G141">
            <v>220</v>
          </cell>
        </row>
        <row r="142">
          <cell r="C142" t="str">
            <v>M27USSS22AFH.27D3601</v>
          </cell>
          <cell r="D142" t="str">
            <v>M27USSS22AFH.27D3601(D901)</v>
          </cell>
          <cell r="E142" t="str">
            <v>D901</v>
          </cell>
          <cell r="F142" t="str">
            <v>D901</v>
          </cell>
          <cell r="G142">
            <v>220</v>
          </cell>
        </row>
        <row r="143">
          <cell r="C143" t="str">
            <v>M27USSS22AFH.27D3602</v>
          </cell>
          <cell r="D143" t="str">
            <v>M27USSS22AFH.27D3602(D901)</v>
          </cell>
          <cell r="E143" t="str">
            <v>D901</v>
          </cell>
          <cell r="F143" t="str">
            <v>D901</v>
          </cell>
          <cell r="G143">
            <v>220</v>
          </cell>
        </row>
        <row r="144">
          <cell r="C144" t="str">
            <v>M27USSS22AFH.27D3622</v>
          </cell>
          <cell r="D144" t="str">
            <v>M27USSS22AFH.27D3622(D901)</v>
          </cell>
          <cell r="E144" t="str">
            <v>D901</v>
          </cell>
          <cell r="F144" t="str">
            <v>D901</v>
          </cell>
          <cell r="G144">
            <v>220</v>
          </cell>
        </row>
        <row r="145">
          <cell r="C145" t="str">
            <v>M27USSS22AFH.27D3661</v>
          </cell>
          <cell r="D145" t="str">
            <v>M27USSS22AFH.27D3661(D901)</v>
          </cell>
          <cell r="E145" t="str">
            <v>D901</v>
          </cell>
          <cell r="F145" t="str">
            <v>D901</v>
          </cell>
          <cell r="G145">
            <v>220</v>
          </cell>
        </row>
        <row r="146">
          <cell r="C146" t="str">
            <v>M27USSS22AFH.27D3662</v>
          </cell>
          <cell r="D146" t="str">
            <v>M27USSS22AFH.27D3662(D901)</v>
          </cell>
          <cell r="E146" t="str">
            <v>D901</v>
          </cell>
          <cell r="F146" t="str">
            <v>D901</v>
          </cell>
          <cell r="G146">
            <v>220</v>
          </cell>
        </row>
        <row r="147">
          <cell r="C147" t="str">
            <v>M27USSS22AFH.27D3682</v>
          </cell>
          <cell r="D147" t="str">
            <v>M27USSS22AFH.27D3682(D901)</v>
          </cell>
          <cell r="E147" t="str">
            <v>D901</v>
          </cell>
          <cell r="F147" t="str">
            <v>D901</v>
          </cell>
          <cell r="G147">
            <v>220</v>
          </cell>
        </row>
        <row r="148">
          <cell r="C148" t="str">
            <v>M27USSS22AFH.27D36C2</v>
          </cell>
          <cell r="D148" t="str">
            <v>M27USSS22AFH.27D36C2(D901)</v>
          </cell>
          <cell r="E148" t="str">
            <v>D901</v>
          </cell>
          <cell r="F148" t="str">
            <v>D901</v>
          </cell>
          <cell r="G148">
            <v>220</v>
          </cell>
        </row>
        <row r="149">
          <cell r="C149" t="str">
            <v>M27USSS22AFH.27D36D2</v>
          </cell>
          <cell r="D149" t="str">
            <v>M27USSS22AFH.27D36D2(D901)</v>
          </cell>
          <cell r="E149" t="str">
            <v>D901</v>
          </cell>
          <cell r="F149" t="str">
            <v>D901</v>
          </cell>
          <cell r="G149">
            <v>220</v>
          </cell>
        </row>
        <row r="150">
          <cell r="C150" t="str">
            <v>M27AESS22AFH.27D3621</v>
          </cell>
          <cell r="D150" t="str">
            <v>M27AESS22AFH.27D3621(D901)</v>
          </cell>
          <cell r="E150" t="str">
            <v>D901</v>
          </cell>
          <cell r="F150" t="str">
            <v>D901</v>
          </cell>
          <cell r="G150">
            <v>220</v>
          </cell>
        </row>
        <row r="151">
          <cell r="C151" t="str">
            <v>M27AESS22AFH.27D3622</v>
          </cell>
          <cell r="D151" t="str">
            <v>M27AESS22AFH.27D3622(D901)</v>
          </cell>
          <cell r="E151" t="str">
            <v>D901</v>
          </cell>
          <cell r="F151" t="str">
            <v>D901</v>
          </cell>
          <cell r="G151">
            <v>220</v>
          </cell>
        </row>
        <row r="152">
          <cell r="C152" t="str">
            <v>M27SGSS22AF-.27D3602</v>
          </cell>
          <cell r="D152" t="str">
            <v>M27SGSS22AF-.27D3602(D901)</v>
          </cell>
          <cell r="E152" t="str">
            <v>D901</v>
          </cell>
          <cell r="F152" t="str">
            <v>D901</v>
          </cell>
          <cell r="G152">
            <v>220</v>
          </cell>
        </row>
        <row r="153">
          <cell r="C153" t="str">
            <v>M27SGSS22AFH.27D3602</v>
          </cell>
          <cell r="D153" t="str">
            <v>M27SGSS22AFH.27D3602(D901)</v>
          </cell>
          <cell r="E153" t="str">
            <v>D901</v>
          </cell>
          <cell r="F153" t="str">
            <v>D901</v>
          </cell>
          <cell r="G153">
            <v>220</v>
          </cell>
        </row>
        <row r="154">
          <cell r="C154" t="str">
            <v>M27MXSS22AF-.27D3602</v>
          </cell>
          <cell r="D154" t="str">
            <v>M27MXSS22AF-.27D3602(D901)</v>
          </cell>
          <cell r="E154" t="str">
            <v>D901</v>
          </cell>
          <cell r="F154" t="str">
            <v>D901</v>
          </cell>
          <cell r="G154">
            <v>220</v>
          </cell>
        </row>
        <row r="155">
          <cell r="C155" t="str">
            <v>M27MXSS22AFH.27D3602</v>
          </cell>
          <cell r="D155" t="str">
            <v>M27MXSS22AFH.27D3602(D901)</v>
          </cell>
          <cell r="E155" t="str">
            <v>D901</v>
          </cell>
          <cell r="F155" t="str">
            <v>D901</v>
          </cell>
          <cell r="G155">
            <v>220</v>
          </cell>
        </row>
        <row r="156">
          <cell r="C156" t="str">
            <v>M27TRSS22AF-.27D3662</v>
          </cell>
          <cell r="D156" t="str">
            <v>M27TRSS22AF-.27D3662(D901)</v>
          </cell>
          <cell r="E156" t="str">
            <v>D901</v>
          </cell>
          <cell r="F156" t="str">
            <v>D901</v>
          </cell>
          <cell r="G156">
            <v>220</v>
          </cell>
        </row>
        <row r="157">
          <cell r="C157" t="str">
            <v>M27TRSS22AFH.27D3662</v>
          </cell>
          <cell r="D157" t="str">
            <v>M27TRSS22AFH.27D3662(D901)</v>
          </cell>
          <cell r="E157" t="str">
            <v>D901</v>
          </cell>
          <cell r="F157" t="str">
            <v>D901</v>
          </cell>
          <cell r="G157">
            <v>220</v>
          </cell>
        </row>
        <row r="158">
          <cell r="C158" t="str">
            <v>M27GBSS22AFH.27D3602</v>
          </cell>
          <cell r="D158" t="str">
            <v>M27GBSS22AFH.27D3602(D901)</v>
          </cell>
          <cell r="E158" t="str">
            <v>D901</v>
          </cell>
          <cell r="F158" t="str">
            <v>D901</v>
          </cell>
          <cell r="G158">
            <v>220</v>
          </cell>
        </row>
        <row r="159">
          <cell r="C159" t="str">
            <v>M27GBSS22AFH.27D3622</v>
          </cell>
          <cell r="D159" t="str">
            <v>M27GBSS22AFH.27D3622(D901)</v>
          </cell>
          <cell r="E159" t="str">
            <v>D901</v>
          </cell>
          <cell r="F159" t="str">
            <v>D901</v>
          </cell>
          <cell r="G159">
            <v>220</v>
          </cell>
        </row>
        <row r="160">
          <cell r="C160" t="str">
            <v>M27GBSS22AFH.27D3662</v>
          </cell>
          <cell r="D160" t="str">
            <v>M27GBSS22AFH.27D3662(D901)</v>
          </cell>
          <cell r="E160" t="str">
            <v>D901</v>
          </cell>
          <cell r="F160" t="str">
            <v>D901</v>
          </cell>
          <cell r="G160">
            <v>220</v>
          </cell>
        </row>
        <row r="161">
          <cell r="C161" t="str">
            <v>M27TRSS22AFH.27D3662</v>
          </cell>
          <cell r="D161" t="str">
            <v>M27TRSS22AFH.27D3662(D901)</v>
          </cell>
          <cell r="E161" t="str">
            <v>D901</v>
          </cell>
          <cell r="F161" t="str">
            <v>D901</v>
          </cell>
          <cell r="G161">
            <v>220</v>
          </cell>
        </row>
        <row r="162">
          <cell r="C162" t="str">
            <v>M27ILSS22AFH.27D3622</v>
          </cell>
          <cell r="D162" t="str">
            <v>M27ILSS22AFH.27D3622(D901)</v>
          </cell>
          <cell r="E162" t="str">
            <v>D901</v>
          </cell>
          <cell r="F162" t="str">
            <v>D901</v>
          </cell>
          <cell r="G162">
            <v>220</v>
          </cell>
        </row>
        <row r="163">
          <cell r="C163" t="str">
            <v>M27ARSS22AFH.27D3662</v>
          </cell>
          <cell r="D163" t="str">
            <v>M27ARSS22AFH.27D3662(D901)</v>
          </cell>
          <cell r="E163" t="str">
            <v>D901</v>
          </cell>
          <cell r="F163" t="str">
            <v>D901</v>
          </cell>
          <cell r="G163">
            <v>220</v>
          </cell>
        </row>
        <row r="164">
          <cell r="C164" t="str">
            <v>M27NLSS22EFH.27D3621</v>
          </cell>
          <cell r="D164" t="str">
            <v>M27NLSS22EFH.27D3621(D901)</v>
          </cell>
          <cell r="E164" t="str">
            <v>D901</v>
          </cell>
          <cell r="F164" t="str">
            <v>D901</v>
          </cell>
          <cell r="G164">
            <v>220</v>
          </cell>
        </row>
        <row r="165">
          <cell r="C165" t="str">
            <v>M27NLSS22EFH.27D3661</v>
          </cell>
          <cell r="D165" t="str">
            <v>M27NLSS22EFH.27D3661(D901)</v>
          </cell>
          <cell r="E165" t="str">
            <v>D901</v>
          </cell>
          <cell r="F165" t="str">
            <v>D901</v>
          </cell>
          <cell r="G165">
            <v>220</v>
          </cell>
        </row>
        <row r="166">
          <cell r="C166" t="str">
            <v>M27AUSS22EFH.27D3661</v>
          </cell>
          <cell r="D166" t="str">
            <v>M27AUSS22EFH.27D3661(D901)</v>
          </cell>
          <cell r="E166" t="str">
            <v>D901</v>
          </cell>
          <cell r="F166" t="str">
            <v>D901</v>
          </cell>
          <cell r="G166">
            <v>220</v>
          </cell>
        </row>
        <row r="167">
          <cell r="C167" t="str">
            <v>M27TRSS22EFH.27D3661</v>
          </cell>
          <cell r="D167" t="str">
            <v>M27TRSS22EFH.27D3661(D901)</v>
          </cell>
          <cell r="E167" t="str">
            <v>D901</v>
          </cell>
          <cell r="F167" t="str">
            <v>D901</v>
          </cell>
          <cell r="G167">
            <v>220</v>
          </cell>
        </row>
        <row r="168">
          <cell r="C168" t="str">
            <v>M27NLSS22AFH.27D3601</v>
          </cell>
          <cell r="D168" t="str">
            <v>M27NLSS22AFH.27D3601(D905)</v>
          </cell>
          <cell r="E168" t="str">
            <v>D905</v>
          </cell>
          <cell r="F168" t="str">
            <v>D905</v>
          </cell>
          <cell r="G168">
            <v>300</v>
          </cell>
        </row>
        <row r="169">
          <cell r="C169" t="str">
            <v>M27NLSS22AFH.27D3602</v>
          </cell>
          <cell r="D169" t="str">
            <v>M27NLSS22AFH.27D3602(D905)</v>
          </cell>
          <cell r="E169" t="str">
            <v>D905</v>
          </cell>
          <cell r="F169" t="str">
            <v>D905</v>
          </cell>
          <cell r="G169">
            <v>300</v>
          </cell>
        </row>
        <row r="170">
          <cell r="C170" t="str">
            <v>M27NLSS22AF-.27D3602</v>
          </cell>
          <cell r="D170" t="str">
            <v>M27NLSS22AF-.27D3602(D905)</v>
          </cell>
          <cell r="E170" t="str">
            <v>D905</v>
          </cell>
          <cell r="F170" t="str">
            <v>D905</v>
          </cell>
          <cell r="G170">
            <v>300</v>
          </cell>
        </row>
        <row r="171">
          <cell r="C171" t="str">
            <v>M27NLSS22AFH.27D3621</v>
          </cell>
          <cell r="D171" t="str">
            <v>M27NLSS22AFH.27D3621(D905)</v>
          </cell>
          <cell r="E171" t="str">
            <v>D905</v>
          </cell>
          <cell r="F171" t="str">
            <v>D905</v>
          </cell>
          <cell r="G171">
            <v>300</v>
          </cell>
        </row>
        <row r="172">
          <cell r="C172" t="str">
            <v>M27NLSS22AFH.27D3622</v>
          </cell>
          <cell r="D172" t="str">
            <v>M27NLSS22AFH.27D3622(D905)</v>
          </cell>
          <cell r="E172" t="str">
            <v>D905</v>
          </cell>
          <cell r="F172" t="str">
            <v>D905</v>
          </cell>
          <cell r="G172">
            <v>300</v>
          </cell>
        </row>
        <row r="173">
          <cell r="C173" t="str">
            <v>M27NLSS22AFH.27D3641</v>
          </cell>
          <cell r="D173" t="str">
            <v>M27NLSS22AFH.27D3641(D905)</v>
          </cell>
          <cell r="E173" t="str">
            <v>D905</v>
          </cell>
          <cell r="F173" t="str">
            <v>D905</v>
          </cell>
          <cell r="G173">
            <v>300</v>
          </cell>
        </row>
        <row r="174">
          <cell r="C174" t="str">
            <v>M27NLSS22AFH.27D3642</v>
          </cell>
          <cell r="D174" t="str">
            <v>M27NLSS22AFH.27D3642(D905)</v>
          </cell>
          <cell r="E174" t="str">
            <v>D905</v>
          </cell>
          <cell r="F174" t="str">
            <v>D905</v>
          </cell>
          <cell r="G174">
            <v>300</v>
          </cell>
        </row>
        <row r="175">
          <cell r="C175" t="str">
            <v>M27NLSS22AFH.27D3661</v>
          </cell>
          <cell r="D175" t="str">
            <v>M27NLSS22AFH.27D3661(D905)</v>
          </cell>
          <cell r="E175" t="str">
            <v>D905</v>
          </cell>
          <cell r="F175" t="str">
            <v>D905</v>
          </cell>
          <cell r="G175">
            <v>300</v>
          </cell>
        </row>
        <row r="176">
          <cell r="C176" t="str">
            <v>M27NLSS22AFH.27D3662</v>
          </cell>
          <cell r="D176" t="str">
            <v>M27NLSS22AFH.27D3662(D905)</v>
          </cell>
          <cell r="E176" t="str">
            <v>D905</v>
          </cell>
          <cell r="F176" t="str">
            <v>D905</v>
          </cell>
          <cell r="G176">
            <v>300</v>
          </cell>
        </row>
        <row r="177">
          <cell r="C177" t="str">
            <v>M27VNSS22AFH.27D3661</v>
          </cell>
          <cell r="D177" t="str">
            <v>M27VNSS22AFH.27D3661(D905)</v>
          </cell>
          <cell r="E177" t="str">
            <v>D905</v>
          </cell>
          <cell r="F177" t="str">
            <v>D905</v>
          </cell>
          <cell r="G177">
            <v>300</v>
          </cell>
        </row>
        <row r="178">
          <cell r="C178" t="str">
            <v>M27VNSS22AFH.27D3662</v>
          </cell>
          <cell r="D178" t="str">
            <v>M27VNSS22AFH.27D3662(D905)</v>
          </cell>
          <cell r="E178" t="str">
            <v>D905</v>
          </cell>
          <cell r="F178" t="str">
            <v>D905</v>
          </cell>
          <cell r="G178">
            <v>300</v>
          </cell>
        </row>
        <row r="179">
          <cell r="C179" t="str">
            <v>M27AUSS22AFH.27D3601</v>
          </cell>
          <cell r="D179" t="str">
            <v>M27AUSS22AFH.27D3601(D905)</v>
          </cell>
          <cell r="E179" t="str">
            <v>D905</v>
          </cell>
          <cell r="F179" t="str">
            <v>D905</v>
          </cell>
          <cell r="G179">
            <v>300</v>
          </cell>
        </row>
        <row r="180">
          <cell r="C180" t="str">
            <v>M27AUSS22AF-.27D3602</v>
          </cell>
          <cell r="D180" t="str">
            <v>M27AUSS22AF-.27D3602(D905)</v>
          </cell>
          <cell r="E180" t="str">
            <v>D905</v>
          </cell>
          <cell r="F180" t="str">
            <v>D905</v>
          </cell>
          <cell r="G180">
            <v>300</v>
          </cell>
        </row>
        <row r="181">
          <cell r="C181" t="str">
            <v>M27AUSS22AFH.27D3602</v>
          </cell>
          <cell r="D181" t="str">
            <v>M27AUSS22AFH.27D3602(D905)</v>
          </cell>
          <cell r="E181" t="str">
            <v>D905</v>
          </cell>
          <cell r="F181" t="str">
            <v>D905</v>
          </cell>
          <cell r="G181">
            <v>300</v>
          </cell>
        </row>
        <row r="182">
          <cell r="C182" t="str">
            <v>M27AUSS22AFH.27D3662</v>
          </cell>
          <cell r="D182" t="str">
            <v>M27AUSS22AFH.27D3662(D905)</v>
          </cell>
          <cell r="E182" t="str">
            <v>D905</v>
          </cell>
          <cell r="F182" t="str">
            <v>D905</v>
          </cell>
          <cell r="G182">
            <v>300</v>
          </cell>
        </row>
        <row r="183">
          <cell r="C183" t="str">
            <v>M27CLSS22AFH.27D3601</v>
          </cell>
          <cell r="D183" t="str">
            <v>M27CLSS22AFH.27D3601(D905)</v>
          </cell>
          <cell r="E183" t="str">
            <v>D905</v>
          </cell>
          <cell r="F183" t="str">
            <v>D905</v>
          </cell>
          <cell r="G183">
            <v>300</v>
          </cell>
        </row>
        <row r="184">
          <cell r="C184" t="str">
            <v>M27CLSS22AFH.27D3602</v>
          </cell>
          <cell r="D184" t="str">
            <v>M27CLSS22AFH.27D3602(D905)</v>
          </cell>
          <cell r="E184" t="str">
            <v>D905</v>
          </cell>
          <cell r="F184" t="str">
            <v>D905</v>
          </cell>
          <cell r="G184">
            <v>300</v>
          </cell>
        </row>
        <row r="185">
          <cell r="C185" t="str">
            <v>M27CLSS22AFH.27D3662</v>
          </cell>
          <cell r="D185" t="str">
            <v>M27CLSS22AFH.27D3662(D905)</v>
          </cell>
          <cell r="E185" t="str">
            <v>D905</v>
          </cell>
          <cell r="F185" t="str">
            <v>D905</v>
          </cell>
          <cell r="G185">
            <v>300</v>
          </cell>
        </row>
        <row r="186">
          <cell r="C186" t="str">
            <v>M27USSS22AFH.27D3601</v>
          </cell>
          <cell r="D186" t="str">
            <v>M27USSS22AFH.27D3601(D905)</v>
          </cell>
          <cell r="E186" t="str">
            <v>D905</v>
          </cell>
          <cell r="F186" t="str">
            <v>D905</v>
          </cell>
          <cell r="G186">
            <v>300</v>
          </cell>
        </row>
        <row r="187">
          <cell r="C187" t="str">
            <v>M27USSS22AFH.27D3602</v>
          </cell>
          <cell r="D187" t="str">
            <v>M27USSS22AFH.27D3602(D905)</v>
          </cell>
          <cell r="E187" t="str">
            <v>D905</v>
          </cell>
          <cell r="F187" t="str">
            <v>D905</v>
          </cell>
          <cell r="G187">
            <v>300</v>
          </cell>
        </row>
        <row r="188">
          <cell r="C188" t="str">
            <v>M27USSS22AFH.27D3622</v>
          </cell>
          <cell r="D188" t="str">
            <v>M27USSS22AFH.27D3622(D905)</v>
          </cell>
          <cell r="E188" t="str">
            <v>D905</v>
          </cell>
          <cell r="F188" t="str">
            <v>D905</v>
          </cell>
          <cell r="G188">
            <v>300</v>
          </cell>
        </row>
        <row r="189">
          <cell r="C189" t="str">
            <v>M27USSS22AFH.27D3661</v>
          </cell>
          <cell r="D189" t="str">
            <v>M27USSS22AFH.27D3661(D905)</v>
          </cell>
          <cell r="E189" t="str">
            <v>D905</v>
          </cell>
          <cell r="F189" t="str">
            <v>D905</v>
          </cell>
          <cell r="G189">
            <v>300</v>
          </cell>
        </row>
        <row r="190">
          <cell r="C190" t="str">
            <v>M27USSS22AFH.27D3662</v>
          </cell>
          <cell r="D190" t="str">
            <v>M27USSS22AFH.27D3662(D905)</v>
          </cell>
          <cell r="E190" t="str">
            <v>D905</v>
          </cell>
          <cell r="F190" t="str">
            <v>D905</v>
          </cell>
          <cell r="G190">
            <v>300</v>
          </cell>
        </row>
        <row r="191">
          <cell r="C191" t="str">
            <v>M27USSS22AFH.27D3682</v>
          </cell>
          <cell r="D191" t="str">
            <v>M27USSS22AFH.27D3682(D905)</v>
          </cell>
          <cell r="E191" t="str">
            <v>D905</v>
          </cell>
          <cell r="F191" t="str">
            <v>D905</v>
          </cell>
          <cell r="G191">
            <v>300</v>
          </cell>
        </row>
        <row r="192">
          <cell r="C192" t="str">
            <v>M27USSS22AFH.27D36C2</v>
          </cell>
          <cell r="D192" t="str">
            <v>M27USSS22AFH.27D36C2(D905)</v>
          </cell>
          <cell r="E192" t="str">
            <v>D905</v>
          </cell>
          <cell r="F192" t="str">
            <v>D905</v>
          </cell>
          <cell r="G192">
            <v>300</v>
          </cell>
        </row>
        <row r="193">
          <cell r="C193" t="str">
            <v>M27USSS22AFH.27D36D2</v>
          </cell>
          <cell r="D193" t="str">
            <v>M27USSS22AFH.27D36D2(D905)</v>
          </cell>
          <cell r="E193" t="str">
            <v>D905</v>
          </cell>
          <cell r="F193" t="str">
            <v>D905</v>
          </cell>
          <cell r="G193">
            <v>300</v>
          </cell>
        </row>
        <row r="194">
          <cell r="C194" t="str">
            <v>M27AESS22AFH.27D3621</v>
          </cell>
          <cell r="D194" t="str">
            <v>M27AESS22AFH.27D3621(D905)</v>
          </cell>
          <cell r="E194" t="str">
            <v>D905</v>
          </cell>
          <cell r="F194" t="str">
            <v>D905</v>
          </cell>
          <cell r="G194">
            <v>300</v>
          </cell>
        </row>
        <row r="195">
          <cell r="C195" t="str">
            <v>M27AESS22AF-.27D3622</v>
          </cell>
          <cell r="D195" t="str">
            <v>M27AESS22AF-.27D3622(D905)</v>
          </cell>
          <cell r="E195" t="str">
            <v>D905</v>
          </cell>
          <cell r="F195" t="str">
            <v>D905</v>
          </cell>
          <cell r="G195">
            <v>300</v>
          </cell>
        </row>
        <row r="196">
          <cell r="C196" t="str">
            <v>M27AESS22AFH.27D3622</v>
          </cell>
          <cell r="D196" t="str">
            <v>M27AESS22AFH.27D3622(D905)</v>
          </cell>
          <cell r="E196" t="str">
            <v>D905</v>
          </cell>
          <cell r="F196" t="str">
            <v>D905</v>
          </cell>
          <cell r="G196">
            <v>300</v>
          </cell>
        </row>
        <row r="197">
          <cell r="C197" t="str">
            <v>M27SGSS22AF-.27D3602</v>
          </cell>
          <cell r="D197" t="str">
            <v>M27SGSS22AF-.27D3602(D905)</v>
          </cell>
          <cell r="E197" t="str">
            <v>D905</v>
          </cell>
          <cell r="F197" t="str">
            <v>D905</v>
          </cell>
          <cell r="G197">
            <v>300</v>
          </cell>
        </row>
        <row r="198">
          <cell r="C198" t="str">
            <v>M27SGSS22AFH.27D3602</v>
          </cell>
          <cell r="D198" t="str">
            <v>M27SGSS22AFH.27D3602(D905)</v>
          </cell>
          <cell r="E198" t="str">
            <v>D905</v>
          </cell>
          <cell r="F198" t="str">
            <v>D905</v>
          </cell>
          <cell r="G198">
            <v>300</v>
          </cell>
        </row>
        <row r="199">
          <cell r="C199" t="str">
            <v>M27MXSS22AFH.27D3602</v>
          </cell>
          <cell r="D199" t="str">
            <v>M27MXSS22AFH.27D3602(D905)</v>
          </cell>
          <cell r="E199" t="str">
            <v>D905</v>
          </cell>
          <cell r="F199" t="str">
            <v>D905</v>
          </cell>
          <cell r="G199">
            <v>300</v>
          </cell>
        </row>
        <row r="200">
          <cell r="C200" t="str">
            <v>M27MXSS22AF-.27D3602</v>
          </cell>
          <cell r="D200" t="str">
            <v>M27MXSS22AF-.27D3602(D905)</v>
          </cell>
          <cell r="E200" t="str">
            <v>D905</v>
          </cell>
          <cell r="F200" t="str">
            <v>D905</v>
          </cell>
          <cell r="G200">
            <v>300</v>
          </cell>
        </row>
        <row r="201">
          <cell r="C201" t="str">
            <v>M27TRSS22AF-.27D3662</v>
          </cell>
          <cell r="D201" t="str">
            <v>M27TRSS22AF-.27D3662(D905)</v>
          </cell>
          <cell r="E201" t="str">
            <v>D905</v>
          </cell>
          <cell r="F201" t="str">
            <v>D905</v>
          </cell>
          <cell r="G201">
            <v>300</v>
          </cell>
        </row>
        <row r="202">
          <cell r="C202" t="str">
            <v>M27TRSS22AFH.27D3662</v>
          </cell>
          <cell r="D202" t="str">
            <v>M27TRSS22AFH.27D3662(D905)</v>
          </cell>
          <cell r="E202" t="str">
            <v>D905</v>
          </cell>
          <cell r="F202" t="str">
            <v>D905</v>
          </cell>
          <cell r="G202">
            <v>300</v>
          </cell>
        </row>
        <row r="203">
          <cell r="C203" t="str">
            <v>M27GBSS22AFH.27D3622</v>
          </cell>
          <cell r="D203" t="str">
            <v>M27GBSS22AFH.27D3622(D905)</v>
          </cell>
          <cell r="E203" t="str">
            <v>D905</v>
          </cell>
          <cell r="F203" t="str">
            <v>D905</v>
          </cell>
          <cell r="G203">
            <v>300</v>
          </cell>
        </row>
        <row r="204">
          <cell r="C204" t="str">
            <v>M27GBSS22AFH.27D3662</v>
          </cell>
          <cell r="D204" t="str">
            <v>M27GBSS22AFH.27D3662(D905)</v>
          </cell>
          <cell r="E204" t="str">
            <v>D905</v>
          </cell>
          <cell r="F204" t="str">
            <v>D905</v>
          </cell>
          <cell r="G204">
            <v>300</v>
          </cell>
        </row>
        <row r="205">
          <cell r="C205" t="str">
            <v>M27ILSS22AFH.27D3622</v>
          </cell>
          <cell r="D205" t="str">
            <v>M27ILSS22AFH.27D3622(D905)</v>
          </cell>
          <cell r="E205" t="str">
            <v>D905</v>
          </cell>
          <cell r="F205" t="str">
            <v>D905</v>
          </cell>
          <cell r="G205">
            <v>300</v>
          </cell>
        </row>
        <row r="206">
          <cell r="C206" t="str">
            <v>M27ARSS22EFH.27D3661</v>
          </cell>
          <cell r="D206" t="str">
            <v>M27ARSS22EFH.27D3661(D905)</v>
          </cell>
          <cell r="E206" t="str">
            <v>D905</v>
          </cell>
          <cell r="F206" t="str">
            <v>D905</v>
          </cell>
          <cell r="G206">
            <v>300</v>
          </cell>
        </row>
        <row r="207">
          <cell r="C207" t="str">
            <v>M27ARSS22AFH.27D3662</v>
          </cell>
          <cell r="D207" t="str">
            <v>M27ARSS22AFH.27D3662(D905)</v>
          </cell>
          <cell r="E207" t="str">
            <v>D905</v>
          </cell>
          <cell r="F207" t="str">
            <v>D905</v>
          </cell>
          <cell r="G207">
            <v>300</v>
          </cell>
        </row>
        <row r="208">
          <cell r="C208" t="str">
            <v>M27NLSS22EFH.27D3621</v>
          </cell>
          <cell r="D208" t="str">
            <v>M27NLSS22EFH.27D3621(D905)</v>
          </cell>
          <cell r="E208" t="str">
            <v>D905</v>
          </cell>
          <cell r="F208" t="str">
            <v>D905</v>
          </cell>
          <cell r="G208">
            <v>300</v>
          </cell>
        </row>
        <row r="209">
          <cell r="C209" t="str">
            <v>M27NLSS22EFH.27D3661</v>
          </cell>
          <cell r="D209" t="str">
            <v>M27NLSS22EFH.27D3661(D905)</v>
          </cell>
          <cell r="E209" t="str">
            <v>D905</v>
          </cell>
          <cell r="F209" t="str">
            <v>D905</v>
          </cell>
          <cell r="G209">
            <v>300</v>
          </cell>
        </row>
        <row r="210">
          <cell r="C210" t="str">
            <v>M27AUSS22EFH.27D3661</v>
          </cell>
          <cell r="D210" t="str">
            <v>M27AUSS22EFH.27D3661(D905)</v>
          </cell>
          <cell r="E210" t="str">
            <v>D905</v>
          </cell>
          <cell r="F210" t="str">
            <v>D905</v>
          </cell>
          <cell r="G210">
            <v>300</v>
          </cell>
        </row>
        <row r="211">
          <cell r="C211" t="str">
            <v>M27USSS22EFH.27D3681</v>
          </cell>
          <cell r="D211" t="str">
            <v>M27USSS22EFH.27D3681(D905)</v>
          </cell>
          <cell r="E211" t="str">
            <v>D905</v>
          </cell>
          <cell r="F211" t="str">
            <v>D905</v>
          </cell>
          <cell r="G211">
            <v>300</v>
          </cell>
        </row>
        <row r="212">
          <cell r="C212" t="str">
            <v>M27USSS22EFH.27D3662</v>
          </cell>
          <cell r="D212" t="str">
            <v>M27USSS22EFH.27D3662(D905)</v>
          </cell>
          <cell r="E212" t="str">
            <v>D905</v>
          </cell>
          <cell r="F212" t="str">
            <v>D905</v>
          </cell>
          <cell r="G212">
            <v>300</v>
          </cell>
        </row>
        <row r="213">
          <cell r="C213" t="str">
            <v>M27USSS22EFH.27D36D1</v>
          </cell>
          <cell r="D213" t="str">
            <v>M27USSS22EFH.27D36D1(D905)</v>
          </cell>
          <cell r="E213" t="str">
            <v>D905</v>
          </cell>
          <cell r="F213" t="str">
            <v>D905</v>
          </cell>
          <cell r="G213">
            <v>300</v>
          </cell>
        </row>
        <row r="214">
          <cell r="C214" t="str">
            <v>M27AUSS22EFH.27D3601</v>
          </cell>
          <cell r="D214" t="str">
            <v>M27AUSS22EFH.27D3601(D905)</v>
          </cell>
          <cell r="E214" t="str">
            <v>D905</v>
          </cell>
          <cell r="F214" t="str">
            <v>D905</v>
          </cell>
          <cell r="G214">
            <v>300</v>
          </cell>
        </row>
        <row r="215">
          <cell r="C215" t="str">
            <v>M27AUSS22EF-.27D3661</v>
          </cell>
          <cell r="D215" t="str">
            <v>M27AUSS22EF-.27D3661(D905)</v>
          </cell>
          <cell r="E215" t="str">
            <v>D905</v>
          </cell>
          <cell r="F215" t="str">
            <v>D905</v>
          </cell>
          <cell r="G215">
            <v>300</v>
          </cell>
        </row>
        <row r="216">
          <cell r="C216" t="str">
            <v>M27TRSS22EFH.27D3661</v>
          </cell>
          <cell r="D216" t="str">
            <v>M27TRSS22EFH.27D3661(D905)</v>
          </cell>
          <cell r="E216" t="str">
            <v>D905</v>
          </cell>
          <cell r="F216" t="str">
            <v>D905</v>
          </cell>
          <cell r="G216">
            <v>300</v>
          </cell>
        </row>
        <row r="217">
          <cell r="C217" t="str">
            <v>M27CLSS22EFH.27D3661</v>
          </cell>
          <cell r="D217" t="str">
            <v>M27CLSS22EFH.27D3661(D905)</v>
          </cell>
          <cell r="E217" t="str">
            <v>D905</v>
          </cell>
          <cell r="F217" t="str">
            <v>D905</v>
          </cell>
          <cell r="G217">
            <v>300</v>
          </cell>
        </row>
        <row r="218">
          <cell r="C218" t="str">
            <v>M27GBSS22EFH.27D3661</v>
          </cell>
          <cell r="D218" t="str">
            <v>M27GBSS22EFH.27D3661(D905)</v>
          </cell>
          <cell r="E218" t="str">
            <v>D905</v>
          </cell>
          <cell r="F218" t="str">
            <v>D905</v>
          </cell>
          <cell r="G218">
            <v>300</v>
          </cell>
        </row>
        <row r="219">
          <cell r="C219" t="str">
            <v>M27GBSS22EFH.27D3601</v>
          </cell>
          <cell r="D219" t="str">
            <v>M27GBSS22EFH.27D3601(D905)</v>
          </cell>
          <cell r="E219" t="str">
            <v>D905</v>
          </cell>
          <cell r="F219" t="str">
            <v>D905</v>
          </cell>
          <cell r="G219">
            <v>300</v>
          </cell>
        </row>
        <row r="220">
          <cell r="C220" t="str">
            <v>M27ILSS22EFH.27D3621</v>
          </cell>
          <cell r="D220" t="str">
            <v>M27ILSS22EFH.27D3621(D905)</v>
          </cell>
          <cell r="E220" t="str">
            <v>D905</v>
          </cell>
          <cell r="F220" t="str">
            <v>D905</v>
          </cell>
          <cell r="G220">
            <v>300</v>
          </cell>
        </row>
        <row r="221">
          <cell r="C221" t="str">
            <v>M27USSS22EFH.27D3661</v>
          </cell>
          <cell r="D221" t="str">
            <v>M27USSS22EFH.27D3661(D905)</v>
          </cell>
          <cell r="E221" t="str">
            <v>D905</v>
          </cell>
          <cell r="F221" t="str">
            <v>D905</v>
          </cell>
          <cell r="G221">
            <v>300</v>
          </cell>
        </row>
        <row r="222">
          <cell r="C222" t="str">
            <v>M27USSS22EFH.27D3661</v>
          </cell>
          <cell r="D222" t="str">
            <v>M27USSS22EFH.27D3661(D905)</v>
          </cell>
          <cell r="E222" t="str">
            <v>D905</v>
          </cell>
          <cell r="F222" t="str">
            <v>D905</v>
          </cell>
          <cell r="G222">
            <v>210</v>
          </cell>
        </row>
        <row r="223">
          <cell r="C223" t="str">
            <v>M27NLSS22AFH.27D3601</v>
          </cell>
          <cell r="D223" t="str">
            <v>M27NLSS22AFH.27D3601(D905)</v>
          </cell>
          <cell r="E223" t="str">
            <v>D905</v>
          </cell>
          <cell r="F223" t="str">
            <v>D905</v>
          </cell>
          <cell r="G223">
            <v>430</v>
          </cell>
        </row>
        <row r="224">
          <cell r="C224" t="str">
            <v>M27NLSS22AFH.27D3602</v>
          </cell>
          <cell r="D224" t="str">
            <v>M27NLSS22AFH.27D3602(D905)</v>
          </cell>
          <cell r="E224" t="str">
            <v>D905</v>
          </cell>
          <cell r="F224" t="str">
            <v>D905</v>
          </cell>
          <cell r="G224">
            <v>430</v>
          </cell>
        </row>
        <row r="225">
          <cell r="C225" t="str">
            <v>M27NLSS22AF-.27D3602</v>
          </cell>
          <cell r="D225" t="str">
            <v>M27NLSS22AF-.27D3602(D905)</v>
          </cell>
          <cell r="E225" t="str">
            <v>D905</v>
          </cell>
          <cell r="F225" t="str">
            <v>D905</v>
          </cell>
          <cell r="G225">
            <v>430</v>
          </cell>
        </row>
        <row r="226">
          <cell r="C226" t="str">
            <v>M27NLSS22AFH.27D3621</v>
          </cell>
          <cell r="D226" t="str">
            <v>M27NLSS22AFH.27D3621(D905)</v>
          </cell>
          <cell r="E226" t="str">
            <v>D905</v>
          </cell>
          <cell r="F226" t="str">
            <v>D905</v>
          </cell>
          <cell r="G226">
            <v>430</v>
          </cell>
        </row>
        <row r="227">
          <cell r="C227" t="str">
            <v>M27NLSS22AFH.27D3622</v>
          </cell>
          <cell r="D227" t="str">
            <v>M27NLSS22AFH.27D3622(D905)</v>
          </cell>
          <cell r="E227" t="str">
            <v>D905</v>
          </cell>
          <cell r="F227" t="str">
            <v>D905</v>
          </cell>
          <cell r="G227">
            <v>430</v>
          </cell>
        </row>
        <row r="228">
          <cell r="C228" t="str">
            <v>M27NLSS22AFH.27D3641</v>
          </cell>
          <cell r="D228" t="str">
            <v>M27NLSS22AFH.27D3641(D905)</v>
          </cell>
          <cell r="E228" t="str">
            <v>D905</v>
          </cell>
          <cell r="F228" t="str">
            <v>D905</v>
          </cell>
          <cell r="G228">
            <v>430</v>
          </cell>
        </row>
        <row r="229">
          <cell r="C229" t="str">
            <v>M27NLSS22AFH.27D3642</v>
          </cell>
          <cell r="D229" t="str">
            <v>M27NLSS22AFH.27D3642(D905)</v>
          </cell>
          <cell r="E229" t="str">
            <v>D905</v>
          </cell>
          <cell r="F229" t="str">
            <v>D905</v>
          </cell>
          <cell r="G229">
            <v>430</v>
          </cell>
        </row>
        <row r="230">
          <cell r="C230" t="str">
            <v>M27NLSS22AFH.27D3661</v>
          </cell>
          <cell r="D230" t="str">
            <v>M27NLSS22AFH.27D3661(D905)</v>
          </cell>
          <cell r="E230" t="str">
            <v>D905</v>
          </cell>
          <cell r="F230" t="str">
            <v>D905</v>
          </cell>
          <cell r="G230">
            <v>430</v>
          </cell>
        </row>
        <row r="231">
          <cell r="C231" t="str">
            <v>M27NLSS22AFH.27D3662</v>
          </cell>
          <cell r="D231" t="str">
            <v>M27NLSS22AFH.27D3662(D905)</v>
          </cell>
          <cell r="E231" t="str">
            <v>D905</v>
          </cell>
          <cell r="F231" t="str">
            <v>D905</v>
          </cell>
          <cell r="G231">
            <v>430</v>
          </cell>
        </row>
        <row r="232">
          <cell r="C232" t="str">
            <v>M27VNSS22AFH.27D3661</v>
          </cell>
          <cell r="D232" t="str">
            <v>M27VNSS22AFH.27D3661(D905)</v>
          </cell>
          <cell r="E232" t="str">
            <v>D905</v>
          </cell>
          <cell r="F232" t="str">
            <v>D905</v>
          </cell>
          <cell r="G232">
            <v>430</v>
          </cell>
        </row>
        <row r="233">
          <cell r="C233" t="str">
            <v>M27VNSS22AF-.27D3662</v>
          </cell>
          <cell r="D233" t="str">
            <v>M27VNSS22AF-.27D3662(D905)</v>
          </cell>
          <cell r="E233" t="str">
            <v>D905</v>
          </cell>
          <cell r="F233" t="str">
            <v>D905</v>
          </cell>
          <cell r="G233">
            <v>430</v>
          </cell>
        </row>
        <row r="234">
          <cell r="C234" t="str">
            <v>M27VNSS22AFH.27D3662</v>
          </cell>
          <cell r="D234" t="str">
            <v>M27VNSS22AFH.27D3662(D905)</v>
          </cell>
          <cell r="E234" t="str">
            <v>D905</v>
          </cell>
          <cell r="F234" t="str">
            <v>D905</v>
          </cell>
          <cell r="G234">
            <v>430</v>
          </cell>
        </row>
        <row r="235">
          <cell r="C235" t="str">
            <v>M27AUSS22AFH.27D3601</v>
          </cell>
          <cell r="D235" t="str">
            <v>M27AUSS22AFH.27D3601(D905)</v>
          </cell>
          <cell r="E235" t="str">
            <v>D905</v>
          </cell>
          <cell r="F235" t="str">
            <v>D905</v>
          </cell>
          <cell r="G235">
            <v>430</v>
          </cell>
        </row>
        <row r="236">
          <cell r="C236" t="str">
            <v>M27AUSS22AF-.27D3602</v>
          </cell>
          <cell r="D236" t="str">
            <v>M27AUSS22AF-.27D3602(D905)</v>
          </cell>
          <cell r="E236" t="str">
            <v>D905</v>
          </cell>
          <cell r="F236" t="str">
            <v>D905</v>
          </cell>
          <cell r="G236">
            <v>430</v>
          </cell>
        </row>
        <row r="237">
          <cell r="C237" t="str">
            <v>M27AUSS22AFH.27D3602</v>
          </cell>
          <cell r="D237" t="str">
            <v>M27AUSS22AFH.27D3602(D905)</v>
          </cell>
          <cell r="E237" t="str">
            <v>D905</v>
          </cell>
          <cell r="F237" t="str">
            <v>D905</v>
          </cell>
          <cell r="G237">
            <v>430</v>
          </cell>
        </row>
        <row r="238">
          <cell r="C238" t="str">
            <v>M27AUSS22AFH.27D3662</v>
          </cell>
          <cell r="D238" t="str">
            <v>M27AUSS22AFH.27D3662(D905)</v>
          </cell>
          <cell r="E238" t="str">
            <v>D905</v>
          </cell>
          <cell r="F238" t="str">
            <v>D905</v>
          </cell>
          <cell r="G238">
            <v>430</v>
          </cell>
        </row>
        <row r="239">
          <cell r="C239" t="str">
            <v>M27CLSS22AFH.27D3601</v>
          </cell>
          <cell r="D239" t="str">
            <v>M27CLSS22AFH.27D3601(D905)</v>
          </cell>
          <cell r="E239" t="str">
            <v>D905</v>
          </cell>
          <cell r="F239" t="str">
            <v>D905</v>
          </cell>
          <cell r="G239">
            <v>430</v>
          </cell>
        </row>
        <row r="240">
          <cell r="C240" t="str">
            <v>M27CLSS22AFH.27D3602</v>
          </cell>
          <cell r="D240" t="str">
            <v>M27CLSS22AFH.27D3602(D905)</v>
          </cell>
          <cell r="E240" t="str">
            <v>D905</v>
          </cell>
          <cell r="F240" t="str">
            <v>D905</v>
          </cell>
          <cell r="G240">
            <v>430</v>
          </cell>
        </row>
        <row r="241">
          <cell r="C241" t="str">
            <v>M27CLSS22AFH.27D3662</v>
          </cell>
          <cell r="D241" t="str">
            <v>M27CLSS22AFH.27D3662(D905)</v>
          </cell>
          <cell r="E241" t="str">
            <v>D905</v>
          </cell>
          <cell r="F241" t="str">
            <v>D905</v>
          </cell>
          <cell r="G241">
            <v>430</v>
          </cell>
        </row>
        <row r="242">
          <cell r="C242" t="str">
            <v>M27USSS22AFH.27D3601</v>
          </cell>
          <cell r="D242" t="str">
            <v>M27USSS22AFH.27D3601(D905)</v>
          </cell>
          <cell r="E242" t="str">
            <v>D905</v>
          </cell>
          <cell r="F242" t="str">
            <v>D905</v>
          </cell>
          <cell r="G242">
            <v>430</v>
          </cell>
        </row>
        <row r="243">
          <cell r="C243" t="str">
            <v>M27USSS22AFH.27D3602</v>
          </cell>
          <cell r="D243" t="str">
            <v>M27USSS22AFH.27D3602(D905)</v>
          </cell>
          <cell r="E243" t="str">
            <v>D905</v>
          </cell>
          <cell r="F243" t="str">
            <v>D905</v>
          </cell>
          <cell r="G243">
            <v>430</v>
          </cell>
        </row>
        <row r="244">
          <cell r="C244" t="str">
            <v>M27USSS22AFH.27D3622</v>
          </cell>
          <cell r="D244" t="str">
            <v>M27USSS22AFH.27D3622(D905)</v>
          </cell>
          <cell r="E244" t="str">
            <v>D905</v>
          </cell>
          <cell r="F244" t="str">
            <v>D905</v>
          </cell>
          <cell r="G244">
            <v>430</v>
          </cell>
        </row>
        <row r="245">
          <cell r="C245" t="str">
            <v>M27USSS22AFH.27D3661</v>
          </cell>
          <cell r="D245" t="str">
            <v>M27USSS22AFH.27D3661(D905)</v>
          </cell>
          <cell r="E245" t="str">
            <v>D905</v>
          </cell>
          <cell r="F245" t="str">
            <v>D905</v>
          </cell>
          <cell r="G245">
            <v>430</v>
          </cell>
        </row>
        <row r="246">
          <cell r="C246" t="str">
            <v>M27USSS22AFH.27D3662</v>
          </cell>
          <cell r="D246" t="str">
            <v>M27USSS22AFH.27D3662(D905)</v>
          </cell>
          <cell r="E246" t="str">
            <v>D905</v>
          </cell>
          <cell r="F246" t="str">
            <v>D905</v>
          </cell>
          <cell r="G246">
            <v>430</v>
          </cell>
        </row>
        <row r="247">
          <cell r="C247" t="str">
            <v>M27USSS22AFH.27D3682</v>
          </cell>
          <cell r="D247" t="str">
            <v>M27USSS22AFH.27D3682(D905)</v>
          </cell>
          <cell r="E247" t="str">
            <v>D905</v>
          </cell>
          <cell r="F247" t="str">
            <v>D905</v>
          </cell>
          <cell r="G247">
            <v>430</v>
          </cell>
        </row>
        <row r="248">
          <cell r="C248" t="str">
            <v>M27USSS22AFH.27D36C2</v>
          </cell>
          <cell r="D248" t="str">
            <v>M27USSS22AFH.27D36C2(D905)</v>
          </cell>
          <cell r="E248" t="str">
            <v>D905</v>
          </cell>
          <cell r="F248" t="str">
            <v>D905</v>
          </cell>
          <cell r="G248">
            <v>430</v>
          </cell>
        </row>
        <row r="249">
          <cell r="C249" t="str">
            <v>M27USSS22AFH.27D36D2</v>
          </cell>
          <cell r="D249" t="str">
            <v>M27USSS22AFH.27D36D2(D905)</v>
          </cell>
          <cell r="E249" t="str">
            <v>D905</v>
          </cell>
          <cell r="F249" t="str">
            <v>D905</v>
          </cell>
          <cell r="G249">
            <v>430</v>
          </cell>
        </row>
        <row r="250">
          <cell r="C250" t="str">
            <v>M27AESS22AFH.27D3621</v>
          </cell>
          <cell r="D250" t="str">
            <v>M27AESS22AFH.27D3621(D905)</v>
          </cell>
          <cell r="E250" t="str">
            <v>D905</v>
          </cell>
          <cell r="F250" t="str">
            <v>D905</v>
          </cell>
          <cell r="G250">
            <v>430</v>
          </cell>
        </row>
        <row r="251">
          <cell r="C251" t="str">
            <v>M27AESS22AFH.27D3622</v>
          </cell>
          <cell r="D251" t="str">
            <v>M27AESS22AFH.27D3622(D905)</v>
          </cell>
          <cell r="E251" t="str">
            <v>D905</v>
          </cell>
          <cell r="F251" t="str">
            <v>D905</v>
          </cell>
          <cell r="G251">
            <v>430</v>
          </cell>
        </row>
        <row r="252">
          <cell r="C252" t="str">
            <v>M27SGSS22AFH.27D3602</v>
          </cell>
          <cell r="D252" t="str">
            <v>M27SGSS22AFH.27D3602(D905)</v>
          </cell>
          <cell r="E252" t="str">
            <v>D905</v>
          </cell>
          <cell r="F252" t="str">
            <v>D905</v>
          </cell>
          <cell r="G252">
            <v>430</v>
          </cell>
        </row>
        <row r="253">
          <cell r="C253" t="str">
            <v>M27MXSS22AF-.27D3602</v>
          </cell>
          <cell r="D253" t="str">
            <v>M27MXSS22AF-.27D3602(D905)</v>
          </cell>
          <cell r="E253" t="str">
            <v>D905</v>
          </cell>
          <cell r="F253" t="str">
            <v>D905</v>
          </cell>
          <cell r="G253">
            <v>430</v>
          </cell>
        </row>
        <row r="254">
          <cell r="C254" t="str">
            <v>M27MXSS22AFH.27D3602</v>
          </cell>
          <cell r="D254" t="str">
            <v>M27MXSS22AFH.27D3602(D905)</v>
          </cell>
          <cell r="E254" t="str">
            <v>D905</v>
          </cell>
          <cell r="F254" t="str">
            <v>D905</v>
          </cell>
          <cell r="G254">
            <v>430</v>
          </cell>
        </row>
        <row r="255">
          <cell r="C255" t="str">
            <v>M27TRSS22AF-.27D3662</v>
          </cell>
          <cell r="D255" t="str">
            <v>M27TRSS22AF-.27D3662(D905)</v>
          </cell>
          <cell r="E255" t="str">
            <v>D905</v>
          </cell>
          <cell r="F255" t="str">
            <v>D905</v>
          </cell>
          <cell r="G255">
            <v>430</v>
          </cell>
        </row>
        <row r="256">
          <cell r="C256" t="str">
            <v>M27TRSS22AFH.27D3662</v>
          </cell>
          <cell r="D256" t="str">
            <v>M27TRSS22AFH.27D3662(D905)</v>
          </cell>
          <cell r="E256" t="str">
            <v>D905</v>
          </cell>
          <cell r="F256" t="str">
            <v>D905</v>
          </cell>
          <cell r="G256">
            <v>430</v>
          </cell>
        </row>
        <row r="257">
          <cell r="C257" t="str">
            <v>M27GBSS22AFH.27D3602</v>
          </cell>
          <cell r="D257" t="str">
            <v>M27GBSS22AFH.27D3602(D905)</v>
          </cell>
          <cell r="E257" t="str">
            <v>D905</v>
          </cell>
          <cell r="F257" t="str">
            <v>D905</v>
          </cell>
          <cell r="G257">
            <v>430</v>
          </cell>
        </row>
        <row r="258">
          <cell r="C258" t="str">
            <v>M27GBSS22AFH.27D3622</v>
          </cell>
          <cell r="D258" t="str">
            <v>M27GBSS22AFH.27D3622(D905)</v>
          </cell>
          <cell r="E258" t="str">
            <v>D905</v>
          </cell>
          <cell r="F258" t="str">
            <v>D905</v>
          </cell>
          <cell r="G258">
            <v>430</v>
          </cell>
        </row>
        <row r="259">
          <cell r="C259" t="str">
            <v>M27GBSS22AFH.27D3662</v>
          </cell>
          <cell r="D259" t="str">
            <v>M27GBSS22AFH.27D3662(D905)</v>
          </cell>
          <cell r="E259" t="str">
            <v>D905</v>
          </cell>
          <cell r="F259" t="str">
            <v>D905</v>
          </cell>
          <cell r="G259">
            <v>430</v>
          </cell>
        </row>
        <row r="260">
          <cell r="C260" t="str">
            <v>M27TRSS22AFH.27D3662</v>
          </cell>
          <cell r="D260" t="str">
            <v>M27TRSS22AFH.27D3662(D905)</v>
          </cell>
          <cell r="E260" t="str">
            <v>D905</v>
          </cell>
          <cell r="F260" t="str">
            <v>D905</v>
          </cell>
          <cell r="G260">
            <v>430</v>
          </cell>
        </row>
        <row r="261">
          <cell r="C261" t="str">
            <v>M27TRSS22EFH.27D3661</v>
          </cell>
          <cell r="D261" t="str">
            <v>M27TRSS22EFH.27D3661(D905)</v>
          </cell>
          <cell r="E261" t="str">
            <v>D905</v>
          </cell>
          <cell r="F261" t="str">
            <v>D905</v>
          </cell>
          <cell r="G261">
            <v>430</v>
          </cell>
        </row>
        <row r="262">
          <cell r="C262" t="str">
            <v>M27ARSS22EFH.27D3661</v>
          </cell>
          <cell r="D262" t="str">
            <v>M27ARSS22EFH.27D3661(D905)</v>
          </cell>
          <cell r="E262" t="str">
            <v>D905</v>
          </cell>
          <cell r="F262" t="str">
            <v>D905</v>
          </cell>
          <cell r="G262">
            <v>430</v>
          </cell>
        </row>
        <row r="263">
          <cell r="C263" t="str">
            <v>M27ARSS22AFH.27D3662</v>
          </cell>
          <cell r="D263" t="str">
            <v>M27ARSS22AFH.27D3662(D905)</v>
          </cell>
          <cell r="E263" t="str">
            <v>D905</v>
          </cell>
          <cell r="F263" t="str">
            <v>D905</v>
          </cell>
          <cell r="G263">
            <v>430</v>
          </cell>
        </row>
        <row r="264">
          <cell r="C264" t="str">
            <v>M27ILSS22AFH.27D3622</v>
          </cell>
          <cell r="D264" t="str">
            <v>M27ILSS22AFH.27D3622(D905)</v>
          </cell>
          <cell r="E264" t="str">
            <v>D905</v>
          </cell>
          <cell r="F264" t="str">
            <v>D905</v>
          </cell>
          <cell r="G264">
            <v>430</v>
          </cell>
        </row>
        <row r="265">
          <cell r="C265" t="str">
            <v>M27NLSS22EFH.27D3621</v>
          </cell>
          <cell r="D265" t="str">
            <v>M27NLSS22EFH.27D3621(D905)</v>
          </cell>
          <cell r="E265" t="str">
            <v>D905</v>
          </cell>
          <cell r="F265" t="str">
            <v>D905</v>
          </cell>
          <cell r="G265">
            <v>430</v>
          </cell>
        </row>
        <row r="266">
          <cell r="C266" t="str">
            <v>M27NLSS22EFH.27D3661</v>
          </cell>
          <cell r="D266" t="str">
            <v>M27NLSS22EFH.27D3661(D905)</v>
          </cell>
          <cell r="E266" t="str">
            <v>D905</v>
          </cell>
          <cell r="F266" t="str">
            <v>D905</v>
          </cell>
          <cell r="G266">
            <v>430</v>
          </cell>
        </row>
        <row r="267">
          <cell r="C267" t="str">
            <v>M27AUSS22EFH.27D3661</v>
          </cell>
          <cell r="D267" t="str">
            <v>M27AUSS22EFH.27D3661(D905)</v>
          </cell>
          <cell r="E267" t="str">
            <v>D905</v>
          </cell>
          <cell r="F267" t="str">
            <v>D905</v>
          </cell>
          <cell r="G267">
            <v>430</v>
          </cell>
        </row>
        <row r="268">
          <cell r="C268" t="str">
            <v>M27CLSS22EFH.27D3661</v>
          </cell>
          <cell r="D268" t="str">
            <v>M27CLSS22EFH.27D3661(D905)</v>
          </cell>
          <cell r="E268" t="str">
            <v>D905</v>
          </cell>
          <cell r="F268" t="str">
            <v>D905</v>
          </cell>
          <cell r="G268">
            <v>430</v>
          </cell>
        </row>
        <row r="269">
          <cell r="C269" t="str">
            <v>M27GBSS22EFH.27D3661</v>
          </cell>
          <cell r="D269" t="str">
            <v>M27GBSS22EFH.27D3661(D905)</v>
          </cell>
          <cell r="E269" t="str">
            <v>D905</v>
          </cell>
          <cell r="F269" t="str">
            <v>D905</v>
          </cell>
          <cell r="G269">
            <v>430</v>
          </cell>
        </row>
        <row r="270">
          <cell r="C270" t="str">
            <v>M27IDSS22EQH.FG510-1</v>
          </cell>
          <cell r="D270" t="str">
            <v>M27IDSS22EQH.FG510-1(D905)</v>
          </cell>
          <cell r="E270" t="str">
            <v>D905</v>
          </cell>
          <cell r="F270" t="str">
            <v>D905</v>
          </cell>
          <cell r="G270">
            <v>280</v>
          </cell>
        </row>
        <row r="271">
          <cell r="C271" t="str">
            <v>M27USSS22FQH.FG510-1</v>
          </cell>
          <cell r="D271" t="str">
            <v>M27USSS22FQH.FG510-1(D905)</v>
          </cell>
          <cell r="E271" t="str">
            <v>D905</v>
          </cell>
          <cell r="F271" t="str">
            <v>D905</v>
          </cell>
          <cell r="G271">
            <v>280</v>
          </cell>
        </row>
        <row r="272">
          <cell r="C272" t="str">
            <v>M27KRSS22EQH.FG512-1</v>
          </cell>
          <cell r="D272" t="str">
            <v>M27KRSS22EQH.FG512-1(D905)</v>
          </cell>
          <cell r="E272" t="str">
            <v>D905</v>
          </cell>
          <cell r="F272" t="str">
            <v>D905</v>
          </cell>
          <cell r="G272">
            <v>280</v>
          </cell>
        </row>
        <row r="273">
          <cell r="C273" t="str">
            <v>M27CLSS22EQH.FG512-1</v>
          </cell>
          <cell r="D273" t="str">
            <v>M27CLSS22EQH.FG512-1(D905)</v>
          </cell>
          <cell r="E273" t="str">
            <v>D905</v>
          </cell>
          <cell r="F273" t="str">
            <v>D905</v>
          </cell>
          <cell r="G273">
            <v>280</v>
          </cell>
        </row>
        <row r="274">
          <cell r="C274" t="str">
            <v>M27NLSS22EQH.FG514-1</v>
          </cell>
          <cell r="D274" t="str">
            <v>M27NLSS22EQH.FG514-1(D905)</v>
          </cell>
          <cell r="E274" t="str">
            <v>D905</v>
          </cell>
          <cell r="F274" t="str">
            <v>D905</v>
          </cell>
          <cell r="G274">
            <v>280</v>
          </cell>
        </row>
        <row r="275">
          <cell r="C275" t="str">
            <v>M27AESS22EQH.FG510-1</v>
          </cell>
          <cell r="D275" t="str">
            <v>M27AESS22EQH.FG510-1(D905)</v>
          </cell>
          <cell r="E275" t="str">
            <v>D905</v>
          </cell>
          <cell r="F275" t="str">
            <v>D905</v>
          </cell>
          <cell r="G275">
            <v>280</v>
          </cell>
        </row>
        <row r="276">
          <cell r="C276" t="str">
            <v>M27ARSS22EQH.FG512-1</v>
          </cell>
          <cell r="D276" t="str">
            <v>M27ARSS22EQH.FG512-1(D905)</v>
          </cell>
          <cell r="E276" t="str">
            <v>D905</v>
          </cell>
          <cell r="F276" t="str">
            <v>D905</v>
          </cell>
          <cell r="G276">
            <v>280</v>
          </cell>
        </row>
        <row r="277">
          <cell r="C277" t="str">
            <v>M27KRSS22EQH.FG514-1</v>
          </cell>
          <cell r="D277" t="str">
            <v>M27KRSS22EQH.FG514-1(D905)</v>
          </cell>
          <cell r="E277" t="str">
            <v>D905</v>
          </cell>
          <cell r="F277" t="str">
            <v>D905</v>
          </cell>
          <cell r="G277">
            <v>280</v>
          </cell>
        </row>
        <row r="278">
          <cell r="C278" t="str">
            <v>M27NLSS22EQH.FG510-1</v>
          </cell>
          <cell r="D278" t="str">
            <v>M27NLSS22EQH.FG510-1(D905)</v>
          </cell>
          <cell r="E278" t="str">
            <v>D905</v>
          </cell>
          <cell r="F278" t="str">
            <v>D905</v>
          </cell>
          <cell r="G278">
            <v>280</v>
          </cell>
        </row>
        <row r="279">
          <cell r="C279" t="str">
            <v>M27NLSS22EQH.FG512-1</v>
          </cell>
          <cell r="D279" t="str">
            <v>M27NLSS22EQH.FG512-1(D905)</v>
          </cell>
          <cell r="E279" t="str">
            <v>D905</v>
          </cell>
          <cell r="F279" t="str">
            <v>D905</v>
          </cell>
          <cell r="G279">
            <v>280</v>
          </cell>
        </row>
        <row r="280">
          <cell r="C280" t="str">
            <v>M27TRSS22EQH.FG512-1</v>
          </cell>
          <cell r="D280" t="str">
            <v>M27TRSS22EQH.FG512-1(D905)</v>
          </cell>
          <cell r="E280" t="str">
            <v>D905</v>
          </cell>
          <cell r="F280" t="str">
            <v>D905</v>
          </cell>
          <cell r="G280">
            <v>280</v>
          </cell>
        </row>
        <row r="281">
          <cell r="C281" t="str">
            <v>M27USSS22EQH.FG510-1</v>
          </cell>
          <cell r="D281" t="str">
            <v>M27USSS22EQH.FG510-1(D905)</v>
          </cell>
          <cell r="E281" t="str">
            <v>D905</v>
          </cell>
          <cell r="F281" t="str">
            <v>D905</v>
          </cell>
          <cell r="G281">
            <v>280</v>
          </cell>
        </row>
        <row r="282">
          <cell r="C282" t="str">
            <v>M27USSS22EQH.FG512-1</v>
          </cell>
          <cell r="D282" t="str">
            <v>M27USSS22EQH.FG512-1(D905)</v>
          </cell>
          <cell r="E282" t="str">
            <v>D905</v>
          </cell>
          <cell r="F282" t="str">
            <v>D905</v>
          </cell>
          <cell r="G282">
            <v>280</v>
          </cell>
        </row>
        <row r="283">
          <cell r="C283" t="str">
            <v>M27USSS22EQH.FG512-2</v>
          </cell>
          <cell r="D283" t="str">
            <v>M27USSS22EQH.FG512-2(D905)</v>
          </cell>
          <cell r="E283" t="str">
            <v>D905</v>
          </cell>
          <cell r="F283" t="str">
            <v>D905</v>
          </cell>
          <cell r="G283">
            <v>280</v>
          </cell>
        </row>
        <row r="284">
          <cell r="C284" t="str">
            <v>M27USSS22EQH.FG510-3</v>
          </cell>
          <cell r="D284" t="str">
            <v>M27USSS22EQH.FG510-3(D905)</v>
          </cell>
          <cell r="E284" t="str">
            <v>D905</v>
          </cell>
          <cell r="F284" t="str">
            <v>D905</v>
          </cell>
          <cell r="G284">
            <v>280</v>
          </cell>
        </row>
        <row r="285">
          <cell r="C285" t="str">
            <v>M32NLSS22EQH.FG510-1</v>
          </cell>
          <cell r="D285" t="str">
            <v>M32NLSS22EQH.FG510-1(D905)</v>
          </cell>
          <cell r="E285" t="str">
            <v>D905</v>
          </cell>
          <cell r="F285" t="str">
            <v>D905</v>
          </cell>
          <cell r="G285">
            <v>280</v>
          </cell>
        </row>
        <row r="286">
          <cell r="C286" t="str">
            <v>M32USSS22FQH.FG510-1</v>
          </cell>
          <cell r="D286" t="str">
            <v>M32USSS22FQH.FG510-1(D905)</v>
          </cell>
          <cell r="E286" t="str">
            <v>D905</v>
          </cell>
          <cell r="F286" t="str">
            <v>D905</v>
          </cell>
          <cell r="G286">
            <v>260</v>
          </cell>
        </row>
        <row r="287">
          <cell r="C287" t="str">
            <v>M32USSS22EQH.FG510-1</v>
          </cell>
          <cell r="D287" t="str">
            <v>M32USSS22EQH.FG510-1(D905)</v>
          </cell>
          <cell r="E287" t="str">
            <v>D905</v>
          </cell>
          <cell r="F287" t="str">
            <v>D905</v>
          </cell>
          <cell r="G287">
            <v>260</v>
          </cell>
        </row>
        <row r="288">
          <cell r="C288" t="str">
            <v>M32USSS22EQH.FG512-1</v>
          </cell>
          <cell r="D288" t="str">
            <v>M32USSS22EQH.FG512-1(D905)</v>
          </cell>
          <cell r="E288" t="str">
            <v>D905</v>
          </cell>
          <cell r="F288" t="str">
            <v>D905</v>
          </cell>
          <cell r="G288">
            <v>260</v>
          </cell>
        </row>
        <row r="289">
          <cell r="C289" t="str">
            <v>M32USSS22EQH.FG51D-1</v>
          </cell>
          <cell r="D289" t="str">
            <v>M32USSS22EQH.FG51D-1(D905)</v>
          </cell>
          <cell r="E289" t="str">
            <v>D905</v>
          </cell>
          <cell r="F289" t="str">
            <v>D905</v>
          </cell>
          <cell r="G289">
            <v>260</v>
          </cell>
        </row>
        <row r="290">
          <cell r="C290" t="str">
            <v>M32USSS24EQH.FG512-1</v>
          </cell>
          <cell r="D290" t="str">
            <v>M32USSS24EQH.FG512-1(D905)</v>
          </cell>
          <cell r="E290" t="str">
            <v>D905</v>
          </cell>
          <cell r="F290" t="str">
            <v>D905</v>
          </cell>
          <cell r="G290">
            <v>260</v>
          </cell>
        </row>
        <row r="291">
          <cell r="C291" t="str">
            <v>M32VNSS24EQH.FG510-1</v>
          </cell>
          <cell r="D291" t="str">
            <v>M32VNSS24EQH.FG510-1(D905)</v>
          </cell>
          <cell r="E291" t="str">
            <v>D905</v>
          </cell>
          <cell r="F291" t="str">
            <v>D905</v>
          </cell>
          <cell r="G291">
            <v>260</v>
          </cell>
        </row>
        <row r="292">
          <cell r="C292" t="str">
            <v>M32AUSS24EQH.FG510-1</v>
          </cell>
          <cell r="D292" t="str">
            <v>M32AUSS24EQH.FG510-1(D905)</v>
          </cell>
          <cell r="E292" t="str">
            <v>D905</v>
          </cell>
          <cell r="F292" t="str">
            <v>D905</v>
          </cell>
          <cell r="G292">
            <v>260</v>
          </cell>
        </row>
        <row r="293">
          <cell r="C293" t="str">
            <v>M32INSS24EQH.FG510-1</v>
          </cell>
          <cell r="D293" t="str">
            <v>M32INSS24EQH.FG510-1(D905)</v>
          </cell>
          <cell r="E293" t="str">
            <v>D905</v>
          </cell>
          <cell r="F293" t="str">
            <v>D905</v>
          </cell>
          <cell r="G293">
            <v>260</v>
          </cell>
        </row>
        <row r="294">
          <cell r="C294" t="str">
            <v>M32TRSS22EQH.FG512-1</v>
          </cell>
          <cell r="D294" t="str">
            <v>M32TRSS22EQH.FG512-1(D905)</v>
          </cell>
          <cell r="E294" t="str">
            <v>D905</v>
          </cell>
          <cell r="F294" t="str">
            <v>D905</v>
          </cell>
          <cell r="G294">
            <v>260</v>
          </cell>
        </row>
        <row r="295">
          <cell r="C295" t="str">
            <v>M32NLSS22EQH.FG514-1</v>
          </cell>
          <cell r="D295" t="str">
            <v>M32NLSS22EQH.FG514-1(D905)</v>
          </cell>
          <cell r="E295" t="str">
            <v>D905</v>
          </cell>
          <cell r="F295" t="str">
            <v>D905</v>
          </cell>
          <cell r="G295">
            <v>260</v>
          </cell>
        </row>
        <row r="296">
          <cell r="C296" t="str">
            <v>M32AESS22EQH.FG510-1</v>
          </cell>
          <cell r="D296" t="str">
            <v>M32AESS22EQH.FG510-1(D905)</v>
          </cell>
          <cell r="E296" t="str">
            <v>D905</v>
          </cell>
          <cell r="F296" t="str">
            <v>D905</v>
          </cell>
          <cell r="G296">
            <v>260</v>
          </cell>
        </row>
        <row r="297">
          <cell r="C297" t="str">
            <v>M32INSS22EQH.FG510-1</v>
          </cell>
          <cell r="D297" t="str">
            <v>M32INSS22EQH.FG510-1(D905)</v>
          </cell>
          <cell r="E297" t="str">
            <v>D905</v>
          </cell>
          <cell r="F297" t="str">
            <v>D905</v>
          </cell>
          <cell r="G297">
            <v>260</v>
          </cell>
        </row>
        <row r="298">
          <cell r="C298" t="str">
            <v>M32CNSS24EQH.FG512-1</v>
          </cell>
          <cell r="D298" t="str">
            <v>M32CNSS24EQH.FG512-1(D905)</v>
          </cell>
          <cell r="E298" t="str">
            <v>D905</v>
          </cell>
          <cell r="F298" t="str">
            <v>D905</v>
          </cell>
          <cell r="G298">
            <v>260</v>
          </cell>
        </row>
        <row r="299">
          <cell r="C299" t="str">
            <v>M32GBSS24EQH.FG512-1</v>
          </cell>
          <cell r="D299" t="str">
            <v>M32GBSS24EQH.FG512-1(D905)</v>
          </cell>
          <cell r="E299" t="str">
            <v>D905</v>
          </cell>
          <cell r="F299" t="str">
            <v>D905</v>
          </cell>
          <cell r="G299">
            <v>260</v>
          </cell>
        </row>
        <row r="300">
          <cell r="C300" t="str">
            <v>M32KRSS22EQH.FG512-1</v>
          </cell>
          <cell r="D300" t="str">
            <v>M32KRSS22EQH.FG512-1(D905)</v>
          </cell>
          <cell r="E300" t="str">
            <v>D905</v>
          </cell>
          <cell r="F300" t="str">
            <v>D905</v>
          </cell>
          <cell r="G300">
            <v>260</v>
          </cell>
        </row>
        <row r="301">
          <cell r="C301" t="str">
            <v>M32CLSS22EQH.FG512-1</v>
          </cell>
          <cell r="D301" t="str">
            <v>M32CLSS22EQH.FG512-1(D905)</v>
          </cell>
          <cell r="E301" t="str">
            <v>D905</v>
          </cell>
          <cell r="F301" t="str">
            <v>D905</v>
          </cell>
          <cell r="G301">
            <v>260</v>
          </cell>
        </row>
        <row r="302">
          <cell r="C302" t="str">
            <v>M32NLSS22EQH.FG512-1</v>
          </cell>
          <cell r="D302" t="str">
            <v>M32NLSS22EQH.FG512-1(D905)</v>
          </cell>
          <cell r="E302" t="str">
            <v>D905</v>
          </cell>
          <cell r="F302" t="str">
            <v>D905</v>
          </cell>
          <cell r="G302">
            <v>260</v>
          </cell>
        </row>
        <row r="303">
          <cell r="C303" t="str">
            <v>M32KRSS22EQH.FG514-1</v>
          </cell>
          <cell r="D303" t="str">
            <v>M32KRSS22EQH.FG514-1(D905)</v>
          </cell>
          <cell r="E303" t="str">
            <v>D905</v>
          </cell>
          <cell r="F303" t="str">
            <v>D905</v>
          </cell>
          <cell r="G303">
            <v>260</v>
          </cell>
        </row>
        <row r="304">
          <cell r="C304" t="str">
            <v>M32IDSS22EQH.FG510-1</v>
          </cell>
          <cell r="D304" t="str">
            <v>M32IDSS22EQH.FG510-1(D905)</v>
          </cell>
          <cell r="E304" t="str">
            <v>D905</v>
          </cell>
          <cell r="F304" t="str">
            <v>D905</v>
          </cell>
          <cell r="G304">
            <v>260</v>
          </cell>
        </row>
        <row r="305">
          <cell r="C305" t="str">
            <v>M32THSS22EQH.FG510-1</v>
          </cell>
          <cell r="D305" t="str">
            <v>M32THSS22EQH.FG510-1(D905)</v>
          </cell>
          <cell r="E305" t="str">
            <v>D905</v>
          </cell>
          <cell r="F305" t="str">
            <v>D905</v>
          </cell>
          <cell r="G305">
            <v>260</v>
          </cell>
        </row>
        <row r="306">
          <cell r="C306" t="str">
            <v>3V65004203V0</v>
          </cell>
          <cell r="D306" t="str">
            <v>3V65004203V0(V801)</v>
          </cell>
          <cell r="E306" t="str">
            <v>V801</v>
          </cell>
          <cell r="F306" t="str">
            <v>V801</v>
          </cell>
          <cell r="G306">
            <v>5</v>
          </cell>
        </row>
        <row r="307">
          <cell r="C307" t="str">
            <v>3V65007203V0</v>
          </cell>
          <cell r="D307" t="str">
            <v>3V65007203V0(V801)</v>
          </cell>
          <cell r="E307" t="str">
            <v>V801</v>
          </cell>
          <cell r="F307" t="str">
            <v>V801</v>
          </cell>
          <cell r="G307">
            <v>5</v>
          </cell>
        </row>
        <row r="308">
          <cell r="C308" t="str">
            <v>3V65003203V0</v>
          </cell>
          <cell r="D308" t="str">
            <v>3V65003203V0(V801)</v>
          </cell>
          <cell r="E308" t="str">
            <v>V801</v>
          </cell>
          <cell r="F308" t="str">
            <v>V801</v>
          </cell>
          <cell r="G308">
            <v>5</v>
          </cell>
        </row>
        <row r="309">
          <cell r="C309" t="str">
            <v>3V65006203V0</v>
          </cell>
          <cell r="D309" t="str">
            <v>3V65006203V0(V801)</v>
          </cell>
          <cell r="E309" t="str">
            <v>V801</v>
          </cell>
          <cell r="F309" t="str">
            <v>V801</v>
          </cell>
          <cell r="G309">
            <v>5</v>
          </cell>
        </row>
        <row r="310">
          <cell r="C310" t="str">
            <v>V65USLO22CO-.DIXIE-1</v>
          </cell>
          <cell r="D310" t="str">
            <v>V65USLO22CO-.DIXIE-1(D903)</v>
          </cell>
          <cell r="E310" t="str">
            <v>D903</v>
          </cell>
          <cell r="F310" t="str">
            <v>D903</v>
          </cell>
          <cell r="G310">
            <v>5</v>
          </cell>
        </row>
        <row r="311">
          <cell r="C311" t="str">
            <v>V65USLO22CO-.DIXIE-3</v>
          </cell>
          <cell r="D311" t="str">
            <v>V65USLO22CO-.DIXIE-3(D903)</v>
          </cell>
          <cell r="E311" t="str">
            <v>D903</v>
          </cell>
          <cell r="F311" t="str">
            <v>D903</v>
          </cell>
          <cell r="G311">
            <v>5</v>
          </cell>
        </row>
        <row r="312">
          <cell r="C312" t="str">
            <v>V65EULO22CO-.DIXIE-1</v>
          </cell>
          <cell r="D312" t="str">
            <v>V65EULO22CO-.DIXIE-1(D903)</v>
          </cell>
          <cell r="E312" t="str">
            <v>D903</v>
          </cell>
          <cell r="F312" t="str">
            <v>D903</v>
          </cell>
          <cell r="G312">
            <v>5</v>
          </cell>
        </row>
        <row r="313">
          <cell r="C313" t="str">
            <v>V65EULO22CO-.DIXIE-3</v>
          </cell>
          <cell r="D313" t="str">
            <v>V65EULO22CO-.DIXIE-3(D903)</v>
          </cell>
          <cell r="E313" t="str">
            <v>D903</v>
          </cell>
          <cell r="F313" t="str">
            <v>D903</v>
          </cell>
          <cell r="G313">
            <v>5</v>
          </cell>
        </row>
        <row r="314">
          <cell r="C314" t="str">
            <v>V65GBLO22CO-.DIXIE-1</v>
          </cell>
          <cell r="D314" t="str">
            <v>V65GBLO22CO-.DIXIE-1(D903)</v>
          </cell>
          <cell r="E314" t="str">
            <v>D903</v>
          </cell>
          <cell r="F314" t="str">
            <v>D903</v>
          </cell>
          <cell r="G314">
            <v>5</v>
          </cell>
        </row>
        <row r="315">
          <cell r="C315" t="str">
            <v>V65GBLO22CO-.DIXIE-3</v>
          </cell>
          <cell r="D315" t="str">
            <v>V65GBLO22CO-.DIXIE-3(D903)</v>
          </cell>
          <cell r="E315" t="str">
            <v>D903</v>
          </cell>
          <cell r="F315" t="str">
            <v>D903</v>
          </cell>
          <cell r="G315">
            <v>5</v>
          </cell>
        </row>
        <row r="316">
          <cell r="C316" t="str">
            <v>V65SSLO22CO-.DIXIE-1</v>
          </cell>
          <cell r="D316" t="str">
            <v>V65SSLO22CO-.DIXIE-1(D903)</v>
          </cell>
          <cell r="E316" t="str">
            <v>D903</v>
          </cell>
          <cell r="F316" t="str">
            <v>D903</v>
          </cell>
          <cell r="G316">
            <v>5</v>
          </cell>
        </row>
        <row r="317">
          <cell r="C317" t="str">
            <v>V65SSLO22CO-.DIXIE-3</v>
          </cell>
          <cell r="D317" t="str">
            <v>V65SSLO22CO-.DIXIE-3(D903)</v>
          </cell>
          <cell r="E317" t="str">
            <v>D903</v>
          </cell>
          <cell r="F317" t="str">
            <v>D903</v>
          </cell>
          <cell r="G317">
            <v>5</v>
          </cell>
        </row>
        <row r="318">
          <cell r="C318" t="str">
            <v>V65INLO22CO-.DIXIE-1</v>
          </cell>
          <cell r="D318" t="str">
            <v>V65INLO22CO-.DIXIE-1(D903)</v>
          </cell>
          <cell r="E318" t="str">
            <v>D903</v>
          </cell>
          <cell r="F318" t="str">
            <v>D903</v>
          </cell>
          <cell r="G318">
            <v>5</v>
          </cell>
        </row>
        <row r="319">
          <cell r="C319" t="str">
            <v>V65INLO22CO-.DIXIE-3</v>
          </cell>
          <cell r="D319" t="str">
            <v>V65INLO22CO-.DIXIE-3(D903)</v>
          </cell>
          <cell r="E319" t="str">
            <v>D903</v>
          </cell>
          <cell r="F319" t="str">
            <v>D903</v>
          </cell>
          <cell r="G319">
            <v>5</v>
          </cell>
        </row>
        <row r="320">
          <cell r="C320" t="str">
            <v>V65AULO22CO-.DIXIE-1</v>
          </cell>
          <cell r="D320" t="str">
            <v>V65AULO22CO-.DIXIE-1(D903)</v>
          </cell>
          <cell r="E320" t="str">
            <v>D903</v>
          </cell>
          <cell r="F320" t="str">
            <v>D903</v>
          </cell>
          <cell r="G320">
            <v>5</v>
          </cell>
        </row>
        <row r="321">
          <cell r="C321" t="str">
            <v>V65AULO22CO-.DIXIE-3</v>
          </cell>
          <cell r="D321" t="str">
            <v>V65AULO22CO-.DIXIE-3(D903)</v>
          </cell>
          <cell r="E321" t="str">
            <v>D903</v>
          </cell>
          <cell r="F321" t="str">
            <v>D903</v>
          </cell>
          <cell r="G321">
            <v>5</v>
          </cell>
        </row>
        <row r="322">
          <cell r="C322" t="str">
            <v>V65BRLO22CO-.DIXIE-1</v>
          </cell>
          <cell r="D322" t="str">
            <v>V65BRLO22CO-.DIXIE-1(D903)</v>
          </cell>
          <cell r="E322" t="str">
            <v>D903</v>
          </cell>
          <cell r="F322" t="str">
            <v>D903</v>
          </cell>
          <cell r="G322">
            <v>5</v>
          </cell>
        </row>
        <row r="323">
          <cell r="C323" t="str">
            <v>V65BRLO22CO-.DIXIE-3</v>
          </cell>
          <cell r="D323" t="str">
            <v>V65BRLO22CO-.DIXIE-3(D903)</v>
          </cell>
          <cell r="E323" t="str">
            <v>D903</v>
          </cell>
          <cell r="F323" t="str">
            <v>D903</v>
          </cell>
          <cell r="G323">
            <v>5</v>
          </cell>
        </row>
        <row r="324">
          <cell r="C324" t="str">
            <v>V65THLO22CO-.DIXIE-1</v>
          </cell>
          <cell r="D324" t="str">
            <v>V65THLO22CO-.DIXIE-1(D903)</v>
          </cell>
          <cell r="E324" t="str">
            <v>D903</v>
          </cell>
          <cell r="F324" t="str">
            <v>D903</v>
          </cell>
          <cell r="G324">
            <v>5</v>
          </cell>
        </row>
        <row r="325">
          <cell r="C325" t="str">
            <v>V65THLO22CO-.DIXIE-3</v>
          </cell>
          <cell r="D325" t="str">
            <v>V65THLO22CO-.DIXIE-3(D903)</v>
          </cell>
          <cell r="E325" t="str">
            <v>D903</v>
          </cell>
          <cell r="F325" t="str">
            <v>D903</v>
          </cell>
          <cell r="G325">
            <v>5</v>
          </cell>
        </row>
        <row r="326">
          <cell r="C326" t="str">
            <v>V65ILLO22CO-.DIXIE-1</v>
          </cell>
          <cell r="D326" t="str">
            <v>V65ILLO22CO-.DIXIE-1(D903)</v>
          </cell>
          <cell r="E326" t="str">
            <v>D903</v>
          </cell>
          <cell r="F326" t="str">
            <v>D903</v>
          </cell>
          <cell r="G326">
            <v>5</v>
          </cell>
        </row>
        <row r="327">
          <cell r="C327" t="str">
            <v>V65ILLO22CO-.DIXIE-3</v>
          </cell>
          <cell r="D327" t="str">
            <v>V65ILLO22CO-.DIXIE-3(D903)</v>
          </cell>
          <cell r="E327" t="str">
            <v>D903</v>
          </cell>
          <cell r="F327" t="str">
            <v>D903</v>
          </cell>
          <cell r="G327">
            <v>5</v>
          </cell>
        </row>
        <row r="328">
          <cell r="C328" t="str">
            <v>V65CLLO22CO-.DIXIE-1</v>
          </cell>
          <cell r="D328" t="str">
            <v>V65CLLO22CO-.DIXIE-1(D903)</v>
          </cell>
          <cell r="E328" t="str">
            <v>D903</v>
          </cell>
          <cell r="F328" t="str">
            <v>D903</v>
          </cell>
          <cell r="G328">
            <v>5</v>
          </cell>
        </row>
        <row r="329">
          <cell r="C329" t="str">
            <v>V65CLLO22CO-.DIXIE-3</v>
          </cell>
          <cell r="D329" t="str">
            <v>V65CLLO22CO-.DIXIE-3(D903)</v>
          </cell>
          <cell r="E329" t="str">
            <v>D903</v>
          </cell>
          <cell r="F329" t="str">
            <v>D903</v>
          </cell>
          <cell r="G329">
            <v>5</v>
          </cell>
        </row>
        <row r="330">
          <cell r="C330" t="str">
            <v>V65CNLO22CO-.DIXIE-1</v>
          </cell>
          <cell r="D330" t="str">
            <v>V65CNLO22CO-.DIXIE-1(D903)</v>
          </cell>
          <cell r="E330" t="str">
            <v>D903</v>
          </cell>
          <cell r="F330" t="str">
            <v>D903</v>
          </cell>
          <cell r="G330">
            <v>5</v>
          </cell>
        </row>
        <row r="331">
          <cell r="C331" t="str">
            <v>V65CNLO22CO-.DIXIE-3</v>
          </cell>
          <cell r="D331" t="str">
            <v>V65CNLO22CO-.DIXIE-3(D903)</v>
          </cell>
          <cell r="E331" t="str">
            <v>D903</v>
          </cell>
          <cell r="F331" t="str">
            <v>D903</v>
          </cell>
          <cell r="G331">
            <v>5</v>
          </cell>
        </row>
        <row r="332">
          <cell r="C332" t="str">
            <v>V65JPLO22CO-.DIXIE-1</v>
          </cell>
          <cell r="D332" t="str">
            <v>V65JPLO22CO-.DIXIE-1(D903)</v>
          </cell>
          <cell r="E332" t="str">
            <v>D903</v>
          </cell>
          <cell r="F332" t="str">
            <v>D903</v>
          </cell>
          <cell r="G332">
            <v>5</v>
          </cell>
        </row>
        <row r="333">
          <cell r="C333" t="str">
            <v>V65JPLO22CO-.DIXIE-3</v>
          </cell>
          <cell r="D333" t="str">
            <v>V65JPLO22CO-.DIXIE-3(D903)</v>
          </cell>
          <cell r="E333" t="str">
            <v>D903</v>
          </cell>
          <cell r="F333" t="str">
            <v>D903</v>
          </cell>
          <cell r="G333">
            <v>5</v>
          </cell>
        </row>
        <row r="334">
          <cell r="C334" t="str">
            <v>V65ZALO22CO-.DIXIE-1</v>
          </cell>
          <cell r="D334" t="str">
            <v>V65ZALO22CO-.DIXIE-1(D903)</v>
          </cell>
          <cell r="E334" t="str">
            <v>D903</v>
          </cell>
          <cell r="F334" t="str">
            <v>D903</v>
          </cell>
          <cell r="G334">
            <v>5</v>
          </cell>
        </row>
        <row r="335">
          <cell r="C335" t="str">
            <v>3V65004203V0</v>
          </cell>
          <cell r="D335" t="str">
            <v>3V65004203V0(V801)</v>
          </cell>
          <cell r="E335" t="str">
            <v>V801</v>
          </cell>
          <cell r="F335" t="str">
            <v>V801</v>
          </cell>
          <cell r="G335">
            <v>10</v>
          </cell>
        </row>
        <row r="336">
          <cell r="C336" t="str">
            <v>3V65007203V0</v>
          </cell>
          <cell r="D336" t="str">
            <v>3V65007203V0(V801)</v>
          </cell>
          <cell r="E336" t="str">
            <v>V801</v>
          </cell>
          <cell r="F336" t="str">
            <v>V801</v>
          </cell>
          <cell r="G336">
            <v>10</v>
          </cell>
        </row>
        <row r="337">
          <cell r="C337" t="str">
            <v>3V65003203V0</v>
          </cell>
          <cell r="D337" t="str">
            <v>3V65003203V0(V801)</v>
          </cell>
          <cell r="E337" t="str">
            <v>V801</v>
          </cell>
          <cell r="F337" t="str">
            <v>V801</v>
          </cell>
          <cell r="G337">
            <v>10</v>
          </cell>
        </row>
        <row r="338">
          <cell r="C338" t="str">
            <v>3V65006203V0</v>
          </cell>
          <cell r="D338" t="str">
            <v>3V65006203V0(V801)</v>
          </cell>
          <cell r="E338" t="str">
            <v>V801</v>
          </cell>
          <cell r="F338" t="str">
            <v>V801</v>
          </cell>
          <cell r="G338">
            <v>10</v>
          </cell>
        </row>
        <row r="339">
          <cell r="C339" t="str">
            <v>V65USLO22CO-.DIXIE-1</v>
          </cell>
          <cell r="D339" t="str">
            <v>V65USLO22CO-.DIXIE-1(D903)</v>
          </cell>
          <cell r="E339" t="str">
            <v>D903</v>
          </cell>
          <cell r="F339" t="str">
            <v>D903</v>
          </cell>
          <cell r="G339">
            <v>10</v>
          </cell>
        </row>
        <row r="340">
          <cell r="C340" t="str">
            <v>V65USLO22CO-.DIXIE-3</v>
          </cell>
          <cell r="D340" t="str">
            <v>V65USLO22CO-.DIXIE-3(D903)</v>
          </cell>
          <cell r="E340" t="str">
            <v>D903</v>
          </cell>
          <cell r="F340" t="str">
            <v>D903</v>
          </cell>
          <cell r="G340">
            <v>10</v>
          </cell>
        </row>
        <row r="341">
          <cell r="C341" t="str">
            <v>V65EULO22CO-.DIXIE-1</v>
          </cell>
          <cell r="D341" t="str">
            <v>V65EULO22CO-.DIXIE-1(D903)</v>
          </cell>
          <cell r="E341" t="str">
            <v>D903</v>
          </cell>
          <cell r="F341" t="str">
            <v>D903</v>
          </cell>
          <cell r="G341">
            <v>10</v>
          </cell>
        </row>
        <row r="342">
          <cell r="C342" t="str">
            <v>V65EULO22CO-.DIXIE-3</v>
          </cell>
          <cell r="D342" t="str">
            <v>V65EULO22CO-.DIXIE-3(D903)</v>
          </cell>
          <cell r="E342" t="str">
            <v>D903</v>
          </cell>
          <cell r="F342" t="str">
            <v>D903</v>
          </cell>
          <cell r="G342">
            <v>10</v>
          </cell>
        </row>
        <row r="343">
          <cell r="C343" t="str">
            <v>V65GBLO22CO-.DIXIE-1</v>
          </cell>
          <cell r="D343" t="str">
            <v>V65GBLO22CO-.DIXIE-1(D903)</v>
          </cell>
          <cell r="E343" t="str">
            <v>D903</v>
          </cell>
          <cell r="F343" t="str">
            <v>D903</v>
          </cell>
          <cell r="G343">
            <v>10</v>
          </cell>
        </row>
        <row r="344">
          <cell r="C344" t="str">
            <v>V65GBLO22CO-.DIXIE-3</v>
          </cell>
          <cell r="D344" t="str">
            <v>V65GBLO22CO-.DIXIE-3(D903)</v>
          </cell>
          <cell r="E344" t="str">
            <v>D903</v>
          </cell>
          <cell r="F344" t="str">
            <v>D903</v>
          </cell>
          <cell r="G344">
            <v>10</v>
          </cell>
        </row>
        <row r="345">
          <cell r="C345" t="str">
            <v>V65SSLO22CO-.DIXIE-1</v>
          </cell>
          <cell r="D345" t="str">
            <v>V65SSLO22CO-.DIXIE-1(D903)</v>
          </cell>
          <cell r="E345" t="str">
            <v>D903</v>
          </cell>
          <cell r="F345" t="str">
            <v>D903</v>
          </cell>
          <cell r="G345">
            <v>10</v>
          </cell>
        </row>
        <row r="346">
          <cell r="C346" t="str">
            <v>V65SSLO22CO-.DIXIE-3</v>
          </cell>
          <cell r="D346" t="str">
            <v>V65SSLO22CO-.DIXIE-3(D903)</v>
          </cell>
          <cell r="E346" t="str">
            <v>D903</v>
          </cell>
          <cell r="F346" t="str">
            <v>D903</v>
          </cell>
          <cell r="G346">
            <v>10</v>
          </cell>
        </row>
        <row r="347">
          <cell r="C347" t="str">
            <v>V65INLO22CO-.DIXIE-1</v>
          </cell>
          <cell r="D347" t="str">
            <v>V65INLO22CO-.DIXIE-1(D903)</v>
          </cell>
          <cell r="E347" t="str">
            <v>D903</v>
          </cell>
          <cell r="F347" t="str">
            <v>D903</v>
          </cell>
          <cell r="G347">
            <v>10</v>
          </cell>
        </row>
        <row r="348">
          <cell r="C348" t="str">
            <v>V65INLO22CO-.DIXIE-3</v>
          </cell>
          <cell r="D348" t="str">
            <v>V65INLO22CO-.DIXIE-3(D903)</v>
          </cell>
          <cell r="E348" t="str">
            <v>D903</v>
          </cell>
          <cell r="F348" t="str">
            <v>D903</v>
          </cell>
          <cell r="G348">
            <v>10</v>
          </cell>
        </row>
        <row r="349">
          <cell r="C349" t="str">
            <v>V65AULO22CO-.DIXIE-1</v>
          </cell>
          <cell r="D349" t="str">
            <v>V65AULO22CO-.DIXIE-1(D903)</v>
          </cell>
          <cell r="E349" t="str">
            <v>D903</v>
          </cell>
          <cell r="F349" t="str">
            <v>D903</v>
          </cell>
          <cell r="G349">
            <v>10</v>
          </cell>
        </row>
        <row r="350">
          <cell r="C350" t="str">
            <v>V65AULO22CO-.DIXIE-3</v>
          </cell>
          <cell r="D350" t="str">
            <v>V65AULO22CO-.DIXIE-3(D903)</v>
          </cell>
          <cell r="E350" t="str">
            <v>D903</v>
          </cell>
          <cell r="F350" t="str">
            <v>D903</v>
          </cell>
          <cell r="G350">
            <v>10</v>
          </cell>
        </row>
        <row r="351">
          <cell r="C351" t="str">
            <v>V65BRLO22CO-.DIXIE-1</v>
          </cell>
          <cell r="D351" t="str">
            <v>V65BRLO22CO-.DIXIE-1(D903)</v>
          </cell>
          <cell r="E351" t="str">
            <v>D903</v>
          </cell>
          <cell r="F351" t="str">
            <v>D903</v>
          </cell>
          <cell r="G351">
            <v>10</v>
          </cell>
        </row>
        <row r="352">
          <cell r="C352" t="str">
            <v>V65BRLO22CO-.DIXIE-3</v>
          </cell>
          <cell r="D352" t="str">
            <v>V65BRLO22CO-.DIXIE-3(D903)</v>
          </cell>
          <cell r="E352" t="str">
            <v>D903</v>
          </cell>
          <cell r="F352" t="str">
            <v>D903</v>
          </cell>
          <cell r="G352">
            <v>10</v>
          </cell>
        </row>
        <row r="353">
          <cell r="C353" t="str">
            <v>V65THLO22CO-.DIXIE-1</v>
          </cell>
          <cell r="D353" t="str">
            <v>V65THLO22CO-.DIXIE-1(D903)</v>
          </cell>
          <cell r="E353" t="str">
            <v>D903</v>
          </cell>
          <cell r="F353" t="str">
            <v>D903</v>
          </cell>
          <cell r="G353">
            <v>10</v>
          </cell>
        </row>
        <row r="354">
          <cell r="C354" t="str">
            <v>V65THLO22CO-.DIXIE-3</v>
          </cell>
          <cell r="D354" t="str">
            <v>V65THLO22CO-.DIXIE-3(D903)</v>
          </cell>
          <cell r="E354" t="str">
            <v>D903</v>
          </cell>
          <cell r="F354" t="str">
            <v>D903</v>
          </cell>
          <cell r="G354">
            <v>10</v>
          </cell>
        </row>
        <row r="355">
          <cell r="C355" t="str">
            <v>V65ILLO22CO-.DIXIE-1</v>
          </cell>
          <cell r="D355" t="str">
            <v>V65ILLO22CO-.DIXIE-1(D903)</v>
          </cell>
          <cell r="E355" t="str">
            <v>D903</v>
          </cell>
          <cell r="F355" t="str">
            <v>D903</v>
          </cell>
          <cell r="G355">
            <v>10</v>
          </cell>
        </row>
        <row r="356">
          <cell r="C356" t="str">
            <v>V65ILLO22CO-.DIXIE-3</v>
          </cell>
          <cell r="D356" t="str">
            <v>V65ILLO22CO-.DIXIE-3(D903)</v>
          </cell>
          <cell r="E356" t="str">
            <v>D903</v>
          </cell>
          <cell r="F356" t="str">
            <v>D903</v>
          </cell>
          <cell r="G356">
            <v>10</v>
          </cell>
        </row>
        <row r="357">
          <cell r="C357" t="str">
            <v>V65CLLO22CO-.DIXIE-1</v>
          </cell>
          <cell r="D357" t="str">
            <v>V65CLLO22CO-.DIXIE-1(D903)</v>
          </cell>
          <cell r="E357" t="str">
            <v>D903</v>
          </cell>
          <cell r="F357" t="str">
            <v>D903</v>
          </cell>
          <cell r="G357">
            <v>10</v>
          </cell>
        </row>
        <row r="358">
          <cell r="C358" t="str">
            <v>V65CLLO22CO-.DIXIE-3</v>
          </cell>
          <cell r="D358" t="str">
            <v>V65CLLO22CO-.DIXIE-3(D903)</v>
          </cell>
          <cell r="E358" t="str">
            <v>D903</v>
          </cell>
          <cell r="F358" t="str">
            <v>D903</v>
          </cell>
          <cell r="G358">
            <v>10</v>
          </cell>
        </row>
        <row r="359">
          <cell r="C359" t="str">
            <v>V65CNLO22CO-.DIXIE-1</v>
          </cell>
          <cell r="D359" t="str">
            <v>V65CNLO22CO-.DIXIE-1(D903)</v>
          </cell>
          <cell r="E359" t="str">
            <v>D903</v>
          </cell>
          <cell r="F359" t="str">
            <v>D903</v>
          </cell>
          <cell r="G359">
            <v>10</v>
          </cell>
        </row>
        <row r="360">
          <cell r="C360" t="str">
            <v>V65CNLO22CO-.DIXIE-3</v>
          </cell>
          <cell r="D360" t="str">
            <v>V65CNLO22CO-.DIXIE-3(D903)</v>
          </cell>
          <cell r="E360" t="str">
            <v>D903</v>
          </cell>
          <cell r="F360" t="str">
            <v>D903</v>
          </cell>
          <cell r="G360">
            <v>10</v>
          </cell>
        </row>
        <row r="361">
          <cell r="C361" t="str">
            <v>V65JPLO22CO-.DIXIE-1</v>
          </cell>
          <cell r="D361" t="str">
            <v>V65JPLO22CO-.DIXIE-1(D903)</v>
          </cell>
          <cell r="E361" t="str">
            <v>D903</v>
          </cell>
          <cell r="F361" t="str">
            <v>D903</v>
          </cell>
          <cell r="G361">
            <v>10</v>
          </cell>
        </row>
        <row r="362">
          <cell r="C362" t="str">
            <v>V65JPLO22CO-.DIXIE-3</v>
          </cell>
          <cell r="D362" t="str">
            <v>V65JPLO22CO-.DIXIE-3(D903)</v>
          </cell>
          <cell r="E362" t="str">
            <v>D903</v>
          </cell>
          <cell r="F362" t="str">
            <v>D903</v>
          </cell>
          <cell r="G362">
            <v>10</v>
          </cell>
        </row>
        <row r="363">
          <cell r="C363" t="str">
            <v>V65USLO22CO-.DIXIE-4</v>
          </cell>
          <cell r="D363" t="str">
            <v>V65USLO22CO-.DIXIE-4(D903)</v>
          </cell>
          <cell r="E363" t="str">
            <v>D903</v>
          </cell>
          <cell r="F363" t="str">
            <v>D903</v>
          </cell>
          <cell r="G363">
            <v>10</v>
          </cell>
        </row>
        <row r="364">
          <cell r="C364" t="str">
            <v>V65USLO22CO-.DIXIE-2</v>
          </cell>
          <cell r="D364" t="str">
            <v>V65USLO22CO-.DIXIE-2(D903)</v>
          </cell>
          <cell r="E364" t="str">
            <v>D903</v>
          </cell>
          <cell r="F364" t="str">
            <v>D903</v>
          </cell>
          <cell r="G364">
            <v>10</v>
          </cell>
        </row>
        <row r="365">
          <cell r="C365" t="str">
            <v>V65ZALO22CO-.DIXIE-1</v>
          </cell>
          <cell r="D365" t="str">
            <v>V65ZALO22CO-.DIXIE-1(D903)</v>
          </cell>
          <cell r="E365" t="str">
            <v>D903</v>
          </cell>
          <cell r="F365" t="str">
            <v>D903</v>
          </cell>
          <cell r="G365">
            <v>10</v>
          </cell>
        </row>
        <row r="366">
          <cell r="C366" t="str">
            <v>3V650C120300</v>
          </cell>
          <cell r="D366" t="str">
            <v>3V650C120300(D903)</v>
          </cell>
          <cell r="E366" t="str">
            <v>D903</v>
          </cell>
          <cell r="F366" t="str">
            <v>D903</v>
          </cell>
          <cell r="G366">
            <v>10</v>
          </cell>
        </row>
        <row r="367">
          <cell r="C367" t="str">
            <v>3V650C220300</v>
          </cell>
          <cell r="D367" t="str">
            <v>3V650C220300(D903)</v>
          </cell>
          <cell r="E367" t="str">
            <v>D903</v>
          </cell>
          <cell r="F367" t="str">
            <v>D903</v>
          </cell>
          <cell r="G367">
            <v>10</v>
          </cell>
        </row>
        <row r="368">
          <cell r="C368">
            <v>363264820395</v>
          </cell>
          <cell r="D368" t="str">
            <v>363264820395(D901)</v>
          </cell>
          <cell r="E368" t="str">
            <v>D901</v>
          </cell>
          <cell r="F368" t="str">
            <v>D901</v>
          </cell>
          <cell r="G368">
            <v>250</v>
          </cell>
        </row>
        <row r="369">
          <cell r="C369">
            <v>363264820395</v>
          </cell>
          <cell r="D369" t="str">
            <v>363264820395(D902)</v>
          </cell>
          <cell r="E369" t="str">
            <v>D902</v>
          </cell>
          <cell r="F369" t="str">
            <v>D902</v>
          </cell>
          <cell r="G369">
            <v>250</v>
          </cell>
        </row>
        <row r="370">
          <cell r="C370">
            <v>363264720395</v>
          </cell>
          <cell r="D370" t="str">
            <v>363264720395(D901)</v>
          </cell>
          <cell r="E370" t="str">
            <v>D901</v>
          </cell>
          <cell r="F370" t="str">
            <v>D901</v>
          </cell>
          <cell r="G370">
            <v>250</v>
          </cell>
        </row>
        <row r="371">
          <cell r="C371">
            <v>363264720395</v>
          </cell>
          <cell r="D371" t="str">
            <v>363264720395(D902)</v>
          </cell>
          <cell r="E371" t="str">
            <v>D902</v>
          </cell>
          <cell r="F371" t="str">
            <v>D902</v>
          </cell>
          <cell r="G371">
            <v>250</v>
          </cell>
        </row>
        <row r="372">
          <cell r="C372">
            <v>363265120395</v>
          </cell>
          <cell r="D372" t="str">
            <v>363265120395(D901)</v>
          </cell>
          <cell r="E372" t="str">
            <v>D901</v>
          </cell>
          <cell r="F372" t="str">
            <v>D901</v>
          </cell>
          <cell r="G372">
            <v>250</v>
          </cell>
        </row>
        <row r="373">
          <cell r="C373">
            <v>363265120395</v>
          </cell>
          <cell r="D373" t="str">
            <v>363265120395(D902)</v>
          </cell>
          <cell r="E373" t="str">
            <v>D902</v>
          </cell>
          <cell r="F373" t="str">
            <v>D902</v>
          </cell>
          <cell r="G373">
            <v>250</v>
          </cell>
        </row>
        <row r="374">
          <cell r="C374">
            <v>363265320395</v>
          </cell>
          <cell r="D374" t="str">
            <v>363265320395(D901)</v>
          </cell>
          <cell r="E374" t="str">
            <v>D901</v>
          </cell>
          <cell r="F374" t="str">
            <v>D901</v>
          </cell>
          <cell r="G374">
            <v>250</v>
          </cell>
        </row>
        <row r="375">
          <cell r="C375">
            <v>363265320395</v>
          </cell>
          <cell r="D375" t="str">
            <v>363265320395(D902)</v>
          </cell>
          <cell r="E375" t="str">
            <v>D902</v>
          </cell>
          <cell r="F375" t="str">
            <v>D902</v>
          </cell>
          <cell r="G375">
            <v>250</v>
          </cell>
        </row>
        <row r="376">
          <cell r="C376">
            <v>363266120395</v>
          </cell>
          <cell r="D376" t="str">
            <v>363266120395(D901)</v>
          </cell>
          <cell r="E376" t="str">
            <v>D901</v>
          </cell>
          <cell r="F376" t="str">
            <v>D901</v>
          </cell>
          <cell r="G376">
            <v>250</v>
          </cell>
        </row>
        <row r="377">
          <cell r="C377">
            <v>363266120395</v>
          </cell>
          <cell r="D377" t="str">
            <v>363266120395(D902)</v>
          </cell>
          <cell r="E377" t="str">
            <v>D902</v>
          </cell>
          <cell r="F377" t="str">
            <v>D902</v>
          </cell>
          <cell r="G377">
            <v>250</v>
          </cell>
        </row>
        <row r="378">
          <cell r="C378">
            <v>363267320395</v>
          </cell>
          <cell r="D378" t="str">
            <v>363267320395(D901)</v>
          </cell>
          <cell r="E378" t="str">
            <v>D901</v>
          </cell>
          <cell r="F378" t="str">
            <v>D901</v>
          </cell>
          <cell r="G378">
            <v>250</v>
          </cell>
        </row>
        <row r="379">
          <cell r="C379">
            <v>363267320395</v>
          </cell>
          <cell r="D379" t="str">
            <v>363267320395(D902)</v>
          </cell>
          <cell r="E379" t="str">
            <v>D902</v>
          </cell>
          <cell r="F379" t="str">
            <v>D902</v>
          </cell>
          <cell r="G379">
            <v>250</v>
          </cell>
        </row>
        <row r="380">
          <cell r="C380">
            <v>363269920395</v>
          </cell>
          <cell r="D380" t="str">
            <v>363269920395(D901)</v>
          </cell>
          <cell r="E380" t="str">
            <v>D901</v>
          </cell>
          <cell r="F380" t="str">
            <v>D901</v>
          </cell>
          <cell r="G380">
            <v>250</v>
          </cell>
        </row>
        <row r="381">
          <cell r="C381">
            <v>363269920395</v>
          </cell>
          <cell r="D381" t="str">
            <v>363269920395(D902)</v>
          </cell>
          <cell r="E381" t="str">
            <v>D902</v>
          </cell>
          <cell r="F381" t="str">
            <v>D902</v>
          </cell>
          <cell r="G381">
            <v>250</v>
          </cell>
        </row>
        <row r="382">
          <cell r="C382">
            <v>363271220395</v>
          </cell>
          <cell r="D382" t="str">
            <v>363271220395(D901)</v>
          </cell>
          <cell r="E382" t="str">
            <v>D901</v>
          </cell>
          <cell r="F382" t="str">
            <v>D901</v>
          </cell>
          <cell r="G382">
            <v>250</v>
          </cell>
        </row>
        <row r="383">
          <cell r="C383">
            <v>363272320395</v>
          </cell>
          <cell r="D383" t="str">
            <v>363272320395(D901)</v>
          </cell>
          <cell r="E383" t="str">
            <v>D901</v>
          </cell>
          <cell r="F383" t="str">
            <v>D901</v>
          </cell>
          <cell r="G383">
            <v>250</v>
          </cell>
        </row>
        <row r="384">
          <cell r="C384">
            <v>363272220395</v>
          </cell>
          <cell r="D384" t="str">
            <v>363272220395(D901)</v>
          </cell>
          <cell r="E384" t="str">
            <v>D901</v>
          </cell>
          <cell r="F384" t="str">
            <v>D901</v>
          </cell>
          <cell r="G384">
            <v>250</v>
          </cell>
        </row>
        <row r="385">
          <cell r="C385">
            <v>363264420395</v>
          </cell>
          <cell r="D385" t="str">
            <v>363264420395(D901)</v>
          </cell>
          <cell r="E385" t="str">
            <v>D901</v>
          </cell>
          <cell r="F385" t="str">
            <v>D901</v>
          </cell>
          <cell r="G385">
            <v>250</v>
          </cell>
        </row>
        <row r="386">
          <cell r="C386">
            <v>363264420395</v>
          </cell>
          <cell r="D386" t="str">
            <v>363264420395(D902)</v>
          </cell>
          <cell r="E386" t="str">
            <v>D902</v>
          </cell>
          <cell r="F386" t="str">
            <v>D902</v>
          </cell>
          <cell r="G386">
            <v>250</v>
          </cell>
        </row>
        <row r="387">
          <cell r="C387">
            <v>363265220395</v>
          </cell>
          <cell r="D387" t="str">
            <v>363265220395(D901)</v>
          </cell>
          <cell r="E387" t="str">
            <v>D901</v>
          </cell>
          <cell r="F387" t="str">
            <v>D901</v>
          </cell>
          <cell r="G387">
            <v>250</v>
          </cell>
        </row>
        <row r="388">
          <cell r="C388">
            <v>363265220395</v>
          </cell>
          <cell r="D388" t="str">
            <v>363265220395(D902)</v>
          </cell>
          <cell r="E388" t="str">
            <v>D902</v>
          </cell>
          <cell r="F388" t="str">
            <v>D902</v>
          </cell>
          <cell r="G388">
            <v>250</v>
          </cell>
        </row>
        <row r="389">
          <cell r="C389">
            <v>363266220395</v>
          </cell>
          <cell r="D389" t="str">
            <v>363266220395(D901)</v>
          </cell>
          <cell r="E389" t="str">
            <v>D901</v>
          </cell>
          <cell r="F389" t="str">
            <v>D901</v>
          </cell>
          <cell r="G389">
            <v>250</v>
          </cell>
        </row>
        <row r="390">
          <cell r="C390">
            <v>363266220395</v>
          </cell>
          <cell r="D390" t="str">
            <v>363266220395(D902)</v>
          </cell>
          <cell r="E390" t="str">
            <v>D902</v>
          </cell>
          <cell r="F390" t="str">
            <v>D902</v>
          </cell>
          <cell r="G390">
            <v>250</v>
          </cell>
        </row>
        <row r="391">
          <cell r="C391">
            <v>363267420395</v>
          </cell>
          <cell r="D391" t="str">
            <v>363267420395(D901)</v>
          </cell>
          <cell r="E391" t="str">
            <v>D901</v>
          </cell>
          <cell r="F391" t="str">
            <v>D901</v>
          </cell>
          <cell r="G391">
            <v>250</v>
          </cell>
        </row>
        <row r="392">
          <cell r="C392">
            <v>363267420395</v>
          </cell>
          <cell r="D392" t="str">
            <v>363267420395(D902)</v>
          </cell>
          <cell r="E392" t="str">
            <v>D902</v>
          </cell>
          <cell r="F392" t="str">
            <v>D902</v>
          </cell>
          <cell r="G392">
            <v>250</v>
          </cell>
        </row>
        <row r="393">
          <cell r="C393">
            <v>363270020395</v>
          </cell>
          <cell r="D393" t="str">
            <v>363270020395(D901)</v>
          </cell>
          <cell r="E393" t="str">
            <v>D901</v>
          </cell>
          <cell r="F393" t="str">
            <v>D901</v>
          </cell>
          <cell r="G393">
            <v>250</v>
          </cell>
        </row>
        <row r="394">
          <cell r="C394">
            <v>363270020395</v>
          </cell>
          <cell r="D394" t="str">
            <v>363270020395(D902)</v>
          </cell>
          <cell r="E394" t="str">
            <v>D902</v>
          </cell>
          <cell r="F394" t="str">
            <v>D902</v>
          </cell>
          <cell r="G394">
            <v>250</v>
          </cell>
        </row>
        <row r="395">
          <cell r="C395">
            <v>363271320395</v>
          </cell>
          <cell r="D395" t="str">
            <v>363271320395(D901)</v>
          </cell>
          <cell r="E395" t="str">
            <v>D901</v>
          </cell>
          <cell r="F395" t="str">
            <v>D901</v>
          </cell>
          <cell r="G395">
            <v>250</v>
          </cell>
        </row>
        <row r="396">
          <cell r="C396">
            <v>363264520395</v>
          </cell>
          <cell r="D396" t="str">
            <v>363264520395(D901)</v>
          </cell>
          <cell r="E396" t="str">
            <v>D901</v>
          </cell>
          <cell r="F396" t="str">
            <v>D901</v>
          </cell>
          <cell r="G396">
            <v>250</v>
          </cell>
        </row>
        <row r="397">
          <cell r="C397">
            <v>363264520395</v>
          </cell>
          <cell r="D397" t="str">
            <v>363264520395(D902)</v>
          </cell>
          <cell r="E397" t="str">
            <v>D902</v>
          </cell>
          <cell r="F397" t="str">
            <v>D902</v>
          </cell>
          <cell r="G397">
            <v>250</v>
          </cell>
        </row>
        <row r="398">
          <cell r="C398">
            <v>363264920395</v>
          </cell>
          <cell r="D398" t="str">
            <v>363264920395(D901)</v>
          </cell>
          <cell r="E398" t="str">
            <v>D901</v>
          </cell>
          <cell r="F398" t="str">
            <v>D901</v>
          </cell>
          <cell r="G398">
            <v>250</v>
          </cell>
        </row>
        <row r="399">
          <cell r="C399">
            <v>363264920395</v>
          </cell>
          <cell r="D399" t="str">
            <v>363264920395(D902)</v>
          </cell>
          <cell r="E399" t="str">
            <v>D902</v>
          </cell>
          <cell r="F399" t="str">
            <v>D902</v>
          </cell>
          <cell r="G399">
            <v>250</v>
          </cell>
        </row>
        <row r="400">
          <cell r="C400">
            <v>363265020395</v>
          </cell>
          <cell r="D400" t="str">
            <v>363265020395(D901)</v>
          </cell>
          <cell r="E400" t="str">
            <v>D901</v>
          </cell>
          <cell r="F400" t="str">
            <v>D901</v>
          </cell>
          <cell r="G400">
            <v>250</v>
          </cell>
        </row>
        <row r="401">
          <cell r="C401">
            <v>363265020395</v>
          </cell>
          <cell r="D401" t="str">
            <v>363265020395(D902)</v>
          </cell>
          <cell r="E401" t="str">
            <v>D902</v>
          </cell>
          <cell r="F401" t="str">
            <v>D902</v>
          </cell>
          <cell r="G401">
            <v>250</v>
          </cell>
        </row>
        <row r="402">
          <cell r="C402">
            <v>363265720395</v>
          </cell>
          <cell r="D402" t="str">
            <v>363265720395(D901)</v>
          </cell>
          <cell r="E402" t="str">
            <v>D901</v>
          </cell>
          <cell r="F402" t="str">
            <v>D901</v>
          </cell>
          <cell r="G402">
            <v>250</v>
          </cell>
        </row>
        <row r="403">
          <cell r="C403">
            <v>363265720395</v>
          </cell>
          <cell r="D403" t="str">
            <v>363265720395(D902)</v>
          </cell>
          <cell r="E403" t="str">
            <v>D902</v>
          </cell>
          <cell r="F403" t="str">
            <v>D902</v>
          </cell>
          <cell r="G403">
            <v>250</v>
          </cell>
        </row>
        <row r="404">
          <cell r="C404">
            <v>363268220395</v>
          </cell>
          <cell r="D404" t="str">
            <v>363268220395(D901)</v>
          </cell>
          <cell r="E404" t="str">
            <v>D901</v>
          </cell>
          <cell r="F404" t="str">
            <v>D901</v>
          </cell>
          <cell r="G404">
            <v>250</v>
          </cell>
        </row>
        <row r="405">
          <cell r="C405">
            <v>363268220395</v>
          </cell>
          <cell r="D405" t="str">
            <v>363268220395(D902)</v>
          </cell>
          <cell r="E405" t="str">
            <v>D902</v>
          </cell>
          <cell r="F405" t="str">
            <v>D902</v>
          </cell>
          <cell r="G405">
            <v>250</v>
          </cell>
        </row>
        <row r="406">
          <cell r="C406">
            <v>363271420395</v>
          </cell>
          <cell r="D406" t="str">
            <v>363271420395(D901)</v>
          </cell>
          <cell r="E406" t="str">
            <v>D901</v>
          </cell>
          <cell r="F406" t="str">
            <v>D901</v>
          </cell>
          <cell r="G406">
            <v>250</v>
          </cell>
        </row>
        <row r="407">
          <cell r="C407">
            <v>363271420395</v>
          </cell>
          <cell r="D407" t="str">
            <v>363271420395(D902)</v>
          </cell>
          <cell r="E407" t="str">
            <v>D902</v>
          </cell>
          <cell r="F407" t="str">
            <v>D902</v>
          </cell>
          <cell r="G407">
            <v>250</v>
          </cell>
        </row>
        <row r="408">
          <cell r="C408">
            <v>363269420395</v>
          </cell>
          <cell r="D408" t="str">
            <v>363269420395(D901)</v>
          </cell>
          <cell r="E408" t="str">
            <v>D901</v>
          </cell>
          <cell r="F408" t="str">
            <v>D901</v>
          </cell>
          <cell r="G408">
            <v>250</v>
          </cell>
        </row>
        <row r="409">
          <cell r="C409">
            <v>363269420395</v>
          </cell>
          <cell r="D409" t="str">
            <v>363269420395(D902)</v>
          </cell>
          <cell r="E409" t="str">
            <v>D902</v>
          </cell>
          <cell r="F409" t="str">
            <v>D902</v>
          </cell>
          <cell r="G409">
            <v>250</v>
          </cell>
        </row>
        <row r="410">
          <cell r="C410">
            <v>363270120395</v>
          </cell>
          <cell r="D410" t="str">
            <v>363270120395(D901)</v>
          </cell>
          <cell r="E410" t="str">
            <v>D901</v>
          </cell>
          <cell r="F410" t="str">
            <v>D901</v>
          </cell>
          <cell r="G410">
            <v>250</v>
          </cell>
        </row>
        <row r="411">
          <cell r="C411">
            <v>363270120395</v>
          </cell>
          <cell r="D411" t="str">
            <v>363270120395(D902)</v>
          </cell>
          <cell r="E411" t="str">
            <v>D902</v>
          </cell>
          <cell r="F411" t="str">
            <v>D902</v>
          </cell>
          <cell r="G411">
            <v>250</v>
          </cell>
        </row>
        <row r="412">
          <cell r="C412">
            <v>363269820395</v>
          </cell>
          <cell r="D412" t="str">
            <v>363269820395(D901)</v>
          </cell>
          <cell r="E412" t="str">
            <v>D901</v>
          </cell>
          <cell r="F412" t="str">
            <v>D901</v>
          </cell>
          <cell r="G412">
            <v>250</v>
          </cell>
        </row>
        <row r="413">
          <cell r="C413">
            <v>363269820395</v>
          </cell>
          <cell r="D413" t="str">
            <v>363269820395(D902)</v>
          </cell>
          <cell r="E413" t="str">
            <v>D902</v>
          </cell>
          <cell r="F413" t="str">
            <v>D902</v>
          </cell>
          <cell r="G413">
            <v>250</v>
          </cell>
        </row>
        <row r="414">
          <cell r="C414">
            <v>363270220395</v>
          </cell>
          <cell r="D414" t="str">
            <v>363270220395(D901)</v>
          </cell>
          <cell r="E414" t="str">
            <v>D901</v>
          </cell>
          <cell r="F414" t="str">
            <v>D901</v>
          </cell>
          <cell r="G414">
            <v>250</v>
          </cell>
        </row>
        <row r="415">
          <cell r="C415">
            <v>363272120395</v>
          </cell>
          <cell r="D415" t="str">
            <v>363272120395(D901)</v>
          </cell>
          <cell r="E415" t="str">
            <v>D901</v>
          </cell>
          <cell r="F415" t="str">
            <v>D901</v>
          </cell>
          <cell r="G415">
            <v>250</v>
          </cell>
        </row>
        <row r="416">
          <cell r="C416">
            <v>363272020395</v>
          </cell>
          <cell r="D416" t="str">
            <v>363272020395(D901)</v>
          </cell>
          <cell r="E416" t="str">
            <v>D901</v>
          </cell>
          <cell r="F416" t="str">
            <v>D901</v>
          </cell>
          <cell r="G416">
            <v>250</v>
          </cell>
        </row>
        <row r="417">
          <cell r="C417">
            <v>363265320395</v>
          </cell>
          <cell r="D417" t="str">
            <v>363265320395(D903)</v>
          </cell>
          <cell r="E417" t="str">
            <v>D903</v>
          </cell>
          <cell r="F417" t="str">
            <v>D903</v>
          </cell>
          <cell r="G417">
            <v>120</v>
          </cell>
        </row>
        <row r="418">
          <cell r="C418">
            <v>363266120395</v>
          </cell>
          <cell r="D418" t="str">
            <v>363266120395(D903)</v>
          </cell>
          <cell r="E418" t="str">
            <v>D903</v>
          </cell>
          <cell r="F418" t="str">
            <v>D903</v>
          </cell>
          <cell r="G418">
            <v>120</v>
          </cell>
        </row>
        <row r="419">
          <cell r="C419">
            <v>363264720395</v>
          </cell>
          <cell r="D419" t="str">
            <v>363264720395(D903)</v>
          </cell>
          <cell r="E419" t="str">
            <v>D903</v>
          </cell>
          <cell r="F419" t="str">
            <v>D903</v>
          </cell>
          <cell r="G419">
            <v>120</v>
          </cell>
        </row>
        <row r="420">
          <cell r="C420">
            <v>363264420395</v>
          </cell>
          <cell r="D420" t="str">
            <v>363264420395(D903)</v>
          </cell>
          <cell r="E420" t="str">
            <v>D903</v>
          </cell>
          <cell r="F420" t="str">
            <v>D903</v>
          </cell>
          <cell r="G420">
            <v>120</v>
          </cell>
        </row>
        <row r="421">
          <cell r="C421">
            <v>363265720395</v>
          </cell>
          <cell r="D421" t="str">
            <v>363265720395(D903)</v>
          </cell>
          <cell r="E421" t="str">
            <v>D903</v>
          </cell>
          <cell r="F421" t="str">
            <v>D903</v>
          </cell>
          <cell r="G421">
            <v>120</v>
          </cell>
        </row>
        <row r="422">
          <cell r="C422">
            <v>363265020395</v>
          </cell>
          <cell r="D422" t="str">
            <v>363265020395(D903)</v>
          </cell>
          <cell r="E422" t="str">
            <v>D903</v>
          </cell>
          <cell r="F422" t="str">
            <v>D903</v>
          </cell>
          <cell r="G422">
            <v>120</v>
          </cell>
        </row>
        <row r="423">
          <cell r="C423">
            <v>352768920395</v>
          </cell>
          <cell r="D423" t="str">
            <v>352768920395(D905)</v>
          </cell>
          <cell r="E423" t="str">
            <v>D905</v>
          </cell>
          <cell r="F423" t="str">
            <v>D905</v>
          </cell>
          <cell r="G423">
            <v>250</v>
          </cell>
        </row>
        <row r="424">
          <cell r="C424">
            <v>353256520395</v>
          </cell>
          <cell r="D424" t="str">
            <v>353256520395(D905)</v>
          </cell>
          <cell r="E424" t="str">
            <v>D905</v>
          </cell>
          <cell r="F424" t="str">
            <v>D905</v>
          </cell>
          <cell r="G424">
            <v>240</v>
          </cell>
        </row>
        <row r="425">
          <cell r="C425">
            <v>352452720395</v>
          </cell>
          <cell r="D425" t="str">
            <v>352452720395(D905)</v>
          </cell>
          <cell r="E425" t="str">
            <v>D905</v>
          </cell>
          <cell r="F425" t="str">
            <v>D905</v>
          </cell>
          <cell r="G425">
            <v>250</v>
          </cell>
        </row>
        <row r="426">
          <cell r="C426">
            <v>352452820395</v>
          </cell>
          <cell r="D426" t="str">
            <v>352452820395(D905)</v>
          </cell>
          <cell r="E426" t="str">
            <v>D905</v>
          </cell>
          <cell r="F426" t="str">
            <v>D905</v>
          </cell>
          <cell r="G426">
            <v>250</v>
          </cell>
        </row>
        <row r="427">
          <cell r="C427">
            <v>352762020395</v>
          </cell>
          <cell r="D427" t="str">
            <v>352762020395(D905)</v>
          </cell>
          <cell r="E427" t="str">
            <v>D905</v>
          </cell>
          <cell r="F427" t="str">
            <v>D905</v>
          </cell>
          <cell r="G427">
            <v>240</v>
          </cell>
        </row>
        <row r="428">
          <cell r="C428">
            <v>352762920395</v>
          </cell>
          <cell r="D428" t="str">
            <v>352762920395(D905)</v>
          </cell>
          <cell r="E428" t="str">
            <v>D905</v>
          </cell>
          <cell r="F428" t="str">
            <v>D905</v>
          </cell>
          <cell r="G428">
            <v>240</v>
          </cell>
        </row>
        <row r="429">
          <cell r="C429">
            <v>352452020395</v>
          </cell>
          <cell r="D429" t="str">
            <v>352452020395(D905)</v>
          </cell>
          <cell r="E429" t="str">
            <v>D905</v>
          </cell>
          <cell r="F429" t="str">
            <v>D905</v>
          </cell>
          <cell r="G429">
            <v>250</v>
          </cell>
        </row>
        <row r="430">
          <cell r="C430">
            <v>352452420395</v>
          </cell>
          <cell r="D430" t="str">
            <v>352452420395(D905)</v>
          </cell>
          <cell r="E430" t="str">
            <v>D905</v>
          </cell>
          <cell r="F430" t="str">
            <v>D905</v>
          </cell>
          <cell r="G430">
            <v>250</v>
          </cell>
        </row>
        <row r="431">
          <cell r="C431">
            <v>352761220395</v>
          </cell>
          <cell r="D431" t="str">
            <v>352761220395(D905)</v>
          </cell>
          <cell r="E431" t="str">
            <v>D905</v>
          </cell>
          <cell r="F431" t="str">
            <v>D905</v>
          </cell>
          <cell r="G431">
            <v>250</v>
          </cell>
        </row>
        <row r="432">
          <cell r="C432">
            <v>364357120395</v>
          </cell>
          <cell r="D432" t="str">
            <v>364357120395(D902)</v>
          </cell>
          <cell r="E432" t="str">
            <v>D902</v>
          </cell>
          <cell r="F432" t="str">
            <v>D902</v>
          </cell>
          <cell r="G432">
            <v>160</v>
          </cell>
        </row>
        <row r="433">
          <cell r="C433">
            <v>365057120395</v>
          </cell>
          <cell r="D433" t="str">
            <v>365057120395(D902)</v>
          </cell>
          <cell r="E433" t="str">
            <v>D902</v>
          </cell>
          <cell r="F433" t="str">
            <v>D902</v>
          </cell>
          <cell r="G433">
            <v>135</v>
          </cell>
        </row>
        <row r="434">
          <cell r="C434">
            <v>365587320395</v>
          </cell>
          <cell r="D434" t="str">
            <v>365587320395(D902)</v>
          </cell>
          <cell r="E434" t="str">
            <v>D902</v>
          </cell>
          <cell r="F434" t="str">
            <v>D902</v>
          </cell>
          <cell r="G434">
            <v>125</v>
          </cell>
        </row>
        <row r="435">
          <cell r="C435">
            <v>365587420395</v>
          </cell>
          <cell r="D435" t="str">
            <v>365587420395(D902)</v>
          </cell>
          <cell r="E435" t="str">
            <v>D902</v>
          </cell>
          <cell r="F435" t="str">
            <v>D902</v>
          </cell>
          <cell r="G435">
            <v>125</v>
          </cell>
        </row>
        <row r="436">
          <cell r="C436">
            <v>366582020395</v>
          </cell>
          <cell r="D436" t="str">
            <v>366582020395(D903)</v>
          </cell>
          <cell r="E436" t="str">
            <v>D903</v>
          </cell>
          <cell r="F436" t="str">
            <v>D903</v>
          </cell>
          <cell r="G436">
            <v>80</v>
          </cell>
        </row>
        <row r="437">
          <cell r="C437">
            <v>364355820395</v>
          </cell>
          <cell r="D437">
            <v>0</v>
          </cell>
          <cell r="E437" t="str">
            <v>线外</v>
          </cell>
          <cell r="F437" t="str">
            <v>线外</v>
          </cell>
          <cell r="G437">
            <v>9</v>
          </cell>
        </row>
        <row r="438">
          <cell r="C438">
            <v>364355920395</v>
          </cell>
          <cell r="D438">
            <v>0</v>
          </cell>
          <cell r="E438" t="str">
            <v>线外</v>
          </cell>
          <cell r="F438" t="str">
            <v>线外</v>
          </cell>
          <cell r="G438">
            <v>9</v>
          </cell>
        </row>
        <row r="439">
          <cell r="C439">
            <v>364356220395</v>
          </cell>
          <cell r="D439">
            <v>0</v>
          </cell>
          <cell r="E439" t="str">
            <v>线外</v>
          </cell>
          <cell r="F439" t="str">
            <v>线外</v>
          </cell>
          <cell r="G439">
            <v>9</v>
          </cell>
        </row>
        <row r="440">
          <cell r="C440">
            <v>364356520395</v>
          </cell>
          <cell r="D440">
            <v>0</v>
          </cell>
          <cell r="E440" t="str">
            <v>线外</v>
          </cell>
          <cell r="F440" t="str">
            <v>线外</v>
          </cell>
          <cell r="G440">
            <v>9</v>
          </cell>
        </row>
        <row r="441">
          <cell r="C441">
            <v>364356620395</v>
          </cell>
          <cell r="D441">
            <v>0</v>
          </cell>
          <cell r="E441" t="str">
            <v>线外</v>
          </cell>
          <cell r="F441" t="str">
            <v>线外</v>
          </cell>
          <cell r="G441">
            <v>9</v>
          </cell>
        </row>
        <row r="442">
          <cell r="C442">
            <v>364356920395</v>
          </cell>
          <cell r="D442">
            <v>0</v>
          </cell>
          <cell r="E442" t="str">
            <v>线外</v>
          </cell>
          <cell r="F442" t="str">
            <v>线外</v>
          </cell>
          <cell r="G442">
            <v>9</v>
          </cell>
        </row>
        <row r="443">
          <cell r="C443">
            <v>364356820395</v>
          </cell>
          <cell r="D443">
            <v>0</v>
          </cell>
          <cell r="E443" t="str">
            <v>线外</v>
          </cell>
          <cell r="F443" t="str">
            <v>线外</v>
          </cell>
          <cell r="G443">
            <v>9</v>
          </cell>
        </row>
        <row r="444">
          <cell r="C444">
            <v>364357020395</v>
          </cell>
          <cell r="D444">
            <v>0</v>
          </cell>
          <cell r="E444" t="str">
            <v>线外</v>
          </cell>
          <cell r="F444" t="str">
            <v>线外</v>
          </cell>
          <cell r="G444">
            <v>9</v>
          </cell>
        </row>
        <row r="445">
          <cell r="C445">
            <v>364304520395</v>
          </cell>
          <cell r="D445">
            <v>0</v>
          </cell>
          <cell r="E445" t="str">
            <v>线外</v>
          </cell>
          <cell r="F445" t="str">
            <v>线外</v>
          </cell>
          <cell r="G445">
            <v>9</v>
          </cell>
        </row>
        <row r="446">
          <cell r="C446">
            <v>364304620395</v>
          </cell>
          <cell r="D446">
            <v>0</v>
          </cell>
          <cell r="E446" t="str">
            <v>线外</v>
          </cell>
          <cell r="F446" t="str">
            <v>线外</v>
          </cell>
          <cell r="G446">
            <v>9</v>
          </cell>
        </row>
        <row r="447">
          <cell r="C447">
            <v>352453420395</v>
          </cell>
          <cell r="D447">
            <v>0</v>
          </cell>
          <cell r="E447" t="str">
            <v>线外</v>
          </cell>
          <cell r="F447" t="str">
            <v>线外</v>
          </cell>
          <cell r="G447">
            <v>20</v>
          </cell>
        </row>
        <row r="448">
          <cell r="C448">
            <v>352453120395</v>
          </cell>
          <cell r="D448">
            <v>0</v>
          </cell>
          <cell r="E448" t="str">
            <v>线外</v>
          </cell>
          <cell r="F448" t="str">
            <v>线外</v>
          </cell>
          <cell r="G448">
            <v>20</v>
          </cell>
        </row>
        <row r="449">
          <cell r="C449">
            <v>352763020395</v>
          </cell>
          <cell r="D449">
            <v>0</v>
          </cell>
          <cell r="E449" t="str">
            <v>线外</v>
          </cell>
          <cell r="F449" t="str">
            <v>线外</v>
          </cell>
          <cell r="G449">
            <v>20</v>
          </cell>
        </row>
        <row r="450">
          <cell r="C450">
            <v>352762820395</v>
          </cell>
          <cell r="D450">
            <v>0</v>
          </cell>
          <cell r="E450" t="str">
            <v>线外</v>
          </cell>
          <cell r="F450" t="str">
            <v>线外</v>
          </cell>
          <cell r="G450">
            <v>20</v>
          </cell>
        </row>
        <row r="451">
          <cell r="C451">
            <v>352762820395</v>
          </cell>
          <cell r="D451">
            <v>0</v>
          </cell>
          <cell r="E451" t="str">
            <v>线外</v>
          </cell>
          <cell r="F451" t="str">
            <v>线外</v>
          </cell>
          <cell r="G451">
            <v>20</v>
          </cell>
        </row>
        <row r="452">
          <cell r="C452">
            <v>352761420395</v>
          </cell>
          <cell r="D452">
            <v>0</v>
          </cell>
          <cell r="E452" t="str">
            <v>线外</v>
          </cell>
          <cell r="F452" t="str">
            <v>线外</v>
          </cell>
          <cell r="G452">
            <v>20</v>
          </cell>
        </row>
        <row r="453">
          <cell r="C453">
            <v>352452120395</v>
          </cell>
          <cell r="D453">
            <v>0</v>
          </cell>
          <cell r="E453" t="str">
            <v>线外</v>
          </cell>
          <cell r="F453" t="str">
            <v>线外</v>
          </cell>
          <cell r="G453">
            <v>20</v>
          </cell>
        </row>
        <row r="454">
          <cell r="C454">
            <v>355050320395</v>
          </cell>
          <cell r="D454">
            <v>0</v>
          </cell>
          <cell r="E454" t="str">
            <v>线外</v>
          </cell>
          <cell r="F454" t="str">
            <v>线外</v>
          </cell>
          <cell r="G454">
            <v>9</v>
          </cell>
        </row>
        <row r="455">
          <cell r="C455">
            <v>355050220395</v>
          </cell>
          <cell r="D455">
            <v>0</v>
          </cell>
          <cell r="E455" t="str">
            <v>线外</v>
          </cell>
          <cell r="F455" t="str">
            <v>线外</v>
          </cell>
          <cell r="G455">
            <v>9</v>
          </cell>
        </row>
        <row r="456">
          <cell r="C456">
            <v>355550320395</v>
          </cell>
          <cell r="D456">
            <v>0</v>
          </cell>
          <cell r="E456" t="str">
            <v>线外</v>
          </cell>
          <cell r="F456" t="str">
            <v>线外</v>
          </cell>
          <cell r="G456">
            <v>9</v>
          </cell>
        </row>
        <row r="457">
          <cell r="C457">
            <v>355550220395</v>
          </cell>
          <cell r="D457">
            <v>0</v>
          </cell>
          <cell r="E457" t="str">
            <v>线外</v>
          </cell>
          <cell r="F457" t="str">
            <v>线外</v>
          </cell>
          <cell r="G457">
            <v>9</v>
          </cell>
        </row>
        <row r="458">
          <cell r="C458" t="str">
            <v>3V6553020395</v>
          </cell>
          <cell r="D458">
            <v>0</v>
          </cell>
          <cell r="E458" t="str">
            <v>线外</v>
          </cell>
          <cell r="F458" t="str">
            <v>线外</v>
          </cell>
          <cell r="G458">
            <v>10</v>
          </cell>
        </row>
        <row r="459">
          <cell r="C459" t="str">
            <v>3V6552920395</v>
          </cell>
          <cell r="D459">
            <v>0</v>
          </cell>
          <cell r="E459" t="str">
            <v>线外</v>
          </cell>
          <cell r="F459" t="str">
            <v>线外</v>
          </cell>
          <cell r="G459">
            <v>10</v>
          </cell>
        </row>
        <row r="460">
          <cell r="C460" t="str">
            <v>3V6552820395</v>
          </cell>
          <cell r="D460">
            <v>0</v>
          </cell>
          <cell r="E460" t="str">
            <v>线外</v>
          </cell>
          <cell r="F460" t="str">
            <v>线外</v>
          </cell>
          <cell r="G460">
            <v>10</v>
          </cell>
        </row>
        <row r="461">
          <cell r="C461" t="str">
            <v>3V6552720395</v>
          </cell>
          <cell r="D461">
            <v>0</v>
          </cell>
          <cell r="E461" t="str">
            <v>线外</v>
          </cell>
          <cell r="F461" t="str">
            <v>线外</v>
          </cell>
          <cell r="G461">
            <v>10</v>
          </cell>
        </row>
        <row r="462">
          <cell r="C462" t="str">
            <v>3V6552620395</v>
          </cell>
          <cell r="D462">
            <v>0</v>
          </cell>
          <cell r="E462" t="str">
            <v>线外</v>
          </cell>
          <cell r="F462" t="str">
            <v>线外</v>
          </cell>
          <cell r="G462">
            <v>10</v>
          </cell>
        </row>
        <row r="463">
          <cell r="C463" t="str">
            <v>3V6552520395</v>
          </cell>
          <cell r="D463">
            <v>0</v>
          </cell>
          <cell r="E463" t="str">
            <v>线外</v>
          </cell>
          <cell r="F463" t="str">
            <v>线外</v>
          </cell>
          <cell r="G463">
            <v>10</v>
          </cell>
        </row>
        <row r="464">
          <cell r="C464" t="str">
            <v>3V6552420395</v>
          </cell>
          <cell r="D464">
            <v>0</v>
          </cell>
          <cell r="E464" t="str">
            <v>线外</v>
          </cell>
          <cell r="F464" t="str">
            <v>线外</v>
          </cell>
          <cell r="G464">
            <v>10</v>
          </cell>
        </row>
        <row r="465">
          <cell r="C465" t="str">
            <v>3V6552320395</v>
          </cell>
          <cell r="D465">
            <v>0</v>
          </cell>
          <cell r="E465" t="str">
            <v>线外</v>
          </cell>
          <cell r="F465" t="str">
            <v>线外</v>
          </cell>
          <cell r="G465">
            <v>10</v>
          </cell>
        </row>
        <row r="466">
          <cell r="C466" t="str">
            <v>3V6552220395</v>
          </cell>
          <cell r="D466">
            <v>0</v>
          </cell>
          <cell r="E466" t="str">
            <v>线外</v>
          </cell>
          <cell r="F466" t="str">
            <v>线外</v>
          </cell>
          <cell r="G466">
            <v>10</v>
          </cell>
        </row>
        <row r="467">
          <cell r="C467" t="str">
            <v>3V6552120395</v>
          </cell>
          <cell r="D467">
            <v>0</v>
          </cell>
          <cell r="E467" t="str">
            <v>线外</v>
          </cell>
          <cell r="F467" t="str">
            <v>线外</v>
          </cell>
          <cell r="G467">
            <v>10</v>
          </cell>
        </row>
        <row r="468">
          <cell r="C468" t="str">
            <v>3V6551920395</v>
          </cell>
          <cell r="D468">
            <v>0</v>
          </cell>
          <cell r="E468" t="str">
            <v>线外</v>
          </cell>
          <cell r="F468" t="str">
            <v>线外</v>
          </cell>
          <cell r="G468">
            <v>10</v>
          </cell>
        </row>
        <row r="469">
          <cell r="C469" t="str">
            <v>3V6552020395</v>
          </cell>
          <cell r="D469">
            <v>0</v>
          </cell>
          <cell r="E469" t="str">
            <v>线外</v>
          </cell>
          <cell r="F469" t="str">
            <v>线外</v>
          </cell>
          <cell r="G469">
            <v>10</v>
          </cell>
        </row>
        <row r="470">
          <cell r="C470" t="str">
            <v>VXXUSLO2----.DIXIE-1</v>
          </cell>
          <cell r="D470">
            <v>0</v>
          </cell>
          <cell r="E470" t="str">
            <v>线外</v>
          </cell>
          <cell r="F470" t="str">
            <v>线外</v>
          </cell>
          <cell r="G470">
            <v>4</v>
          </cell>
        </row>
        <row r="471">
          <cell r="C471" t="str">
            <v>P75USCV22EO-.K75VE21</v>
          </cell>
          <cell r="D471" t="str">
            <v>P75USCV22EO-.K75VE21(D903)</v>
          </cell>
          <cell r="E471" t="str">
            <v>D903</v>
          </cell>
          <cell r="F471" t="str">
            <v>D903</v>
          </cell>
          <cell r="G471">
            <v>25</v>
          </cell>
        </row>
        <row r="472">
          <cell r="C472" t="str">
            <v>P65USCV22EO-.K65VE21</v>
          </cell>
          <cell r="D472" t="str">
            <v>P65USCV22EO-.K65VE21(D903)</v>
          </cell>
          <cell r="E472" t="str">
            <v>D903</v>
          </cell>
          <cell r="F472" t="str">
            <v>D903</v>
          </cell>
          <cell r="G472">
            <v>30</v>
          </cell>
        </row>
        <row r="473">
          <cell r="C473" t="str">
            <v>P65USCV22EO-.K65VE22</v>
          </cell>
          <cell r="D473" t="str">
            <v>P65USCV22EO-.K65VE22(D903)</v>
          </cell>
          <cell r="E473" t="str">
            <v>D903</v>
          </cell>
          <cell r="F473" t="str">
            <v>D903</v>
          </cell>
          <cell r="G473">
            <v>30</v>
          </cell>
        </row>
        <row r="474">
          <cell r="C474" t="str">
            <v>P65USCV22EO-.K65VE23</v>
          </cell>
          <cell r="D474" t="str">
            <v>P65USCV22EO-.K65VE23(D903)</v>
          </cell>
          <cell r="E474" t="str">
            <v>D903</v>
          </cell>
          <cell r="F474" t="str">
            <v>D903</v>
          </cell>
          <cell r="G474">
            <v>30</v>
          </cell>
        </row>
        <row r="475">
          <cell r="C475" t="str">
            <v>P75USCV22EO-.K75VE22</v>
          </cell>
          <cell r="D475" t="str">
            <v>P75USCV22EO-.K75VE22(D903)</v>
          </cell>
          <cell r="E475" t="str">
            <v>D903</v>
          </cell>
          <cell r="F475" t="str">
            <v>D903</v>
          </cell>
          <cell r="G475">
            <v>25</v>
          </cell>
        </row>
        <row r="476">
          <cell r="C476" t="str">
            <v>P65INCV22EO-.K65VF11</v>
          </cell>
          <cell r="D476" t="str">
            <v>P65INCV22EO-.K65VF11(D903)</v>
          </cell>
          <cell r="E476" t="str">
            <v>D903</v>
          </cell>
          <cell r="F476" t="str">
            <v>D903</v>
          </cell>
          <cell r="G476">
            <v>30</v>
          </cell>
        </row>
        <row r="477">
          <cell r="C477" t="str">
            <v>P65INCV22EO-.K65VF12</v>
          </cell>
          <cell r="D477" t="str">
            <v>P65INCV22EO-.K65VF12(D903)</v>
          </cell>
          <cell r="E477" t="str">
            <v>D903</v>
          </cell>
          <cell r="F477" t="str">
            <v>D903</v>
          </cell>
          <cell r="G477">
            <v>30</v>
          </cell>
        </row>
        <row r="478">
          <cell r="C478" t="str">
            <v>P75INCV22EO-.K75VF11</v>
          </cell>
          <cell r="D478" t="str">
            <v>P75INCV22EO-.K75VF11(D903)</v>
          </cell>
          <cell r="E478" t="str">
            <v>D903</v>
          </cell>
          <cell r="F478" t="str">
            <v>D903</v>
          </cell>
          <cell r="G478">
            <v>25</v>
          </cell>
        </row>
        <row r="479">
          <cell r="C479" t="str">
            <v>P75USCV22EO-.K75VE23</v>
          </cell>
          <cell r="D479" t="str">
            <v>P75USCV22EO-.K75VE23(D903)</v>
          </cell>
          <cell r="E479" t="str">
            <v>D903</v>
          </cell>
          <cell r="F479" t="str">
            <v>D903</v>
          </cell>
          <cell r="G479">
            <v>25</v>
          </cell>
        </row>
        <row r="480">
          <cell r="C480" t="str">
            <v>P75USCV22EO-.K75VG11</v>
          </cell>
          <cell r="D480" t="str">
            <v>P75USCV22EO-.K75VG11(D903)</v>
          </cell>
          <cell r="E480" t="str">
            <v>D903</v>
          </cell>
          <cell r="F480" t="str">
            <v>D903</v>
          </cell>
          <cell r="G480">
            <v>25</v>
          </cell>
        </row>
        <row r="481">
          <cell r="C481" t="str">
            <v>P86INCV22EO-.K86VG11</v>
          </cell>
          <cell r="D481" t="str">
            <v>P86INCV22EO-.K86VG11(D903)</v>
          </cell>
          <cell r="E481" t="str">
            <v>D903</v>
          </cell>
          <cell r="F481" t="str">
            <v>D903</v>
          </cell>
          <cell r="G481">
            <v>20</v>
          </cell>
        </row>
        <row r="482">
          <cell r="C482" t="str">
            <v>P86INCV22EO-.K86VG12</v>
          </cell>
          <cell r="D482" t="str">
            <v>P86INCV22EO-.K86VG12(D903)</v>
          </cell>
          <cell r="E482" t="str">
            <v>D903</v>
          </cell>
          <cell r="F482" t="str">
            <v>D903</v>
          </cell>
          <cell r="G482">
            <v>20</v>
          </cell>
        </row>
        <row r="483">
          <cell r="C483" t="str">
            <v>P55USCV22FO-.EH55VH1</v>
          </cell>
          <cell r="D483" t="str">
            <v>P55USCV22FO-.EH55VH1(D903)</v>
          </cell>
          <cell r="E483" t="str">
            <v>D903</v>
          </cell>
          <cell r="F483" t="str">
            <v>D903</v>
          </cell>
          <cell r="G483">
            <v>40</v>
          </cell>
        </row>
        <row r="484">
          <cell r="C484" t="str">
            <v>P55USCV22FO-.EH55VH2</v>
          </cell>
          <cell r="D484" t="str">
            <v>P55USCV22FO-.EH55VH2(D903)</v>
          </cell>
          <cell r="E484" t="str">
            <v>D903</v>
          </cell>
          <cell r="F484" t="str">
            <v>D903</v>
          </cell>
          <cell r="G484">
            <v>40</v>
          </cell>
        </row>
        <row r="485">
          <cell r="C485" t="str">
            <v>P55USCV22FO-.EH55VH2</v>
          </cell>
          <cell r="D485" t="str">
            <v>P55USCV22FO-.EH55VH2(D902)</v>
          </cell>
          <cell r="E485" t="str">
            <v>D902</v>
          </cell>
          <cell r="F485" t="str">
            <v>D902</v>
          </cell>
          <cell r="G485">
            <v>40</v>
          </cell>
        </row>
        <row r="486">
          <cell r="C486" t="str">
            <v>P65USCV22EO-.EH65VH1</v>
          </cell>
          <cell r="D486" t="str">
            <v>P65USCV22EO-.EH65VH1(D903)</v>
          </cell>
          <cell r="E486" t="str">
            <v>D903</v>
          </cell>
          <cell r="F486" t="str">
            <v>D903</v>
          </cell>
          <cell r="G486">
            <v>35</v>
          </cell>
        </row>
        <row r="487">
          <cell r="C487" t="str">
            <v>P65USCV22EO-.EH65VH2</v>
          </cell>
          <cell r="D487" t="str">
            <v>P65USCV22EO-.EH65VH2(D903)</v>
          </cell>
          <cell r="E487" t="str">
            <v>D903</v>
          </cell>
          <cell r="F487" t="str">
            <v>D903</v>
          </cell>
          <cell r="G487">
            <v>40</v>
          </cell>
        </row>
        <row r="488">
          <cell r="C488" t="str">
            <v>P65USCV22EO-.EH65VH3</v>
          </cell>
          <cell r="D488" t="str">
            <v>P65USCV22EO-.EH65VH3(D903)</v>
          </cell>
          <cell r="E488" t="str">
            <v>D903</v>
          </cell>
          <cell r="F488" t="str">
            <v>D903</v>
          </cell>
          <cell r="G488">
            <v>40</v>
          </cell>
        </row>
        <row r="489">
          <cell r="C489" t="str">
            <v>P65USCV22EO-.EH65VH3</v>
          </cell>
          <cell r="D489" t="str">
            <v>P65USCV22EO-.EH65VH3(D902)</v>
          </cell>
          <cell r="E489" t="str">
            <v>D902</v>
          </cell>
          <cell r="F489" t="str">
            <v>D902</v>
          </cell>
          <cell r="G489">
            <v>40</v>
          </cell>
        </row>
        <row r="490">
          <cell r="C490" t="str">
            <v>P75USCV22EO-.EH75VH1</v>
          </cell>
          <cell r="D490" t="str">
            <v>P75USCV22EO-.EH75VH1(D903)</v>
          </cell>
          <cell r="E490" t="str">
            <v>D903</v>
          </cell>
          <cell r="F490" t="str">
            <v>D903</v>
          </cell>
          <cell r="G490">
            <v>30</v>
          </cell>
        </row>
        <row r="491">
          <cell r="C491" t="str">
            <v>P75USCV22EO-.EH75VH2</v>
          </cell>
          <cell r="D491" t="str">
            <v>P75USCV22EO-.EH75VH2(D903)</v>
          </cell>
          <cell r="E491" t="str">
            <v>D903</v>
          </cell>
          <cell r="F491" t="str">
            <v>D903</v>
          </cell>
          <cell r="G491">
            <v>35</v>
          </cell>
        </row>
        <row r="492">
          <cell r="C492" t="str">
            <v>P75USCV22EO-.EH75VH3</v>
          </cell>
          <cell r="D492" t="str">
            <v>P75USCV22EO-.EH75VH3(D903)</v>
          </cell>
          <cell r="E492" t="str">
            <v>D903</v>
          </cell>
          <cell r="F492" t="str">
            <v>D903</v>
          </cell>
          <cell r="G492">
            <v>35</v>
          </cell>
        </row>
        <row r="493">
          <cell r="C493" t="str">
            <v>P86USCV22EO-.EH86VH1</v>
          </cell>
          <cell r="D493" t="str">
            <v>P86USCV22EO-.EH86VH1(D903)</v>
          </cell>
          <cell r="E493" t="str">
            <v>D903</v>
          </cell>
          <cell r="F493" t="str">
            <v>D903</v>
          </cell>
          <cell r="G493">
            <v>25</v>
          </cell>
        </row>
        <row r="494">
          <cell r="C494" t="str">
            <v>P86USCV22EO-.EH86VH2</v>
          </cell>
          <cell r="D494" t="str">
            <v>P86USCV22EO-.EH86VH2(D903)</v>
          </cell>
          <cell r="E494" t="str">
            <v>D903</v>
          </cell>
          <cell r="F494" t="str">
            <v>D903</v>
          </cell>
          <cell r="G494">
            <v>30</v>
          </cell>
        </row>
        <row r="495">
          <cell r="C495" t="str">
            <v>P86USCV22EO-.EH86VH3</v>
          </cell>
          <cell r="D495" t="str">
            <v>P86USCV22EO-.EH86VH3(D903)</v>
          </cell>
          <cell r="E495" t="str">
            <v>D903</v>
          </cell>
          <cell r="F495" t="str">
            <v>D903</v>
          </cell>
          <cell r="G495">
            <v>30</v>
          </cell>
        </row>
        <row r="496">
          <cell r="C496" t="str">
            <v>P65USCV22FO-.CE65VK1</v>
          </cell>
          <cell r="D496" t="str">
            <v>P65USCV22FO-.CE65VK1(D902)</v>
          </cell>
          <cell r="E496" t="str">
            <v>D902</v>
          </cell>
          <cell r="F496" t="str">
            <v>D902</v>
          </cell>
          <cell r="G496">
            <v>40</v>
          </cell>
        </row>
        <row r="497">
          <cell r="C497" t="str">
            <v>P65USCV22FO-.CE65VK1</v>
          </cell>
          <cell r="D497" t="str">
            <v>P65USCV22FO-.CE65VK1(D903)</v>
          </cell>
          <cell r="E497" t="str">
            <v>D903</v>
          </cell>
          <cell r="F497" t="str">
            <v>D903</v>
          </cell>
          <cell r="G497">
            <v>40</v>
          </cell>
        </row>
        <row r="498">
          <cell r="C498" t="str">
            <v>P75USCV22FO-.CE75VK1</v>
          </cell>
          <cell r="D498" t="str">
            <v>P75USCV22FO-.CE75VK1(D903)</v>
          </cell>
          <cell r="E498" t="str">
            <v>D903</v>
          </cell>
          <cell r="F498" t="str">
            <v>D903</v>
          </cell>
          <cell r="G498">
            <v>35</v>
          </cell>
        </row>
        <row r="499">
          <cell r="C499" t="str">
            <v>P86USCV22EO-.CE86VK1</v>
          </cell>
          <cell r="D499" t="str">
            <v>P86USCV22EO-.CE86VK1(D903)</v>
          </cell>
          <cell r="E499" t="str">
            <v>D903</v>
          </cell>
          <cell r="F499" t="str">
            <v>D903</v>
          </cell>
          <cell r="G499">
            <v>30</v>
          </cell>
        </row>
        <row r="500">
          <cell r="C500" t="str">
            <v>P43USCV22EO-.W43PNC1</v>
          </cell>
          <cell r="D500" t="str">
            <v>P43USCV22EO-.W43PNC1(D902)</v>
          </cell>
          <cell r="E500" t="str">
            <v>D902</v>
          </cell>
          <cell r="F500" t="str">
            <v>D902</v>
          </cell>
          <cell r="G500">
            <v>65</v>
          </cell>
        </row>
        <row r="501">
          <cell r="C501" t="str">
            <v>P55USCV22EO-.W55PNC1</v>
          </cell>
          <cell r="D501" t="str">
            <v>P55USCV22EO-.W55PNC1(D902)</v>
          </cell>
          <cell r="E501" t="str">
            <v>D902</v>
          </cell>
          <cell r="F501" t="str">
            <v>D902</v>
          </cell>
          <cell r="G501">
            <v>65</v>
          </cell>
        </row>
        <row r="502">
          <cell r="C502" t="str">
            <v>P65USCV22FO-.W65PNC1</v>
          </cell>
          <cell r="D502" t="str">
            <v>P65USCV22FO-.W65PNC1(D903)</v>
          </cell>
          <cell r="E502" t="str">
            <v>D903</v>
          </cell>
          <cell r="F502" t="str">
            <v>D903</v>
          </cell>
          <cell r="G502">
            <v>40</v>
          </cell>
        </row>
        <row r="503">
          <cell r="C503" t="str">
            <v>P75USCV22FO-.W75PNC1</v>
          </cell>
          <cell r="D503" t="str">
            <v>P75USCV22FO-.W75PNC1(D903)</v>
          </cell>
          <cell r="E503" t="str">
            <v>D903</v>
          </cell>
          <cell r="F503" t="str">
            <v>D903</v>
          </cell>
          <cell r="G503">
            <v>35</v>
          </cell>
        </row>
        <row r="504">
          <cell r="C504" t="str">
            <v>P86USCV22FO-.W86PNC1</v>
          </cell>
          <cell r="D504" t="str">
            <v>P86USCV22FO-.W86PNC1(D903)</v>
          </cell>
          <cell r="E504" t="str">
            <v>D903</v>
          </cell>
          <cell r="F504" t="str">
            <v>D903</v>
          </cell>
          <cell r="G504">
            <v>30</v>
          </cell>
        </row>
        <row r="505">
          <cell r="C505" t="str">
            <v>P65USCV22EO-.EK65XG1</v>
          </cell>
          <cell r="D505" t="str">
            <v>P65USCV22EO-.EK65XG1(D903)</v>
          </cell>
          <cell r="E505" t="str">
            <v>D903</v>
          </cell>
          <cell r="F505" t="str">
            <v>D903</v>
          </cell>
          <cell r="G505">
            <v>25</v>
          </cell>
        </row>
        <row r="506">
          <cell r="C506" t="str">
            <v>P75USCV22EO-.EK75XG1</v>
          </cell>
          <cell r="D506" t="str">
            <v>P75USCV22EO-.EK75XG1(D903)</v>
          </cell>
          <cell r="E506" t="str">
            <v>D903</v>
          </cell>
          <cell r="F506" t="str">
            <v>D903</v>
          </cell>
          <cell r="G506">
            <v>20</v>
          </cell>
        </row>
        <row r="507">
          <cell r="C507" t="str">
            <v>P86USCV22EO-.EK86XG1</v>
          </cell>
          <cell r="D507" t="str">
            <v>P86USCV22EO-.EK86XG1(D903)</v>
          </cell>
          <cell r="E507" t="str">
            <v>D903</v>
          </cell>
          <cell r="F507" t="str">
            <v>D903</v>
          </cell>
          <cell r="G507">
            <v>18</v>
          </cell>
        </row>
        <row r="508">
          <cell r="C508" t="str">
            <v>P65USCV22EO-.EK65CC1</v>
          </cell>
          <cell r="D508" t="str">
            <v>P65USCV22EO-.EK65CC1(D903)</v>
          </cell>
          <cell r="E508" t="str">
            <v>D903</v>
          </cell>
          <cell r="F508" t="str">
            <v>D903</v>
          </cell>
          <cell r="G508">
            <v>25</v>
          </cell>
        </row>
        <row r="509">
          <cell r="C509" t="str">
            <v>P75USCV22EO-.EK75CC1</v>
          </cell>
          <cell r="D509" t="str">
            <v>P75USCV22EO-.EK75CC1(D903)</v>
          </cell>
          <cell r="E509" t="str">
            <v>D903</v>
          </cell>
          <cell r="F509" t="str">
            <v>D903</v>
          </cell>
          <cell r="G509">
            <v>20</v>
          </cell>
        </row>
        <row r="510">
          <cell r="C510" t="str">
            <v>P86USCV22EO-.EK86CC1</v>
          </cell>
          <cell r="D510" t="str">
            <v>P86USCV22EO-.EK86CC1(D903)</v>
          </cell>
          <cell r="E510" t="str">
            <v>D903</v>
          </cell>
          <cell r="F510" t="str">
            <v>D903</v>
          </cell>
          <cell r="G510">
            <v>18</v>
          </cell>
        </row>
        <row r="511">
          <cell r="C511" t="str">
            <v>P65USCV22FO-.EL65BE1</v>
          </cell>
          <cell r="D511" t="str">
            <v>P65USCV22FO-.EL65BE1(D903)</v>
          </cell>
          <cell r="E511" t="str">
            <v>D903</v>
          </cell>
          <cell r="F511" t="str">
            <v>D903</v>
          </cell>
          <cell r="G511">
            <v>28</v>
          </cell>
        </row>
        <row r="512">
          <cell r="C512" t="str">
            <v>P65USCV22FO-.EL65BE2</v>
          </cell>
          <cell r="D512" t="str">
            <v>P65USCV22FO-.EL65BE2(D903)</v>
          </cell>
          <cell r="E512" t="str">
            <v>D903</v>
          </cell>
          <cell r="F512" t="str">
            <v>D903</v>
          </cell>
          <cell r="G512">
            <v>28</v>
          </cell>
        </row>
        <row r="513">
          <cell r="C513" t="str">
            <v>P75USCV22FO-.EL75BE1</v>
          </cell>
          <cell r="D513" t="str">
            <v>P75USCV22FO-.EL75BE1(D903)</v>
          </cell>
          <cell r="E513" t="str">
            <v>D903</v>
          </cell>
          <cell r="F513" t="str">
            <v>D903</v>
          </cell>
          <cell r="G513">
            <v>25</v>
          </cell>
        </row>
        <row r="514">
          <cell r="C514" t="str">
            <v>P75USCV22FO-.EL75BE2</v>
          </cell>
          <cell r="D514" t="str">
            <v>P75USCV22FO-.EL75BE2(D903)</v>
          </cell>
          <cell r="E514" t="str">
            <v>D903</v>
          </cell>
          <cell r="F514" t="str">
            <v>D903</v>
          </cell>
          <cell r="G514">
            <v>25</v>
          </cell>
        </row>
        <row r="515">
          <cell r="C515" t="str">
            <v>P86USCV22FO-.EL86BE1</v>
          </cell>
          <cell r="D515" t="str">
            <v>P86USCV22FO-.EL86BE1(D903)</v>
          </cell>
          <cell r="E515" t="str">
            <v>D903</v>
          </cell>
          <cell r="F515" t="str">
            <v>D903</v>
          </cell>
          <cell r="G515">
            <v>20</v>
          </cell>
        </row>
        <row r="516">
          <cell r="C516" t="str">
            <v>P86USCV22FO-.EL86BE2</v>
          </cell>
          <cell r="D516" t="str">
            <v>P86USCV22FO-.EL86BE2(D903)</v>
          </cell>
          <cell r="E516" t="str">
            <v>D903</v>
          </cell>
          <cell r="F516" t="str">
            <v>D903</v>
          </cell>
          <cell r="G516">
            <v>20</v>
          </cell>
        </row>
        <row r="517">
          <cell r="C517" t="str">
            <v>P65USCV22EO-.EK65LE1</v>
          </cell>
          <cell r="D517" t="str">
            <v>P65USCV22EO-.EK65LE1(D903)</v>
          </cell>
          <cell r="E517" t="str">
            <v>D903</v>
          </cell>
          <cell r="F517" t="str">
            <v>D903</v>
          </cell>
          <cell r="G517">
            <v>35</v>
          </cell>
        </row>
        <row r="518">
          <cell r="C518" t="str">
            <v>P75USCV22EO-.EK75LE1</v>
          </cell>
          <cell r="D518" t="str">
            <v>P75USCV22EO-.EK75LE1(D903)</v>
          </cell>
          <cell r="E518" t="str">
            <v>D903</v>
          </cell>
          <cell r="F518" t="str">
            <v>D903</v>
          </cell>
          <cell r="G518">
            <v>30</v>
          </cell>
        </row>
        <row r="519">
          <cell r="C519" t="str">
            <v>P86USCV22EO-.EK86LE1</v>
          </cell>
          <cell r="D519" t="str">
            <v>P86USCV22EO-.EK86LE1(D903)</v>
          </cell>
          <cell r="E519" t="str">
            <v>D903</v>
          </cell>
          <cell r="F519" t="str">
            <v>D903</v>
          </cell>
          <cell r="G519">
            <v>25</v>
          </cell>
        </row>
        <row r="520">
          <cell r="C520" t="str">
            <v>P55USCV22EO-.EH55LG1</v>
          </cell>
          <cell r="D520" t="str">
            <v>P55USCV22EO-.EH55LG1(D902)</v>
          </cell>
          <cell r="E520" t="str">
            <v>D902</v>
          </cell>
          <cell r="F520" t="str">
            <v>D902</v>
          </cell>
          <cell r="G520">
            <v>40</v>
          </cell>
        </row>
        <row r="521">
          <cell r="C521" t="str">
            <v>P65USCV22EO-.EH65LG1</v>
          </cell>
          <cell r="D521" t="str">
            <v>P65USCV22EO-.EH65LG1(D903)</v>
          </cell>
          <cell r="E521" t="str">
            <v>D903</v>
          </cell>
          <cell r="F521" t="str">
            <v>D903</v>
          </cell>
          <cell r="G521">
            <v>35</v>
          </cell>
        </row>
        <row r="522">
          <cell r="C522" t="str">
            <v>P75USCV22EO-.EH75LG1</v>
          </cell>
          <cell r="D522" t="str">
            <v>P75USCV22EO-.EH75LG1(D903)</v>
          </cell>
          <cell r="E522" t="str">
            <v>D903</v>
          </cell>
          <cell r="F522" t="str">
            <v>D903</v>
          </cell>
          <cell r="G522">
            <v>30</v>
          </cell>
        </row>
        <row r="523">
          <cell r="C523" t="str">
            <v>P86USCV22EO-.EH86LG1</v>
          </cell>
          <cell r="D523" t="str">
            <v>P86USCV22EO-.EH86LG1(D903)</v>
          </cell>
          <cell r="E523" t="str">
            <v>D903</v>
          </cell>
          <cell r="F523" t="str">
            <v>D903</v>
          </cell>
          <cell r="G523">
            <v>25</v>
          </cell>
        </row>
        <row r="524">
          <cell r="C524" t="str">
            <v>P65USCV22EO-.LA65LF1</v>
          </cell>
          <cell r="D524" t="str">
            <v>P65USCV22EO-.LA65LF1(D903)</v>
          </cell>
          <cell r="E524" t="str">
            <v>D903</v>
          </cell>
          <cell r="F524" t="str">
            <v>D903</v>
          </cell>
          <cell r="G524">
            <v>35</v>
          </cell>
        </row>
        <row r="525">
          <cell r="C525" t="str">
            <v>P75USCV22EO-.LA75LF1</v>
          </cell>
          <cell r="D525" t="str">
            <v>P75USCV22EO-.LA75LF1(D903)</v>
          </cell>
          <cell r="E525" t="str">
            <v>D903</v>
          </cell>
          <cell r="F525" t="str">
            <v>D903</v>
          </cell>
          <cell r="G525">
            <v>30</v>
          </cell>
        </row>
        <row r="526">
          <cell r="C526" t="str">
            <v>P86USCV22EO-.LA86LF1</v>
          </cell>
          <cell r="D526" t="str">
            <v>P86USCV22EO-.LA86LF1(D903)</v>
          </cell>
          <cell r="E526" t="str">
            <v>D903</v>
          </cell>
          <cell r="F526" t="str">
            <v>D903</v>
          </cell>
          <cell r="G526">
            <v>25</v>
          </cell>
        </row>
        <row r="527">
          <cell r="C527" t="str">
            <v>P43USCV22EO-.ND43CM1</v>
          </cell>
          <cell r="D527" t="str">
            <v>P43USCV22EO-.ND43CM1(D902)</v>
          </cell>
          <cell r="E527" t="str">
            <v>D902</v>
          </cell>
          <cell r="F527" t="str">
            <v>D902</v>
          </cell>
          <cell r="G527">
            <v>65</v>
          </cell>
        </row>
        <row r="528">
          <cell r="C528" t="str">
            <v>P55USCV22EO-.ND55CM1</v>
          </cell>
          <cell r="D528" t="str">
            <v>P55USCV22EO-.ND55CM1(D902)</v>
          </cell>
          <cell r="E528" t="str">
            <v>D902</v>
          </cell>
          <cell r="F528" t="str">
            <v>D902</v>
          </cell>
          <cell r="G528">
            <v>65</v>
          </cell>
        </row>
        <row r="529">
          <cell r="C529" t="str">
            <v>P65USCV22FO-.ND65CM1</v>
          </cell>
          <cell r="D529" t="str">
            <v>P65USCV22FO-.ND65CM1(D903)</v>
          </cell>
          <cell r="E529" t="str">
            <v>D903</v>
          </cell>
          <cell r="F529" t="str">
            <v>D903</v>
          </cell>
          <cell r="G529">
            <v>40</v>
          </cell>
        </row>
        <row r="530">
          <cell r="C530" t="str">
            <v>P75USCV22FO-.ND75CM1</v>
          </cell>
          <cell r="D530" t="str">
            <v>P75USCV22FO-.ND75CM1(D903)</v>
          </cell>
          <cell r="E530" t="str">
            <v>D903</v>
          </cell>
          <cell r="F530" t="str">
            <v>D903</v>
          </cell>
          <cell r="G530">
            <v>35</v>
          </cell>
        </row>
        <row r="531">
          <cell r="C531" t="str">
            <v>P86USCV22FO-.ND86CM1</v>
          </cell>
          <cell r="D531" t="str">
            <v>P86USCV22FO-.ND86CM1(D903)</v>
          </cell>
          <cell r="E531" t="str">
            <v>D903</v>
          </cell>
          <cell r="F531" t="str">
            <v>D903</v>
          </cell>
          <cell r="G531">
            <v>30</v>
          </cell>
        </row>
        <row r="532">
          <cell r="C532" t="str">
            <v>P43USCV22EO-.NT43VA1</v>
          </cell>
          <cell r="D532" t="str">
            <v>P43USCV22EO-.NT43VA1(D902)</v>
          </cell>
          <cell r="E532" t="str">
            <v>D902</v>
          </cell>
          <cell r="F532" t="str">
            <v>D902</v>
          </cell>
          <cell r="G532">
            <v>65</v>
          </cell>
        </row>
        <row r="533">
          <cell r="C533" t="str">
            <v>P55USCV22EO-.NT55VA1</v>
          </cell>
          <cell r="D533" t="str">
            <v>P55USCV22EO-.NT55VA1(D902)</v>
          </cell>
          <cell r="E533" t="str">
            <v>D902</v>
          </cell>
          <cell r="F533" t="str">
            <v>D902</v>
          </cell>
          <cell r="G533">
            <v>65</v>
          </cell>
        </row>
        <row r="534">
          <cell r="C534" t="str">
            <v>P65USCV22EO-.NT65VA1</v>
          </cell>
          <cell r="D534" t="str">
            <v>P65USCV22EO-.NT65VA1(D903)</v>
          </cell>
          <cell r="E534" t="str">
            <v>D903</v>
          </cell>
          <cell r="F534" t="str">
            <v>D903</v>
          </cell>
          <cell r="G534">
            <v>40</v>
          </cell>
        </row>
        <row r="535">
          <cell r="C535" t="str">
            <v>P75USCV22EO-.NT75VA1</v>
          </cell>
          <cell r="D535" t="str">
            <v>P75USCV22EO-.NT75VA1(D903)</v>
          </cell>
          <cell r="E535" t="str">
            <v>D903</v>
          </cell>
          <cell r="F535" t="str">
            <v>D903</v>
          </cell>
          <cell r="G535">
            <v>35</v>
          </cell>
        </row>
        <row r="536">
          <cell r="C536" t="str">
            <v>P86USCV22FO-.NT86VA1</v>
          </cell>
          <cell r="D536" t="str">
            <v>P86USCV22FO-.NT86VA1(D903)</v>
          </cell>
          <cell r="E536" t="str">
            <v>D903</v>
          </cell>
          <cell r="F536" t="str">
            <v>D903</v>
          </cell>
          <cell r="G536">
            <v>30</v>
          </cell>
        </row>
        <row r="537">
          <cell r="C537" t="str">
            <v>P43USCV22FO-.NT43VB1</v>
          </cell>
          <cell r="D537" t="str">
            <v>P43USCV22FO-.NT43VB1(D902)</v>
          </cell>
          <cell r="E537" t="str">
            <v>D902</v>
          </cell>
          <cell r="F537" t="str">
            <v>D902</v>
          </cell>
          <cell r="G537">
            <v>65</v>
          </cell>
        </row>
        <row r="538">
          <cell r="C538" t="str">
            <v>P50USCV22FO-.NT50VB1</v>
          </cell>
          <cell r="D538" t="str">
            <v>P50USCV22FO-.NT50VB1(D902)</v>
          </cell>
          <cell r="E538" t="str">
            <v>D902</v>
          </cell>
          <cell r="F538" t="str">
            <v>D902</v>
          </cell>
          <cell r="G538">
            <v>65</v>
          </cell>
        </row>
        <row r="539">
          <cell r="C539" t="str">
            <v>P55USCV22FO-.NT55VB1</v>
          </cell>
          <cell r="D539" t="str">
            <v>P55USCV22FO-.NT55VB1(D902)</v>
          </cell>
          <cell r="E539" t="str">
            <v>D902</v>
          </cell>
          <cell r="F539" t="str">
            <v>D902</v>
          </cell>
          <cell r="G539">
            <v>65</v>
          </cell>
        </row>
        <row r="540">
          <cell r="C540" t="str">
            <v>P65USCV22FO-.NT65VB1</v>
          </cell>
          <cell r="D540" t="str">
            <v>P65USCV22FO-.NT65VB1(D903)</v>
          </cell>
          <cell r="E540" t="str">
            <v>D903</v>
          </cell>
          <cell r="F540" t="str">
            <v>D903</v>
          </cell>
          <cell r="G540">
            <v>40</v>
          </cell>
        </row>
        <row r="541">
          <cell r="C541" t="str">
            <v>P43USCV22EO-.2182CG1</v>
          </cell>
          <cell r="D541" t="str">
            <v>P43USCV22EO-.2182CG1(D902)</v>
          </cell>
          <cell r="E541" t="str">
            <v>D902</v>
          </cell>
          <cell r="F541" t="str">
            <v>D902</v>
          </cell>
          <cell r="G541">
            <v>65</v>
          </cell>
        </row>
        <row r="542">
          <cell r="C542" t="str">
            <v>P55USCV22EO-.1382BG1</v>
          </cell>
          <cell r="D542" t="str">
            <v>P55USCV22EO-.1382BG1(D902)</v>
          </cell>
          <cell r="E542" t="str">
            <v>D902</v>
          </cell>
          <cell r="F542" t="str">
            <v>D902</v>
          </cell>
          <cell r="G542">
            <v>65</v>
          </cell>
        </row>
        <row r="543">
          <cell r="C543" t="str">
            <v>P55USCV22FO-.1382BG1</v>
          </cell>
          <cell r="D543" t="str">
            <v>P55USCV22FO-.1382BG1(D902)</v>
          </cell>
          <cell r="E543" t="str">
            <v>D902</v>
          </cell>
          <cell r="F543" t="str">
            <v>D902</v>
          </cell>
          <cell r="G543">
            <v>65</v>
          </cell>
        </row>
        <row r="544">
          <cell r="C544" t="str">
            <v>P65USCV22EO-.3182CG1</v>
          </cell>
          <cell r="D544" t="str">
            <v>P65USCV22EO-.3182CG1(D903)</v>
          </cell>
          <cell r="E544" t="str">
            <v>D903</v>
          </cell>
          <cell r="F544" t="str">
            <v>D903</v>
          </cell>
          <cell r="G544">
            <v>40</v>
          </cell>
        </row>
        <row r="545">
          <cell r="C545" t="str">
            <v>P75USCV22EO-.3182CG1</v>
          </cell>
          <cell r="D545" t="str">
            <v>P75USCV22EO-.3182CG1(D903)</v>
          </cell>
          <cell r="E545" t="str">
            <v>D903</v>
          </cell>
          <cell r="F545" t="str">
            <v>D903</v>
          </cell>
          <cell r="G545">
            <v>35</v>
          </cell>
        </row>
        <row r="546">
          <cell r="C546" t="str">
            <v>P86USCV22FO-.1082BG1</v>
          </cell>
          <cell r="D546" t="str">
            <v>P86USCV22FO-.1082BG1(D903)</v>
          </cell>
          <cell r="E546" t="str">
            <v>D903</v>
          </cell>
          <cell r="F546" t="str">
            <v>D903</v>
          </cell>
          <cell r="G546">
            <v>30</v>
          </cell>
        </row>
        <row r="547">
          <cell r="C547" t="str">
            <v>P43USCV22FO-.NT43ND1</v>
          </cell>
          <cell r="D547" t="str">
            <v>P43USCV22FO-.NT43ND1(D902)</v>
          </cell>
          <cell r="E547" t="str">
            <v>D902</v>
          </cell>
          <cell r="F547" t="str">
            <v>D902</v>
          </cell>
          <cell r="G547">
            <v>65</v>
          </cell>
        </row>
        <row r="548">
          <cell r="C548" t="str">
            <v>P50USCV22FO-.NT50ND1</v>
          </cell>
          <cell r="D548" t="str">
            <v>P50USCV22FO-.NT50ND1(D902)</v>
          </cell>
          <cell r="E548" t="str">
            <v>D902</v>
          </cell>
          <cell r="F548" t="str">
            <v>D902</v>
          </cell>
          <cell r="G548">
            <v>65</v>
          </cell>
        </row>
        <row r="549">
          <cell r="C549" t="str">
            <v>P55USCV22FO-.NT55ND1</v>
          </cell>
          <cell r="D549" t="str">
            <v>P55USCV22FO-.NT55ND1(D902)</v>
          </cell>
          <cell r="E549" t="str">
            <v>D902</v>
          </cell>
          <cell r="F549" t="str">
            <v>D902</v>
          </cell>
          <cell r="G549">
            <v>65</v>
          </cell>
        </row>
        <row r="550">
          <cell r="C550" t="str">
            <v>P65USCV22FO-.NT65ND1</v>
          </cell>
          <cell r="D550" t="str">
            <v>P65USCV22FO-.NT65ND1(D903)</v>
          </cell>
          <cell r="E550" t="str">
            <v>D903</v>
          </cell>
          <cell r="F550" t="str">
            <v>D903</v>
          </cell>
          <cell r="G550">
            <v>40</v>
          </cell>
        </row>
        <row r="551">
          <cell r="C551" t="str">
            <v>P75USCV22FO-.NT75ND1</v>
          </cell>
          <cell r="D551" t="str">
            <v>P75USCV22FO-.NT75ND1(D903)</v>
          </cell>
          <cell r="E551" t="str">
            <v>D903</v>
          </cell>
          <cell r="F551" t="str">
            <v>D903</v>
          </cell>
          <cell r="G551">
            <v>35</v>
          </cell>
        </row>
        <row r="552">
          <cell r="C552" t="str">
            <v>P86USCV22FO-.NT86ND1</v>
          </cell>
          <cell r="D552" t="str">
            <v>P86USCV22FO-.NT86ND1(D903)</v>
          </cell>
          <cell r="E552" t="str">
            <v>D903</v>
          </cell>
          <cell r="F552" t="str">
            <v>D903</v>
          </cell>
          <cell r="G552">
            <v>30</v>
          </cell>
        </row>
        <row r="553">
          <cell r="C553" t="str">
            <v>P55USCV22FO-.VG55FA1</v>
          </cell>
          <cell r="D553" t="str">
            <v>P55USCV22FO-.VG55FA1(D903)</v>
          </cell>
          <cell r="E553" t="str">
            <v>D903</v>
          </cell>
          <cell r="F553" t="str">
            <v>D903</v>
          </cell>
          <cell r="G553">
            <v>35</v>
          </cell>
        </row>
        <row r="554">
          <cell r="C554" t="str">
            <v>P55USCV22FO-.VG55FA2</v>
          </cell>
          <cell r="D554" t="str">
            <v>P55USCV22FO-.VG55FA2(D903)</v>
          </cell>
          <cell r="E554" t="str">
            <v>D903</v>
          </cell>
          <cell r="F554" t="str">
            <v>D903</v>
          </cell>
          <cell r="G554">
            <v>35</v>
          </cell>
        </row>
        <row r="555">
          <cell r="C555" t="str">
            <v>P65USCV22EO-.VG65FA1</v>
          </cell>
          <cell r="D555" t="str">
            <v>P65USCV22EO-.VG65FA1(D903)</v>
          </cell>
          <cell r="E555" t="str">
            <v>D903</v>
          </cell>
          <cell r="F555" t="str">
            <v>D903</v>
          </cell>
          <cell r="G555">
            <v>30</v>
          </cell>
        </row>
        <row r="556">
          <cell r="C556" t="str">
            <v>P65USCV22EO-.VG65FA2</v>
          </cell>
          <cell r="D556" t="str">
            <v>P65USCV22EO-.VG65FA2(D903)</v>
          </cell>
          <cell r="E556" t="str">
            <v>D903</v>
          </cell>
          <cell r="F556" t="str">
            <v>D903</v>
          </cell>
          <cell r="G556">
            <v>30</v>
          </cell>
        </row>
        <row r="557">
          <cell r="C557" t="str">
            <v>P75USCV22EO-.VG75FA1</v>
          </cell>
          <cell r="D557" t="str">
            <v>P75USCV22EO-.VG75FA1(D903)</v>
          </cell>
          <cell r="E557" t="str">
            <v>D903</v>
          </cell>
          <cell r="F557" t="str">
            <v>D903</v>
          </cell>
          <cell r="G557">
            <v>25</v>
          </cell>
        </row>
        <row r="558">
          <cell r="C558" t="str">
            <v>P75USCV22EO-.VG75FA2</v>
          </cell>
          <cell r="D558" t="str">
            <v>P75USCV22EO-.VG75FA2(D903)</v>
          </cell>
          <cell r="E558" t="str">
            <v>D903</v>
          </cell>
          <cell r="F558" t="str">
            <v>D903</v>
          </cell>
          <cell r="G558">
            <v>25</v>
          </cell>
        </row>
        <row r="559">
          <cell r="C559" t="str">
            <v>P86USCV22EO-.VG86FA1</v>
          </cell>
          <cell r="D559" t="str">
            <v>P86USCV22EO-.VG86FA1(D903)</v>
          </cell>
          <cell r="E559" t="str">
            <v>D903</v>
          </cell>
          <cell r="F559" t="str">
            <v>D903</v>
          </cell>
          <cell r="G559">
            <v>20</v>
          </cell>
        </row>
        <row r="560">
          <cell r="C560" t="str">
            <v>P86USCV22EO-.VG86FA2</v>
          </cell>
          <cell r="D560" t="str">
            <v>P86USCV22EO-.VG86FA2(D903)</v>
          </cell>
          <cell r="E560" t="str">
            <v>D903</v>
          </cell>
          <cell r="F560" t="str">
            <v>D903</v>
          </cell>
          <cell r="G560">
            <v>20</v>
          </cell>
        </row>
        <row r="561">
          <cell r="C561" t="str">
            <v>P65USCV22EO-.EK65EA1</v>
          </cell>
          <cell r="D561" t="str">
            <v>P65USCV22EO-.EK65EA1(D903)</v>
          </cell>
          <cell r="E561" t="str">
            <v>D903</v>
          </cell>
          <cell r="F561" t="str">
            <v>D903</v>
          </cell>
          <cell r="G561">
            <v>30</v>
          </cell>
        </row>
        <row r="562">
          <cell r="C562" t="str">
            <v>P65USCV22EO-.EK65EA2</v>
          </cell>
          <cell r="D562" t="str">
            <v>P65USCV22EO-.EK65EA2(D903)</v>
          </cell>
          <cell r="E562" t="str">
            <v>D903</v>
          </cell>
          <cell r="F562" t="str">
            <v>D903</v>
          </cell>
          <cell r="G562">
            <v>30</v>
          </cell>
        </row>
        <row r="563">
          <cell r="C563" t="str">
            <v>P75USCV22EO-.EK75EA1</v>
          </cell>
          <cell r="D563" t="str">
            <v>P75USCV22EO-.EK75EA1(D903)</v>
          </cell>
          <cell r="E563" t="str">
            <v>D903</v>
          </cell>
          <cell r="F563" t="str">
            <v>D903</v>
          </cell>
          <cell r="G563">
            <v>25</v>
          </cell>
        </row>
        <row r="564">
          <cell r="C564" t="str">
            <v>P75USCV22EO-.EK75EA2</v>
          </cell>
          <cell r="D564" t="str">
            <v>P75USCV22EO-.EK75EA2(D903)</v>
          </cell>
          <cell r="E564" t="str">
            <v>D903</v>
          </cell>
          <cell r="F564" t="str">
            <v>D903</v>
          </cell>
          <cell r="G564">
            <v>25</v>
          </cell>
        </row>
        <row r="565">
          <cell r="C565" t="str">
            <v>P86USCV22EO-.EK86EA1</v>
          </cell>
          <cell r="D565" t="str">
            <v>P86USCV22EO-.EK86EA1(D903)</v>
          </cell>
          <cell r="E565" t="str">
            <v>D903</v>
          </cell>
          <cell r="F565" t="str">
            <v>D903</v>
          </cell>
          <cell r="G565">
            <v>20</v>
          </cell>
        </row>
        <row r="566">
          <cell r="C566" t="str">
            <v>P86USCV22EO-.EK86EA2</v>
          </cell>
          <cell r="D566" t="str">
            <v>P86USCV22EO-.EK86EA2(D903)</v>
          </cell>
          <cell r="E566" t="str">
            <v>D903</v>
          </cell>
          <cell r="F566" t="str">
            <v>D903</v>
          </cell>
          <cell r="G566">
            <v>20</v>
          </cell>
        </row>
        <row r="567">
          <cell r="C567" t="str">
            <v>P55USCV22EO-.IFP5551</v>
          </cell>
          <cell r="D567" t="str">
            <v>P55USCV22EO-.IFP5551(D902)</v>
          </cell>
          <cell r="E567" t="str">
            <v>D902</v>
          </cell>
          <cell r="F567" t="str">
            <v>D902</v>
          </cell>
          <cell r="G567">
            <v>40</v>
          </cell>
        </row>
        <row r="568">
          <cell r="C568" t="str">
            <v>P55USCV22EO-.IFP5551</v>
          </cell>
          <cell r="D568" t="str">
            <v>P55USCV22EO-.IFP5551(D903)</v>
          </cell>
          <cell r="E568" t="str">
            <v>D903</v>
          </cell>
          <cell r="F568" t="str">
            <v>D903</v>
          </cell>
          <cell r="G568">
            <v>40</v>
          </cell>
        </row>
        <row r="569">
          <cell r="C569" t="str">
            <v>P65USCV22EO-.IFP6551</v>
          </cell>
          <cell r="D569" t="str">
            <v>P65USCV22EO-.IFP6551(D903)</v>
          </cell>
          <cell r="E569" t="str">
            <v>D903</v>
          </cell>
          <cell r="F569" t="str">
            <v>D903</v>
          </cell>
          <cell r="G569">
            <v>40</v>
          </cell>
        </row>
        <row r="570">
          <cell r="C570" t="str">
            <v>P75USCV22EO-.IFP7551</v>
          </cell>
          <cell r="D570" t="str">
            <v>P75USCV22EO-.IFP7551(D903)</v>
          </cell>
          <cell r="E570" t="str">
            <v>D903</v>
          </cell>
          <cell r="F570" t="str">
            <v>D903</v>
          </cell>
          <cell r="G570">
            <v>35</v>
          </cell>
        </row>
        <row r="571">
          <cell r="C571" t="str">
            <v>P86USCV22EO-.IFP8651</v>
          </cell>
          <cell r="D571" t="str">
            <v>P86USCV22EO-.IFP8651(D903)</v>
          </cell>
          <cell r="E571" t="str">
            <v>D903</v>
          </cell>
          <cell r="F571" t="str">
            <v>D903</v>
          </cell>
          <cell r="G571">
            <v>30</v>
          </cell>
        </row>
        <row r="572">
          <cell r="C572" t="str">
            <v>P75WWCV22EO-.CG75VT1</v>
          </cell>
          <cell r="D572" t="str">
            <v>P75WWCV22EO-.CG75VT1(D903)</v>
          </cell>
          <cell r="E572" t="str">
            <v>D903</v>
          </cell>
          <cell r="F572" t="str">
            <v>D903</v>
          </cell>
          <cell r="G572">
            <v>35</v>
          </cell>
        </row>
        <row r="573">
          <cell r="C573" t="str">
            <v>P86WWCV22EO-.CG86VT1</v>
          </cell>
          <cell r="D573" t="str">
            <v>P86WWCV22EO-.CG86VT1(D903)</v>
          </cell>
          <cell r="E573" t="str">
            <v>D903</v>
          </cell>
          <cell r="F573" t="str">
            <v>D903</v>
          </cell>
          <cell r="G573">
            <v>30</v>
          </cell>
        </row>
        <row r="574">
          <cell r="C574" t="str">
            <v>P65INCV22EO-.IN65031</v>
          </cell>
          <cell r="D574" t="str">
            <v>P65INCV22EO-.IN65031(D903)</v>
          </cell>
          <cell r="E574" t="str">
            <v>D903</v>
          </cell>
          <cell r="F574" t="str">
            <v>D903</v>
          </cell>
          <cell r="G574">
            <v>25</v>
          </cell>
        </row>
        <row r="575">
          <cell r="C575" t="str">
            <v>P75INCV22EO-.IN75031</v>
          </cell>
          <cell r="D575" t="str">
            <v>P75INCV22EO-.IN75031(D903)</v>
          </cell>
          <cell r="E575" t="str">
            <v>D903</v>
          </cell>
          <cell r="F575" t="str">
            <v>D903</v>
          </cell>
          <cell r="G575">
            <v>20</v>
          </cell>
        </row>
        <row r="576">
          <cell r="C576" t="str">
            <v>P86INCV22EO-.IN86031</v>
          </cell>
          <cell r="D576" t="str">
            <v>P86INCV22EO-.IN86031(D903)</v>
          </cell>
          <cell r="E576" t="str">
            <v>D903</v>
          </cell>
          <cell r="F576" t="str">
            <v>D903</v>
          </cell>
          <cell r="G576">
            <v>18</v>
          </cell>
        </row>
        <row r="577">
          <cell r="C577" t="str">
            <v>T55USTY22AO-.TY55011</v>
          </cell>
          <cell r="D577" t="str">
            <v>T55USTY22AO-.TY55011(D902)</v>
          </cell>
          <cell r="E577" t="str">
            <v>D902</v>
          </cell>
          <cell r="F577" t="str">
            <v>D902</v>
          </cell>
          <cell r="G577">
            <v>45</v>
          </cell>
        </row>
        <row r="578">
          <cell r="C578" t="str">
            <v>T55USTY22AO-.TY55012</v>
          </cell>
          <cell r="D578" t="str">
            <v>T55USTY22AO-.TY55012(D902)</v>
          </cell>
          <cell r="E578" t="str">
            <v>D902</v>
          </cell>
          <cell r="F578" t="str">
            <v>D902</v>
          </cell>
          <cell r="G578">
            <v>45</v>
          </cell>
        </row>
        <row r="579">
          <cell r="C579" t="str">
            <v>T55USTY22AO-.TY55013</v>
          </cell>
          <cell r="D579" t="str">
            <v>T55USTY22AO-.TY55013(D902)</v>
          </cell>
          <cell r="E579" t="str">
            <v>D902</v>
          </cell>
          <cell r="F579" t="str">
            <v>D902</v>
          </cell>
          <cell r="G579">
            <v>45</v>
          </cell>
        </row>
        <row r="580">
          <cell r="C580" t="str">
            <v>T55USTY22AO-.TY55014</v>
          </cell>
          <cell r="D580" t="str">
            <v>T55USTY22AO-.TY55014(D902)</v>
          </cell>
          <cell r="E580" t="str">
            <v>D902</v>
          </cell>
          <cell r="F580" t="str">
            <v>D902</v>
          </cell>
          <cell r="G580">
            <v>45</v>
          </cell>
        </row>
        <row r="581">
          <cell r="C581" t="str">
            <v>T55USTY22AO-.TY55018</v>
          </cell>
          <cell r="D581" t="str">
            <v>T55USTY22AO-.TY55018(D902)</v>
          </cell>
          <cell r="E581" t="str">
            <v>D902</v>
          </cell>
          <cell r="F581" t="str">
            <v>D902</v>
          </cell>
          <cell r="G581">
            <v>45</v>
          </cell>
        </row>
        <row r="582">
          <cell r="C582" t="str">
            <v>T55USTY22AO-.TY55014</v>
          </cell>
          <cell r="D582" t="str">
            <v>T55USTY22AO-.TY55014(D902)</v>
          </cell>
          <cell r="E582" t="str">
            <v>D902</v>
          </cell>
          <cell r="F582" t="str">
            <v>D902</v>
          </cell>
          <cell r="G582">
            <v>28</v>
          </cell>
        </row>
        <row r="583">
          <cell r="C583" t="str">
            <v>365500A203E0</v>
          </cell>
          <cell r="D583" t="str">
            <v>365500A203E0(V801)</v>
          </cell>
          <cell r="E583" t="str">
            <v>V801</v>
          </cell>
          <cell r="F583" t="str">
            <v>V801</v>
          </cell>
          <cell r="G583">
            <v>45</v>
          </cell>
        </row>
        <row r="584">
          <cell r="C584" t="str">
            <v>365500A203E0</v>
          </cell>
          <cell r="D584" t="str">
            <v>365500A203E0(V801)</v>
          </cell>
          <cell r="E584" t="str">
            <v>V801</v>
          </cell>
          <cell r="F584" t="str">
            <v>V801</v>
          </cell>
          <cell r="G584">
            <v>28</v>
          </cell>
        </row>
        <row r="585">
          <cell r="C585" t="str">
            <v>P98USCV22FO-.1182BG1</v>
          </cell>
          <cell r="D585" t="str">
            <v>P98USCV22FO-.1182BG1(D906)</v>
          </cell>
          <cell r="E585" t="str">
            <v>D906</v>
          </cell>
          <cell r="F585" t="str">
            <v>D906</v>
          </cell>
          <cell r="G585">
            <v>3</v>
          </cell>
        </row>
        <row r="586">
          <cell r="C586" t="str">
            <v>P98USCV22FO-.NT98VA1</v>
          </cell>
          <cell r="D586" t="str">
            <v>P98USCV22FO-.NT98VA1(D906)</v>
          </cell>
          <cell r="E586" t="str">
            <v>D906</v>
          </cell>
          <cell r="F586" t="str">
            <v>D906</v>
          </cell>
          <cell r="G586">
            <v>3</v>
          </cell>
        </row>
        <row r="587">
          <cell r="C587" t="str">
            <v>P98USCV22FO-.NT98ND1</v>
          </cell>
          <cell r="D587" t="str">
            <v>P98USCV22FO-.NT98ND1(D906)</v>
          </cell>
          <cell r="E587" t="str">
            <v>D906</v>
          </cell>
          <cell r="F587" t="str">
            <v>D906</v>
          </cell>
          <cell r="G587">
            <v>3</v>
          </cell>
        </row>
        <row r="588">
          <cell r="C588" t="str">
            <v>P98USCV22FO-.ND98CM1</v>
          </cell>
          <cell r="D588" t="str">
            <v>P98USCV22FO-.ND98CM1(D906)</v>
          </cell>
          <cell r="E588" t="str">
            <v>D906</v>
          </cell>
          <cell r="F588" t="str">
            <v>D906</v>
          </cell>
          <cell r="G588">
            <v>3</v>
          </cell>
        </row>
        <row r="589">
          <cell r="C589" t="str">
            <v>P98USCV22EO-.IFP9851</v>
          </cell>
          <cell r="D589" t="str">
            <v>P98USCV22EO-.IFP9851(D906)</v>
          </cell>
          <cell r="E589" t="str">
            <v>D906</v>
          </cell>
          <cell r="F589" t="str">
            <v>D906</v>
          </cell>
          <cell r="G589">
            <v>3</v>
          </cell>
        </row>
        <row r="590">
          <cell r="C590" t="str">
            <v>P98INCV22EO-.IFP9851</v>
          </cell>
          <cell r="D590" t="str">
            <v>P98INCV22EO-.IFP9851(D906)</v>
          </cell>
          <cell r="E590" t="str">
            <v>D906</v>
          </cell>
          <cell r="F590" t="str">
            <v>D906</v>
          </cell>
          <cell r="G590">
            <v>3</v>
          </cell>
        </row>
        <row r="591">
          <cell r="C591" t="str">
            <v>P98INCV22EO-.IFP9851</v>
          </cell>
          <cell r="D591" t="str">
            <v>P98INCV22EO-.IFP9851(D906)</v>
          </cell>
          <cell r="E591" t="str">
            <v>D906</v>
          </cell>
          <cell r="F591" t="str">
            <v>D906</v>
          </cell>
          <cell r="G591">
            <v>3</v>
          </cell>
        </row>
        <row r="592">
          <cell r="C592" t="str">
            <v>M10WWCV22OR-.CP101_1</v>
          </cell>
          <cell r="D592" t="str">
            <v>M10WWCV22OR-.CP101_1(D901)</v>
          </cell>
          <cell r="E592" t="str">
            <v>D901</v>
          </cell>
          <cell r="F592" t="str">
            <v>D901</v>
          </cell>
          <cell r="G592">
            <v>50</v>
          </cell>
        </row>
        <row r="593">
          <cell r="C593" t="str">
            <v>M16WWCV22OF-.CP156_1</v>
          </cell>
          <cell r="D593" t="str">
            <v>M16WWCV22OF-.CP156_1(D901)</v>
          </cell>
          <cell r="E593" t="str">
            <v>D901</v>
          </cell>
          <cell r="F593" t="str">
            <v>D901</v>
          </cell>
          <cell r="G593">
            <v>50</v>
          </cell>
        </row>
        <row r="594">
          <cell r="C594" t="str">
            <v>M24WWCV22OF-.CP238_1</v>
          </cell>
          <cell r="D594" t="str">
            <v>M24WWCV22OF-.CP238_1(D901)</v>
          </cell>
          <cell r="E594" t="str">
            <v>D901</v>
          </cell>
          <cell r="F594" t="str">
            <v>D901</v>
          </cell>
          <cell r="G594">
            <v>50</v>
          </cell>
        </row>
        <row r="595">
          <cell r="C595" t="str">
            <v>E12USCV2--F-.DT12PA1</v>
          </cell>
          <cell r="D595" t="str">
            <v>E12USCV2--F-.DT12PA1(V801)</v>
          </cell>
          <cell r="E595" t="str">
            <v>V801</v>
          </cell>
          <cell r="F595" t="str">
            <v>V801</v>
          </cell>
          <cell r="G595">
            <v>45</v>
          </cell>
        </row>
        <row r="596">
          <cell r="C596" t="str">
            <v>E10USCV2--F-.DT10PB1</v>
          </cell>
          <cell r="D596" t="str">
            <v>E10USCV2--F-.DT10PB1(V801)</v>
          </cell>
          <cell r="E596" t="str">
            <v>V801</v>
          </cell>
          <cell r="F596" t="str">
            <v>V801</v>
          </cell>
          <cell r="G596">
            <v>45</v>
          </cell>
        </row>
        <row r="597">
          <cell r="C597" t="str">
            <v>3V9950120395</v>
          </cell>
          <cell r="D597" t="str">
            <v>3V9950120395(V901)</v>
          </cell>
          <cell r="E597" t="str">
            <v>线外</v>
          </cell>
          <cell r="F597" t="str">
            <v>线外</v>
          </cell>
          <cell r="G597">
            <v>30</v>
          </cell>
        </row>
        <row r="598">
          <cell r="C598" t="str">
            <v>M27USAS22AQ-.VG27AQ1</v>
          </cell>
          <cell r="D598" t="str">
            <v>M27USAS22AQ-.VG27AQ1(D905)</v>
          </cell>
          <cell r="E598" t="str">
            <v>D905</v>
          </cell>
          <cell r="F598" t="str">
            <v>D905</v>
          </cell>
          <cell r="G598">
            <v>230</v>
          </cell>
        </row>
        <row r="599">
          <cell r="C599" t="str">
            <v>M27USAS22AQ-.VG27AQ2</v>
          </cell>
          <cell r="D599" t="str">
            <v>M27USAS22AQ-.VG27AQ2(D905)</v>
          </cell>
          <cell r="E599" t="str">
            <v>D905</v>
          </cell>
          <cell r="F599" t="str">
            <v>D905</v>
          </cell>
          <cell r="G599">
            <v>230</v>
          </cell>
        </row>
        <row r="600">
          <cell r="C600" t="str">
            <v>M27USAS22AQ-.VG27AQ4</v>
          </cell>
          <cell r="D600" t="str">
            <v>M27USAS22AQ-.VG27AQ4(D905)</v>
          </cell>
          <cell r="E600" t="str">
            <v>D905</v>
          </cell>
          <cell r="F600" t="str">
            <v>D905</v>
          </cell>
          <cell r="G600">
            <v>230</v>
          </cell>
        </row>
        <row r="601">
          <cell r="C601" t="str">
            <v>M27USAS22AQ-.VG27AQB</v>
          </cell>
          <cell r="D601" t="str">
            <v>M27USAS22AQ-.VG27AQB(D905)</v>
          </cell>
          <cell r="E601" t="str">
            <v>D905</v>
          </cell>
          <cell r="F601" t="str">
            <v>D905</v>
          </cell>
          <cell r="G601">
            <v>230</v>
          </cell>
        </row>
        <row r="602">
          <cell r="C602" t="str">
            <v>M27USAS22AQ-.VG27N51</v>
          </cell>
          <cell r="D602" t="str">
            <v>M27USAS22AQ-.VG27N51(D905)</v>
          </cell>
          <cell r="E602" t="str">
            <v>D905</v>
          </cell>
          <cell r="F602" t="str">
            <v>D905</v>
          </cell>
          <cell r="G602">
            <v>160</v>
          </cell>
        </row>
        <row r="603">
          <cell r="C603" t="str">
            <v>M27USAS22AQ-.VG27N5A</v>
          </cell>
          <cell r="D603" t="str">
            <v>M27USAS22AQ-.VG27N5A(D905)</v>
          </cell>
          <cell r="E603" t="str">
            <v>D905</v>
          </cell>
          <cell r="F603" t="str">
            <v>D905</v>
          </cell>
          <cell r="G603">
            <v>160</v>
          </cell>
        </row>
        <row r="604">
          <cell r="C604" t="str">
            <v>M32USAS22EQ-.G32WCS1</v>
          </cell>
          <cell r="D604" t="str">
            <v>M32USAS22EQ-.G32WCS1(D905)</v>
          </cell>
          <cell r="E604" t="str">
            <v>D905</v>
          </cell>
          <cell r="F604" t="str">
            <v>D905</v>
          </cell>
          <cell r="G604">
            <v>160</v>
          </cell>
        </row>
        <row r="605">
          <cell r="C605" t="str">
            <v>M32USAS22EQ-.32WCMS1</v>
          </cell>
          <cell r="D605" t="str">
            <v>M32USAS22EQ-.32WCMS1(D905)</v>
          </cell>
          <cell r="E605" t="str">
            <v>D905</v>
          </cell>
          <cell r="F605" t="str">
            <v>D905</v>
          </cell>
          <cell r="G605">
            <v>160</v>
          </cell>
        </row>
        <row r="606">
          <cell r="C606" t="str">
            <v>M27USAS24SO-.XG27UC1</v>
          </cell>
          <cell r="D606" t="str">
            <v>M27USAS24SO-.XG27UC1(D905)</v>
          </cell>
          <cell r="E606" t="str">
            <v>D905</v>
          </cell>
          <cell r="F606" t="str">
            <v>D905</v>
          </cell>
          <cell r="G606">
            <v>150</v>
          </cell>
        </row>
        <row r="607">
          <cell r="C607" t="str">
            <v>M27USAS24SO-.XG27UC2</v>
          </cell>
          <cell r="D607" t="str">
            <v>M27USAS24SO-.XG27UC2(D905)</v>
          </cell>
          <cell r="E607" t="str">
            <v>D905</v>
          </cell>
          <cell r="F607" t="str">
            <v>D905</v>
          </cell>
          <cell r="G607">
            <v>150</v>
          </cell>
        </row>
        <row r="608">
          <cell r="C608" t="str">
            <v>M27USAS24SO-.XG27UC3</v>
          </cell>
          <cell r="D608" t="str">
            <v>M27USAS24SO-.XG27UC3(D905)</v>
          </cell>
          <cell r="E608" t="str">
            <v>D905</v>
          </cell>
          <cell r="F608" t="str">
            <v>D905</v>
          </cell>
          <cell r="G608">
            <v>150</v>
          </cell>
        </row>
        <row r="609">
          <cell r="C609" t="str">
            <v>M27USAS24SO-.XG27UQ1</v>
          </cell>
          <cell r="D609" t="str">
            <v>M27USAS24SO-.XG27UQ1(D905)</v>
          </cell>
          <cell r="E609" t="str">
            <v>D905</v>
          </cell>
          <cell r="F609" t="str">
            <v>D905</v>
          </cell>
          <cell r="G609">
            <v>150</v>
          </cell>
        </row>
        <row r="610">
          <cell r="C610" t="str">
            <v>M27USAS24SO-.PG27UC1</v>
          </cell>
          <cell r="D610" t="str">
            <v>M27USAS24SO-.PG27UC1(D905)</v>
          </cell>
          <cell r="E610" t="str">
            <v>D905</v>
          </cell>
          <cell r="F610" t="str">
            <v>D905</v>
          </cell>
          <cell r="G610">
            <v>150</v>
          </cell>
        </row>
        <row r="611">
          <cell r="C611" t="str">
            <v>M27USAS24SO-.PG27UC2</v>
          </cell>
          <cell r="D611" t="str">
            <v>M27USAS24SO-.PG27UC2(D905)</v>
          </cell>
          <cell r="E611" t="str">
            <v>D905</v>
          </cell>
          <cell r="F611" t="str">
            <v>D905</v>
          </cell>
          <cell r="G611">
            <v>150</v>
          </cell>
        </row>
        <row r="612">
          <cell r="C612" t="str">
            <v>M27USAS24SO-.PG27UC3</v>
          </cell>
          <cell r="D612" t="str">
            <v>M27USAS24SO-.PG27UC3(D905)</v>
          </cell>
          <cell r="E612" t="str">
            <v>D905</v>
          </cell>
          <cell r="F612" t="str">
            <v>D905</v>
          </cell>
          <cell r="G612">
            <v>150</v>
          </cell>
        </row>
        <row r="613">
          <cell r="C613" t="str">
            <v>M27USAS24SO-.PG27UC4</v>
          </cell>
          <cell r="D613" t="str">
            <v>M27USAS24SO-.PG27UC4(D905)</v>
          </cell>
          <cell r="E613" t="str">
            <v>D905</v>
          </cell>
          <cell r="F613" t="str">
            <v>D905</v>
          </cell>
          <cell r="G613">
            <v>150</v>
          </cell>
        </row>
        <row r="614">
          <cell r="C614" t="str">
            <v>M27USAS24SO-.PG27UCA</v>
          </cell>
          <cell r="D614" t="str">
            <v>M27USAS24SO-.PG27UCA(D905)</v>
          </cell>
          <cell r="E614" t="str">
            <v>D905</v>
          </cell>
          <cell r="F614" t="str">
            <v>D905</v>
          </cell>
          <cell r="G614">
            <v>150</v>
          </cell>
        </row>
        <row r="615">
          <cell r="C615" t="str">
            <v>M27USAS24SQ-.XG27AC1</v>
          </cell>
          <cell r="D615" t="str">
            <v>M27USAS24SQ-.XG27AC1(D905)</v>
          </cell>
          <cell r="E615" t="str">
            <v>D905</v>
          </cell>
          <cell r="F615" t="str">
            <v>D905</v>
          </cell>
          <cell r="G615">
            <v>150</v>
          </cell>
        </row>
        <row r="616">
          <cell r="C616" t="str">
            <v>M27USAS24SQ-.XG27AC2</v>
          </cell>
          <cell r="D616" t="str">
            <v>M27USAS24SQ-.XG27AC2(D905)</v>
          </cell>
          <cell r="E616" t="str">
            <v>D905</v>
          </cell>
          <cell r="F616" t="str">
            <v>D905</v>
          </cell>
          <cell r="G616">
            <v>150</v>
          </cell>
        </row>
        <row r="617">
          <cell r="C617" t="str">
            <v>M27USAS24SQ-.XG27AC3</v>
          </cell>
          <cell r="D617" t="str">
            <v>M27USAS24SQ-.XG27AC3(D905)</v>
          </cell>
          <cell r="E617" t="str">
            <v>D905</v>
          </cell>
          <cell r="F617" t="str">
            <v>D905</v>
          </cell>
          <cell r="G617">
            <v>150</v>
          </cell>
        </row>
        <row r="618">
          <cell r="C618" t="str">
            <v>M27USAS24SQ-. XG27AC4</v>
          </cell>
          <cell r="D618" t="str">
            <v>M27USAS24SQ-. XG27AC4(D905)</v>
          </cell>
          <cell r="E618" t="str">
            <v>D905</v>
          </cell>
          <cell r="F618" t="str">
            <v>D905</v>
          </cell>
          <cell r="G618">
            <v>150</v>
          </cell>
        </row>
        <row r="619">
          <cell r="C619" t="str">
            <v>M32USAS24SO-.PG32UC1</v>
          </cell>
          <cell r="D619" t="str">
            <v>M32USAS24SO-.PG32UC1(D905)</v>
          </cell>
          <cell r="E619" t="str">
            <v>D905</v>
          </cell>
          <cell r="F619" t="str">
            <v>D905</v>
          </cell>
          <cell r="G619">
            <v>150</v>
          </cell>
        </row>
        <row r="620">
          <cell r="C620" t="str">
            <v>M32USAS24SO-.PG32UC2</v>
          </cell>
          <cell r="D620" t="str">
            <v>M32USAS24SO-.PG32UC2(D905)</v>
          </cell>
          <cell r="E620" t="str">
            <v>D905</v>
          </cell>
          <cell r="F620" t="str">
            <v>D905</v>
          </cell>
          <cell r="G620">
            <v>150</v>
          </cell>
        </row>
        <row r="621">
          <cell r="C621" t="str">
            <v>M32USAS24SO-.PG32UC3</v>
          </cell>
          <cell r="D621" t="str">
            <v>M32USAS24SO-.PG32UC3(D905)</v>
          </cell>
          <cell r="E621" t="str">
            <v>D905</v>
          </cell>
          <cell r="F621" t="str">
            <v>D905</v>
          </cell>
          <cell r="G621">
            <v>150</v>
          </cell>
        </row>
        <row r="622">
          <cell r="C622" t="str">
            <v>M32USAS24SO-.32CDM31</v>
          </cell>
          <cell r="D622" t="str">
            <v>M32USAS24SO-.32CDM31(D905)</v>
          </cell>
          <cell r="E622" t="str">
            <v>D905</v>
          </cell>
          <cell r="F622" t="str">
            <v>D905</v>
          </cell>
          <cell r="G622">
            <v>150</v>
          </cell>
        </row>
        <row r="623">
          <cell r="C623" t="str">
            <v>M32USAS24SO-.32CDM32</v>
          </cell>
          <cell r="D623" t="str">
            <v>M32USAS24SO-.32CDM32(D905)</v>
          </cell>
          <cell r="E623" t="str">
            <v>D905</v>
          </cell>
          <cell r="F623" t="str">
            <v>D905</v>
          </cell>
          <cell r="G623">
            <v>150</v>
          </cell>
        </row>
        <row r="624">
          <cell r="C624" t="str">
            <v>M27USAS24SQ-.XG27AQ2</v>
          </cell>
          <cell r="D624" t="str">
            <v>M27USAS24SQ-.XG27AQ2(D905)</v>
          </cell>
          <cell r="E624" t="str">
            <v>D905</v>
          </cell>
          <cell r="F624" t="str">
            <v>D905</v>
          </cell>
          <cell r="G624">
            <v>150</v>
          </cell>
        </row>
        <row r="625">
          <cell r="C625" t="str">
            <v>M27USAS24SQ-.XG27AQ3</v>
          </cell>
          <cell r="D625" t="str">
            <v>M27USAS24SQ-.XG27AQ3(D905)</v>
          </cell>
          <cell r="E625" t="str">
            <v>D905</v>
          </cell>
          <cell r="F625" t="str">
            <v>D905</v>
          </cell>
          <cell r="G625">
            <v>150</v>
          </cell>
        </row>
        <row r="626">
          <cell r="C626" t="str">
            <v>M27USAS24SQ-.XG27AQ4</v>
          </cell>
          <cell r="D626" t="str">
            <v>M27USAS24SQ-.XG27AQ4(D905)</v>
          </cell>
          <cell r="E626" t="str">
            <v>D905</v>
          </cell>
          <cell r="F626" t="str">
            <v>D905</v>
          </cell>
          <cell r="G626">
            <v>150</v>
          </cell>
        </row>
        <row r="627">
          <cell r="C627" t="str">
            <v>M27USAS24DQ-.PG27AQ1</v>
          </cell>
          <cell r="D627" t="str">
            <v>M27USAS24DQ-.PG27AQ1(D905)</v>
          </cell>
          <cell r="E627" t="str">
            <v>D905</v>
          </cell>
          <cell r="F627" t="str">
            <v>D905</v>
          </cell>
          <cell r="G627">
            <v>115</v>
          </cell>
        </row>
        <row r="628">
          <cell r="C628" t="str">
            <v>M32USMS24SO-.322URX3</v>
          </cell>
          <cell r="D628" t="str">
            <v>M32USMS24SO-.322URX3(D905)</v>
          </cell>
          <cell r="E628" t="str">
            <v>D905</v>
          </cell>
          <cell r="F628" t="str">
            <v>D905</v>
          </cell>
          <cell r="G628">
            <v>145</v>
          </cell>
        </row>
        <row r="629">
          <cell r="C629" t="str">
            <v>M32USMS24SO-.32URXW1</v>
          </cell>
          <cell r="D629" t="str">
            <v>M32USMS24SO-.32URXW1(D905)</v>
          </cell>
          <cell r="E629" t="str">
            <v>D905</v>
          </cell>
          <cell r="F629" t="str">
            <v>D905</v>
          </cell>
          <cell r="G629">
            <v>145</v>
          </cell>
        </row>
        <row r="630">
          <cell r="C630" t="str">
            <v>M32USMS24SO-.32URXW4</v>
          </cell>
          <cell r="D630" t="str">
            <v>M32USMS24SO-.32URXW4(D905)</v>
          </cell>
          <cell r="E630" t="str">
            <v>D905</v>
          </cell>
          <cell r="F630" t="str">
            <v>D905</v>
          </cell>
          <cell r="G630">
            <v>145</v>
          </cell>
        </row>
        <row r="631">
          <cell r="C631" t="str">
            <v>M27USMS24SC-.271QRX1</v>
          </cell>
          <cell r="D631" t="str">
            <v>M27USMS24SC-.271QRX1(D905)</v>
          </cell>
          <cell r="E631" t="str">
            <v>D905</v>
          </cell>
          <cell r="F631" t="str">
            <v>D905</v>
          </cell>
          <cell r="G631">
            <v>145</v>
          </cell>
        </row>
        <row r="632">
          <cell r="C632" t="str">
            <v>M27USMS24SC-.271QRX2</v>
          </cell>
          <cell r="D632" t="str">
            <v>M27USMS24SC-.271QRX2(D905)</v>
          </cell>
          <cell r="E632" t="str">
            <v>D905</v>
          </cell>
          <cell r="F632" t="str">
            <v>D905</v>
          </cell>
          <cell r="G632">
            <v>145</v>
          </cell>
        </row>
        <row r="633">
          <cell r="C633" t="str">
            <v>M27USMS24SC-.271QRX3</v>
          </cell>
          <cell r="D633" t="str">
            <v>M27USMS24SC-.271QRX3(D905)</v>
          </cell>
          <cell r="E633" t="str">
            <v>D905</v>
          </cell>
          <cell r="F633" t="str">
            <v>D905</v>
          </cell>
          <cell r="G633">
            <v>145</v>
          </cell>
        </row>
        <row r="634">
          <cell r="C634" t="str">
            <v>M27USMS24SC-.271QRR1</v>
          </cell>
          <cell r="D634" t="str">
            <v>M27USMS24SC-.271QRR1(D905)</v>
          </cell>
          <cell r="E634" t="str">
            <v>D905</v>
          </cell>
          <cell r="F634" t="str">
            <v>D905</v>
          </cell>
          <cell r="G634">
            <v>145</v>
          </cell>
        </row>
        <row r="635">
          <cell r="C635" t="str">
            <v>M27USMS24SO-.272URX1</v>
          </cell>
          <cell r="D635" t="str">
            <v>M27USMS24SO-.272URX1(D905)</v>
          </cell>
          <cell r="E635" t="str">
            <v>D905</v>
          </cell>
          <cell r="F635" t="str">
            <v>D905</v>
          </cell>
          <cell r="G635">
            <v>145</v>
          </cell>
        </row>
        <row r="636">
          <cell r="C636" t="str">
            <v>M27USMS24SO-.272URX2</v>
          </cell>
          <cell r="D636" t="str">
            <v>M27USMS24SO-.272URX2(D905)</v>
          </cell>
          <cell r="E636" t="str">
            <v>D905</v>
          </cell>
          <cell r="F636" t="str">
            <v>D905</v>
          </cell>
          <cell r="G636">
            <v>145</v>
          </cell>
        </row>
        <row r="637">
          <cell r="C637" t="str">
            <v>M27USMS24SO-.272URX3</v>
          </cell>
          <cell r="D637" t="str">
            <v>M27USMS24SO-.272URX3(D905)</v>
          </cell>
          <cell r="E637" t="str">
            <v>D905</v>
          </cell>
          <cell r="F637" t="str">
            <v>D905</v>
          </cell>
          <cell r="G637">
            <v>145</v>
          </cell>
        </row>
        <row r="638">
          <cell r="C638" t="str">
            <v>M32USMS24SO-.322URX1</v>
          </cell>
          <cell r="D638" t="str">
            <v>M32USMS24SO-.322URX1(D905)</v>
          </cell>
          <cell r="E638" t="str">
            <v>D905</v>
          </cell>
          <cell r="F638" t="str">
            <v>D905</v>
          </cell>
          <cell r="G638">
            <v>145</v>
          </cell>
        </row>
        <row r="639">
          <cell r="C639" t="str">
            <v>M27USMS24SQ-.272QPW1</v>
          </cell>
          <cell r="D639" t="str">
            <v>M27USMS24SQ-.272QPW1(D905)</v>
          </cell>
          <cell r="E639" t="str">
            <v>D905</v>
          </cell>
          <cell r="F639" t="str">
            <v>D905</v>
          </cell>
          <cell r="G639">
            <v>145</v>
          </cell>
        </row>
        <row r="640">
          <cell r="C640" t="str">
            <v>M27USMS24SQ-.272QPW4</v>
          </cell>
          <cell r="D640" t="str">
            <v>M27USMS24SQ-.272QPW4(D905)</v>
          </cell>
          <cell r="E640" t="str">
            <v>D905</v>
          </cell>
          <cell r="F640" t="str">
            <v>D905</v>
          </cell>
          <cell r="G640">
            <v>145</v>
          </cell>
        </row>
        <row r="641">
          <cell r="C641" t="str">
            <v>M27USMS24SQ-.272QPX1</v>
          </cell>
          <cell r="D641" t="str">
            <v>M27USMS24SQ-.272QPX1(D905)</v>
          </cell>
          <cell r="E641" t="str">
            <v>D905</v>
          </cell>
          <cell r="F641" t="str">
            <v>D905</v>
          </cell>
          <cell r="G641">
            <v>145</v>
          </cell>
        </row>
        <row r="642">
          <cell r="C642" t="str">
            <v>M27USMS24SQ-.272QPX2</v>
          </cell>
          <cell r="D642" t="str">
            <v>M27USMS24SQ-.272QPX2(D905)</v>
          </cell>
          <cell r="E642" t="str">
            <v>D905</v>
          </cell>
          <cell r="F642" t="str">
            <v>D905</v>
          </cell>
          <cell r="G642">
            <v>145</v>
          </cell>
        </row>
        <row r="643">
          <cell r="C643" t="str">
            <v>M27USMS24SO-.272UPX1</v>
          </cell>
          <cell r="D643" t="str">
            <v>M27USMS24SO-.272UPX1(D905)</v>
          </cell>
          <cell r="E643" t="str">
            <v>D905</v>
          </cell>
          <cell r="F643" t="str">
            <v>D905</v>
          </cell>
          <cell r="G643">
            <v>145</v>
          </cell>
        </row>
        <row r="644">
          <cell r="C644" t="str">
            <v>M27USMS24SO-.272UPX2</v>
          </cell>
          <cell r="D644" t="str">
            <v>M27USMS24SO-.272UPX2(D905)</v>
          </cell>
          <cell r="E644" t="str">
            <v>D905</v>
          </cell>
          <cell r="F644" t="str">
            <v>D905</v>
          </cell>
          <cell r="G644">
            <v>145</v>
          </cell>
        </row>
        <row r="645">
          <cell r="C645" t="str">
            <v>M27USMS24SQ-.QPX2401</v>
          </cell>
          <cell r="D645" t="str">
            <v>M27USMS24SQ-.QPX2401(D905)</v>
          </cell>
          <cell r="E645" t="str">
            <v>D905</v>
          </cell>
          <cell r="F645" t="str">
            <v>D905</v>
          </cell>
          <cell r="G645">
            <v>180</v>
          </cell>
        </row>
        <row r="646">
          <cell r="C646" t="str">
            <v>M27USMS24SQ-.QPX2402</v>
          </cell>
          <cell r="D646" t="str">
            <v>M27USMS24SQ-.QPX2402(D905)</v>
          </cell>
          <cell r="E646" t="str">
            <v>D905</v>
          </cell>
          <cell r="F646" t="str">
            <v>D905</v>
          </cell>
          <cell r="G646">
            <v>180</v>
          </cell>
        </row>
        <row r="647">
          <cell r="C647" t="str">
            <v>M27USMS24SQ-.QPX2403</v>
          </cell>
          <cell r="D647" t="str">
            <v>M27USMS24SQ-.QPX2403(D905)</v>
          </cell>
          <cell r="E647" t="str">
            <v>D905</v>
          </cell>
          <cell r="F647" t="str">
            <v>D905</v>
          </cell>
          <cell r="G647">
            <v>180</v>
          </cell>
        </row>
        <row r="648">
          <cell r="C648" t="str">
            <v>M32USMS22AO-.CUPDF01</v>
          </cell>
          <cell r="D648" t="str">
            <v>M32USMS22AO-.CUPDF01(D905)</v>
          </cell>
          <cell r="E648" t="str">
            <v>D905</v>
          </cell>
          <cell r="F648" t="str">
            <v>D905</v>
          </cell>
          <cell r="G648">
            <v>160</v>
          </cell>
        </row>
        <row r="649">
          <cell r="C649" t="str">
            <v>M32USMS22SO-.A321UP1</v>
          </cell>
          <cell r="D649" t="str">
            <v>M32USMS22SO-.A321UP1(D905)</v>
          </cell>
          <cell r="E649" t="str">
            <v>D905</v>
          </cell>
          <cell r="F649" t="str">
            <v>D905</v>
          </cell>
          <cell r="G649">
            <v>180</v>
          </cell>
        </row>
        <row r="650">
          <cell r="C650" t="str">
            <v>M32USMS24SO-.MAG3221</v>
          </cell>
          <cell r="D650" t="str">
            <v>M32USMS24SO-.MAG3221(D905)</v>
          </cell>
          <cell r="E650" t="str">
            <v>D905</v>
          </cell>
          <cell r="F650" t="str">
            <v>D905</v>
          </cell>
          <cell r="G650">
            <v>180</v>
          </cell>
        </row>
        <row r="651">
          <cell r="C651" t="str">
            <v>M34USAS24SP-.XG34WC1</v>
          </cell>
          <cell r="D651" t="str">
            <v>M34USAS24SP-.XG34WC1(D901)</v>
          </cell>
          <cell r="E651" t="str">
            <v>D901</v>
          </cell>
          <cell r="F651" t="str">
            <v>D901</v>
          </cell>
          <cell r="G651">
            <v>100</v>
          </cell>
        </row>
        <row r="652">
          <cell r="C652" t="str">
            <v>M34USAS24SP-.XG34WC2</v>
          </cell>
          <cell r="D652" t="str">
            <v>M34USAS24SP-.XG34WC2(D901)</v>
          </cell>
          <cell r="E652" t="str">
            <v>D901</v>
          </cell>
          <cell r="F652" t="str">
            <v>D901</v>
          </cell>
          <cell r="G652">
            <v>100</v>
          </cell>
        </row>
        <row r="653">
          <cell r="C653" t="str">
            <v>M34USAS24SP-.PG34WC1</v>
          </cell>
          <cell r="D653" t="str">
            <v>M34USAS24SP-.PG34WC1(D901)</v>
          </cell>
          <cell r="E653" t="str">
            <v>D901</v>
          </cell>
          <cell r="F653" t="str">
            <v>D901</v>
          </cell>
          <cell r="G653">
            <v>100</v>
          </cell>
        </row>
        <row r="654">
          <cell r="C654" t="str">
            <v>M34USMS24SP-.341CQR1</v>
          </cell>
          <cell r="D654" t="str">
            <v>M34USMS24SP-.341CQR1(D901)</v>
          </cell>
          <cell r="E654" t="str">
            <v>D901</v>
          </cell>
          <cell r="F654" t="str">
            <v>D901</v>
          </cell>
          <cell r="G654">
            <v>100</v>
          </cell>
        </row>
        <row r="655">
          <cell r="C655" t="str">
            <v>M27USAS22AQ-.VG27AQ1</v>
          </cell>
          <cell r="D655" t="str">
            <v>M27USAS22AQ-.VG27AQ1(D901)</v>
          </cell>
          <cell r="E655" t="str">
            <v>D901</v>
          </cell>
          <cell r="F655" t="str">
            <v>D901</v>
          </cell>
          <cell r="G655">
            <v>200</v>
          </cell>
        </row>
        <row r="656">
          <cell r="C656" t="str">
            <v>M27USAS22AQ-.VG27AQ2</v>
          </cell>
          <cell r="D656" t="str">
            <v>M27USAS22AQ-.VG27AQ2(D901)</v>
          </cell>
          <cell r="E656" t="str">
            <v>D901</v>
          </cell>
          <cell r="F656" t="str">
            <v>D901</v>
          </cell>
          <cell r="G656">
            <v>200</v>
          </cell>
        </row>
        <row r="657">
          <cell r="C657" t="str">
            <v>M32USMS24SO-.321URX1</v>
          </cell>
          <cell r="D657" t="str">
            <v>M32USMS24SO-.321URX1(D901)</v>
          </cell>
          <cell r="E657" t="str">
            <v>D901</v>
          </cell>
          <cell r="F657" t="str">
            <v>D901</v>
          </cell>
          <cell r="G657">
            <v>145</v>
          </cell>
        </row>
        <row r="658">
          <cell r="C658" t="str">
            <v>M32USMS24SO-.321URX4</v>
          </cell>
          <cell r="D658" t="str">
            <v>M32USMS24SO-.321URX4(D901)</v>
          </cell>
          <cell r="E658" t="str">
            <v>D901</v>
          </cell>
          <cell r="F658" t="str">
            <v>D901</v>
          </cell>
          <cell r="G658">
            <v>145</v>
          </cell>
        </row>
        <row r="659">
          <cell r="C659" t="str">
            <v>M32USMS24SO-.322URX3</v>
          </cell>
          <cell r="D659" t="str">
            <v>M32USMS24SO-.322URX3(D901)</v>
          </cell>
          <cell r="E659" t="str">
            <v>D901</v>
          </cell>
          <cell r="F659" t="str">
            <v>D901</v>
          </cell>
          <cell r="G659">
            <v>145</v>
          </cell>
        </row>
        <row r="660">
          <cell r="C660" t="str">
            <v>M32USMS24SO-.322URX4</v>
          </cell>
          <cell r="D660" t="str">
            <v>M32USMS24SO-.322URX4(D901)</v>
          </cell>
          <cell r="E660" t="str">
            <v>D901</v>
          </cell>
          <cell r="F660" t="str">
            <v>D901</v>
          </cell>
          <cell r="G660">
            <v>145</v>
          </cell>
        </row>
        <row r="661">
          <cell r="C661" t="str">
            <v>M27USAS22AQ-.VG27N51</v>
          </cell>
          <cell r="D661" t="str">
            <v>M27USAS22AQ-.VG27N51(D901)</v>
          </cell>
          <cell r="E661" t="str">
            <v>D901</v>
          </cell>
          <cell r="F661" t="str">
            <v>D901</v>
          </cell>
          <cell r="G661">
            <v>160</v>
          </cell>
        </row>
        <row r="662">
          <cell r="C662" t="str">
            <v>M32USAS22EQ-.G32WCS1</v>
          </cell>
          <cell r="D662" t="str">
            <v>M32USAS22EQ-.G32WCS1(D901)</v>
          </cell>
          <cell r="E662" t="str">
            <v>D901</v>
          </cell>
          <cell r="F662" t="str">
            <v>D901</v>
          </cell>
          <cell r="G662">
            <v>160</v>
          </cell>
        </row>
        <row r="663">
          <cell r="C663" t="str">
            <v>M32USAS22EQ-.32WCMS1</v>
          </cell>
          <cell r="D663" t="str">
            <v>M32USAS22EQ-.32WCMS1(D901)</v>
          </cell>
          <cell r="E663" t="str">
            <v>D901</v>
          </cell>
          <cell r="F663" t="str">
            <v>D901</v>
          </cell>
          <cell r="G663">
            <v>160</v>
          </cell>
        </row>
        <row r="664">
          <cell r="C664" t="str">
            <v>M27USAS24SO-.XG27UC1</v>
          </cell>
          <cell r="D664" t="str">
            <v>M27USAS24SO-.XG27UC1(D901)</v>
          </cell>
          <cell r="E664" t="str">
            <v>D901</v>
          </cell>
          <cell r="F664" t="str">
            <v>D901</v>
          </cell>
          <cell r="G664">
            <v>100</v>
          </cell>
        </row>
        <row r="665">
          <cell r="C665" t="str">
            <v>M27USAS24SO-.XG27UC2</v>
          </cell>
          <cell r="D665" t="str">
            <v>M27USAS24SO-.XG27UC2(D901)</v>
          </cell>
          <cell r="E665" t="str">
            <v>D901</v>
          </cell>
          <cell r="F665" t="str">
            <v>D901</v>
          </cell>
          <cell r="G665">
            <v>100</v>
          </cell>
        </row>
        <row r="666">
          <cell r="C666" t="str">
            <v>M27USAS24SO-.PG27UC1</v>
          </cell>
          <cell r="D666" t="str">
            <v>M27USAS24SO-.PG27UC1(D901)</v>
          </cell>
          <cell r="E666" t="str">
            <v>D901</v>
          </cell>
          <cell r="F666" t="str">
            <v>D901</v>
          </cell>
          <cell r="G666">
            <v>100</v>
          </cell>
        </row>
        <row r="667">
          <cell r="C667" t="str">
            <v>M27USAS24SO-.PG27UC2</v>
          </cell>
          <cell r="D667" t="str">
            <v>M27USAS24SO-.PG27UC2(D901)</v>
          </cell>
          <cell r="E667" t="str">
            <v>D901</v>
          </cell>
          <cell r="F667" t="str">
            <v>D901</v>
          </cell>
          <cell r="G667">
            <v>100</v>
          </cell>
        </row>
        <row r="668">
          <cell r="C668" t="str">
            <v>M27USAS24SQ-.XG27AC1</v>
          </cell>
          <cell r="D668" t="str">
            <v>M27USAS24SQ-.XG27AC1(D901)</v>
          </cell>
          <cell r="E668" t="str">
            <v>D901</v>
          </cell>
          <cell r="F668" t="str">
            <v>D901</v>
          </cell>
          <cell r="G668">
            <v>100</v>
          </cell>
        </row>
        <row r="669">
          <cell r="C669" t="str">
            <v>M27USAS24SQ-.XG27AC2</v>
          </cell>
          <cell r="D669" t="str">
            <v>M27USAS24SQ-.XG27AC2(D901)</v>
          </cell>
          <cell r="E669" t="str">
            <v>D901</v>
          </cell>
          <cell r="F669" t="str">
            <v>D901</v>
          </cell>
          <cell r="G669">
            <v>100</v>
          </cell>
        </row>
        <row r="670">
          <cell r="C670" t="str">
            <v>M32USAS24SO-.PG32UC1</v>
          </cell>
          <cell r="D670" t="str">
            <v>M32USAS24SO-.PG32UC1(D901)</v>
          </cell>
          <cell r="E670" t="str">
            <v>D901</v>
          </cell>
          <cell r="F670" t="str">
            <v>D901</v>
          </cell>
          <cell r="G670">
            <v>100</v>
          </cell>
        </row>
        <row r="671">
          <cell r="C671" t="str">
            <v>M27USAS24SQ-.XG27AQ2</v>
          </cell>
          <cell r="D671" t="str">
            <v>M27USAS24SQ-.XG27AQ2(D901)</v>
          </cell>
          <cell r="E671" t="str">
            <v>D901</v>
          </cell>
          <cell r="F671" t="str">
            <v>D901</v>
          </cell>
          <cell r="G671">
            <v>100</v>
          </cell>
        </row>
        <row r="672">
          <cell r="C672" t="str">
            <v>M27USAS24SQ-.XG27AQ3</v>
          </cell>
          <cell r="D672" t="str">
            <v>M27USAS24SQ-.XG27AQ3(D901)</v>
          </cell>
          <cell r="E672" t="str">
            <v>D901</v>
          </cell>
          <cell r="F672" t="str">
            <v>D901</v>
          </cell>
          <cell r="G672">
            <v>100</v>
          </cell>
        </row>
        <row r="673">
          <cell r="C673" t="str">
            <v>M32USMS24SO-.321URX1</v>
          </cell>
          <cell r="D673" t="str">
            <v>M32USMS24SO-.321URX1(D901)</v>
          </cell>
          <cell r="E673" t="str">
            <v>D901</v>
          </cell>
          <cell r="F673" t="str">
            <v>D901</v>
          </cell>
          <cell r="G673">
            <v>145</v>
          </cell>
        </row>
        <row r="674">
          <cell r="C674" t="str">
            <v>M32USMS24SO-.322URX2</v>
          </cell>
          <cell r="D674" t="str">
            <v>M32USMS24SO-.322URX2(D901)</v>
          </cell>
          <cell r="E674" t="str">
            <v>D901</v>
          </cell>
          <cell r="F674" t="str">
            <v>D901</v>
          </cell>
          <cell r="G674">
            <v>145</v>
          </cell>
        </row>
        <row r="675">
          <cell r="C675" t="str">
            <v>M32USMS24SO-.32URXW1</v>
          </cell>
          <cell r="D675" t="str">
            <v>M32USMS24SO-.32URXW1(D901)</v>
          </cell>
          <cell r="E675" t="str">
            <v>D901</v>
          </cell>
          <cell r="F675" t="str">
            <v>D901</v>
          </cell>
          <cell r="G675">
            <v>145</v>
          </cell>
        </row>
        <row r="676">
          <cell r="C676" t="str">
            <v>M32USMS24SO-.32URXW2</v>
          </cell>
          <cell r="D676" t="str">
            <v>M32USMS24SO-.32URXW2(D901)</v>
          </cell>
          <cell r="E676" t="str">
            <v>D901</v>
          </cell>
          <cell r="F676" t="str">
            <v>D901</v>
          </cell>
          <cell r="G676">
            <v>145</v>
          </cell>
        </row>
        <row r="677">
          <cell r="C677" t="str">
            <v>M27USMS24SC-.271QRX1</v>
          </cell>
          <cell r="D677" t="str">
            <v>M27USMS24SC-.271QRX1(D901)</v>
          </cell>
          <cell r="E677" t="str">
            <v>D901</v>
          </cell>
          <cell r="F677" t="str">
            <v>D901</v>
          </cell>
          <cell r="G677">
            <v>145</v>
          </cell>
        </row>
        <row r="678">
          <cell r="C678" t="str">
            <v>M27USMS24SC-.271QRX2</v>
          </cell>
          <cell r="D678" t="str">
            <v>M27USMS24SC-.271QRX2(D901)</v>
          </cell>
          <cell r="E678" t="str">
            <v>D901</v>
          </cell>
          <cell r="F678" t="str">
            <v>D901</v>
          </cell>
          <cell r="G678">
            <v>145</v>
          </cell>
        </row>
        <row r="679">
          <cell r="C679" t="str">
            <v>M27USMS24SO-.272URX1</v>
          </cell>
          <cell r="D679" t="str">
            <v>M27USMS24SO-.272URX1(D901)</v>
          </cell>
          <cell r="E679" t="str">
            <v>D901</v>
          </cell>
          <cell r="F679" t="str">
            <v>D901</v>
          </cell>
          <cell r="G679">
            <v>145</v>
          </cell>
        </row>
        <row r="680">
          <cell r="C680" t="str">
            <v>M27USMS24SO-.272URX2</v>
          </cell>
          <cell r="D680" t="str">
            <v>M27USMS24SO-.272URX2(D901)</v>
          </cell>
          <cell r="E680" t="str">
            <v>D901</v>
          </cell>
          <cell r="F680" t="str">
            <v>D901</v>
          </cell>
          <cell r="G680">
            <v>145</v>
          </cell>
        </row>
        <row r="681">
          <cell r="C681" t="str">
            <v>M32USMS24SO-.322URX1</v>
          </cell>
          <cell r="D681" t="str">
            <v>M32USMS24SO-.322URX1(D901)</v>
          </cell>
          <cell r="E681" t="str">
            <v>D901</v>
          </cell>
          <cell r="F681" t="str">
            <v>D901</v>
          </cell>
          <cell r="G681">
            <v>145</v>
          </cell>
        </row>
        <row r="682">
          <cell r="C682" t="str">
            <v>M27USMS24SQ-.272QPW1</v>
          </cell>
          <cell r="D682" t="str">
            <v>M27USMS24SQ-.272QPW1(D901)</v>
          </cell>
          <cell r="E682" t="str">
            <v>D901</v>
          </cell>
          <cell r="F682" t="str">
            <v>D901</v>
          </cell>
          <cell r="G682">
            <v>145</v>
          </cell>
        </row>
        <row r="683">
          <cell r="C683" t="str">
            <v>M27USMS24SQ-.272QPW2</v>
          </cell>
          <cell r="D683" t="str">
            <v>M27USMS24SQ-.272QPW2(D901)</v>
          </cell>
          <cell r="E683" t="str">
            <v>D901</v>
          </cell>
          <cell r="F683" t="str">
            <v>D901</v>
          </cell>
          <cell r="G683">
            <v>145</v>
          </cell>
        </row>
        <row r="684">
          <cell r="C684" t="str">
            <v>M27USMS24SQ-.272QPX1</v>
          </cell>
          <cell r="D684" t="str">
            <v>M27USMS24SQ-.272QPX1(D901)</v>
          </cell>
          <cell r="E684" t="str">
            <v>D901</v>
          </cell>
          <cell r="F684" t="str">
            <v>D901</v>
          </cell>
          <cell r="G684">
            <v>145</v>
          </cell>
        </row>
        <row r="685">
          <cell r="C685" t="str">
            <v>M27USMS24SQ-.272QPX2</v>
          </cell>
          <cell r="D685" t="str">
            <v>M27USMS24SQ-.272QPX2(D901)</v>
          </cell>
          <cell r="E685" t="str">
            <v>D901</v>
          </cell>
          <cell r="F685" t="str">
            <v>D901</v>
          </cell>
          <cell r="G685">
            <v>145</v>
          </cell>
        </row>
        <row r="686">
          <cell r="C686" t="str">
            <v>M27USMS24SO-.272UPX1</v>
          </cell>
          <cell r="D686" t="str">
            <v>M27USMS24SO-.272UPX1(D901)</v>
          </cell>
          <cell r="E686" t="str">
            <v>D901</v>
          </cell>
          <cell r="F686" t="str">
            <v>D901</v>
          </cell>
          <cell r="G686">
            <v>145</v>
          </cell>
        </row>
        <row r="687">
          <cell r="C687" t="str">
            <v>M32USMS22AO-.CUPDF01</v>
          </cell>
          <cell r="D687" t="str">
            <v>M32USMS22AO-.CUPDF01(D901)</v>
          </cell>
          <cell r="E687" t="str">
            <v>D901</v>
          </cell>
          <cell r="F687" t="str">
            <v>D901</v>
          </cell>
          <cell r="G687">
            <v>160</v>
          </cell>
        </row>
        <row r="688">
          <cell r="C688" t="str">
            <v>V50WWNFB2AO-.HARRIS5</v>
          </cell>
          <cell r="D688" t="str">
            <v>V50WWNFB2AO-.HARRIS5(D902)</v>
          </cell>
          <cell r="E688" t="str">
            <v>D902</v>
          </cell>
          <cell r="F688" t="str">
            <v>D902</v>
          </cell>
          <cell r="G688">
            <v>19</v>
          </cell>
        </row>
        <row r="689">
          <cell r="C689" t="str">
            <v>V50WWNF22AO-.HARRIS2</v>
          </cell>
          <cell r="D689" t="str">
            <v>V50WWNF22AO-.HARRIS2(D902)</v>
          </cell>
          <cell r="E689" t="str">
            <v>D902</v>
          </cell>
          <cell r="F689" t="str">
            <v>D902</v>
          </cell>
          <cell r="G689">
            <v>19</v>
          </cell>
        </row>
        <row r="690">
          <cell r="C690" t="str">
            <v xml:space="preserve">V50WWNF22AO-.HARRIS3 </v>
          </cell>
          <cell r="D690" t="str">
            <v>V50WWNF22AO-.HARRIS3 (D902)</v>
          </cell>
          <cell r="E690" t="str">
            <v>D902</v>
          </cell>
          <cell r="F690" t="str">
            <v>D902</v>
          </cell>
          <cell r="G690">
            <v>19</v>
          </cell>
        </row>
        <row r="691">
          <cell r="C691" t="str">
            <v>V50WWNF22AO-.HARRIS4</v>
          </cell>
          <cell r="D691" t="str">
            <v>V50WWNF22AO-.HARRIS4(D902)</v>
          </cell>
          <cell r="E691" t="str">
            <v>D902</v>
          </cell>
          <cell r="F691" t="str">
            <v>D902</v>
          </cell>
          <cell r="G691">
            <v>19</v>
          </cell>
        </row>
        <row r="692">
          <cell r="C692" t="str">
            <v>V50WWNF22AO-.HARRIS6</v>
          </cell>
          <cell r="D692" t="str">
            <v>V50WWNF22AO-.HARRIS6(D902)</v>
          </cell>
          <cell r="E692" t="str">
            <v>D902</v>
          </cell>
          <cell r="F692" t="str">
            <v>D902</v>
          </cell>
          <cell r="G692">
            <v>19</v>
          </cell>
        </row>
        <row r="693">
          <cell r="C693" t="str">
            <v>3V500022030A</v>
          </cell>
          <cell r="D693" t="str">
            <v>3V500022030A(D902)</v>
          </cell>
          <cell r="E693" t="str">
            <v>D902</v>
          </cell>
          <cell r="F693" t="str">
            <v>D902</v>
          </cell>
          <cell r="G693">
            <v>19</v>
          </cell>
        </row>
        <row r="694">
          <cell r="C694" t="str">
            <v>V32WWNF22AO-.NFM1321</v>
          </cell>
          <cell r="D694" t="str">
            <v>V32WWNF22AO-.NFM1321(D902)</v>
          </cell>
          <cell r="E694" t="str">
            <v>D902</v>
          </cell>
          <cell r="F694" t="str">
            <v>D902</v>
          </cell>
          <cell r="G694">
            <v>25</v>
          </cell>
        </row>
        <row r="695">
          <cell r="C695" t="str">
            <v>V32WWNF22AO-.NFM1322</v>
          </cell>
          <cell r="D695" t="str">
            <v>V32WWNF22AO-.NFM1322(D902)</v>
          </cell>
          <cell r="E695" t="str">
            <v>D902</v>
          </cell>
          <cell r="F695" t="str">
            <v>D902</v>
          </cell>
          <cell r="G695">
            <v>25</v>
          </cell>
        </row>
        <row r="696">
          <cell r="C696" t="str">
            <v>V32WWNF22AO-.NFM1323</v>
          </cell>
          <cell r="D696" t="str">
            <v>V32WWNF22AO-.NFM1323(D902)</v>
          </cell>
          <cell r="E696" t="str">
            <v>D902</v>
          </cell>
          <cell r="F696" t="str">
            <v>D902</v>
          </cell>
          <cell r="G696">
            <v>25</v>
          </cell>
        </row>
        <row r="697">
          <cell r="C697" t="str">
            <v>V32WWNF22AO-.NFM1324</v>
          </cell>
          <cell r="D697" t="str">
            <v>V32WWNF22AO-.NFM1324(D902)</v>
          </cell>
          <cell r="E697" t="str">
            <v>D902</v>
          </cell>
          <cell r="F697" t="str">
            <v>D902</v>
          </cell>
          <cell r="G697">
            <v>25</v>
          </cell>
        </row>
        <row r="698">
          <cell r="C698" t="str">
            <v>3V3200120304</v>
          </cell>
          <cell r="D698" t="str">
            <v>3V3200120304(D902)</v>
          </cell>
          <cell r="E698" t="str">
            <v>D902</v>
          </cell>
          <cell r="F698" t="str">
            <v>D902</v>
          </cell>
          <cell r="G698">
            <v>25</v>
          </cell>
        </row>
        <row r="699">
          <cell r="C699" t="str">
            <v>3V32007203A3</v>
          </cell>
          <cell r="D699" t="str">
            <v>3V32007203A3(V801)</v>
          </cell>
          <cell r="E699" t="str">
            <v>V801</v>
          </cell>
          <cell r="F699" t="str">
            <v>V801</v>
          </cell>
          <cell r="G699">
            <v>25</v>
          </cell>
        </row>
        <row r="700">
          <cell r="C700" t="str">
            <v>3V32003203V0</v>
          </cell>
          <cell r="D700" t="str">
            <v>3V32003203V0(V801)</v>
          </cell>
          <cell r="E700" t="str">
            <v>V801</v>
          </cell>
          <cell r="F700" t="str">
            <v>V801</v>
          </cell>
          <cell r="G700">
            <v>25</v>
          </cell>
        </row>
        <row r="701">
          <cell r="C701" t="str">
            <v>VXXUSOL2----.PARAKT1</v>
          </cell>
          <cell r="D701" t="str">
            <v>VXXUSOL2----.PARAKT1(V801)</v>
          </cell>
          <cell r="E701" t="str">
            <v>V801</v>
          </cell>
          <cell r="F701" t="str">
            <v>V801</v>
          </cell>
          <cell r="G701">
            <v>25</v>
          </cell>
        </row>
        <row r="702">
          <cell r="C702" t="str">
            <v>VXXUSOL2----.PARAKT2</v>
          </cell>
          <cell r="D702" t="str">
            <v>VXXUSOL2----.PARAKT2(V801)</v>
          </cell>
          <cell r="E702" t="str">
            <v>V801</v>
          </cell>
          <cell r="F702" t="str">
            <v>V801</v>
          </cell>
          <cell r="G702">
            <v>25</v>
          </cell>
        </row>
        <row r="703">
          <cell r="C703" t="str">
            <v>VXXUSOL2----.PARAKT3</v>
          </cell>
          <cell r="D703" t="str">
            <v>VXXUSOL2----.PARAKT3(V801)</v>
          </cell>
          <cell r="E703" t="str">
            <v>V801</v>
          </cell>
          <cell r="F703" t="str">
            <v>V801</v>
          </cell>
          <cell r="G703">
            <v>25</v>
          </cell>
        </row>
        <row r="704">
          <cell r="C704" t="str">
            <v>VXXUSOL2----.PARAKT7</v>
          </cell>
          <cell r="D704" t="str">
            <v>VXXUSOL2----.PARAKT7(V801)</v>
          </cell>
          <cell r="E704" t="str">
            <v>V801</v>
          </cell>
          <cell r="F704" t="str">
            <v>V801</v>
          </cell>
          <cell r="G704">
            <v>25</v>
          </cell>
        </row>
        <row r="705">
          <cell r="C705" t="str">
            <v>VXXUSOLC----.PARAKT3</v>
          </cell>
          <cell r="D705" t="str">
            <v>VXXUSOLC----.PARAKT3(V801)</v>
          </cell>
          <cell r="E705" t="str">
            <v>V801</v>
          </cell>
          <cell r="F705" t="str">
            <v>V801</v>
          </cell>
          <cell r="G705">
            <v>25</v>
          </cell>
        </row>
        <row r="706">
          <cell r="C706" t="str">
            <v>VXXUSOLC----.PARAKT4</v>
          </cell>
          <cell r="D706" t="str">
            <v>VXXUSOLC----.PARAKT4(V801)</v>
          </cell>
          <cell r="E706" t="str">
            <v>V801</v>
          </cell>
          <cell r="F706" t="str">
            <v>V801</v>
          </cell>
          <cell r="G706">
            <v>25</v>
          </cell>
        </row>
        <row r="707">
          <cell r="C707" t="str">
            <v>VXXUSOL2----.PARAKT5</v>
          </cell>
          <cell r="D707" t="str">
            <v>VXXUSOL2----.PARAKT5(V801)</v>
          </cell>
          <cell r="E707" t="str">
            <v>V801</v>
          </cell>
          <cell r="F707" t="str">
            <v>V801</v>
          </cell>
          <cell r="G707">
            <v>25</v>
          </cell>
        </row>
        <row r="708">
          <cell r="C708" t="str">
            <v>VXXEUOL2----.PARAKT1</v>
          </cell>
          <cell r="D708" t="str">
            <v>VXXEUOL2----.PARAKT1(V801)</v>
          </cell>
          <cell r="E708" t="str">
            <v>V801</v>
          </cell>
          <cell r="F708" t="str">
            <v>V801</v>
          </cell>
          <cell r="G708">
            <v>25</v>
          </cell>
        </row>
        <row r="709">
          <cell r="C709" t="str">
            <v>VXXEUOL2----.PARAKT2</v>
          </cell>
          <cell r="D709" t="str">
            <v>VXXEUOL2----.PARAKT2(V801)</v>
          </cell>
          <cell r="E709" t="str">
            <v>V801</v>
          </cell>
          <cell r="F709" t="str">
            <v>V801</v>
          </cell>
          <cell r="G709">
            <v>25</v>
          </cell>
        </row>
        <row r="710">
          <cell r="C710" t="str">
            <v>VXXEUOL2----.PARAKT3</v>
          </cell>
          <cell r="D710" t="str">
            <v>VXXEUOL2----.PARAKT3(V801)</v>
          </cell>
          <cell r="E710" t="str">
            <v>V801</v>
          </cell>
          <cell r="F710" t="str">
            <v>V801</v>
          </cell>
          <cell r="G710">
            <v>25</v>
          </cell>
        </row>
        <row r="711">
          <cell r="C711" t="str">
            <v>VXXEUOL2----.PARAKT5</v>
          </cell>
          <cell r="D711" t="str">
            <v>VXXEUOL2----.PARAKT5(V801)</v>
          </cell>
          <cell r="E711" t="str">
            <v>V801</v>
          </cell>
          <cell r="F711" t="str">
            <v>V801</v>
          </cell>
          <cell r="G711">
            <v>25</v>
          </cell>
        </row>
        <row r="712">
          <cell r="C712" t="str">
            <v>VXXEUOL2----.PARAKT7</v>
          </cell>
          <cell r="D712" t="str">
            <v>VXXEUOL2----.PARAKT7(V801)</v>
          </cell>
          <cell r="E712" t="str">
            <v>V801</v>
          </cell>
          <cell r="F712" t="str">
            <v>V801</v>
          </cell>
          <cell r="G712">
            <v>25</v>
          </cell>
        </row>
        <row r="713">
          <cell r="C713" t="str">
            <v>VXXAUOL2----.PARAKT5</v>
          </cell>
          <cell r="D713" t="str">
            <v>VXXAUOL2----.PARAKT5(V801)</v>
          </cell>
          <cell r="E713" t="str">
            <v>V801</v>
          </cell>
          <cell r="F713" t="str">
            <v>V801</v>
          </cell>
          <cell r="G713">
            <v>25</v>
          </cell>
        </row>
        <row r="714">
          <cell r="C714" t="str">
            <v>VXXAUOL2----.PARAKT7</v>
          </cell>
          <cell r="D714" t="str">
            <v>VXXAUOL2----.PARAKT7(V801)</v>
          </cell>
          <cell r="E714" t="str">
            <v>V801</v>
          </cell>
          <cell r="F714" t="str">
            <v>V801</v>
          </cell>
          <cell r="G714">
            <v>25</v>
          </cell>
        </row>
        <row r="715">
          <cell r="C715" t="str">
            <v>VXXUSOL2----.PARAKTA</v>
          </cell>
          <cell r="D715" t="str">
            <v>VXXUSOL2----.PARAKTA(V801)</v>
          </cell>
          <cell r="E715" t="str">
            <v>V801</v>
          </cell>
          <cell r="F715" t="str">
            <v>V801</v>
          </cell>
          <cell r="G715">
            <v>25</v>
          </cell>
        </row>
        <row r="716">
          <cell r="C716" t="str">
            <v>VXXEUOL2----.PARAKTA</v>
          </cell>
          <cell r="D716" t="str">
            <v>VXXEUOL2----.PARAKTA(V801)</v>
          </cell>
          <cell r="E716" t="str">
            <v>V801</v>
          </cell>
          <cell r="F716" t="str">
            <v>V801</v>
          </cell>
          <cell r="G716">
            <v>25</v>
          </cell>
        </row>
        <row r="717">
          <cell r="C717" t="str">
            <v>VXXAUOL2----.PARAKTA</v>
          </cell>
          <cell r="D717" t="str">
            <v>VXXAUOL2----.PARAKTA(V801)</v>
          </cell>
          <cell r="E717" t="str">
            <v>V801</v>
          </cell>
          <cell r="F717" t="str">
            <v>V801</v>
          </cell>
          <cell r="G717">
            <v>25</v>
          </cell>
        </row>
        <row r="718">
          <cell r="C718" t="str">
            <v>VXXINOL2----.PARAKT1</v>
          </cell>
          <cell r="D718" t="str">
            <v>VXXINOL2----.PARAKT1(V801)</v>
          </cell>
          <cell r="E718" t="str">
            <v>V801</v>
          </cell>
          <cell r="F718" t="str">
            <v>V801</v>
          </cell>
          <cell r="G718">
            <v>25</v>
          </cell>
        </row>
        <row r="719">
          <cell r="C719" t="str">
            <v>VXXTWOLC----.OWRHEA1</v>
          </cell>
          <cell r="D719" t="str">
            <v>VXXTWOLC----.OWRHEA1(V803)</v>
          </cell>
          <cell r="E719" t="str">
            <v>V803</v>
          </cell>
          <cell r="F719" t="str">
            <v>V803</v>
          </cell>
          <cell r="G719">
            <v>20</v>
          </cell>
        </row>
        <row r="720">
          <cell r="C720" t="str">
            <v>VXXUSOL2----.OWRHEA1</v>
          </cell>
          <cell r="D720" t="str">
            <v>VXXUSOL2----.OWRHEA1(V803)</v>
          </cell>
          <cell r="E720" t="str">
            <v>V803</v>
          </cell>
          <cell r="F720" t="str">
            <v>V803</v>
          </cell>
          <cell r="G720">
            <v>20</v>
          </cell>
        </row>
        <row r="721">
          <cell r="C721" t="str">
            <v>VXXEUOL2----.OWRHEA1</v>
          </cell>
          <cell r="D721" t="str">
            <v>VXXEUOL2----.OWRHEA1(V803)</v>
          </cell>
          <cell r="E721" t="str">
            <v>V803</v>
          </cell>
          <cell r="F721" t="str">
            <v>V803</v>
          </cell>
          <cell r="G721">
            <v>20</v>
          </cell>
        </row>
        <row r="722">
          <cell r="C722" t="str">
            <v>V10USOL22CA-.PARROT1</v>
          </cell>
          <cell r="D722" t="str">
            <v>V10USOL22CA-.PARROT1(V803)</v>
          </cell>
          <cell r="E722" t="str">
            <v>V803</v>
          </cell>
          <cell r="F722" t="str">
            <v>V803</v>
          </cell>
          <cell r="G722">
            <v>40</v>
          </cell>
        </row>
        <row r="723">
          <cell r="C723" t="str">
            <v>VXXUSCV2----.MS31A-1</v>
          </cell>
          <cell r="D723" t="str">
            <v>VXXUSCV2----.MS31A-1(V801)</v>
          </cell>
          <cell r="E723" t="str">
            <v>V801</v>
          </cell>
          <cell r="F723" t="str">
            <v>V801</v>
          </cell>
          <cell r="G723">
            <v>20</v>
          </cell>
        </row>
        <row r="724">
          <cell r="C724" t="str">
            <v>E08WWNFB2Q5E.NPADA2L</v>
          </cell>
          <cell r="D724" t="str">
            <v>E08WWNFB2Q5E.NPADA2L(V803)</v>
          </cell>
          <cell r="E724" t="str">
            <v>V803</v>
          </cell>
          <cell r="F724" t="str">
            <v>V803</v>
          </cell>
          <cell r="G724">
            <v>67</v>
          </cell>
        </row>
        <row r="725">
          <cell r="C725" t="str">
            <v>E08WWNF22Q5E.NPADA21</v>
          </cell>
          <cell r="D725" t="str">
            <v>E08WWNF22Q5E.NPADA21(V803)</v>
          </cell>
          <cell r="E725" t="str">
            <v>V803</v>
          </cell>
          <cell r="F725" t="str">
            <v>V803</v>
          </cell>
          <cell r="G725">
            <v>67</v>
          </cell>
        </row>
        <row r="726">
          <cell r="C726" t="str">
            <v>E08WWNF22Q5E.NPADA22</v>
          </cell>
          <cell r="D726" t="str">
            <v>E08WWNF22Q5E.NPADA22(V803)</v>
          </cell>
          <cell r="E726" t="str">
            <v>V803</v>
          </cell>
          <cell r="F726" t="str">
            <v>V803</v>
          </cell>
          <cell r="G726">
            <v>67</v>
          </cell>
        </row>
        <row r="727">
          <cell r="C727" t="str">
            <v>E08WWNF22Q5E.NPADA23</v>
          </cell>
          <cell r="D727" t="str">
            <v>E08WWNF22Q5E.NPADA23(V803)</v>
          </cell>
          <cell r="E727" t="str">
            <v>V803</v>
          </cell>
          <cell r="F727" t="str">
            <v>V803</v>
          </cell>
          <cell r="G727">
            <v>67</v>
          </cell>
        </row>
        <row r="728">
          <cell r="C728" t="str">
            <v>E08WWNFB2Q5E.NPADA2Q</v>
          </cell>
          <cell r="D728" t="str">
            <v>E08WWNFB2Q5E.NPADA2Q(V803)</v>
          </cell>
          <cell r="E728" t="str">
            <v>V803</v>
          </cell>
          <cell r="F728" t="str">
            <v>V803</v>
          </cell>
          <cell r="G728">
            <v>67</v>
          </cell>
        </row>
        <row r="729">
          <cell r="C729" t="str">
            <v>E08WWNF22-5E.NPADUX1</v>
          </cell>
          <cell r="D729" t="str">
            <v>E08WWNF22-5E.NPADUX1(V803)</v>
          </cell>
          <cell r="E729" t="str">
            <v>V803</v>
          </cell>
          <cell r="F729" t="str">
            <v>V803</v>
          </cell>
          <cell r="G729">
            <v>67</v>
          </cell>
        </row>
        <row r="730">
          <cell r="C730" t="str">
            <v>E08WWNF22Q5E.NPADUX1</v>
          </cell>
          <cell r="D730" t="str">
            <v>E08WWNF22Q5E.NPADUX1(V803)</v>
          </cell>
          <cell r="E730" t="str">
            <v>V803</v>
          </cell>
          <cell r="F730" t="str">
            <v>V803</v>
          </cell>
          <cell r="G730">
            <v>67</v>
          </cell>
        </row>
        <row r="731">
          <cell r="C731" t="str">
            <v>E08WWNFB2Q5E.NPADA2R</v>
          </cell>
          <cell r="D731" t="str">
            <v>E08WWNFB2Q5E.NPADA2R(V803)</v>
          </cell>
          <cell r="E731" t="str">
            <v>V803</v>
          </cell>
          <cell r="F731" t="str">
            <v>V803</v>
          </cell>
          <cell r="G731">
            <v>67</v>
          </cell>
        </row>
        <row r="732">
          <cell r="C732" t="str">
            <v>E08WWNFB2Q5E.NPADA2L</v>
          </cell>
          <cell r="D732" t="str">
            <v>E08WWNFB2Q5E.NPADA2L(V803)</v>
          </cell>
          <cell r="E732" t="str">
            <v>V803</v>
          </cell>
          <cell r="F732" t="str">
            <v>V803</v>
          </cell>
          <cell r="G732">
            <v>60</v>
          </cell>
        </row>
        <row r="733">
          <cell r="C733" t="str">
            <v>E08WWNF22Q5E.NPADA21</v>
          </cell>
          <cell r="D733" t="str">
            <v>E08WWNF22Q5E.NPADA21(V803)</v>
          </cell>
          <cell r="E733" t="str">
            <v>V803</v>
          </cell>
          <cell r="F733" t="str">
            <v>V803</v>
          </cell>
          <cell r="G733">
            <v>60</v>
          </cell>
        </row>
        <row r="734">
          <cell r="C734" t="str">
            <v>E08WWNF22Q5E.NPADA22</v>
          </cell>
          <cell r="D734" t="str">
            <v>E08WWNF22Q5E.NPADA22(V803)</v>
          </cell>
          <cell r="E734" t="str">
            <v>V803</v>
          </cell>
          <cell r="F734" t="str">
            <v>V803</v>
          </cell>
          <cell r="G734">
            <v>60</v>
          </cell>
        </row>
        <row r="735">
          <cell r="C735" t="str">
            <v>E08WWNF22Q5E.NPADA23</v>
          </cell>
          <cell r="D735" t="str">
            <v>E08WWNF22Q5E.NPADA23(V803)</v>
          </cell>
          <cell r="E735" t="str">
            <v>V803</v>
          </cell>
          <cell r="F735" t="str">
            <v>V803</v>
          </cell>
          <cell r="G735">
            <v>60</v>
          </cell>
        </row>
        <row r="736">
          <cell r="C736" t="str">
            <v>E08WWNFB2Q5E.NPADA2Q</v>
          </cell>
          <cell r="D736" t="str">
            <v>E08WWNFB2Q5E.NPADA2Q(V803)</v>
          </cell>
          <cell r="E736" t="str">
            <v>V803</v>
          </cell>
          <cell r="F736" t="str">
            <v>V803</v>
          </cell>
          <cell r="G736">
            <v>60</v>
          </cell>
        </row>
        <row r="737">
          <cell r="C737" t="str">
            <v>E08WWNF22-5E.NPADUX1</v>
          </cell>
          <cell r="D737" t="str">
            <v>E08WWNF22-5E.NPADUX1(V803)</v>
          </cell>
          <cell r="E737" t="str">
            <v>V803</v>
          </cell>
          <cell r="F737" t="str">
            <v>V803</v>
          </cell>
          <cell r="G737">
            <v>60</v>
          </cell>
        </row>
        <row r="738">
          <cell r="C738" t="str">
            <v>E08WWNF22Q5E.NPADUX1</v>
          </cell>
          <cell r="D738" t="str">
            <v>E08WWNF22Q5E.NPADUX1(V803)</v>
          </cell>
          <cell r="E738" t="str">
            <v>V803</v>
          </cell>
          <cell r="F738" t="str">
            <v>V803</v>
          </cell>
          <cell r="G738">
            <v>60</v>
          </cell>
        </row>
        <row r="739">
          <cell r="C739" t="str">
            <v>E08WWNFB2Q5E.NPADA2R</v>
          </cell>
          <cell r="D739" t="str">
            <v>E08WWNFB2Q5E.NPADA2R(V803)</v>
          </cell>
          <cell r="E739" t="str">
            <v>V803</v>
          </cell>
          <cell r="F739" t="str">
            <v>V803</v>
          </cell>
          <cell r="G739">
            <v>60</v>
          </cell>
        </row>
        <row r="740">
          <cell r="C740" t="str">
            <v>VXXWWNFB----.NFEBARH</v>
          </cell>
          <cell r="D740" t="str">
            <v>VXXWWNFB----.NFEBARH(V803)</v>
          </cell>
          <cell r="E740" t="str">
            <v>V803</v>
          </cell>
          <cell r="F740" t="str">
            <v>V803</v>
          </cell>
          <cell r="G740">
            <v>40</v>
          </cell>
        </row>
        <row r="741">
          <cell r="C741" t="str">
            <v>VXXWWNF2----.NFEBAR5</v>
          </cell>
          <cell r="D741" t="str">
            <v>VXXWWNF2----.NFEBAR5(V803)</v>
          </cell>
          <cell r="E741" t="str">
            <v>V803</v>
          </cell>
          <cell r="F741" t="str">
            <v>V803</v>
          </cell>
          <cell r="G741">
            <v>40</v>
          </cell>
        </row>
        <row r="742">
          <cell r="C742" t="str">
            <v>VXXWWNF2----.NFEBAR6</v>
          </cell>
          <cell r="D742" t="str">
            <v>VXXWWNF2----.NFEBAR6(V803)</v>
          </cell>
          <cell r="E742" t="str">
            <v>V803</v>
          </cell>
          <cell r="F742" t="str">
            <v>V803</v>
          </cell>
          <cell r="G742">
            <v>40</v>
          </cell>
        </row>
        <row r="743">
          <cell r="C743" t="str">
            <v>VXXWWNF2----.NFEBAR8</v>
          </cell>
          <cell r="D743" t="str">
            <v>VXXWWNF2----.NFEBAR8(V803)</v>
          </cell>
          <cell r="E743" t="str">
            <v>V803</v>
          </cell>
          <cell r="F743" t="str">
            <v>V803</v>
          </cell>
          <cell r="G743">
            <v>40</v>
          </cell>
        </row>
        <row r="744">
          <cell r="C744" t="str">
            <v>VXXWWNF2----.NFEBAR9</v>
          </cell>
          <cell r="D744" t="str">
            <v>VXXWWNF2----.NFEBAR9(V803)</v>
          </cell>
          <cell r="E744" t="str">
            <v>V803</v>
          </cell>
          <cell r="F744" t="str">
            <v>V803</v>
          </cell>
          <cell r="G744">
            <v>40</v>
          </cell>
        </row>
        <row r="745">
          <cell r="C745" t="str">
            <v>VXXWWNF2----.NFEBAR2</v>
          </cell>
          <cell r="D745" t="str">
            <v>VXXWWNF2----.NFEBAR2(V803)</v>
          </cell>
          <cell r="E745" t="str">
            <v>V803</v>
          </cell>
          <cell r="F745" t="str">
            <v>V803</v>
          </cell>
          <cell r="G745">
            <v>40</v>
          </cell>
        </row>
        <row r="746">
          <cell r="C746" t="str">
            <v>VXXWWNF2----.NFEBAR4</v>
          </cell>
          <cell r="D746" t="str">
            <v>VXXWWNF2----.NFEBAR4(V803)</v>
          </cell>
          <cell r="E746" t="str">
            <v>V803</v>
          </cell>
          <cell r="F746" t="str">
            <v>V803</v>
          </cell>
          <cell r="G746">
            <v>40</v>
          </cell>
        </row>
        <row r="747">
          <cell r="C747" t="str">
            <v>VXXWWNF2----.NFEBAR3</v>
          </cell>
          <cell r="D747" t="str">
            <v>VXXWWNF2----.NFEBAR3(V803)</v>
          </cell>
          <cell r="E747" t="str">
            <v>V803</v>
          </cell>
          <cell r="F747" t="str">
            <v>V803</v>
          </cell>
          <cell r="G747">
            <v>40</v>
          </cell>
        </row>
        <row r="748">
          <cell r="C748" t="str">
            <v>E08WWNF22Q5E.NPADA2B</v>
          </cell>
          <cell r="D748" t="str">
            <v>E08WWNF22Q5E.NPADA2B(V802)</v>
          </cell>
          <cell r="E748" t="str">
            <v>V802</v>
          </cell>
          <cell r="F748" t="str">
            <v>V802</v>
          </cell>
          <cell r="G748">
            <v>67</v>
          </cell>
        </row>
        <row r="749">
          <cell r="C749" t="str">
            <v>E08WWNF22Q5E.NPADA2C</v>
          </cell>
          <cell r="D749" t="str">
            <v>E08WWNF22Q5E.NPADA2C(V802)</v>
          </cell>
          <cell r="E749" t="str">
            <v>V802</v>
          </cell>
          <cell r="F749" t="str">
            <v>V802</v>
          </cell>
          <cell r="G749">
            <v>67</v>
          </cell>
        </row>
        <row r="750">
          <cell r="C750" t="str">
            <v>E08WWNF22Q5E.NPADA2D</v>
          </cell>
          <cell r="D750" t="str">
            <v>E08WWNF22Q5E.NPADA2D(V802)</v>
          </cell>
          <cell r="E750" t="str">
            <v>V802</v>
          </cell>
          <cell r="F750" t="str">
            <v>V802</v>
          </cell>
          <cell r="G750">
            <v>67</v>
          </cell>
        </row>
        <row r="751">
          <cell r="C751" t="str">
            <v>E08WWNFB2Q5E.NPADA2L</v>
          </cell>
          <cell r="D751" t="str">
            <v>E08WWNFB2Q5E.NPADA2L(V802)</v>
          </cell>
          <cell r="E751" t="str">
            <v>V802</v>
          </cell>
          <cell r="F751" t="str">
            <v>V802</v>
          </cell>
          <cell r="G751">
            <v>67</v>
          </cell>
        </row>
        <row r="752">
          <cell r="C752" t="str">
            <v>E08WWNF22Q5E.NPADA21</v>
          </cell>
          <cell r="D752" t="str">
            <v>E08WWNF22Q5E.NPADA21(V802)</v>
          </cell>
          <cell r="E752" t="str">
            <v>V802</v>
          </cell>
          <cell r="F752" t="str">
            <v>V802</v>
          </cell>
          <cell r="G752">
            <v>67</v>
          </cell>
        </row>
        <row r="753">
          <cell r="C753" t="str">
            <v>E08WWNF22Q5E.NPADA22</v>
          </cell>
          <cell r="D753" t="str">
            <v>E08WWNF22Q5E.NPADA22(V802)</v>
          </cell>
          <cell r="E753" t="str">
            <v>V802</v>
          </cell>
          <cell r="F753" t="str">
            <v>V802</v>
          </cell>
          <cell r="G753">
            <v>67</v>
          </cell>
        </row>
        <row r="754">
          <cell r="C754" t="str">
            <v>E08WWNF22Q5E.NPADA23</v>
          </cell>
          <cell r="D754" t="str">
            <v>E08WWNF22Q5E.NPADA23(V802)</v>
          </cell>
          <cell r="E754" t="str">
            <v>V802</v>
          </cell>
          <cell r="F754" t="str">
            <v>V802</v>
          </cell>
          <cell r="G754">
            <v>67</v>
          </cell>
        </row>
        <row r="755">
          <cell r="C755" t="str">
            <v>E08WWNFB2Q5E.NPADA2Q</v>
          </cell>
          <cell r="D755" t="str">
            <v>E08WWNFB2Q5E.NPADA2Q(V802)</v>
          </cell>
          <cell r="E755" t="str">
            <v>V802</v>
          </cell>
          <cell r="F755" t="str">
            <v>V802</v>
          </cell>
          <cell r="G755">
            <v>67</v>
          </cell>
        </row>
        <row r="756">
          <cell r="C756" t="str">
            <v>E08WWNF22-5E.NPADUX1</v>
          </cell>
          <cell r="D756" t="str">
            <v>E08WWNF22-5E.NPADUX1(V802)</v>
          </cell>
          <cell r="E756" t="str">
            <v>V802</v>
          </cell>
          <cell r="F756" t="str">
            <v>V802</v>
          </cell>
          <cell r="G756">
            <v>67</v>
          </cell>
        </row>
        <row r="757">
          <cell r="C757" t="str">
            <v>E08WWNF22Q5E.NPADUX1</v>
          </cell>
          <cell r="D757" t="str">
            <v>E08WWNF22Q5E.NPADUX1(V802)</v>
          </cell>
          <cell r="E757" t="str">
            <v>V802</v>
          </cell>
          <cell r="F757" t="str">
            <v>V802</v>
          </cell>
          <cell r="G757">
            <v>67</v>
          </cell>
        </row>
        <row r="758">
          <cell r="C758" t="str">
            <v>E08WWNFB2Q5E.NPADA2R</v>
          </cell>
          <cell r="D758" t="str">
            <v>E08WWNFB2Q5E.NPADA2R(V802)</v>
          </cell>
          <cell r="E758" t="str">
            <v>V802</v>
          </cell>
          <cell r="F758" t="str">
            <v>V802</v>
          </cell>
          <cell r="G758">
            <v>67</v>
          </cell>
        </row>
        <row r="759">
          <cell r="C759" t="str">
            <v>E08WWNF22Q5E.NPADA2B</v>
          </cell>
          <cell r="D759" t="str">
            <v>E08WWNF22Q5E.NPADA2B(V802)</v>
          </cell>
          <cell r="E759" t="str">
            <v>V802</v>
          </cell>
          <cell r="F759" t="str">
            <v>V802</v>
          </cell>
          <cell r="G759">
            <v>60</v>
          </cell>
        </row>
        <row r="760">
          <cell r="C760" t="str">
            <v>E08WWNF22Q5E.NPADA2C</v>
          </cell>
          <cell r="D760" t="str">
            <v>E08WWNF22Q5E.NPADA2C(V802)</v>
          </cell>
          <cell r="E760" t="str">
            <v>V802</v>
          </cell>
          <cell r="F760" t="str">
            <v>V802</v>
          </cell>
          <cell r="G760">
            <v>60</v>
          </cell>
        </row>
        <row r="761">
          <cell r="C761" t="str">
            <v>E08WWNF22Q5E.NPADA2D</v>
          </cell>
          <cell r="D761" t="str">
            <v>E08WWNF22Q5E.NPADA2D(V802)</v>
          </cell>
          <cell r="E761" t="str">
            <v>V802</v>
          </cell>
          <cell r="F761" t="str">
            <v>V802</v>
          </cell>
          <cell r="G761">
            <v>60</v>
          </cell>
        </row>
        <row r="762">
          <cell r="C762" t="str">
            <v>E08WWNFB2Q5E.NPADA2L</v>
          </cell>
          <cell r="D762" t="str">
            <v>E08WWNFB2Q5E.NPADA2L(V802)</v>
          </cell>
          <cell r="E762" t="str">
            <v>V802</v>
          </cell>
          <cell r="F762" t="str">
            <v>V802</v>
          </cell>
          <cell r="G762">
            <v>60</v>
          </cell>
        </row>
        <row r="763">
          <cell r="C763" t="str">
            <v>E08WWNF22Q5E.NPADA21</v>
          </cell>
          <cell r="D763" t="str">
            <v>E08WWNF22Q5E.NPADA21(V802)</v>
          </cell>
          <cell r="E763" t="str">
            <v>V802</v>
          </cell>
          <cell r="F763" t="str">
            <v>V802</v>
          </cell>
          <cell r="G763">
            <v>60</v>
          </cell>
        </row>
        <row r="764">
          <cell r="C764" t="str">
            <v>E08WWNF22Q5E.NPADA22</v>
          </cell>
          <cell r="D764" t="str">
            <v>E08WWNF22Q5E.NPADA22(V802)</v>
          </cell>
          <cell r="E764" t="str">
            <v>V802</v>
          </cell>
          <cell r="F764" t="str">
            <v>V802</v>
          </cell>
          <cell r="G764">
            <v>60</v>
          </cell>
        </row>
        <row r="765">
          <cell r="C765" t="str">
            <v>E08WWNF22Q5E.NPADA23</v>
          </cell>
          <cell r="D765" t="str">
            <v>E08WWNF22Q5E.NPADA23(V802)</v>
          </cell>
          <cell r="E765" t="str">
            <v>V802</v>
          </cell>
          <cell r="F765" t="str">
            <v>V802</v>
          </cell>
          <cell r="G765">
            <v>60</v>
          </cell>
        </row>
        <row r="766">
          <cell r="C766" t="str">
            <v>E08WWNFB2Q5E.NPADA2Q</v>
          </cell>
          <cell r="D766" t="str">
            <v>E08WWNFB2Q5E.NPADA2Q(V802)</v>
          </cell>
          <cell r="E766" t="str">
            <v>V802</v>
          </cell>
          <cell r="F766" t="str">
            <v>V802</v>
          </cell>
          <cell r="G766">
            <v>60</v>
          </cell>
        </row>
        <row r="767">
          <cell r="C767" t="str">
            <v>E08WWNF22-5E.NPADUX1</v>
          </cell>
          <cell r="D767" t="str">
            <v>E08WWNF22-5E.NPADUX1(V802)</v>
          </cell>
          <cell r="E767" t="str">
            <v>V802</v>
          </cell>
          <cell r="F767" t="str">
            <v>V802</v>
          </cell>
          <cell r="G767">
            <v>60</v>
          </cell>
        </row>
        <row r="768">
          <cell r="C768" t="str">
            <v>E08WWNF22Q5E.NPADUX1</v>
          </cell>
          <cell r="D768" t="str">
            <v>E08WWNF22Q5E.NPADUX1(V802)</v>
          </cell>
          <cell r="E768" t="str">
            <v>V802</v>
          </cell>
          <cell r="F768" t="str">
            <v>V802</v>
          </cell>
          <cell r="G768">
            <v>60</v>
          </cell>
        </row>
        <row r="769">
          <cell r="C769" t="str">
            <v>E08WWNFB2Q5E.NPADA2R</v>
          </cell>
          <cell r="D769" t="str">
            <v>E08WWNFB2Q5E.NPADA2R(V802)</v>
          </cell>
          <cell r="E769" t="str">
            <v>V802</v>
          </cell>
          <cell r="F769" t="str">
            <v>V802</v>
          </cell>
          <cell r="G769">
            <v>60</v>
          </cell>
        </row>
        <row r="770">
          <cell r="C770" t="str">
            <v>VXXWWNFB----.NFEBARH</v>
          </cell>
          <cell r="D770" t="str">
            <v>VXXWWNFB----.NFEBARH(V802)</v>
          </cell>
          <cell r="E770" t="str">
            <v>V802</v>
          </cell>
          <cell r="F770" t="str">
            <v>V802</v>
          </cell>
          <cell r="G770">
            <v>40</v>
          </cell>
        </row>
        <row r="771">
          <cell r="C771" t="str">
            <v>VXXWWNF2----.NFEBAR5</v>
          </cell>
          <cell r="D771" t="str">
            <v>VXXWWNF2----.NFEBAR5(V802)</v>
          </cell>
          <cell r="E771" t="str">
            <v>V802</v>
          </cell>
          <cell r="F771" t="str">
            <v>V802</v>
          </cell>
          <cell r="G771">
            <v>40</v>
          </cell>
        </row>
        <row r="772">
          <cell r="C772" t="str">
            <v>VXXWWNF2----.NFEBAR6</v>
          </cell>
          <cell r="D772" t="str">
            <v>VXXWWNF2----.NFEBAR6(V802)</v>
          </cell>
          <cell r="E772" t="str">
            <v>V802</v>
          </cell>
          <cell r="F772" t="str">
            <v>V802</v>
          </cell>
          <cell r="G772">
            <v>40</v>
          </cell>
        </row>
        <row r="773">
          <cell r="C773" t="str">
            <v>VXXWWNF2----.NFEBAR9</v>
          </cell>
          <cell r="D773" t="str">
            <v>VXXWWNF2----.NFEBAR9(V802)</v>
          </cell>
          <cell r="E773" t="str">
            <v>V802</v>
          </cell>
          <cell r="F773" t="str">
            <v>V802</v>
          </cell>
          <cell r="G773">
            <v>40</v>
          </cell>
        </row>
        <row r="774">
          <cell r="C774" t="str">
            <v>VXXWWNF2----.NFEBAR2</v>
          </cell>
          <cell r="D774" t="str">
            <v>VXXWWNF2----.NFEBAR2(V802)</v>
          </cell>
          <cell r="E774" t="str">
            <v>V802</v>
          </cell>
          <cell r="F774" t="str">
            <v>V802</v>
          </cell>
          <cell r="G774">
            <v>40</v>
          </cell>
        </row>
        <row r="775">
          <cell r="C775" t="str">
            <v>VXXWWNF2----.NFEBAR4</v>
          </cell>
          <cell r="D775" t="str">
            <v>VXXWWNF2----.NFEBAR4(V802)</v>
          </cell>
          <cell r="E775" t="str">
            <v>V802</v>
          </cell>
          <cell r="F775" t="str">
            <v>V802</v>
          </cell>
          <cell r="G775">
            <v>40</v>
          </cell>
        </row>
        <row r="776">
          <cell r="C776" t="str">
            <v>VXXWWNF2----.NFEBAR3</v>
          </cell>
          <cell r="D776" t="str">
            <v>VXXWWNF2----.NFEBAR3(V802)</v>
          </cell>
          <cell r="E776" t="str">
            <v>V802</v>
          </cell>
          <cell r="F776" t="str">
            <v>V802</v>
          </cell>
          <cell r="G776">
            <v>40</v>
          </cell>
        </row>
        <row r="777">
          <cell r="C777">
            <v>379900120304</v>
          </cell>
          <cell r="D777" t="str">
            <v>379900120304(D901)</v>
          </cell>
          <cell r="E777" t="str">
            <v>D901</v>
          </cell>
          <cell r="F777" t="str">
            <v>D901</v>
          </cell>
          <cell r="G777">
            <v>40</v>
          </cell>
        </row>
        <row r="778">
          <cell r="C778" t="str">
            <v>VXXUSLO2----.LANKY-1</v>
          </cell>
          <cell r="D778" t="str">
            <v>VXXUSLO2----.LANKY-1(V805)</v>
          </cell>
          <cell r="E778" t="str">
            <v>V805</v>
          </cell>
          <cell r="F778" t="str">
            <v>V805</v>
          </cell>
          <cell r="G778">
            <v>30</v>
          </cell>
        </row>
        <row r="779">
          <cell r="C779" t="str">
            <v>VXXUSLO2----.LANKY-2</v>
          </cell>
          <cell r="D779" t="str">
            <v>VXXUSLO2----.LANKY-2(V805)</v>
          </cell>
          <cell r="E779" t="str">
            <v>V805</v>
          </cell>
          <cell r="F779" t="str">
            <v>V805</v>
          </cell>
          <cell r="G779">
            <v>30</v>
          </cell>
        </row>
        <row r="780">
          <cell r="C780" t="str">
            <v>VXXUSLO2----.LANKY-3</v>
          </cell>
          <cell r="D780" t="str">
            <v>VXXUSLO2----.LANKY-3(V805)</v>
          </cell>
          <cell r="E780" t="str">
            <v>V805</v>
          </cell>
          <cell r="F780" t="str">
            <v>V805</v>
          </cell>
          <cell r="G780">
            <v>30</v>
          </cell>
        </row>
        <row r="781">
          <cell r="C781" t="str">
            <v>VXXUSLO2----.LANKY-4</v>
          </cell>
          <cell r="D781" t="str">
            <v>VXXUSLO2----.LANKY-4(V805)</v>
          </cell>
          <cell r="E781" t="str">
            <v>V805</v>
          </cell>
          <cell r="F781" t="str">
            <v>V805</v>
          </cell>
          <cell r="G781">
            <v>30</v>
          </cell>
        </row>
        <row r="782">
          <cell r="C782" t="str">
            <v>VXXUSLO2----.LANKY-1</v>
          </cell>
          <cell r="D782" t="str">
            <v>VXXUSLO2----.LANKY-1(V805)</v>
          </cell>
          <cell r="E782" t="str">
            <v>V805</v>
          </cell>
          <cell r="F782" t="str">
            <v>V805</v>
          </cell>
          <cell r="G782">
            <v>15</v>
          </cell>
        </row>
        <row r="783">
          <cell r="C783" t="str">
            <v>VXXUSLO2----.LANKY-2</v>
          </cell>
          <cell r="D783" t="str">
            <v>VXXUSLO2----.LANKY-2(V805)</v>
          </cell>
          <cell r="E783" t="str">
            <v>V805</v>
          </cell>
          <cell r="F783" t="str">
            <v>V805</v>
          </cell>
          <cell r="G783">
            <v>15</v>
          </cell>
        </row>
        <row r="784">
          <cell r="C784" t="str">
            <v>VXXUSLO2----.LANKY-3</v>
          </cell>
          <cell r="D784" t="str">
            <v>VXXUSLO2----.LANKY-3(V805)</v>
          </cell>
          <cell r="E784" t="str">
            <v>V805</v>
          </cell>
          <cell r="F784" t="str">
            <v>V805</v>
          </cell>
          <cell r="G784">
            <v>15</v>
          </cell>
        </row>
        <row r="785">
          <cell r="C785" t="str">
            <v>VXXUSLO2----.LANKY-4</v>
          </cell>
          <cell r="D785" t="str">
            <v>VXXUSLO2----.LANKY-4(V805)</v>
          </cell>
          <cell r="E785" t="str">
            <v>V805</v>
          </cell>
          <cell r="F785" t="str">
            <v>V805</v>
          </cell>
          <cell r="G785">
            <v>15</v>
          </cell>
        </row>
        <row r="786">
          <cell r="C786" t="str">
            <v xml:space="preserve">VXXUSLO2----.LANKY-1  </v>
          </cell>
          <cell r="D786" t="str">
            <v>VXXUSLO2----.LANKY-1  (V805)</v>
          </cell>
          <cell r="E786" t="str">
            <v>V805</v>
          </cell>
          <cell r="F786" t="str">
            <v>V805</v>
          </cell>
          <cell r="G786">
            <v>10</v>
          </cell>
        </row>
        <row r="787">
          <cell r="C787" t="str">
            <v>VXXUSLO2----.LANKY-2</v>
          </cell>
          <cell r="D787" t="str">
            <v>VXXUSLO2----.LANKY-2(V805)</v>
          </cell>
          <cell r="E787" t="str">
            <v>V805</v>
          </cell>
          <cell r="F787" t="str">
            <v>V805</v>
          </cell>
          <cell r="G787">
            <v>10</v>
          </cell>
        </row>
        <row r="788">
          <cell r="C788" t="str">
            <v>VXXUSLO2----.LANKY-3</v>
          </cell>
          <cell r="D788" t="str">
            <v>VXXUSLO2----.LANKY-3(V805)</v>
          </cell>
          <cell r="E788" t="str">
            <v>V805</v>
          </cell>
          <cell r="F788" t="str">
            <v>V805</v>
          </cell>
          <cell r="G788">
            <v>10</v>
          </cell>
        </row>
        <row r="789">
          <cell r="C789" t="str">
            <v xml:space="preserve">VXXUSLO2----.LANKY-4 </v>
          </cell>
          <cell r="D789" t="str">
            <v>VXXUSLO2----.LANKY-4 (V805)</v>
          </cell>
          <cell r="E789" t="str">
            <v>V805</v>
          </cell>
          <cell r="F789" t="str">
            <v>V805</v>
          </cell>
          <cell r="G789">
            <v>10</v>
          </cell>
        </row>
        <row r="790">
          <cell r="C790" t="str">
            <v>VXXUSLO2----.LANKY-1</v>
          </cell>
          <cell r="D790" t="str">
            <v>VXXUSLO2----.LANKY-1(V805)</v>
          </cell>
          <cell r="E790" t="str">
            <v>V805</v>
          </cell>
          <cell r="F790" t="str">
            <v>V805</v>
          </cell>
          <cell r="G790">
            <v>5</v>
          </cell>
        </row>
        <row r="791">
          <cell r="C791" t="str">
            <v>VXXUSLO2----.LANKY-2</v>
          </cell>
          <cell r="D791" t="str">
            <v>VXXUSLO2----.LANKY-2(V805)</v>
          </cell>
          <cell r="E791" t="str">
            <v>V805</v>
          </cell>
          <cell r="F791" t="str">
            <v>V805</v>
          </cell>
          <cell r="G791">
            <v>5</v>
          </cell>
        </row>
        <row r="792">
          <cell r="C792" t="str">
            <v>VXXUSLO2----.LANKY-3</v>
          </cell>
          <cell r="D792" t="str">
            <v>VXXUSLO2----.LANKY-3(V805)</v>
          </cell>
          <cell r="E792" t="str">
            <v>V805</v>
          </cell>
          <cell r="F792" t="str">
            <v>V805</v>
          </cell>
          <cell r="G792">
            <v>5</v>
          </cell>
        </row>
        <row r="793">
          <cell r="C793" t="str">
            <v>VXXUSLO2----.LANKY-4</v>
          </cell>
          <cell r="D793" t="str">
            <v>VXXUSLO2----.LANKY-4(V805)</v>
          </cell>
          <cell r="E793" t="str">
            <v>V805</v>
          </cell>
          <cell r="F793" t="str">
            <v>V805</v>
          </cell>
          <cell r="G793">
            <v>5</v>
          </cell>
        </row>
        <row r="794">
          <cell r="C794" t="str">
            <v>VXXEULO2----.LANKY-1</v>
          </cell>
          <cell r="D794" t="str">
            <v>VXXEULO2----.LANKY-1(V805)</v>
          </cell>
          <cell r="E794" t="str">
            <v>V805</v>
          </cell>
          <cell r="F794" t="str">
            <v>V805</v>
          </cell>
          <cell r="G794">
            <v>10</v>
          </cell>
        </row>
        <row r="795">
          <cell r="C795" t="str">
            <v>VXXEULO2----.LANKY-2</v>
          </cell>
          <cell r="D795" t="str">
            <v>VXXEULO2----.LANKY-2(V805)</v>
          </cell>
          <cell r="E795" t="str">
            <v>V805</v>
          </cell>
          <cell r="F795" t="str">
            <v>V805</v>
          </cell>
          <cell r="G795">
            <v>10</v>
          </cell>
        </row>
        <row r="796">
          <cell r="C796" t="str">
            <v>VXXUSLO2----.PRIMUS1</v>
          </cell>
          <cell r="D796" t="str">
            <v>VXXUSLO2----.PRIMUS1(V805)</v>
          </cell>
          <cell r="E796" t="str">
            <v>V805</v>
          </cell>
          <cell r="F796" t="str">
            <v>V805</v>
          </cell>
          <cell r="G796">
            <v>10</v>
          </cell>
        </row>
        <row r="797">
          <cell r="C797" t="str">
            <v>VXXEULO2----.PRIMUS1</v>
          </cell>
          <cell r="D797" t="str">
            <v>VXXEULO2----.PRIMUS1(V805)</v>
          </cell>
          <cell r="E797" t="str">
            <v>V805</v>
          </cell>
          <cell r="F797" t="str">
            <v>V805</v>
          </cell>
          <cell r="G797">
            <v>10</v>
          </cell>
        </row>
        <row r="798">
          <cell r="C798" t="str">
            <v>3V65019203V0</v>
          </cell>
          <cell r="D798" t="str">
            <v>3V65019203V0(线外)</v>
          </cell>
          <cell r="E798" t="str">
            <v>线外</v>
          </cell>
          <cell r="F798" t="str">
            <v>线外</v>
          </cell>
          <cell r="G798">
            <v>30</v>
          </cell>
        </row>
        <row r="799">
          <cell r="C799" t="str">
            <v>3V65020203V0</v>
          </cell>
          <cell r="D799" t="str">
            <v>3V65020203V0(线外)</v>
          </cell>
          <cell r="E799" t="str">
            <v>线外</v>
          </cell>
          <cell r="F799" t="str">
            <v>线外</v>
          </cell>
          <cell r="G799">
            <v>30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N674"/>
  <sheetViews>
    <sheetView zoomScale="80" zoomScaleNormal="80" zoomScaleSheetLayoutView="54" workbookViewId="0">
      <pane xSplit="11" ySplit="10" topLeftCell="CG32" activePane="bottomRight" state="frozen"/>
      <selection activeCell="A209" sqref="A209"/>
      <selection pane="topRight" activeCell="A209" sqref="A209"/>
      <selection pane="bottomLeft" activeCell="A209" sqref="A209"/>
      <selection pane="bottomRight" activeCell="A49" sqref="A49:XFD49"/>
    </sheetView>
  </sheetViews>
  <sheetFormatPr defaultRowHeight="15" outlineLevelCol="1"/>
  <cols>
    <col min="1" max="1" width="9.08203125" customWidth="1"/>
    <col min="2" max="2" width="18.6640625" customWidth="1"/>
    <col min="3" max="3" width="31.1640625" bestFit="1" customWidth="1"/>
    <col min="4" max="4" width="12.6640625" hidden="1" customWidth="1" outlineLevel="1"/>
    <col min="5" max="5" width="8.33203125" hidden="1" customWidth="1" outlineLevel="1"/>
    <col min="6" max="6" width="6.83203125" customWidth="1" collapsed="1"/>
    <col min="7" max="7" width="7.83203125" style="15" customWidth="1"/>
    <col min="8" max="8" width="8.5" style="9" customWidth="1"/>
    <col min="9" max="9" width="10.9140625" style="20" bestFit="1" customWidth="1"/>
    <col min="10" max="10" width="8.9140625" customWidth="1"/>
    <col min="11" max="11" width="51.5" style="5" customWidth="1"/>
    <col min="12" max="80" width="6.6640625" hidden="1" customWidth="1"/>
    <col min="81" max="196" width="6.6640625" customWidth="1"/>
  </cols>
  <sheetData>
    <row r="1" spans="1:196" ht="15.75" customHeight="1">
      <c r="A1" s="3"/>
      <c r="B1" s="3"/>
      <c r="C1" s="3"/>
      <c r="D1" s="3"/>
      <c r="E1" s="3"/>
      <c r="K1" s="105" t="s">
        <v>7</v>
      </c>
      <c r="M1" s="200" t="s">
        <v>946</v>
      </c>
      <c r="N1" s="200"/>
      <c r="O1" s="200"/>
      <c r="P1" s="200"/>
      <c r="Q1" s="200"/>
      <c r="R1" s="200"/>
    </row>
    <row r="2" spans="1:196" ht="15.75" customHeight="1">
      <c r="A2" s="3"/>
      <c r="B2" s="3"/>
      <c r="C2" s="3"/>
      <c r="D2" s="15"/>
      <c r="E2" s="15"/>
      <c r="J2" t="s">
        <v>14</v>
      </c>
      <c r="K2" s="105" t="s">
        <v>10</v>
      </c>
      <c r="M2" s="200"/>
      <c r="N2" s="200"/>
      <c r="O2" s="200"/>
      <c r="P2" s="200"/>
      <c r="Q2" s="200"/>
      <c r="R2" s="200"/>
      <c r="S2" t="s">
        <v>642</v>
      </c>
      <c r="U2" t="s">
        <v>642</v>
      </c>
      <c r="W2" t="s">
        <v>817</v>
      </c>
      <c r="Y2" t="s">
        <v>817</v>
      </c>
      <c r="AM2" s="184" t="s">
        <v>602</v>
      </c>
      <c r="AO2" s="184" t="s">
        <v>602</v>
      </c>
      <c r="AS2" t="s">
        <v>1089</v>
      </c>
      <c r="AU2" t="s">
        <v>642</v>
      </c>
      <c r="AW2" t="s">
        <v>642</v>
      </c>
      <c r="AY2" t="s">
        <v>642</v>
      </c>
      <c r="BA2" t="s">
        <v>642</v>
      </c>
      <c r="BC2" t="s">
        <v>642</v>
      </c>
      <c r="BG2" t="s">
        <v>642</v>
      </c>
      <c r="BI2" t="s">
        <v>642</v>
      </c>
      <c r="BK2" t="s">
        <v>642</v>
      </c>
      <c r="BM2" t="s">
        <v>642</v>
      </c>
      <c r="BO2" t="s">
        <v>642</v>
      </c>
      <c r="BQ2" t="s">
        <v>642</v>
      </c>
      <c r="BU2" t="s">
        <v>642</v>
      </c>
      <c r="BW2" t="s">
        <v>642</v>
      </c>
      <c r="BY2" t="s">
        <v>642</v>
      </c>
      <c r="CA2" t="s">
        <v>642</v>
      </c>
      <c r="CC2" t="s">
        <v>642</v>
      </c>
      <c r="CE2" t="s">
        <v>642</v>
      </c>
      <c r="CI2" t="s">
        <v>642</v>
      </c>
      <c r="CK2" t="s">
        <v>642</v>
      </c>
      <c r="CM2" t="s">
        <v>642</v>
      </c>
      <c r="CO2" t="s">
        <v>642</v>
      </c>
      <c r="CQ2" t="s">
        <v>642</v>
      </c>
      <c r="CS2" t="s">
        <v>642</v>
      </c>
    </row>
    <row r="3" spans="1:196" ht="15" customHeight="1">
      <c r="A3" s="3" t="s">
        <v>12</v>
      </c>
      <c r="B3" s="3"/>
      <c r="C3" s="3"/>
      <c r="D3" s="15"/>
      <c r="E3" s="15"/>
      <c r="K3" s="105" t="s">
        <v>9</v>
      </c>
      <c r="M3" s="200"/>
      <c r="N3" s="200"/>
      <c r="O3" s="200"/>
      <c r="P3" s="200"/>
      <c r="Q3" s="200"/>
      <c r="R3" s="200"/>
      <c r="Y3" t="s">
        <v>642</v>
      </c>
      <c r="AE3" t="s">
        <v>642</v>
      </c>
      <c r="AG3" t="s">
        <v>642</v>
      </c>
      <c r="AI3" t="s">
        <v>642</v>
      </c>
      <c r="AK3" t="s">
        <v>642</v>
      </c>
      <c r="AU3" t="s">
        <v>642</v>
      </c>
      <c r="AW3" t="s">
        <v>642</v>
      </c>
      <c r="CI3" t="s">
        <v>642</v>
      </c>
      <c r="CK3" t="s">
        <v>642</v>
      </c>
      <c r="CM3" t="s">
        <v>642</v>
      </c>
      <c r="CO3" t="s">
        <v>642</v>
      </c>
    </row>
    <row r="4" spans="1:196" ht="15.5" customHeight="1">
      <c r="A4" s="3"/>
      <c r="B4" s="3"/>
      <c r="C4" s="3"/>
      <c r="D4" s="15"/>
      <c r="E4" s="15"/>
      <c r="I4" s="21"/>
      <c r="K4" s="105" t="s">
        <v>21</v>
      </c>
      <c r="M4" s="200"/>
      <c r="N4" s="200"/>
      <c r="O4" s="200"/>
      <c r="P4" s="200"/>
      <c r="Q4" s="200"/>
      <c r="R4" s="200"/>
      <c r="S4" t="s">
        <v>642</v>
      </c>
      <c r="U4" t="s">
        <v>642</v>
      </c>
      <c r="W4" t="s">
        <v>642</v>
      </c>
      <c r="Y4" t="s">
        <v>642</v>
      </c>
      <c r="AA4" s="184" t="s">
        <v>602</v>
      </c>
      <c r="AE4" s="184" t="s">
        <v>602</v>
      </c>
      <c r="AG4" s="184" t="s">
        <v>602</v>
      </c>
      <c r="AI4" t="s">
        <v>642</v>
      </c>
      <c r="AK4" t="s">
        <v>642</v>
      </c>
      <c r="AM4" s="184" t="s">
        <v>602</v>
      </c>
      <c r="AO4" s="184" t="s">
        <v>602</v>
      </c>
      <c r="AS4" s="184" t="s">
        <v>602</v>
      </c>
      <c r="AU4" t="s">
        <v>1096</v>
      </c>
      <c r="AW4" t="s">
        <v>1096</v>
      </c>
      <c r="AY4" t="s">
        <v>1096</v>
      </c>
      <c r="BA4" t="s">
        <v>642</v>
      </c>
      <c r="BC4" t="s">
        <v>642</v>
      </c>
      <c r="BG4" t="s">
        <v>642</v>
      </c>
      <c r="BI4" t="s">
        <v>1096</v>
      </c>
      <c r="BK4" t="s">
        <v>1152</v>
      </c>
      <c r="BM4" t="s">
        <v>1152</v>
      </c>
      <c r="BO4" t="s">
        <v>1152</v>
      </c>
      <c r="BQ4" t="s">
        <v>642</v>
      </c>
      <c r="BU4" t="s">
        <v>642</v>
      </c>
      <c r="BW4" t="s">
        <v>642</v>
      </c>
      <c r="BY4" t="s">
        <v>642</v>
      </c>
      <c r="CA4" t="s">
        <v>642</v>
      </c>
      <c r="CC4" t="s">
        <v>642</v>
      </c>
      <c r="CE4" t="s">
        <v>1096</v>
      </c>
      <c r="CQ4" t="s">
        <v>642</v>
      </c>
      <c r="CS4" t="s">
        <v>642</v>
      </c>
    </row>
    <row r="5" spans="1:196" ht="15.5" customHeight="1">
      <c r="A5" s="3"/>
      <c r="B5" s="3"/>
      <c r="C5" s="3"/>
      <c r="D5" s="15"/>
      <c r="E5" s="15"/>
      <c r="I5" s="21"/>
      <c r="K5" s="105" t="s">
        <v>136</v>
      </c>
      <c r="M5" s="200"/>
      <c r="N5" s="200"/>
      <c r="O5" s="200"/>
      <c r="P5" s="200"/>
      <c r="Q5" s="200"/>
      <c r="R5" s="200"/>
    </row>
    <row r="6" spans="1:196" ht="16.5" customHeight="1">
      <c r="D6" s="15"/>
      <c r="E6" s="15"/>
      <c r="K6" s="105" t="s">
        <v>607</v>
      </c>
      <c r="M6" s="200"/>
      <c r="N6" s="200"/>
      <c r="O6" s="200"/>
      <c r="P6" s="200"/>
      <c r="Q6" s="200"/>
      <c r="R6" s="200"/>
      <c r="S6" t="s">
        <v>642</v>
      </c>
      <c r="U6" t="s">
        <v>642</v>
      </c>
      <c r="W6" t="s">
        <v>602</v>
      </c>
      <c r="Y6" t="s">
        <v>642</v>
      </c>
      <c r="AA6" s="184" t="s">
        <v>602</v>
      </c>
      <c r="AE6" t="s">
        <v>642</v>
      </c>
      <c r="AG6" t="s">
        <v>642</v>
      </c>
      <c r="AI6" t="s">
        <v>642</v>
      </c>
      <c r="AK6" t="s">
        <v>642</v>
      </c>
      <c r="AM6" t="s">
        <v>642</v>
      </c>
      <c r="AO6" t="s">
        <v>642</v>
      </c>
      <c r="AS6" t="s">
        <v>642</v>
      </c>
      <c r="AU6" t="s">
        <v>642</v>
      </c>
      <c r="AW6" t="s">
        <v>642</v>
      </c>
      <c r="AY6" t="s">
        <v>642</v>
      </c>
      <c r="BA6" t="s">
        <v>642</v>
      </c>
      <c r="BC6" t="s">
        <v>642</v>
      </c>
      <c r="BG6" t="s">
        <v>642</v>
      </c>
      <c r="BH6" t="s">
        <v>642</v>
      </c>
      <c r="BI6" t="s">
        <v>642</v>
      </c>
      <c r="BJ6" t="s">
        <v>642</v>
      </c>
      <c r="BK6" t="s">
        <v>642</v>
      </c>
      <c r="BL6" t="s">
        <v>642</v>
      </c>
      <c r="BM6" t="s">
        <v>642</v>
      </c>
      <c r="BN6" t="s">
        <v>642</v>
      </c>
      <c r="BO6" t="s">
        <v>642</v>
      </c>
      <c r="BP6" t="s">
        <v>642</v>
      </c>
      <c r="BQ6" t="s">
        <v>642</v>
      </c>
      <c r="BR6" t="s">
        <v>642</v>
      </c>
      <c r="BU6" t="s">
        <v>642</v>
      </c>
      <c r="BV6" t="s">
        <v>642</v>
      </c>
      <c r="BW6" t="s">
        <v>642</v>
      </c>
      <c r="BY6" t="s">
        <v>642</v>
      </c>
      <c r="CA6" t="s">
        <v>642</v>
      </c>
      <c r="CC6" t="s">
        <v>642</v>
      </c>
      <c r="CE6" t="s">
        <v>642</v>
      </c>
      <c r="CI6" t="s">
        <v>642</v>
      </c>
      <c r="CK6" t="s">
        <v>642</v>
      </c>
      <c r="CM6" t="s">
        <v>642</v>
      </c>
      <c r="CO6" t="s">
        <v>642</v>
      </c>
      <c r="CQ6" t="s">
        <v>642</v>
      </c>
      <c r="CS6" t="s">
        <v>642</v>
      </c>
    </row>
    <row r="7" spans="1:196" ht="15.5" customHeight="1">
      <c r="D7" s="15"/>
      <c r="E7" s="15"/>
      <c r="K7" s="105" t="s">
        <v>603</v>
      </c>
      <c r="M7" s="200"/>
      <c r="N7" s="200"/>
      <c r="O7" s="200"/>
      <c r="P7" s="200"/>
      <c r="Q7" s="200"/>
      <c r="R7" s="200"/>
      <c r="S7" t="s">
        <v>642</v>
      </c>
      <c r="U7" t="s">
        <v>642</v>
      </c>
      <c r="Y7" t="s">
        <v>642</v>
      </c>
      <c r="AA7" s="184" t="s">
        <v>602</v>
      </c>
      <c r="AE7" t="s">
        <v>642</v>
      </c>
      <c r="AG7" t="s">
        <v>642</v>
      </c>
      <c r="AI7" t="s">
        <v>642</v>
      </c>
      <c r="AK7" t="s">
        <v>602</v>
      </c>
      <c r="AM7" t="s">
        <v>602</v>
      </c>
      <c r="AO7" t="s">
        <v>602</v>
      </c>
      <c r="AS7" t="s">
        <v>642</v>
      </c>
      <c r="AU7" t="s">
        <v>642</v>
      </c>
      <c r="AW7" t="s">
        <v>642</v>
      </c>
      <c r="AY7" t="s">
        <v>1089</v>
      </c>
      <c r="BA7" t="s">
        <v>1089</v>
      </c>
      <c r="BC7" t="s">
        <v>1089</v>
      </c>
      <c r="BG7" t="s">
        <v>642</v>
      </c>
      <c r="BI7" t="s">
        <v>642</v>
      </c>
      <c r="BK7" t="s">
        <v>642</v>
      </c>
      <c r="BM7" t="s">
        <v>642</v>
      </c>
      <c r="BO7" t="s">
        <v>642</v>
      </c>
      <c r="BQ7" t="s">
        <v>642</v>
      </c>
      <c r="CI7" t="s">
        <v>642</v>
      </c>
      <c r="CK7" t="s">
        <v>642</v>
      </c>
      <c r="CM7" t="s">
        <v>642</v>
      </c>
      <c r="CO7" t="s">
        <v>642</v>
      </c>
      <c r="CQ7" t="s">
        <v>642</v>
      </c>
      <c r="CS7" t="s">
        <v>642</v>
      </c>
    </row>
    <row r="8" spans="1:196" ht="15.5" customHeight="1">
      <c r="D8" s="15"/>
      <c r="E8" s="15"/>
      <c r="K8" s="105" t="s">
        <v>612</v>
      </c>
      <c r="M8" s="179"/>
      <c r="N8" s="179"/>
      <c r="O8" s="179"/>
      <c r="P8" s="179"/>
      <c r="R8" t="s">
        <v>642</v>
      </c>
      <c r="S8" s="184" t="s">
        <v>972</v>
      </c>
      <c r="T8" t="s">
        <v>642</v>
      </c>
      <c r="U8" t="s">
        <v>642</v>
      </c>
      <c r="V8" t="s">
        <v>642</v>
      </c>
      <c r="W8" t="s">
        <v>642</v>
      </c>
      <c r="X8" t="s">
        <v>642</v>
      </c>
      <c r="Y8" t="s">
        <v>642</v>
      </c>
      <c r="Z8" t="s">
        <v>642</v>
      </c>
      <c r="AA8" t="s">
        <v>642</v>
      </c>
      <c r="AB8" t="s">
        <v>642</v>
      </c>
      <c r="AE8" t="s">
        <v>642</v>
      </c>
      <c r="AF8" t="s">
        <v>642</v>
      </c>
      <c r="AG8" t="s">
        <v>642</v>
      </c>
      <c r="AH8" t="s">
        <v>642</v>
      </c>
      <c r="AI8" t="s">
        <v>642</v>
      </c>
      <c r="AJ8" t="s">
        <v>642</v>
      </c>
      <c r="AK8" t="s">
        <v>642</v>
      </c>
      <c r="AL8" t="s">
        <v>642</v>
      </c>
      <c r="AM8" t="s">
        <v>642</v>
      </c>
      <c r="AN8" t="s">
        <v>642</v>
      </c>
      <c r="AO8" t="s">
        <v>642</v>
      </c>
      <c r="AP8" t="s">
        <v>642</v>
      </c>
      <c r="AS8" t="s">
        <v>642</v>
      </c>
      <c r="AT8" t="s">
        <v>642</v>
      </c>
      <c r="AU8" t="s">
        <v>642</v>
      </c>
      <c r="AV8" t="s">
        <v>642</v>
      </c>
      <c r="AW8" t="s">
        <v>642</v>
      </c>
      <c r="AX8" t="s">
        <v>642</v>
      </c>
      <c r="AY8" t="s">
        <v>642</v>
      </c>
      <c r="AZ8" t="s">
        <v>642</v>
      </c>
      <c r="BA8" t="s">
        <v>642</v>
      </c>
      <c r="BB8" t="s">
        <v>642</v>
      </c>
      <c r="BC8" t="s">
        <v>642</v>
      </c>
      <c r="BD8" t="s">
        <v>642</v>
      </c>
      <c r="BG8" t="s">
        <v>642</v>
      </c>
      <c r="BH8" t="s">
        <v>642</v>
      </c>
      <c r="BI8" t="s">
        <v>642</v>
      </c>
      <c r="BJ8" t="s">
        <v>602</v>
      </c>
      <c r="BK8" t="s">
        <v>602</v>
      </c>
      <c r="BO8" t="s">
        <v>602</v>
      </c>
      <c r="BP8" t="s">
        <v>602</v>
      </c>
      <c r="BQ8" t="s">
        <v>602</v>
      </c>
      <c r="BR8" t="s">
        <v>602</v>
      </c>
    </row>
    <row r="9" spans="1:196">
      <c r="A9" s="205" t="s">
        <v>0</v>
      </c>
      <c r="B9" s="205" t="s">
        <v>1</v>
      </c>
      <c r="C9" s="205" t="s">
        <v>604</v>
      </c>
      <c r="D9" s="216" t="s">
        <v>608</v>
      </c>
      <c r="E9" s="218" t="s">
        <v>274</v>
      </c>
      <c r="F9" s="208" t="s">
        <v>2</v>
      </c>
      <c r="G9" s="210" t="s">
        <v>3</v>
      </c>
      <c r="H9" s="212" t="s">
        <v>11</v>
      </c>
      <c r="I9" s="203" t="s">
        <v>13</v>
      </c>
      <c r="J9" s="214" t="s">
        <v>8</v>
      </c>
      <c r="K9" s="201" t="s">
        <v>4</v>
      </c>
      <c r="L9" s="14" t="s">
        <v>965</v>
      </c>
      <c r="M9" s="2">
        <v>46200</v>
      </c>
      <c r="N9" s="2">
        <v>46200</v>
      </c>
      <c r="O9" s="2">
        <v>46201</v>
      </c>
      <c r="P9" s="2">
        <v>46201</v>
      </c>
      <c r="Q9" s="2">
        <v>46202</v>
      </c>
      <c r="R9" s="2">
        <v>46202</v>
      </c>
      <c r="S9" s="1">
        <f t="shared" ref="S9" si="0">Q9+1</f>
        <v>46203</v>
      </c>
      <c r="T9" s="1">
        <f t="shared" ref="T9" si="1">R9+1</f>
        <v>46203</v>
      </c>
      <c r="U9" s="1">
        <f t="shared" ref="U9" si="2">S9+1</f>
        <v>46204</v>
      </c>
      <c r="V9" s="1">
        <f t="shared" ref="V9" si="3">T9+1</f>
        <v>46204</v>
      </c>
      <c r="W9" s="1">
        <f t="shared" ref="W9" si="4">U9+1</f>
        <v>46205</v>
      </c>
      <c r="X9" s="1">
        <f t="shared" ref="X9" si="5">V9+1</f>
        <v>46205</v>
      </c>
      <c r="Y9" s="1">
        <f t="shared" ref="Y9" si="6">W9+1</f>
        <v>46206</v>
      </c>
      <c r="Z9" s="1">
        <f t="shared" ref="Z9" si="7">X9+1</f>
        <v>46206</v>
      </c>
      <c r="AA9" s="1">
        <f t="shared" ref="AA9" si="8">Y9+1</f>
        <v>46207</v>
      </c>
      <c r="AB9" s="1">
        <f t="shared" ref="AB9" si="9">Z9+1</f>
        <v>46207</v>
      </c>
      <c r="AC9" s="2">
        <f t="shared" ref="AC9" si="10">AA9+1</f>
        <v>46208</v>
      </c>
      <c r="AD9" s="2">
        <f t="shared" ref="AD9" si="11">AB9+1</f>
        <v>46208</v>
      </c>
      <c r="AE9" s="1">
        <f t="shared" ref="AE9" si="12">AC9+1</f>
        <v>46209</v>
      </c>
      <c r="AF9" s="1">
        <f t="shared" ref="AF9" si="13">AD9+1</f>
        <v>46209</v>
      </c>
      <c r="AG9" s="1">
        <f t="shared" ref="AG9" si="14">AE9+1</f>
        <v>46210</v>
      </c>
      <c r="AH9" s="1">
        <f t="shared" ref="AH9" si="15">AF9+1</f>
        <v>46210</v>
      </c>
      <c r="AI9" s="1">
        <f t="shared" ref="AI9" si="16">AG9+1</f>
        <v>46211</v>
      </c>
      <c r="AJ9" s="1">
        <f t="shared" ref="AJ9" si="17">AH9+1</f>
        <v>46211</v>
      </c>
      <c r="AK9" s="1">
        <f t="shared" ref="AK9" si="18">AI9+1</f>
        <v>46212</v>
      </c>
      <c r="AL9" s="1">
        <f t="shared" ref="AL9" si="19">AJ9+1</f>
        <v>46212</v>
      </c>
      <c r="AM9" s="1">
        <f t="shared" ref="AM9" si="20">AK9+1</f>
        <v>46213</v>
      </c>
      <c r="AN9" s="1">
        <f t="shared" ref="AN9" si="21">AL9+1</f>
        <v>46213</v>
      </c>
      <c r="AO9" s="1">
        <f t="shared" ref="AO9" si="22">AM9+1</f>
        <v>46214</v>
      </c>
      <c r="AP9" s="1">
        <f t="shared" ref="AP9" si="23">AN9+1</f>
        <v>46214</v>
      </c>
      <c r="AQ9" s="2">
        <f t="shared" ref="AQ9" si="24">AO9+1</f>
        <v>46215</v>
      </c>
      <c r="AR9" s="2">
        <f t="shared" ref="AR9" si="25">AP9+1</f>
        <v>46215</v>
      </c>
      <c r="AS9" s="1">
        <f t="shared" ref="AS9" si="26">AQ9+1</f>
        <v>46216</v>
      </c>
      <c r="AT9" s="1">
        <f t="shared" ref="AT9" si="27">AR9+1</f>
        <v>46216</v>
      </c>
      <c r="AU9" s="1">
        <f t="shared" ref="AU9" si="28">AS9+1</f>
        <v>46217</v>
      </c>
      <c r="AV9" s="1">
        <f t="shared" ref="AV9" si="29">AT9+1</f>
        <v>46217</v>
      </c>
      <c r="AW9" s="1">
        <f t="shared" ref="AW9" si="30">AU9+1</f>
        <v>46218</v>
      </c>
      <c r="AX9" s="1">
        <f t="shared" ref="AX9" si="31">AV9+1</f>
        <v>46218</v>
      </c>
      <c r="AY9" s="1">
        <f t="shared" ref="AY9" si="32">AW9+1</f>
        <v>46219</v>
      </c>
      <c r="AZ9" s="1">
        <f t="shared" ref="AZ9" si="33">AX9+1</f>
        <v>46219</v>
      </c>
      <c r="BA9" s="1">
        <f t="shared" ref="BA9" si="34">AY9+1</f>
        <v>46220</v>
      </c>
      <c r="BB9" s="1">
        <f t="shared" ref="BB9" si="35">AZ9+1</f>
        <v>46220</v>
      </c>
      <c r="BC9" s="1">
        <f t="shared" ref="BC9" si="36">BA9+1</f>
        <v>46221</v>
      </c>
      <c r="BD9" s="1">
        <f t="shared" ref="BD9" si="37">BB9+1</f>
        <v>46221</v>
      </c>
      <c r="BE9" s="2">
        <f t="shared" ref="BE9" si="38">BC9+1</f>
        <v>46222</v>
      </c>
      <c r="BF9" s="2">
        <f t="shared" ref="BF9" si="39">BD9+1</f>
        <v>46222</v>
      </c>
      <c r="BG9" s="1">
        <f t="shared" ref="BG9" si="40">BE9+1</f>
        <v>46223</v>
      </c>
      <c r="BH9" s="1">
        <f t="shared" ref="BH9" si="41">BF9+1</f>
        <v>46223</v>
      </c>
      <c r="BI9" s="1">
        <f t="shared" ref="BI9" si="42">BG9+1</f>
        <v>46224</v>
      </c>
      <c r="BJ9" s="1">
        <f t="shared" ref="BJ9" si="43">BH9+1</f>
        <v>46224</v>
      </c>
      <c r="BK9" s="1">
        <f t="shared" ref="BK9" si="44">BI9+1</f>
        <v>46225</v>
      </c>
      <c r="BL9" s="1">
        <f t="shared" ref="BL9" si="45">BJ9+1</f>
        <v>46225</v>
      </c>
      <c r="BM9" s="1">
        <f t="shared" ref="BM9" si="46">BK9+1</f>
        <v>46226</v>
      </c>
      <c r="BN9" s="1">
        <f t="shared" ref="BN9" si="47">BL9+1</f>
        <v>46226</v>
      </c>
      <c r="BO9" s="1">
        <f t="shared" ref="BO9" si="48">BM9+1</f>
        <v>46227</v>
      </c>
      <c r="BP9" s="1">
        <f t="shared" ref="BP9" si="49">BN9+1</f>
        <v>46227</v>
      </c>
      <c r="BQ9" s="1">
        <f t="shared" ref="BQ9" si="50">BO9+1</f>
        <v>46228</v>
      </c>
      <c r="BR9" s="1">
        <f t="shared" ref="BR9" si="51">BP9+1</f>
        <v>46228</v>
      </c>
      <c r="BS9" s="2">
        <f t="shared" ref="BS9" si="52">BQ9+1</f>
        <v>46229</v>
      </c>
      <c r="BT9" s="2">
        <f t="shared" ref="BT9" si="53">BR9+1</f>
        <v>46229</v>
      </c>
      <c r="BU9" s="1">
        <f t="shared" ref="BU9" si="54">BS9+1</f>
        <v>46230</v>
      </c>
      <c r="BV9" s="1">
        <f t="shared" ref="BV9" si="55">BT9+1</f>
        <v>46230</v>
      </c>
      <c r="BW9" s="1">
        <f t="shared" ref="BW9" si="56">BU9+1</f>
        <v>46231</v>
      </c>
      <c r="BX9" s="1">
        <f t="shared" ref="BX9" si="57">BV9+1</f>
        <v>46231</v>
      </c>
      <c r="BY9" s="1">
        <f t="shared" ref="BY9" si="58">BW9+1</f>
        <v>46232</v>
      </c>
      <c r="BZ9" s="1">
        <f t="shared" ref="BZ9" si="59">BX9+1</f>
        <v>46232</v>
      </c>
      <c r="CA9" s="1">
        <f t="shared" ref="CA9" si="60">BY9+1</f>
        <v>46233</v>
      </c>
      <c r="CB9" s="1">
        <f t="shared" ref="CB9" si="61">BZ9+1</f>
        <v>46233</v>
      </c>
      <c r="CC9" s="1">
        <f t="shared" ref="CC9" si="62">CA9+1</f>
        <v>46234</v>
      </c>
      <c r="CD9" s="1">
        <f t="shared" ref="CD9" si="63">CB9+1</f>
        <v>46234</v>
      </c>
      <c r="CE9" s="1">
        <f t="shared" ref="CE9" si="64">CC9+1</f>
        <v>46235</v>
      </c>
      <c r="CF9" s="1">
        <f t="shared" ref="CF9" si="65">CD9+1</f>
        <v>46235</v>
      </c>
      <c r="CG9" s="2">
        <f t="shared" ref="CG9" si="66">CE9+1</f>
        <v>46236</v>
      </c>
      <c r="CH9" s="2">
        <f t="shared" ref="CH9" si="67">CF9+1</f>
        <v>46236</v>
      </c>
      <c r="CI9" s="1">
        <f t="shared" ref="CI9" si="68">CG9+1</f>
        <v>46237</v>
      </c>
      <c r="CJ9" s="1">
        <f t="shared" ref="CJ9" si="69">CH9+1</f>
        <v>46237</v>
      </c>
      <c r="CK9" s="1">
        <f t="shared" ref="CK9" si="70">CI9+1</f>
        <v>46238</v>
      </c>
      <c r="CL9" s="1">
        <f t="shared" ref="CL9" si="71">CJ9+1</f>
        <v>46238</v>
      </c>
      <c r="CM9" s="1">
        <f t="shared" ref="CM9" si="72">CK9+1</f>
        <v>46239</v>
      </c>
      <c r="CN9" s="1">
        <f t="shared" ref="CN9" si="73">CL9+1</f>
        <v>46239</v>
      </c>
      <c r="CO9" s="1">
        <f t="shared" ref="CO9" si="74">CM9+1</f>
        <v>46240</v>
      </c>
      <c r="CP9" s="1">
        <f t="shared" ref="CP9" si="75">CN9+1</f>
        <v>46240</v>
      </c>
      <c r="CQ9" s="1">
        <f t="shared" ref="CQ9" si="76">CO9+1</f>
        <v>46241</v>
      </c>
      <c r="CR9" s="1">
        <f t="shared" ref="CR9" si="77">CP9+1</f>
        <v>46241</v>
      </c>
      <c r="CS9" s="1">
        <f t="shared" ref="CS9" si="78">CQ9+1</f>
        <v>46242</v>
      </c>
      <c r="CT9" s="1">
        <f t="shared" ref="CT9" si="79">CR9+1</f>
        <v>46242</v>
      </c>
      <c r="CU9" s="2">
        <f t="shared" ref="CU9" si="80">CS9+1</f>
        <v>46243</v>
      </c>
      <c r="CV9" s="2">
        <f t="shared" ref="CV9" si="81">CT9+1</f>
        <v>46243</v>
      </c>
      <c r="CW9" s="1">
        <f t="shared" ref="CW9" si="82">CU9+1</f>
        <v>46244</v>
      </c>
      <c r="CX9" s="1">
        <f t="shared" ref="CX9" si="83">CV9+1</f>
        <v>46244</v>
      </c>
      <c r="CY9" s="1">
        <f t="shared" ref="CY9" si="84">CW9+1</f>
        <v>46245</v>
      </c>
      <c r="CZ9" s="1">
        <f t="shared" ref="CZ9" si="85">CX9+1</f>
        <v>46245</v>
      </c>
      <c r="DA9" s="1">
        <f t="shared" ref="DA9" si="86">CY9+1</f>
        <v>46246</v>
      </c>
      <c r="DB9" s="1">
        <f t="shared" ref="DB9" si="87">CZ9+1</f>
        <v>46246</v>
      </c>
      <c r="DC9" s="1">
        <f t="shared" ref="DC9" si="88">DA9+1</f>
        <v>46247</v>
      </c>
      <c r="DD9" s="1">
        <f t="shared" ref="DD9" si="89">DB9+1</f>
        <v>46247</v>
      </c>
      <c r="DE9" s="1">
        <f t="shared" ref="DE9" si="90">DC9+1</f>
        <v>46248</v>
      </c>
      <c r="DF9" s="1">
        <f t="shared" ref="DF9" si="91">DD9+1</f>
        <v>46248</v>
      </c>
      <c r="DG9" s="1">
        <f t="shared" ref="DG9" si="92">DE9+1</f>
        <v>46249</v>
      </c>
      <c r="DH9" s="1">
        <f t="shared" ref="DH9" si="93">DF9+1</f>
        <v>46249</v>
      </c>
      <c r="DI9" s="2">
        <f t="shared" ref="DI9" si="94">DG9+1</f>
        <v>46250</v>
      </c>
      <c r="DJ9" s="2">
        <f t="shared" ref="DJ9" si="95">DH9+1</f>
        <v>46250</v>
      </c>
      <c r="DK9" s="1">
        <f t="shared" ref="DK9" si="96">DI9+1</f>
        <v>46251</v>
      </c>
      <c r="DL9" s="1">
        <f t="shared" ref="DL9" si="97">DJ9+1</f>
        <v>46251</v>
      </c>
      <c r="DM9" s="1">
        <f t="shared" ref="DM9" si="98">DK9+1</f>
        <v>46252</v>
      </c>
      <c r="DN9" s="1">
        <f t="shared" ref="DN9" si="99">DL9+1</f>
        <v>46252</v>
      </c>
      <c r="DO9" s="1">
        <f t="shared" ref="DO9" si="100">DM9+1</f>
        <v>46253</v>
      </c>
      <c r="DP9" s="1">
        <f t="shared" ref="DP9" si="101">DN9+1</f>
        <v>46253</v>
      </c>
      <c r="DQ9" s="1">
        <f t="shared" ref="DQ9" si="102">DO9+1</f>
        <v>46254</v>
      </c>
      <c r="DR9" s="1">
        <f t="shared" ref="DR9" si="103">DP9+1</f>
        <v>46254</v>
      </c>
      <c r="DS9" s="1">
        <f t="shared" ref="DS9" si="104">DQ9+1</f>
        <v>46255</v>
      </c>
      <c r="DT9" s="1">
        <f t="shared" ref="DT9" si="105">DR9+1</f>
        <v>46255</v>
      </c>
      <c r="DU9" s="1">
        <f t="shared" ref="DU9" si="106">DS9+1</f>
        <v>46256</v>
      </c>
      <c r="DV9" s="1">
        <f t="shared" ref="DV9" si="107">DT9+1</f>
        <v>46256</v>
      </c>
      <c r="DW9" s="2">
        <f t="shared" ref="DW9" si="108">DU9+1</f>
        <v>46257</v>
      </c>
      <c r="DX9" s="2">
        <f t="shared" ref="DX9" si="109">DV9+1</f>
        <v>46257</v>
      </c>
      <c r="DY9" s="1">
        <f t="shared" ref="DY9" si="110">DW9+1</f>
        <v>46258</v>
      </c>
      <c r="DZ9" s="1">
        <f t="shared" ref="DZ9" si="111">DX9+1</f>
        <v>46258</v>
      </c>
      <c r="EA9" s="1">
        <f t="shared" ref="EA9" si="112">DY9+1</f>
        <v>46259</v>
      </c>
      <c r="EB9" s="1">
        <f t="shared" ref="EB9" si="113">DZ9+1</f>
        <v>46259</v>
      </c>
      <c r="EC9" s="1">
        <f t="shared" ref="EC9" si="114">EA9+1</f>
        <v>46260</v>
      </c>
      <c r="ED9" s="1">
        <f t="shared" ref="ED9" si="115">EB9+1</f>
        <v>46260</v>
      </c>
      <c r="EE9" s="1">
        <f t="shared" ref="EE9" si="116">EC9+1</f>
        <v>46261</v>
      </c>
      <c r="EF9" s="1">
        <f t="shared" ref="EF9" si="117">ED9+1</f>
        <v>46261</v>
      </c>
      <c r="EG9" s="1">
        <f t="shared" ref="EG9" si="118">EE9+1</f>
        <v>46262</v>
      </c>
      <c r="EH9" s="1">
        <f t="shared" ref="EH9" si="119">EF9+1</f>
        <v>46262</v>
      </c>
      <c r="EI9" s="1">
        <f t="shared" ref="EI9" si="120">EG9+1</f>
        <v>46263</v>
      </c>
      <c r="EJ9" s="1">
        <f t="shared" ref="EJ9" si="121">EH9+1</f>
        <v>46263</v>
      </c>
      <c r="EK9" s="2">
        <f t="shared" ref="EK9" si="122">EI9+1</f>
        <v>46264</v>
      </c>
      <c r="EL9" s="2">
        <f t="shared" ref="EL9" si="123">EJ9+1</f>
        <v>46264</v>
      </c>
      <c r="EM9" s="2">
        <f t="shared" ref="EM9" si="124">EK9+1</f>
        <v>46265</v>
      </c>
      <c r="EN9" s="2">
        <f t="shared" ref="EN9" si="125">EL9+1</f>
        <v>46265</v>
      </c>
      <c r="EO9" s="2">
        <f t="shared" ref="EO9" si="126">EM9+1</f>
        <v>46266</v>
      </c>
      <c r="EP9" s="2">
        <f t="shared" ref="EP9" si="127">EN9+1</f>
        <v>46266</v>
      </c>
      <c r="EQ9" s="2">
        <f t="shared" ref="EQ9" si="128">EO9+1</f>
        <v>46267</v>
      </c>
      <c r="ER9" s="2">
        <f t="shared" ref="ER9" si="129">EP9+1</f>
        <v>46267</v>
      </c>
      <c r="ES9" s="1">
        <f t="shared" ref="ES9" si="130">EQ9+1</f>
        <v>46268</v>
      </c>
      <c r="ET9" s="1">
        <f t="shared" ref="ET9" si="131">ER9+1</f>
        <v>46268</v>
      </c>
      <c r="EU9" s="1">
        <f t="shared" ref="EU9" si="132">ES9+1</f>
        <v>46269</v>
      </c>
      <c r="EV9" s="1">
        <f t="shared" ref="EV9" si="133">ET9+1</f>
        <v>46269</v>
      </c>
      <c r="EW9" s="1">
        <f t="shared" ref="EW9" si="134">EU9+1</f>
        <v>46270</v>
      </c>
      <c r="EX9" s="1">
        <f t="shared" ref="EX9" si="135">EV9+1</f>
        <v>46270</v>
      </c>
      <c r="EY9" s="2">
        <f t="shared" ref="EY9" si="136">EW9+1</f>
        <v>46271</v>
      </c>
      <c r="EZ9" s="2">
        <f t="shared" ref="EZ9" si="137">EX9+1</f>
        <v>46271</v>
      </c>
      <c r="FA9" s="1">
        <f t="shared" ref="FA9" si="138">EY9+1</f>
        <v>46272</v>
      </c>
      <c r="FB9" s="1">
        <f t="shared" ref="FB9" si="139">EZ9+1</f>
        <v>46272</v>
      </c>
      <c r="FC9" s="1">
        <f t="shared" ref="FC9" si="140">FA9+1</f>
        <v>46273</v>
      </c>
      <c r="FD9" s="1">
        <f t="shared" ref="FD9" si="141">FB9+1</f>
        <v>46273</v>
      </c>
      <c r="FE9" s="1">
        <f t="shared" ref="FE9" si="142">FC9+1</f>
        <v>46274</v>
      </c>
      <c r="FF9" s="1">
        <f t="shared" ref="FF9" si="143">FD9+1</f>
        <v>46274</v>
      </c>
      <c r="FG9" s="1">
        <f t="shared" ref="FG9" si="144">FE9+1</f>
        <v>46275</v>
      </c>
      <c r="FH9" s="1">
        <f t="shared" ref="FH9" si="145">FF9+1</f>
        <v>46275</v>
      </c>
      <c r="FI9" s="1">
        <f t="shared" ref="FI9" si="146">FG9+1</f>
        <v>46276</v>
      </c>
      <c r="FJ9" s="1">
        <f t="shared" ref="FJ9" si="147">FH9+1</f>
        <v>46276</v>
      </c>
      <c r="FK9" s="1">
        <f t="shared" ref="FK9" si="148">FI9+1</f>
        <v>46277</v>
      </c>
      <c r="FL9" s="1">
        <f t="shared" ref="FL9" si="149">FJ9+1</f>
        <v>46277</v>
      </c>
      <c r="FM9" s="2">
        <f t="shared" ref="FM9" si="150">FK9+1</f>
        <v>46278</v>
      </c>
      <c r="FN9" s="2">
        <f t="shared" ref="FN9" si="151">FL9+1</f>
        <v>46278</v>
      </c>
      <c r="FO9" s="1">
        <f t="shared" ref="FO9" si="152">FM9+1</f>
        <v>46279</v>
      </c>
      <c r="FP9" s="1">
        <f t="shared" ref="FP9" si="153">FN9+1</f>
        <v>46279</v>
      </c>
      <c r="FQ9" s="1">
        <f t="shared" ref="FQ9" si="154">FO9+1</f>
        <v>46280</v>
      </c>
      <c r="FR9" s="1">
        <f t="shared" ref="FR9" si="155">FP9+1</f>
        <v>46280</v>
      </c>
      <c r="FS9" s="1">
        <f t="shared" ref="FS9" si="156">FQ9+1</f>
        <v>46281</v>
      </c>
      <c r="FT9" s="1">
        <f t="shared" ref="FT9" si="157">FR9+1</f>
        <v>46281</v>
      </c>
      <c r="FU9" s="1">
        <f t="shared" ref="FU9" si="158">FS9+1</f>
        <v>46282</v>
      </c>
      <c r="FV9" s="1">
        <f t="shared" ref="FV9" si="159">FT9+1</f>
        <v>46282</v>
      </c>
      <c r="FW9" s="1">
        <f t="shared" ref="FW9" si="160">FU9+1</f>
        <v>46283</v>
      </c>
      <c r="FX9" s="1">
        <f t="shared" ref="FX9" si="161">FV9+1</f>
        <v>46283</v>
      </c>
      <c r="FY9" s="1">
        <f t="shared" ref="FY9" si="162">FW9+1</f>
        <v>46284</v>
      </c>
      <c r="FZ9" s="1">
        <f t="shared" ref="FZ9" si="163">FX9+1</f>
        <v>46284</v>
      </c>
      <c r="GA9" s="2">
        <f t="shared" ref="GA9" si="164">FY9+1</f>
        <v>46285</v>
      </c>
      <c r="GB9" s="2">
        <f t="shared" ref="GB9" si="165">FZ9+1</f>
        <v>46285</v>
      </c>
      <c r="GC9" s="1">
        <f t="shared" ref="GC9" si="166">GA9+1</f>
        <v>46286</v>
      </c>
      <c r="GD9" s="1">
        <f t="shared" ref="GD9" si="167">GB9+1</f>
        <v>46286</v>
      </c>
      <c r="GE9" s="1">
        <f t="shared" ref="GE9" si="168">GC9+1</f>
        <v>46287</v>
      </c>
      <c r="GF9" s="1">
        <f t="shared" ref="GF9" si="169">GD9+1</f>
        <v>46287</v>
      </c>
      <c r="GG9" s="1">
        <f t="shared" ref="GG9" si="170">GE9+1</f>
        <v>46288</v>
      </c>
      <c r="GH9" s="1">
        <f t="shared" ref="GH9" si="171">GF9+1</f>
        <v>46288</v>
      </c>
      <c r="GI9" s="1">
        <f t="shared" ref="GI9" si="172">GG9+1</f>
        <v>46289</v>
      </c>
      <c r="GJ9" s="1">
        <f t="shared" ref="GJ9" si="173">GH9+1</f>
        <v>46289</v>
      </c>
      <c r="GK9" s="1">
        <f t="shared" ref="GK9" si="174">GI9+1</f>
        <v>46290</v>
      </c>
      <c r="GL9" s="1">
        <f t="shared" ref="GL9" si="175">GJ9+1</f>
        <v>46290</v>
      </c>
      <c r="GM9" s="1">
        <f t="shared" ref="GM9" si="176">GK9+1</f>
        <v>46291</v>
      </c>
      <c r="GN9" s="1">
        <f t="shared" ref="GN9" si="177">GL9+1</f>
        <v>46291</v>
      </c>
    </row>
    <row r="10" spans="1:196" ht="16" customHeight="1">
      <c r="A10" s="207"/>
      <c r="B10" s="206"/>
      <c r="C10" s="206"/>
      <c r="D10" s="217"/>
      <c r="E10" s="206"/>
      <c r="F10" s="209"/>
      <c r="G10" s="211"/>
      <c r="H10" s="213"/>
      <c r="I10" s="204"/>
      <c r="J10" s="215"/>
      <c r="K10" s="202"/>
      <c r="L10" s="14"/>
      <c r="M10" s="2" t="s">
        <v>5</v>
      </c>
      <c r="N10" s="2" t="s">
        <v>6</v>
      </c>
      <c r="O10" s="2" t="s">
        <v>5</v>
      </c>
      <c r="P10" s="2" t="s">
        <v>6</v>
      </c>
      <c r="Q10" s="2" t="s">
        <v>5</v>
      </c>
      <c r="R10" s="2" t="s">
        <v>6</v>
      </c>
      <c r="S10" s="4" t="s">
        <v>5</v>
      </c>
      <c r="T10" s="4" t="s">
        <v>6</v>
      </c>
      <c r="U10" s="4" t="s">
        <v>5</v>
      </c>
      <c r="V10" s="4" t="s">
        <v>6</v>
      </c>
      <c r="W10" s="4" t="s">
        <v>5</v>
      </c>
      <c r="X10" s="4" t="s">
        <v>6</v>
      </c>
      <c r="Y10" s="4" t="s">
        <v>5</v>
      </c>
      <c r="Z10" s="4" t="s">
        <v>6</v>
      </c>
      <c r="AA10" s="4" t="s">
        <v>5</v>
      </c>
      <c r="AB10" s="4" t="s">
        <v>6</v>
      </c>
      <c r="AC10" s="2" t="s">
        <v>5</v>
      </c>
      <c r="AD10" s="2" t="s">
        <v>6</v>
      </c>
      <c r="AE10" s="4" t="s">
        <v>5</v>
      </c>
      <c r="AF10" s="4" t="s">
        <v>6</v>
      </c>
      <c r="AG10" s="4" t="s">
        <v>5</v>
      </c>
      <c r="AH10" s="4" t="s">
        <v>6</v>
      </c>
      <c r="AI10" s="4" t="s">
        <v>5</v>
      </c>
      <c r="AJ10" s="4" t="s">
        <v>6</v>
      </c>
      <c r="AK10" s="4" t="s">
        <v>5</v>
      </c>
      <c r="AL10" s="4" t="s">
        <v>6</v>
      </c>
      <c r="AM10" s="4" t="s">
        <v>5</v>
      </c>
      <c r="AN10" s="4" t="s">
        <v>6</v>
      </c>
      <c r="AO10" s="4" t="s">
        <v>5</v>
      </c>
      <c r="AP10" s="4" t="s">
        <v>6</v>
      </c>
      <c r="AQ10" s="2" t="s">
        <v>5</v>
      </c>
      <c r="AR10" s="2" t="s">
        <v>6</v>
      </c>
      <c r="AS10" s="4" t="s">
        <v>5</v>
      </c>
      <c r="AT10" s="4" t="s">
        <v>6</v>
      </c>
      <c r="AU10" s="4" t="s">
        <v>5</v>
      </c>
      <c r="AV10" s="4" t="s">
        <v>6</v>
      </c>
      <c r="AW10" s="4" t="s">
        <v>5</v>
      </c>
      <c r="AX10" s="4" t="s">
        <v>6</v>
      </c>
      <c r="AY10" s="4" t="s">
        <v>5</v>
      </c>
      <c r="AZ10" s="4" t="s">
        <v>6</v>
      </c>
      <c r="BA10" s="4" t="s">
        <v>5</v>
      </c>
      <c r="BB10" s="4" t="s">
        <v>6</v>
      </c>
      <c r="BC10" s="4" t="s">
        <v>5</v>
      </c>
      <c r="BD10" s="4" t="s">
        <v>6</v>
      </c>
      <c r="BE10" s="2" t="s">
        <v>5</v>
      </c>
      <c r="BF10" s="2" t="s">
        <v>6</v>
      </c>
      <c r="BG10" s="4" t="s">
        <v>5</v>
      </c>
      <c r="BH10" s="4" t="s">
        <v>6</v>
      </c>
      <c r="BI10" s="4" t="s">
        <v>5</v>
      </c>
      <c r="BJ10" s="4" t="s">
        <v>6</v>
      </c>
      <c r="BK10" s="4" t="s">
        <v>5</v>
      </c>
      <c r="BL10" s="4" t="s">
        <v>6</v>
      </c>
      <c r="BM10" s="4" t="s">
        <v>5</v>
      </c>
      <c r="BN10" s="4" t="s">
        <v>6</v>
      </c>
      <c r="BO10" s="4" t="s">
        <v>5</v>
      </c>
      <c r="BP10" s="4" t="s">
        <v>6</v>
      </c>
      <c r="BQ10" s="4" t="s">
        <v>5</v>
      </c>
      <c r="BR10" s="4" t="s">
        <v>6</v>
      </c>
      <c r="BS10" s="2" t="s">
        <v>5</v>
      </c>
      <c r="BT10" s="2" t="s">
        <v>6</v>
      </c>
      <c r="BU10" s="4" t="s">
        <v>5</v>
      </c>
      <c r="BV10" s="4" t="s">
        <v>6</v>
      </c>
      <c r="BW10" s="4" t="s">
        <v>5</v>
      </c>
      <c r="BX10" s="4" t="s">
        <v>6</v>
      </c>
      <c r="BY10" s="4" t="s">
        <v>5</v>
      </c>
      <c r="BZ10" s="4" t="s">
        <v>6</v>
      </c>
      <c r="CA10" s="4" t="s">
        <v>5</v>
      </c>
      <c r="CB10" s="4" t="s">
        <v>6</v>
      </c>
      <c r="CC10" s="4" t="s">
        <v>5</v>
      </c>
      <c r="CD10" s="4" t="s">
        <v>6</v>
      </c>
      <c r="CE10" s="4" t="s">
        <v>5</v>
      </c>
      <c r="CF10" s="4" t="s">
        <v>6</v>
      </c>
      <c r="CG10" s="2" t="s">
        <v>5</v>
      </c>
      <c r="CH10" s="2" t="s">
        <v>6</v>
      </c>
      <c r="CI10" s="4" t="s">
        <v>5</v>
      </c>
      <c r="CJ10" s="4" t="s">
        <v>6</v>
      </c>
      <c r="CK10" s="4" t="s">
        <v>5</v>
      </c>
      <c r="CL10" s="4" t="s">
        <v>6</v>
      </c>
      <c r="CM10" s="4" t="s">
        <v>5</v>
      </c>
      <c r="CN10" s="4" t="s">
        <v>6</v>
      </c>
      <c r="CO10" s="4" t="s">
        <v>5</v>
      </c>
      <c r="CP10" s="4" t="s">
        <v>6</v>
      </c>
      <c r="CQ10" s="4" t="s">
        <v>5</v>
      </c>
      <c r="CR10" s="4" t="s">
        <v>6</v>
      </c>
      <c r="CS10" s="4" t="s">
        <v>5</v>
      </c>
      <c r="CT10" s="4" t="s">
        <v>6</v>
      </c>
      <c r="CU10" s="2" t="s">
        <v>5</v>
      </c>
      <c r="CV10" s="2" t="s">
        <v>6</v>
      </c>
      <c r="CW10" s="4" t="s">
        <v>5</v>
      </c>
      <c r="CX10" s="4" t="s">
        <v>6</v>
      </c>
      <c r="CY10" s="4" t="s">
        <v>5</v>
      </c>
      <c r="CZ10" s="4" t="s">
        <v>6</v>
      </c>
      <c r="DA10" s="4" t="s">
        <v>5</v>
      </c>
      <c r="DB10" s="4" t="s">
        <v>6</v>
      </c>
      <c r="DC10" s="4" t="s">
        <v>5</v>
      </c>
      <c r="DD10" s="4" t="s">
        <v>6</v>
      </c>
      <c r="DE10" s="4" t="s">
        <v>5</v>
      </c>
      <c r="DF10" s="4" t="s">
        <v>6</v>
      </c>
      <c r="DG10" s="4" t="s">
        <v>5</v>
      </c>
      <c r="DH10" s="4" t="s">
        <v>6</v>
      </c>
      <c r="DI10" s="2" t="s">
        <v>5</v>
      </c>
      <c r="DJ10" s="2" t="s">
        <v>6</v>
      </c>
      <c r="DK10" s="4" t="s">
        <v>5</v>
      </c>
      <c r="DL10" s="4" t="s">
        <v>6</v>
      </c>
      <c r="DM10" s="4" t="s">
        <v>5</v>
      </c>
      <c r="DN10" s="4" t="s">
        <v>6</v>
      </c>
      <c r="DO10" s="4" t="s">
        <v>5</v>
      </c>
      <c r="DP10" s="4" t="s">
        <v>6</v>
      </c>
      <c r="DQ10" s="4" t="s">
        <v>5</v>
      </c>
      <c r="DR10" s="4" t="s">
        <v>6</v>
      </c>
      <c r="DS10" s="4" t="s">
        <v>5</v>
      </c>
      <c r="DT10" s="4" t="s">
        <v>6</v>
      </c>
      <c r="DU10" s="4" t="s">
        <v>5</v>
      </c>
      <c r="DV10" s="4" t="s">
        <v>6</v>
      </c>
      <c r="DW10" s="2" t="s">
        <v>5</v>
      </c>
      <c r="DX10" s="2" t="s">
        <v>6</v>
      </c>
      <c r="DY10" s="4" t="s">
        <v>5</v>
      </c>
      <c r="DZ10" s="4" t="s">
        <v>6</v>
      </c>
      <c r="EA10" s="4" t="s">
        <v>5</v>
      </c>
      <c r="EB10" s="4" t="s">
        <v>6</v>
      </c>
      <c r="EC10" s="4" t="s">
        <v>5</v>
      </c>
      <c r="ED10" s="4" t="s">
        <v>6</v>
      </c>
      <c r="EE10" s="4" t="s">
        <v>5</v>
      </c>
      <c r="EF10" s="4" t="s">
        <v>6</v>
      </c>
      <c r="EG10" s="4" t="s">
        <v>5</v>
      </c>
      <c r="EH10" s="4" t="s">
        <v>6</v>
      </c>
      <c r="EI10" s="4" t="s">
        <v>5</v>
      </c>
      <c r="EJ10" s="4" t="s">
        <v>6</v>
      </c>
      <c r="EK10" s="2" t="s">
        <v>5</v>
      </c>
      <c r="EL10" s="2" t="s">
        <v>6</v>
      </c>
      <c r="EM10" s="2" t="s">
        <v>5</v>
      </c>
      <c r="EN10" s="2" t="s">
        <v>6</v>
      </c>
      <c r="EO10" s="2" t="s">
        <v>5</v>
      </c>
      <c r="EP10" s="2" t="s">
        <v>6</v>
      </c>
      <c r="EQ10" s="2" t="s">
        <v>5</v>
      </c>
      <c r="ER10" s="2" t="s">
        <v>6</v>
      </c>
      <c r="ES10" s="4" t="s">
        <v>5</v>
      </c>
      <c r="ET10" s="4" t="s">
        <v>6</v>
      </c>
      <c r="EU10" s="4" t="s">
        <v>5</v>
      </c>
      <c r="EV10" s="4" t="s">
        <v>6</v>
      </c>
      <c r="EW10" s="4" t="s">
        <v>5</v>
      </c>
      <c r="EX10" s="4" t="s">
        <v>6</v>
      </c>
      <c r="EY10" s="2" t="s">
        <v>5</v>
      </c>
      <c r="EZ10" s="2" t="s">
        <v>6</v>
      </c>
      <c r="FA10" s="4" t="s">
        <v>5</v>
      </c>
      <c r="FB10" s="4" t="s">
        <v>6</v>
      </c>
      <c r="FC10" s="4" t="s">
        <v>5</v>
      </c>
      <c r="FD10" s="4" t="s">
        <v>6</v>
      </c>
      <c r="FE10" s="4" t="s">
        <v>5</v>
      </c>
      <c r="FF10" s="4" t="s">
        <v>6</v>
      </c>
      <c r="FG10" s="4" t="s">
        <v>5</v>
      </c>
      <c r="FH10" s="4" t="s">
        <v>6</v>
      </c>
      <c r="FI10" s="4" t="s">
        <v>5</v>
      </c>
      <c r="FJ10" s="4" t="s">
        <v>6</v>
      </c>
      <c r="FK10" s="4" t="s">
        <v>5</v>
      </c>
      <c r="FL10" s="4" t="s">
        <v>6</v>
      </c>
      <c r="FM10" s="2" t="s">
        <v>5</v>
      </c>
      <c r="FN10" s="2" t="s">
        <v>6</v>
      </c>
      <c r="FO10" s="4" t="s">
        <v>5</v>
      </c>
      <c r="FP10" s="4" t="s">
        <v>6</v>
      </c>
      <c r="FQ10" s="4" t="s">
        <v>5</v>
      </c>
      <c r="FR10" s="4" t="s">
        <v>6</v>
      </c>
      <c r="FS10" s="4" t="s">
        <v>5</v>
      </c>
      <c r="FT10" s="4" t="s">
        <v>6</v>
      </c>
      <c r="FU10" s="4" t="s">
        <v>5</v>
      </c>
      <c r="FV10" s="4" t="s">
        <v>6</v>
      </c>
      <c r="FW10" s="4" t="s">
        <v>5</v>
      </c>
      <c r="FX10" s="4" t="s">
        <v>6</v>
      </c>
      <c r="FY10" s="4" t="s">
        <v>5</v>
      </c>
      <c r="FZ10" s="4" t="s">
        <v>6</v>
      </c>
      <c r="GA10" s="2" t="s">
        <v>5</v>
      </c>
      <c r="GB10" s="2" t="s">
        <v>6</v>
      </c>
      <c r="GC10" s="4" t="s">
        <v>5</v>
      </c>
      <c r="GD10" s="4" t="s">
        <v>6</v>
      </c>
      <c r="GE10" s="4" t="s">
        <v>5</v>
      </c>
      <c r="GF10" s="4" t="s">
        <v>6</v>
      </c>
      <c r="GG10" s="4" t="s">
        <v>5</v>
      </c>
      <c r="GH10" s="4" t="s">
        <v>6</v>
      </c>
      <c r="GI10" s="4" t="s">
        <v>5</v>
      </c>
      <c r="GJ10" s="4" t="s">
        <v>6</v>
      </c>
      <c r="GK10" s="4" t="s">
        <v>5</v>
      </c>
      <c r="GL10" s="4" t="s">
        <v>6</v>
      </c>
      <c r="GM10" s="4" t="s">
        <v>5</v>
      </c>
      <c r="GN10" s="4" t="s">
        <v>6</v>
      </c>
    </row>
    <row r="11" spans="1:196" hidden="1">
      <c r="A11" s="122"/>
      <c r="B11" s="126" t="s">
        <v>689</v>
      </c>
      <c r="C11" s="126" t="s">
        <v>27</v>
      </c>
      <c r="D11" s="119"/>
      <c r="E11" s="119" t="e">
        <f>VLOOKUP(C11,#REF!,5,0)</f>
        <v>#REF!</v>
      </c>
      <c r="F11" s="107">
        <v>46203</v>
      </c>
      <c r="G11" s="127">
        <v>600</v>
      </c>
      <c r="H11" s="6"/>
      <c r="I11" s="125">
        <v>46207</v>
      </c>
      <c r="J11" s="13">
        <f>G11-SUM(L11:FL11)</f>
        <v>0</v>
      </c>
      <c r="K11" s="171"/>
      <c r="L11" s="135"/>
      <c r="M11" s="136"/>
      <c r="N11" s="136"/>
      <c r="O11" s="136"/>
      <c r="P11" s="136"/>
      <c r="Q11" s="136"/>
      <c r="R11" s="136"/>
      <c r="S11" s="135"/>
      <c r="T11" s="161"/>
      <c r="U11" s="161">
        <v>9</v>
      </c>
      <c r="V11" s="161"/>
      <c r="W11" s="135">
        <v>591</v>
      </c>
      <c r="X11" s="135"/>
      <c r="Y11" s="135"/>
      <c r="Z11" s="135"/>
      <c r="AA11" s="135"/>
      <c r="AB11" s="135"/>
      <c r="AC11" s="136"/>
      <c r="AD11" s="136"/>
      <c r="AE11" s="161"/>
      <c r="AF11" s="161"/>
      <c r="AG11" s="161"/>
      <c r="AH11" s="161"/>
      <c r="AI11" s="161"/>
      <c r="AJ11" s="161"/>
      <c r="AK11" s="135"/>
      <c r="AL11" s="135"/>
      <c r="AM11" s="135"/>
      <c r="AN11" s="135"/>
      <c r="AO11" s="135"/>
      <c r="AP11" s="135"/>
      <c r="AQ11" s="136"/>
      <c r="AR11" s="136"/>
      <c r="AS11" s="161"/>
      <c r="AT11" s="161"/>
      <c r="AU11" s="161"/>
      <c r="AV11" s="161"/>
      <c r="AW11" s="161"/>
      <c r="AX11" s="161"/>
      <c r="AY11" s="135"/>
      <c r="AZ11" s="135"/>
      <c r="BA11" s="135"/>
      <c r="BB11" s="135"/>
      <c r="BC11" s="135"/>
      <c r="BD11" s="135"/>
      <c r="BE11" s="136"/>
      <c r="BF11" s="136"/>
      <c r="BG11" s="161"/>
      <c r="BH11" s="161"/>
      <c r="BI11" s="161"/>
      <c r="BJ11" s="161"/>
      <c r="BK11" s="161"/>
      <c r="BL11" s="161"/>
      <c r="BM11" s="135"/>
      <c r="BN11" s="135"/>
      <c r="BO11" s="135"/>
      <c r="BP11" s="135"/>
      <c r="BQ11" s="135"/>
      <c r="BR11" s="135"/>
      <c r="BS11" s="136"/>
      <c r="BT11" s="136"/>
      <c r="BU11" s="161"/>
      <c r="BV11" s="161"/>
      <c r="BW11" s="161"/>
      <c r="BX11" s="161"/>
      <c r="BY11" s="161"/>
      <c r="BZ11" s="161"/>
      <c r="CA11" s="135"/>
      <c r="CB11" s="135"/>
      <c r="CC11" s="135"/>
      <c r="CD11" s="135"/>
      <c r="CE11" s="135"/>
      <c r="CF11" s="135"/>
      <c r="CG11" s="136"/>
      <c r="CH11" s="136"/>
      <c r="CI11" s="161"/>
      <c r="CJ11" s="161"/>
      <c r="CK11" s="161"/>
      <c r="CL11" s="161"/>
      <c r="CM11" s="161"/>
      <c r="CN11" s="161"/>
      <c r="CO11" s="135"/>
      <c r="CP11" s="135"/>
      <c r="CQ11" s="135"/>
      <c r="CR11" s="135"/>
      <c r="CS11" s="135"/>
      <c r="CT11" s="135"/>
      <c r="CU11" s="136"/>
      <c r="CV11" s="136"/>
      <c r="CW11" s="161"/>
      <c r="CX11" s="161"/>
      <c r="CY11" s="161"/>
      <c r="CZ11" s="161"/>
      <c r="DA11" s="161"/>
      <c r="DB11" s="161"/>
      <c r="DC11" s="135"/>
      <c r="DD11" s="135"/>
      <c r="DE11" s="135"/>
      <c r="DF11" s="135"/>
      <c r="DG11" s="135"/>
      <c r="DH11" s="135"/>
      <c r="DI11" s="136"/>
      <c r="DJ11" s="136"/>
      <c r="DK11" s="161"/>
      <c r="DL11" s="161"/>
      <c r="DM11" s="161"/>
      <c r="DN11" s="161"/>
      <c r="DO11" s="161"/>
      <c r="DP11" s="161"/>
      <c r="DQ11" s="135"/>
      <c r="DR11" s="135"/>
      <c r="DS11" s="135"/>
      <c r="DT11" s="135"/>
      <c r="DU11" s="135"/>
      <c r="DV11" s="135"/>
      <c r="DW11" s="136"/>
      <c r="DX11" s="136"/>
      <c r="DY11" s="161"/>
      <c r="DZ11" s="161"/>
      <c r="EA11" s="161"/>
      <c r="EB11" s="161"/>
      <c r="EC11" s="161"/>
      <c r="ED11" s="161"/>
      <c r="EE11" s="135"/>
      <c r="EF11" s="135"/>
      <c r="EG11" s="135"/>
      <c r="EH11" s="135"/>
      <c r="EI11" s="135"/>
      <c r="EJ11" s="135"/>
      <c r="EK11" s="136"/>
      <c r="EL11" s="136"/>
      <c r="EM11" s="136"/>
      <c r="EN11" s="136"/>
      <c r="EO11" s="136"/>
      <c r="EP11" s="136"/>
      <c r="EQ11" s="136"/>
      <c r="ER11" s="136"/>
      <c r="ES11" s="135"/>
      <c r="ET11" s="135"/>
      <c r="EU11" s="135"/>
      <c r="EV11" s="135"/>
      <c r="EW11" s="135"/>
      <c r="EX11" s="135"/>
      <c r="EY11" s="136"/>
      <c r="EZ11" s="136"/>
      <c r="FA11" s="161"/>
      <c r="FB11" s="161"/>
      <c r="FC11" s="161"/>
      <c r="FD11" s="161"/>
      <c r="FE11" s="161"/>
      <c r="FF11" s="161"/>
      <c r="FG11" s="135"/>
      <c r="FH11" s="135"/>
      <c r="FI11" s="135"/>
      <c r="FJ11" s="135"/>
      <c r="FK11" s="135"/>
      <c r="FL11" s="135"/>
      <c r="FM11" s="136"/>
      <c r="FN11" s="136"/>
      <c r="FO11" s="161"/>
      <c r="FP11" s="161"/>
      <c r="FQ11" s="161"/>
      <c r="FR11" s="161"/>
      <c r="FS11" s="161"/>
      <c r="FT11" s="161"/>
      <c r="FU11" s="135"/>
      <c r="FV11" s="135"/>
      <c r="FW11" s="135"/>
      <c r="FX11" s="135"/>
      <c r="FY11" s="135"/>
      <c r="FZ11" s="135"/>
      <c r="GA11" s="136"/>
      <c r="GB11" s="136"/>
      <c r="GC11" s="161"/>
      <c r="GD11" s="161"/>
      <c r="GE11" s="161"/>
      <c r="GF11" s="161"/>
      <c r="GG11" s="161"/>
      <c r="GH11" s="161"/>
      <c r="GI11" s="135"/>
      <c r="GJ11" s="135"/>
      <c r="GK11" s="135"/>
      <c r="GL11" s="135"/>
      <c r="GM11" s="135"/>
      <c r="GN11" s="135"/>
    </row>
    <row r="12" spans="1:196" hidden="1">
      <c r="A12" s="122"/>
      <c r="B12" s="126" t="s">
        <v>741</v>
      </c>
      <c r="C12" s="126" t="s">
        <v>260</v>
      </c>
      <c r="D12" s="119"/>
      <c r="E12" s="119" t="e">
        <f>VLOOKUP(C12,#REF!,5,0)</f>
        <v>#REF!</v>
      </c>
      <c r="F12" s="107">
        <v>46204</v>
      </c>
      <c r="G12" s="127">
        <v>443</v>
      </c>
      <c r="H12" s="107"/>
      <c r="I12" s="125">
        <v>46207</v>
      </c>
      <c r="J12" s="13">
        <f t="shared" ref="J12:J31" si="178">G12-SUM(L12:FL12)</f>
        <v>0</v>
      </c>
      <c r="K12" s="171"/>
      <c r="L12" s="135"/>
      <c r="M12" s="136"/>
      <c r="N12" s="136"/>
      <c r="O12" s="136"/>
      <c r="P12" s="136"/>
      <c r="Q12" s="136"/>
      <c r="R12" s="136"/>
      <c r="S12" s="135"/>
      <c r="T12" s="161"/>
      <c r="U12" s="161"/>
      <c r="V12" s="161"/>
      <c r="W12" s="135">
        <v>47</v>
      </c>
      <c r="X12" s="135"/>
      <c r="Y12" s="135">
        <v>396</v>
      </c>
      <c r="Z12" s="135"/>
      <c r="AA12" s="135"/>
      <c r="AB12" s="135"/>
      <c r="AC12" s="136"/>
      <c r="AD12" s="136"/>
      <c r="AE12" s="161"/>
      <c r="AF12" s="161"/>
      <c r="AG12" s="161"/>
      <c r="AH12" s="161"/>
      <c r="AI12" s="161"/>
      <c r="AJ12" s="161"/>
      <c r="AK12" s="135"/>
      <c r="AL12" s="135"/>
      <c r="AM12" s="135"/>
      <c r="AN12" s="135"/>
      <c r="AO12" s="135"/>
      <c r="AP12" s="135"/>
      <c r="AQ12" s="136"/>
      <c r="AR12" s="136"/>
      <c r="AS12" s="161"/>
      <c r="AT12" s="161"/>
      <c r="AU12" s="161"/>
      <c r="AV12" s="161"/>
      <c r="AW12" s="161"/>
      <c r="AX12" s="161"/>
      <c r="AY12" s="135"/>
      <c r="AZ12" s="135"/>
      <c r="BA12" s="135"/>
      <c r="BB12" s="135"/>
      <c r="BC12" s="135"/>
      <c r="BD12" s="135"/>
      <c r="BE12" s="136"/>
      <c r="BF12" s="136"/>
      <c r="BG12" s="161"/>
      <c r="BH12" s="161"/>
      <c r="BI12" s="161"/>
      <c r="BJ12" s="161"/>
      <c r="BK12" s="161"/>
      <c r="BL12" s="161"/>
      <c r="BM12" s="135"/>
      <c r="BN12" s="135"/>
      <c r="BO12" s="135"/>
      <c r="BP12" s="135"/>
      <c r="BQ12" s="135"/>
      <c r="BR12" s="135"/>
      <c r="BS12" s="136"/>
      <c r="BT12" s="136"/>
      <c r="BU12" s="161"/>
      <c r="BV12" s="161"/>
      <c r="BW12" s="161"/>
      <c r="BX12" s="161"/>
      <c r="BY12" s="161"/>
      <c r="BZ12" s="161"/>
      <c r="CA12" s="135"/>
      <c r="CB12" s="135"/>
      <c r="CC12" s="135"/>
      <c r="CD12" s="135"/>
      <c r="CE12" s="135"/>
      <c r="CF12" s="135"/>
      <c r="CG12" s="136"/>
      <c r="CH12" s="136"/>
      <c r="CI12" s="161"/>
      <c r="CJ12" s="161"/>
      <c r="CK12" s="161"/>
      <c r="CL12" s="161"/>
      <c r="CM12" s="161"/>
      <c r="CN12" s="161"/>
      <c r="CO12" s="135"/>
      <c r="CP12" s="135"/>
      <c r="CQ12" s="135"/>
      <c r="CR12" s="135"/>
      <c r="CS12" s="135"/>
      <c r="CT12" s="135"/>
      <c r="CU12" s="136"/>
      <c r="CV12" s="136"/>
      <c r="CW12" s="161"/>
      <c r="CX12" s="161"/>
      <c r="CY12" s="161"/>
      <c r="CZ12" s="161"/>
      <c r="DA12" s="161"/>
      <c r="DB12" s="161"/>
      <c r="DC12" s="135"/>
      <c r="DD12" s="135"/>
      <c r="DE12" s="135"/>
      <c r="DF12" s="135"/>
      <c r="DG12" s="135"/>
      <c r="DH12" s="135"/>
      <c r="DI12" s="136"/>
      <c r="DJ12" s="136"/>
      <c r="DK12" s="161"/>
      <c r="DL12" s="161"/>
      <c r="DM12" s="161"/>
      <c r="DN12" s="161"/>
      <c r="DO12" s="161"/>
      <c r="DP12" s="161"/>
      <c r="DQ12" s="135"/>
      <c r="DR12" s="135"/>
      <c r="DS12" s="135"/>
      <c r="DT12" s="135"/>
      <c r="DU12" s="135"/>
      <c r="DV12" s="135"/>
      <c r="DW12" s="136"/>
      <c r="DX12" s="136"/>
      <c r="DY12" s="161"/>
      <c r="DZ12" s="161"/>
      <c r="EA12" s="161"/>
      <c r="EB12" s="161"/>
      <c r="EC12" s="161"/>
      <c r="ED12" s="161"/>
      <c r="EE12" s="135"/>
      <c r="EF12" s="135"/>
      <c r="EG12" s="135"/>
      <c r="EH12" s="135"/>
      <c r="EI12" s="135"/>
      <c r="EJ12" s="135"/>
      <c r="EK12" s="136"/>
      <c r="EL12" s="136"/>
      <c r="EM12" s="136"/>
      <c r="EN12" s="136"/>
      <c r="EO12" s="136"/>
      <c r="EP12" s="136"/>
      <c r="EQ12" s="136"/>
      <c r="ER12" s="136"/>
      <c r="ES12" s="135"/>
      <c r="ET12" s="135"/>
      <c r="EU12" s="135"/>
      <c r="EV12" s="135"/>
      <c r="EW12" s="135"/>
      <c r="EX12" s="135"/>
      <c r="EY12" s="136"/>
      <c r="EZ12" s="136"/>
      <c r="FA12" s="161"/>
      <c r="FB12" s="161"/>
      <c r="FC12" s="161"/>
      <c r="FD12" s="161"/>
      <c r="FE12" s="161"/>
      <c r="FF12" s="161"/>
      <c r="FG12" s="135"/>
      <c r="FH12" s="135"/>
      <c r="FI12" s="135"/>
      <c r="FJ12" s="135"/>
      <c r="FK12" s="135"/>
      <c r="FL12" s="135"/>
      <c r="FM12" s="136"/>
      <c r="FN12" s="136"/>
      <c r="FO12" s="161"/>
      <c r="FP12" s="161"/>
      <c r="FQ12" s="161"/>
      <c r="FR12" s="161"/>
      <c r="FS12" s="161"/>
      <c r="FT12" s="161"/>
      <c r="FU12" s="135"/>
      <c r="FV12" s="135"/>
      <c r="FW12" s="135"/>
      <c r="FX12" s="135"/>
      <c r="FY12" s="135"/>
      <c r="FZ12" s="135"/>
      <c r="GA12" s="136"/>
      <c r="GB12" s="136"/>
      <c r="GC12" s="161"/>
      <c r="GD12" s="161"/>
      <c r="GE12" s="161"/>
      <c r="GF12" s="161"/>
      <c r="GG12" s="161"/>
      <c r="GH12" s="161"/>
      <c r="GI12" s="135"/>
      <c r="GJ12" s="135"/>
      <c r="GK12" s="135"/>
      <c r="GL12" s="135"/>
      <c r="GM12" s="135"/>
      <c r="GN12" s="135"/>
    </row>
    <row r="13" spans="1:196" hidden="1">
      <c r="A13" s="122"/>
      <c r="B13" s="126" t="s">
        <v>740</v>
      </c>
      <c r="C13" s="126" t="s">
        <v>17</v>
      </c>
      <c r="D13" s="119"/>
      <c r="E13" s="119" t="e">
        <f>VLOOKUP(C13,#REF!,5,0)</f>
        <v>#REF!</v>
      </c>
      <c r="F13" s="107">
        <v>46204</v>
      </c>
      <c r="G13" s="127">
        <v>450</v>
      </c>
      <c r="H13" s="107"/>
      <c r="I13" s="125">
        <v>46207</v>
      </c>
      <c r="J13" s="13">
        <f t="shared" si="178"/>
        <v>0</v>
      </c>
      <c r="K13" s="171"/>
      <c r="L13" s="135"/>
      <c r="M13" s="136"/>
      <c r="N13" s="136"/>
      <c r="O13" s="136"/>
      <c r="P13" s="136"/>
      <c r="Q13" s="136"/>
      <c r="R13" s="136"/>
      <c r="S13" s="135"/>
      <c r="T13" s="161"/>
      <c r="U13" s="161"/>
      <c r="V13" s="161"/>
      <c r="W13" s="135"/>
      <c r="X13" s="135"/>
      <c r="Y13" s="135">
        <v>450</v>
      </c>
      <c r="Z13" s="135"/>
      <c r="AA13" s="135"/>
      <c r="AB13" s="135"/>
      <c r="AC13" s="136"/>
      <c r="AD13" s="136"/>
      <c r="AE13" s="161"/>
      <c r="AF13" s="161"/>
      <c r="AG13" s="161"/>
      <c r="AH13" s="161"/>
      <c r="AI13" s="161"/>
      <c r="AJ13" s="161"/>
      <c r="AK13" s="135"/>
      <c r="AL13" s="135"/>
      <c r="AM13" s="135"/>
      <c r="AN13" s="135"/>
      <c r="AO13" s="135"/>
      <c r="AP13" s="135"/>
      <c r="AQ13" s="136"/>
      <c r="AR13" s="136"/>
      <c r="AS13" s="161"/>
      <c r="AT13" s="161"/>
      <c r="AU13" s="161"/>
      <c r="AV13" s="161"/>
      <c r="AW13" s="161"/>
      <c r="AX13" s="161"/>
      <c r="AY13" s="135"/>
      <c r="AZ13" s="135"/>
      <c r="BA13" s="135"/>
      <c r="BB13" s="135"/>
      <c r="BC13" s="135"/>
      <c r="BD13" s="135"/>
      <c r="BE13" s="136"/>
      <c r="BF13" s="136"/>
      <c r="BG13" s="161"/>
      <c r="BH13" s="161"/>
      <c r="BI13" s="161"/>
      <c r="BJ13" s="161"/>
      <c r="BK13" s="161"/>
      <c r="BL13" s="161"/>
      <c r="BM13" s="135"/>
      <c r="BN13" s="135"/>
      <c r="BO13" s="135"/>
      <c r="BP13" s="135"/>
      <c r="BQ13" s="135"/>
      <c r="BR13" s="135"/>
      <c r="BS13" s="136"/>
      <c r="BT13" s="136"/>
      <c r="BU13" s="161"/>
      <c r="BV13" s="161"/>
      <c r="BW13" s="161"/>
      <c r="BX13" s="161"/>
      <c r="BY13" s="161"/>
      <c r="BZ13" s="161"/>
      <c r="CA13" s="135"/>
      <c r="CB13" s="135"/>
      <c r="CC13" s="135"/>
      <c r="CD13" s="135"/>
      <c r="CE13" s="135"/>
      <c r="CF13" s="135"/>
      <c r="CG13" s="136"/>
      <c r="CH13" s="136"/>
      <c r="CI13" s="161"/>
      <c r="CJ13" s="161"/>
      <c r="CK13" s="161"/>
      <c r="CL13" s="161"/>
      <c r="CM13" s="161"/>
      <c r="CN13" s="161"/>
      <c r="CO13" s="135"/>
      <c r="CP13" s="135"/>
      <c r="CQ13" s="135"/>
      <c r="CR13" s="135"/>
      <c r="CS13" s="135"/>
      <c r="CT13" s="135"/>
      <c r="CU13" s="136"/>
      <c r="CV13" s="136"/>
      <c r="CW13" s="161"/>
      <c r="CX13" s="161"/>
      <c r="CY13" s="161"/>
      <c r="CZ13" s="161"/>
      <c r="DA13" s="161"/>
      <c r="DB13" s="161"/>
      <c r="DC13" s="135"/>
      <c r="DD13" s="135"/>
      <c r="DE13" s="135"/>
      <c r="DF13" s="135"/>
      <c r="DG13" s="135"/>
      <c r="DH13" s="135"/>
      <c r="DI13" s="136"/>
      <c r="DJ13" s="136"/>
      <c r="DK13" s="161"/>
      <c r="DL13" s="161"/>
      <c r="DM13" s="161"/>
      <c r="DN13" s="161"/>
      <c r="DO13" s="161"/>
      <c r="DP13" s="161"/>
      <c r="DQ13" s="135"/>
      <c r="DR13" s="135"/>
      <c r="DS13" s="135"/>
      <c r="DT13" s="135"/>
      <c r="DU13" s="135"/>
      <c r="DV13" s="135"/>
      <c r="DW13" s="136"/>
      <c r="DX13" s="136"/>
      <c r="DY13" s="161"/>
      <c r="DZ13" s="161"/>
      <c r="EA13" s="161"/>
      <c r="EB13" s="161"/>
      <c r="EC13" s="161"/>
      <c r="ED13" s="161"/>
      <c r="EE13" s="135"/>
      <c r="EF13" s="135"/>
      <c r="EG13" s="135"/>
      <c r="EH13" s="135"/>
      <c r="EI13" s="135"/>
      <c r="EJ13" s="135"/>
      <c r="EK13" s="136"/>
      <c r="EL13" s="136"/>
      <c r="EM13" s="136"/>
      <c r="EN13" s="136"/>
      <c r="EO13" s="136"/>
      <c r="EP13" s="136"/>
      <c r="EQ13" s="136"/>
      <c r="ER13" s="136"/>
      <c r="ES13" s="135"/>
      <c r="ET13" s="135"/>
      <c r="EU13" s="135"/>
      <c r="EV13" s="135"/>
      <c r="EW13" s="135"/>
      <c r="EX13" s="135"/>
      <c r="EY13" s="136"/>
      <c r="EZ13" s="136"/>
      <c r="FA13" s="161"/>
      <c r="FB13" s="161"/>
      <c r="FC13" s="161"/>
      <c r="FD13" s="161"/>
      <c r="FE13" s="161"/>
      <c r="FF13" s="161"/>
      <c r="FG13" s="135"/>
      <c r="FH13" s="135"/>
      <c r="FI13" s="135"/>
      <c r="FJ13" s="135"/>
      <c r="FK13" s="135"/>
      <c r="FL13" s="135"/>
      <c r="FM13" s="136"/>
      <c r="FN13" s="136"/>
      <c r="FO13" s="161"/>
      <c r="FP13" s="161"/>
      <c r="FQ13" s="161"/>
      <c r="FR13" s="161"/>
      <c r="FS13" s="161"/>
      <c r="FT13" s="161"/>
      <c r="FU13" s="135"/>
      <c r="FV13" s="135"/>
      <c r="FW13" s="135"/>
      <c r="FX13" s="135"/>
      <c r="FY13" s="135"/>
      <c r="FZ13" s="135"/>
      <c r="GA13" s="136"/>
      <c r="GB13" s="136"/>
      <c r="GC13" s="161"/>
      <c r="GD13" s="161"/>
      <c r="GE13" s="161"/>
      <c r="GF13" s="161"/>
      <c r="GG13" s="161"/>
      <c r="GH13" s="161"/>
      <c r="GI13" s="135"/>
      <c r="GJ13" s="135"/>
      <c r="GK13" s="135"/>
      <c r="GL13" s="135"/>
      <c r="GM13" s="135"/>
      <c r="GN13" s="135"/>
    </row>
    <row r="14" spans="1:196" ht="14" hidden="1" customHeight="1">
      <c r="A14" s="140"/>
      <c r="B14" s="126" t="s">
        <v>984</v>
      </c>
      <c r="C14" s="126" t="s">
        <v>978</v>
      </c>
      <c r="D14" s="119"/>
      <c r="E14" s="119" t="e">
        <f>VLOOKUP(C14,#REF!,5,0)</f>
        <v>#REF!</v>
      </c>
      <c r="F14" s="107">
        <v>46220</v>
      </c>
      <c r="G14" s="127">
        <v>200</v>
      </c>
      <c r="H14" s="6"/>
      <c r="I14" s="125">
        <v>46214</v>
      </c>
      <c r="J14" s="13">
        <f t="shared" si="178"/>
        <v>0</v>
      </c>
      <c r="K14" s="124"/>
      <c r="L14" s="161"/>
      <c r="M14" s="136"/>
      <c r="N14" s="136"/>
      <c r="O14" s="136"/>
      <c r="P14" s="136"/>
      <c r="Q14" s="136"/>
      <c r="R14" s="136"/>
      <c r="S14" s="161"/>
      <c r="T14" s="161"/>
      <c r="U14" s="161"/>
      <c r="V14" s="161"/>
      <c r="W14" s="135"/>
      <c r="X14" s="135"/>
      <c r="Y14" s="161"/>
      <c r="Z14" s="161"/>
      <c r="AA14" s="161"/>
      <c r="AB14" s="161"/>
      <c r="AC14" s="136"/>
      <c r="AD14" s="136"/>
      <c r="AE14" s="135"/>
      <c r="AF14" s="135"/>
      <c r="AG14" s="135"/>
      <c r="AH14" s="135"/>
      <c r="AI14" s="161"/>
      <c r="AJ14" s="135"/>
      <c r="AK14" s="161"/>
      <c r="AL14" s="135"/>
      <c r="AM14" s="135"/>
      <c r="AN14" s="135"/>
      <c r="AO14" s="135"/>
      <c r="AP14" s="135"/>
      <c r="AQ14" s="136"/>
      <c r="AR14" s="136"/>
      <c r="AS14" s="135"/>
      <c r="AT14" s="161"/>
      <c r="AU14" s="135"/>
      <c r="AV14" s="161"/>
      <c r="AW14" s="135"/>
      <c r="AX14" s="161"/>
      <c r="AY14" s="135"/>
      <c r="AZ14" s="161"/>
      <c r="BA14" s="135"/>
      <c r="BB14" s="135"/>
      <c r="BC14" s="135">
        <v>1</v>
      </c>
      <c r="BD14" s="135"/>
      <c r="BE14" s="136"/>
      <c r="BF14" s="136"/>
      <c r="BG14" s="135"/>
      <c r="BH14" s="161"/>
      <c r="BI14" s="135"/>
      <c r="BJ14" s="161"/>
      <c r="BK14" s="135">
        <v>199</v>
      </c>
      <c r="BL14" s="161"/>
      <c r="BM14" s="135"/>
      <c r="BN14" s="135"/>
      <c r="BO14" s="135"/>
      <c r="BP14" s="135"/>
      <c r="BQ14" s="135"/>
      <c r="BR14" s="135"/>
      <c r="BS14" s="136"/>
      <c r="BT14" s="136"/>
      <c r="BU14" s="161"/>
      <c r="BV14" s="161"/>
      <c r="BW14" s="161"/>
      <c r="BX14" s="161"/>
      <c r="BY14" s="161"/>
      <c r="BZ14" s="161"/>
      <c r="CA14" s="135"/>
      <c r="CB14" s="135"/>
      <c r="CC14" s="135"/>
      <c r="CD14" s="135"/>
      <c r="CE14" s="135"/>
      <c r="CF14" s="135"/>
      <c r="CG14" s="136"/>
      <c r="CH14" s="136"/>
      <c r="CI14" s="161"/>
      <c r="CJ14" s="161"/>
      <c r="CK14" s="161"/>
      <c r="CL14" s="161"/>
      <c r="CM14" s="161"/>
      <c r="CN14" s="161"/>
      <c r="CO14" s="135"/>
      <c r="CP14" s="135"/>
      <c r="CQ14" s="135"/>
      <c r="CR14" s="135"/>
      <c r="CS14" s="135"/>
      <c r="CT14" s="135"/>
      <c r="CU14" s="136"/>
      <c r="CV14" s="136"/>
      <c r="CW14" s="161"/>
      <c r="CX14" s="161"/>
      <c r="CY14" s="161"/>
      <c r="CZ14" s="161"/>
      <c r="DA14" s="161"/>
      <c r="DB14" s="161"/>
      <c r="DC14" s="135"/>
      <c r="DD14" s="135"/>
      <c r="DE14" s="135"/>
      <c r="DF14" s="135"/>
      <c r="DG14" s="135"/>
      <c r="DH14" s="135"/>
      <c r="DI14" s="136"/>
      <c r="DJ14" s="136"/>
      <c r="DK14" s="161"/>
      <c r="DL14" s="161"/>
      <c r="DM14" s="161"/>
      <c r="DN14" s="161"/>
      <c r="DO14" s="161"/>
      <c r="DP14" s="161"/>
      <c r="DQ14" s="135"/>
      <c r="DR14" s="135"/>
      <c r="DS14" s="135"/>
      <c r="DT14" s="135"/>
      <c r="DU14" s="135"/>
      <c r="DV14" s="135"/>
      <c r="DW14" s="136"/>
      <c r="DX14" s="136"/>
      <c r="DY14" s="161"/>
      <c r="DZ14" s="161"/>
      <c r="EA14" s="161"/>
      <c r="EB14" s="161"/>
      <c r="EC14" s="161"/>
      <c r="ED14" s="161"/>
      <c r="EE14" s="135"/>
      <c r="EF14" s="135"/>
      <c r="EG14" s="135"/>
      <c r="EH14" s="135"/>
      <c r="EI14" s="135"/>
      <c r="EJ14" s="135"/>
      <c r="EK14" s="136"/>
      <c r="EL14" s="136"/>
      <c r="EM14" s="136"/>
      <c r="EN14" s="136"/>
      <c r="EO14" s="136"/>
      <c r="EP14" s="136"/>
      <c r="EQ14" s="136"/>
      <c r="ER14" s="136"/>
      <c r="ES14" s="135"/>
      <c r="ET14" s="135"/>
      <c r="EU14" s="135"/>
      <c r="EV14" s="135"/>
      <c r="EW14" s="135"/>
      <c r="EX14" s="135"/>
      <c r="EY14" s="136"/>
      <c r="EZ14" s="136"/>
      <c r="FA14" s="161"/>
      <c r="FB14" s="161"/>
      <c r="FC14" s="161"/>
      <c r="FD14" s="161"/>
      <c r="FE14" s="161"/>
      <c r="FF14" s="161"/>
      <c r="FG14" s="135"/>
      <c r="FH14" s="135"/>
      <c r="FI14" s="135"/>
      <c r="FJ14" s="135"/>
      <c r="FK14" s="135"/>
      <c r="FL14" s="135"/>
      <c r="FM14" s="136"/>
      <c r="FN14" s="136"/>
      <c r="FO14" s="161"/>
      <c r="FP14" s="161"/>
      <c r="FQ14" s="161"/>
      <c r="FR14" s="161"/>
      <c r="FS14" s="161"/>
      <c r="FT14" s="161"/>
      <c r="FU14" s="135"/>
      <c r="FV14" s="135"/>
      <c r="FW14" s="135"/>
      <c r="FX14" s="135"/>
      <c r="FY14" s="135"/>
      <c r="FZ14" s="135"/>
      <c r="GA14" s="136"/>
      <c r="GB14" s="136"/>
      <c r="GC14" s="161"/>
      <c r="GD14" s="161"/>
      <c r="GE14" s="161"/>
      <c r="GF14" s="161"/>
      <c r="GG14" s="161"/>
      <c r="GH14" s="161"/>
      <c r="GI14" s="135"/>
      <c r="GJ14" s="135"/>
      <c r="GK14" s="135"/>
      <c r="GL14" s="135"/>
      <c r="GM14" s="135"/>
      <c r="GN14" s="135"/>
    </row>
    <row r="15" spans="1:196" hidden="1">
      <c r="A15" s="140"/>
      <c r="B15" s="126" t="s">
        <v>977</v>
      </c>
      <c r="C15" s="126" t="s">
        <v>987</v>
      </c>
      <c r="D15" s="119"/>
      <c r="E15" s="119" t="e">
        <f>VLOOKUP(C15,#REF!,5,0)</f>
        <v>#REF!</v>
      </c>
      <c r="F15" s="107">
        <v>46220</v>
      </c>
      <c r="G15" s="127">
        <v>200</v>
      </c>
      <c r="H15" s="6"/>
      <c r="I15" s="125">
        <v>46214</v>
      </c>
      <c r="J15" s="13">
        <f t="shared" si="178"/>
        <v>0</v>
      </c>
      <c r="K15" s="124"/>
      <c r="L15" s="161"/>
      <c r="M15" s="136"/>
      <c r="N15" s="136"/>
      <c r="O15" s="136"/>
      <c r="P15" s="136"/>
      <c r="Q15" s="136"/>
      <c r="R15" s="136"/>
      <c r="S15" s="161"/>
      <c r="T15" s="161"/>
      <c r="U15" s="161"/>
      <c r="V15" s="161"/>
      <c r="W15" s="135"/>
      <c r="X15" s="135"/>
      <c r="Y15" s="161"/>
      <c r="Z15" s="161"/>
      <c r="AA15" s="161"/>
      <c r="AB15" s="161"/>
      <c r="AC15" s="136"/>
      <c r="AD15" s="136"/>
      <c r="AE15" s="135"/>
      <c r="AF15" s="135"/>
      <c r="AG15" s="135"/>
      <c r="AH15" s="135"/>
      <c r="AI15" s="161"/>
      <c r="AJ15" s="135"/>
      <c r="AK15" s="161"/>
      <c r="AL15" s="135"/>
      <c r="AM15" s="135"/>
      <c r="AN15" s="135"/>
      <c r="AO15" s="135"/>
      <c r="AP15" s="135"/>
      <c r="AQ15" s="136"/>
      <c r="AR15" s="136"/>
      <c r="AS15" s="135"/>
      <c r="AT15" s="161"/>
      <c r="AU15" s="135"/>
      <c r="AV15" s="161"/>
      <c r="AW15" s="135"/>
      <c r="AX15" s="161"/>
      <c r="AY15" s="135"/>
      <c r="AZ15" s="161"/>
      <c r="BA15" s="135"/>
      <c r="BB15" s="135"/>
      <c r="BC15" s="135">
        <v>1</v>
      </c>
      <c r="BD15" s="135"/>
      <c r="BE15" s="136"/>
      <c r="BF15" s="136"/>
      <c r="BG15" s="135"/>
      <c r="BH15" s="161"/>
      <c r="BI15" s="135"/>
      <c r="BJ15" s="161"/>
      <c r="BK15" s="135"/>
      <c r="BL15" s="161"/>
      <c r="BM15" s="135">
        <v>199</v>
      </c>
      <c r="BN15" s="135"/>
      <c r="BO15" s="135"/>
      <c r="BP15" s="135"/>
      <c r="BQ15" s="135"/>
      <c r="BR15" s="135"/>
      <c r="BS15" s="136"/>
      <c r="BT15" s="136"/>
      <c r="BU15" s="161"/>
      <c r="BV15" s="161"/>
      <c r="BW15" s="161"/>
      <c r="BX15" s="161"/>
      <c r="BY15" s="161"/>
      <c r="BZ15" s="161"/>
      <c r="CA15" s="135"/>
      <c r="CB15" s="135"/>
      <c r="CC15" s="135"/>
      <c r="CD15" s="135"/>
      <c r="CE15" s="135"/>
      <c r="CF15" s="135"/>
      <c r="CG15" s="136"/>
      <c r="CH15" s="136"/>
      <c r="CI15" s="161"/>
      <c r="CJ15" s="161"/>
      <c r="CK15" s="161"/>
      <c r="CL15" s="161"/>
      <c r="CM15" s="161"/>
      <c r="CN15" s="161"/>
      <c r="CO15" s="135"/>
      <c r="CP15" s="135"/>
      <c r="CQ15" s="135"/>
      <c r="CR15" s="135"/>
      <c r="CS15" s="135"/>
      <c r="CT15" s="135"/>
      <c r="CU15" s="136"/>
      <c r="CV15" s="136"/>
      <c r="CW15" s="161"/>
      <c r="CX15" s="161"/>
      <c r="CY15" s="161"/>
      <c r="CZ15" s="161"/>
      <c r="DA15" s="161"/>
      <c r="DB15" s="161"/>
      <c r="DC15" s="135"/>
      <c r="DD15" s="135"/>
      <c r="DE15" s="135"/>
      <c r="DF15" s="135"/>
      <c r="DG15" s="135"/>
      <c r="DH15" s="135"/>
      <c r="DI15" s="136"/>
      <c r="DJ15" s="136"/>
      <c r="DK15" s="161"/>
      <c r="DL15" s="161"/>
      <c r="DM15" s="161"/>
      <c r="DN15" s="161"/>
      <c r="DO15" s="161"/>
      <c r="DP15" s="161"/>
      <c r="DQ15" s="135"/>
      <c r="DR15" s="135"/>
      <c r="DS15" s="135"/>
      <c r="DT15" s="135"/>
      <c r="DU15" s="135"/>
      <c r="DV15" s="135"/>
      <c r="DW15" s="136"/>
      <c r="DX15" s="136"/>
      <c r="DY15" s="161"/>
      <c r="DZ15" s="161"/>
      <c r="EA15" s="161"/>
      <c r="EB15" s="161"/>
      <c r="EC15" s="161"/>
      <c r="ED15" s="161"/>
      <c r="EE15" s="135"/>
      <c r="EF15" s="135"/>
      <c r="EG15" s="135"/>
      <c r="EH15" s="135"/>
      <c r="EI15" s="135"/>
      <c r="EJ15" s="135"/>
      <c r="EK15" s="136"/>
      <c r="EL15" s="136"/>
      <c r="EM15" s="136"/>
      <c r="EN15" s="136"/>
      <c r="EO15" s="136"/>
      <c r="EP15" s="136"/>
      <c r="EQ15" s="136"/>
      <c r="ER15" s="136"/>
      <c r="ES15" s="135"/>
      <c r="ET15" s="135"/>
      <c r="EU15" s="135"/>
      <c r="EV15" s="135"/>
      <c r="EW15" s="135"/>
      <c r="EX15" s="135"/>
      <c r="EY15" s="136"/>
      <c r="EZ15" s="136"/>
      <c r="FA15" s="161"/>
      <c r="FB15" s="161"/>
      <c r="FC15" s="161"/>
      <c r="FD15" s="161"/>
      <c r="FE15" s="161"/>
      <c r="FF15" s="161"/>
      <c r="FG15" s="135"/>
      <c r="FH15" s="135"/>
      <c r="FI15" s="135"/>
      <c r="FJ15" s="135"/>
      <c r="FK15" s="135"/>
      <c r="FL15" s="135"/>
      <c r="FM15" s="136"/>
      <c r="FN15" s="136"/>
      <c r="FO15" s="161"/>
      <c r="FP15" s="161"/>
      <c r="FQ15" s="161"/>
      <c r="FR15" s="161"/>
      <c r="FS15" s="161"/>
      <c r="FT15" s="161"/>
      <c r="FU15" s="135"/>
      <c r="FV15" s="135"/>
      <c r="FW15" s="135"/>
      <c r="FX15" s="135"/>
      <c r="FY15" s="135"/>
      <c r="FZ15" s="135"/>
      <c r="GA15" s="136"/>
      <c r="GB15" s="136"/>
      <c r="GC15" s="161"/>
      <c r="GD15" s="161"/>
      <c r="GE15" s="161"/>
      <c r="GF15" s="161"/>
      <c r="GG15" s="161"/>
      <c r="GH15" s="161"/>
      <c r="GI15" s="135"/>
      <c r="GJ15" s="135"/>
      <c r="GK15" s="135"/>
      <c r="GL15" s="135"/>
      <c r="GM15" s="135"/>
      <c r="GN15" s="135"/>
    </row>
    <row r="16" spans="1:196" hidden="1">
      <c r="A16" s="122" t="s">
        <v>7</v>
      </c>
      <c r="B16" s="126" t="s">
        <v>834</v>
      </c>
      <c r="C16" s="126" t="s">
        <v>708</v>
      </c>
      <c r="D16" s="119"/>
      <c r="E16" s="119" t="e">
        <f>VLOOKUP(C16,#REF!,5,0)</f>
        <v>#REF!</v>
      </c>
      <c r="F16" s="107">
        <v>46225</v>
      </c>
      <c r="G16" s="127">
        <v>430</v>
      </c>
      <c r="H16" s="107">
        <v>46227</v>
      </c>
      <c r="I16" s="125">
        <v>46221</v>
      </c>
      <c r="J16" s="13">
        <f t="shared" si="178"/>
        <v>0</v>
      </c>
      <c r="K16" s="124"/>
      <c r="L16" s="161"/>
      <c r="M16" s="136"/>
      <c r="N16" s="136"/>
      <c r="O16" s="136"/>
      <c r="P16" s="136"/>
      <c r="Q16" s="136"/>
      <c r="R16" s="136"/>
      <c r="S16" s="161"/>
      <c r="T16" s="161"/>
      <c r="U16" s="161"/>
      <c r="V16" s="161"/>
      <c r="W16" s="135"/>
      <c r="X16" s="135"/>
      <c r="Y16" s="135"/>
      <c r="Z16" s="135"/>
      <c r="AA16" s="135"/>
      <c r="AB16" s="135"/>
      <c r="AC16" s="136"/>
      <c r="AD16" s="136"/>
      <c r="AE16" s="161"/>
      <c r="AF16" s="161"/>
      <c r="AG16" s="161"/>
      <c r="AH16" s="161"/>
      <c r="AI16" s="161"/>
      <c r="AJ16" s="161"/>
      <c r="AK16" s="135"/>
      <c r="AL16" s="135"/>
      <c r="AM16" s="135"/>
      <c r="AN16" s="135"/>
      <c r="AO16" s="135"/>
      <c r="AP16" s="135"/>
      <c r="AQ16" s="136"/>
      <c r="AR16" s="136"/>
      <c r="AS16" s="161"/>
      <c r="AT16" s="161"/>
      <c r="AU16" s="161"/>
      <c r="AV16" s="161"/>
      <c r="AW16" s="161"/>
      <c r="AX16" s="161"/>
      <c r="AY16" s="135"/>
      <c r="AZ16" s="135"/>
      <c r="BA16" s="135"/>
      <c r="BB16" s="135"/>
      <c r="BC16" s="135"/>
      <c r="BD16" s="135"/>
      <c r="BE16" s="136"/>
      <c r="BF16" s="136"/>
      <c r="BG16" s="161"/>
      <c r="BH16" s="161"/>
      <c r="BI16" s="161"/>
      <c r="BJ16" s="161"/>
      <c r="BK16" s="161"/>
      <c r="BL16" s="161"/>
      <c r="BM16" s="135"/>
      <c r="BN16" s="135"/>
      <c r="BO16" s="135">
        <v>430</v>
      </c>
      <c r="BP16" s="135"/>
      <c r="BQ16" s="135"/>
      <c r="BR16" s="135"/>
      <c r="BS16" s="136"/>
      <c r="BT16" s="136"/>
      <c r="BU16" s="161"/>
      <c r="BV16" s="161"/>
      <c r="BW16" s="161"/>
      <c r="BX16" s="161"/>
      <c r="BY16" s="161"/>
      <c r="BZ16" s="161"/>
      <c r="CA16" s="135"/>
      <c r="CB16" s="135"/>
      <c r="CC16" s="135"/>
      <c r="CD16" s="135"/>
      <c r="CE16" s="135"/>
      <c r="CF16" s="135"/>
      <c r="CG16" s="136"/>
      <c r="CH16" s="136"/>
      <c r="CI16" s="161"/>
      <c r="CJ16" s="161"/>
      <c r="CK16" s="161"/>
      <c r="CL16" s="161"/>
      <c r="CM16" s="161"/>
      <c r="CN16" s="161"/>
      <c r="CO16" s="135"/>
      <c r="CP16" s="135"/>
      <c r="CQ16" s="135"/>
      <c r="CR16" s="135"/>
      <c r="CS16" s="135"/>
      <c r="CT16" s="135"/>
      <c r="CU16" s="136"/>
      <c r="CV16" s="136"/>
      <c r="CW16" s="161"/>
      <c r="CX16" s="161"/>
      <c r="CY16" s="161"/>
      <c r="CZ16" s="161"/>
      <c r="DA16" s="161"/>
      <c r="DB16" s="161"/>
      <c r="DC16" s="135"/>
      <c r="DD16" s="135"/>
      <c r="DE16" s="135"/>
      <c r="DF16" s="135"/>
      <c r="DG16" s="135"/>
      <c r="DH16" s="135"/>
      <c r="DI16" s="136"/>
      <c r="DJ16" s="136"/>
      <c r="DK16" s="161"/>
      <c r="DL16" s="161"/>
      <c r="DM16" s="161"/>
      <c r="DN16" s="161"/>
      <c r="DO16" s="161"/>
      <c r="DP16" s="161"/>
      <c r="DQ16" s="135"/>
      <c r="DR16" s="135"/>
      <c r="DS16" s="135"/>
      <c r="DT16" s="135"/>
      <c r="DU16" s="135"/>
      <c r="DV16" s="135"/>
      <c r="DW16" s="136"/>
      <c r="DX16" s="136"/>
      <c r="DY16" s="161"/>
      <c r="DZ16" s="161"/>
      <c r="EA16" s="161"/>
      <c r="EB16" s="161"/>
      <c r="EC16" s="161"/>
      <c r="ED16" s="161"/>
      <c r="EE16" s="135"/>
      <c r="EF16" s="135"/>
      <c r="EG16" s="135"/>
      <c r="EH16" s="135"/>
      <c r="EI16" s="135"/>
      <c r="EJ16" s="135"/>
      <c r="EK16" s="136"/>
      <c r="EL16" s="136"/>
      <c r="EM16" s="136"/>
      <c r="EN16" s="136"/>
      <c r="EO16" s="136"/>
      <c r="EP16" s="136"/>
      <c r="EQ16" s="136"/>
      <c r="ER16" s="136"/>
      <c r="ES16" s="135"/>
      <c r="ET16" s="135"/>
      <c r="EU16" s="135"/>
      <c r="EV16" s="135"/>
      <c r="EW16" s="135"/>
      <c r="EX16" s="135"/>
      <c r="EY16" s="136"/>
      <c r="EZ16" s="136"/>
      <c r="FA16" s="161"/>
      <c r="FB16" s="161"/>
      <c r="FC16" s="161"/>
      <c r="FD16" s="161"/>
      <c r="FE16" s="161"/>
      <c r="FF16" s="161"/>
      <c r="FG16" s="135"/>
      <c r="FH16" s="135"/>
      <c r="FI16" s="135"/>
      <c r="FJ16" s="135"/>
      <c r="FK16" s="135"/>
      <c r="FL16" s="135"/>
      <c r="FM16" s="136"/>
      <c r="FN16" s="136"/>
      <c r="FO16" s="161"/>
      <c r="FP16" s="161"/>
      <c r="FQ16" s="161"/>
      <c r="FR16" s="161"/>
      <c r="FS16" s="161"/>
      <c r="FT16" s="161"/>
      <c r="FU16" s="135"/>
      <c r="FV16" s="135"/>
      <c r="FW16" s="135"/>
      <c r="FX16" s="135"/>
      <c r="FY16" s="135"/>
      <c r="FZ16" s="135"/>
      <c r="GA16" s="136"/>
      <c r="GB16" s="136"/>
      <c r="GC16" s="161"/>
      <c r="GD16" s="161"/>
      <c r="GE16" s="161"/>
      <c r="GF16" s="161"/>
      <c r="GG16" s="161"/>
      <c r="GH16" s="161"/>
      <c r="GI16" s="135"/>
      <c r="GJ16" s="135"/>
      <c r="GK16" s="135"/>
      <c r="GL16" s="135"/>
      <c r="GM16" s="135"/>
      <c r="GN16" s="135"/>
    </row>
    <row r="17" spans="1:196" ht="25">
      <c r="A17" s="118"/>
      <c r="B17" s="142" t="s">
        <v>826</v>
      </c>
      <c r="C17" s="143" t="s">
        <v>623</v>
      </c>
      <c r="D17" s="119"/>
      <c r="E17" s="119"/>
      <c r="F17" s="168">
        <v>46230</v>
      </c>
      <c r="G17" s="144">
        <v>10</v>
      </c>
      <c r="H17" s="148"/>
      <c r="I17" s="145" t="s">
        <v>691</v>
      </c>
      <c r="J17" s="146">
        <f t="shared" ref="J17:J25" si="179">G17-SUM(L17:FL17)</f>
        <v>0</v>
      </c>
      <c r="K17" s="185" t="s">
        <v>1049</v>
      </c>
      <c r="L17" s="161"/>
      <c r="M17" s="136"/>
      <c r="N17" s="136"/>
      <c r="O17" s="136"/>
      <c r="P17" s="136"/>
      <c r="Q17" s="136"/>
      <c r="R17" s="136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36"/>
      <c r="AD17" s="136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36"/>
      <c r="AR17" s="136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36"/>
      <c r="BF17" s="136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36"/>
      <c r="BT17" s="136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>
        <v>10</v>
      </c>
      <c r="CF17" s="161"/>
      <c r="CG17" s="136"/>
      <c r="CH17" s="136"/>
      <c r="CI17" s="161"/>
      <c r="CJ17" s="161"/>
      <c r="CK17" s="161"/>
      <c r="CL17" s="161"/>
      <c r="CM17" s="161"/>
      <c r="CN17" s="161"/>
      <c r="CO17" s="161"/>
      <c r="CP17" s="161"/>
      <c r="CQ17" s="161"/>
      <c r="CR17" s="161"/>
      <c r="CS17" s="161"/>
      <c r="CT17" s="161"/>
      <c r="CU17" s="136"/>
      <c r="CV17" s="136"/>
      <c r="CW17" s="161"/>
      <c r="CX17" s="161"/>
      <c r="CY17" s="161"/>
      <c r="CZ17" s="161"/>
      <c r="DA17" s="161"/>
      <c r="DB17" s="161"/>
      <c r="DC17" s="161"/>
      <c r="DD17" s="161"/>
      <c r="DE17" s="161"/>
      <c r="DF17" s="161"/>
      <c r="DG17" s="161"/>
      <c r="DH17" s="161"/>
      <c r="DI17" s="136"/>
      <c r="DJ17" s="136"/>
      <c r="DK17" s="161"/>
      <c r="DL17" s="161"/>
      <c r="DM17" s="161"/>
      <c r="DN17" s="161"/>
      <c r="DO17" s="161"/>
      <c r="DP17" s="161"/>
      <c r="DQ17" s="161"/>
      <c r="DR17" s="161"/>
      <c r="DS17" s="161"/>
      <c r="DT17" s="161"/>
      <c r="DU17" s="161"/>
      <c r="DV17" s="161"/>
      <c r="DW17" s="136"/>
      <c r="DX17" s="136"/>
      <c r="DY17" s="161"/>
      <c r="DZ17" s="161"/>
      <c r="EA17" s="161"/>
      <c r="EB17" s="161"/>
      <c r="EC17" s="161"/>
      <c r="ED17" s="161"/>
      <c r="EE17" s="161"/>
      <c r="EF17" s="161"/>
      <c r="EG17" s="161"/>
      <c r="EH17" s="161"/>
      <c r="EI17" s="161"/>
      <c r="EJ17" s="161"/>
      <c r="EK17" s="136"/>
      <c r="EL17" s="136"/>
      <c r="EM17" s="136"/>
      <c r="EN17" s="136"/>
      <c r="EO17" s="136"/>
      <c r="EP17" s="136"/>
      <c r="EQ17" s="136"/>
      <c r="ER17" s="136"/>
      <c r="ES17" s="161"/>
      <c r="ET17" s="161"/>
      <c r="EU17" s="161"/>
      <c r="EV17" s="161"/>
      <c r="EW17" s="161"/>
      <c r="EX17" s="161"/>
      <c r="EY17" s="136"/>
      <c r="EZ17" s="136"/>
      <c r="FA17" s="161"/>
      <c r="FB17" s="161"/>
      <c r="FC17" s="161"/>
      <c r="FD17" s="161"/>
      <c r="FE17" s="161"/>
      <c r="FF17" s="161"/>
      <c r="FG17" s="161"/>
      <c r="FH17" s="161"/>
      <c r="FI17" s="161"/>
      <c r="FJ17" s="161"/>
      <c r="FK17" s="161"/>
      <c r="FL17" s="161"/>
      <c r="FM17" s="136"/>
      <c r="FN17" s="136"/>
      <c r="FO17" s="161"/>
      <c r="FP17" s="161"/>
      <c r="FQ17" s="161"/>
      <c r="FR17" s="161"/>
      <c r="FS17" s="161"/>
      <c r="FT17" s="161"/>
      <c r="FU17" s="161"/>
      <c r="FV17" s="161"/>
      <c r="FW17" s="161"/>
      <c r="FX17" s="161"/>
      <c r="FY17" s="161"/>
      <c r="FZ17" s="161"/>
      <c r="GA17" s="136"/>
      <c r="GB17" s="136"/>
      <c r="GC17" s="161"/>
      <c r="GD17" s="161"/>
      <c r="GE17" s="161"/>
      <c r="GF17" s="161"/>
      <c r="GG17" s="161"/>
      <c r="GH17" s="161"/>
      <c r="GI17" s="161"/>
      <c r="GJ17" s="161"/>
      <c r="GK17" s="161"/>
      <c r="GL17" s="161"/>
      <c r="GM17" s="161"/>
      <c r="GN17" s="161"/>
    </row>
    <row r="18" spans="1:196" ht="25">
      <c r="A18" s="118"/>
      <c r="B18" s="142" t="s">
        <v>827</v>
      </c>
      <c r="C18" s="143" t="s">
        <v>624</v>
      </c>
      <c r="D18" s="119"/>
      <c r="E18" s="119"/>
      <c r="F18" s="168">
        <v>46230</v>
      </c>
      <c r="G18" s="144">
        <v>10</v>
      </c>
      <c r="H18" s="148"/>
      <c r="I18" s="145" t="s">
        <v>691</v>
      </c>
      <c r="J18" s="146">
        <f t="shared" si="179"/>
        <v>0</v>
      </c>
      <c r="K18" s="185" t="s">
        <v>1050</v>
      </c>
      <c r="L18" s="161"/>
      <c r="M18" s="136"/>
      <c r="N18" s="136"/>
      <c r="O18" s="136"/>
      <c r="P18" s="136"/>
      <c r="Q18" s="136"/>
      <c r="R18" s="136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36"/>
      <c r="AD18" s="136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36"/>
      <c r="AR18" s="136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36"/>
      <c r="BF18" s="136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36"/>
      <c r="BT18" s="136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>
        <v>10</v>
      </c>
      <c r="CF18" s="161"/>
      <c r="CG18" s="136"/>
      <c r="CH18" s="136"/>
      <c r="CI18" s="161"/>
      <c r="CJ18" s="161"/>
      <c r="CK18" s="161"/>
      <c r="CL18" s="161"/>
      <c r="CM18" s="161"/>
      <c r="CN18" s="161"/>
      <c r="CO18" s="161"/>
      <c r="CP18" s="161"/>
      <c r="CQ18" s="161"/>
      <c r="CR18" s="161"/>
      <c r="CS18" s="161"/>
      <c r="CT18" s="161"/>
      <c r="CU18" s="136"/>
      <c r="CV18" s="136"/>
      <c r="CW18" s="161"/>
      <c r="CX18" s="161"/>
      <c r="CY18" s="161"/>
      <c r="CZ18" s="161"/>
      <c r="DA18" s="161"/>
      <c r="DB18" s="161"/>
      <c r="DC18" s="161"/>
      <c r="DD18" s="161"/>
      <c r="DE18" s="161"/>
      <c r="DF18" s="161"/>
      <c r="DG18" s="161"/>
      <c r="DH18" s="161"/>
      <c r="DI18" s="136"/>
      <c r="DJ18" s="136"/>
      <c r="DK18" s="161"/>
      <c r="DL18" s="161"/>
      <c r="DM18" s="161"/>
      <c r="DN18" s="161"/>
      <c r="DO18" s="161"/>
      <c r="DP18" s="161"/>
      <c r="DQ18" s="161"/>
      <c r="DR18" s="161"/>
      <c r="DS18" s="161"/>
      <c r="DT18" s="161"/>
      <c r="DU18" s="161"/>
      <c r="DV18" s="161"/>
      <c r="DW18" s="136"/>
      <c r="DX18" s="136"/>
      <c r="DY18" s="161"/>
      <c r="DZ18" s="161"/>
      <c r="EA18" s="161"/>
      <c r="EB18" s="161"/>
      <c r="EC18" s="161"/>
      <c r="ED18" s="161"/>
      <c r="EE18" s="161"/>
      <c r="EF18" s="161"/>
      <c r="EG18" s="161"/>
      <c r="EH18" s="161"/>
      <c r="EI18" s="161"/>
      <c r="EJ18" s="161"/>
      <c r="EK18" s="136"/>
      <c r="EL18" s="136"/>
      <c r="EM18" s="136"/>
      <c r="EN18" s="136"/>
      <c r="EO18" s="136"/>
      <c r="EP18" s="136"/>
      <c r="EQ18" s="136"/>
      <c r="ER18" s="136"/>
      <c r="ES18" s="161"/>
      <c r="ET18" s="161"/>
      <c r="EU18" s="161"/>
      <c r="EV18" s="161"/>
      <c r="EW18" s="161"/>
      <c r="EX18" s="161"/>
      <c r="EY18" s="136"/>
      <c r="EZ18" s="136"/>
      <c r="FA18" s="161"/>
      <c r="FB18" s="161"/>
      <c r="FC18" s="161"/>
      <c r="FD18" s="161"/>
      <c r="FE18" s="161"/>
      <c r="FF18" s="161"/>
      <c r="FG18" s="161"/>
      <c r="FH18" s="161"/>
      <c r="FI18" s="161"/>
      <c r="FJ18" s="161"/>
      <c r="FK18" s="161"/>
      <c r="FL18" s="161"/>
      <c r="FM18" s="136"/>
      <c r="FN18" s="136"/>
      <c r="FO18" s="161"/>
      <c r="FP18" s="161"/>
      <c r="FQ18" s="161"/>
      <c r="FR18" s="161"/>
      <c r="FS18" s="161"/>
      <c r="FT18" s="161"/>
      <c r="FU18" s="161"/>
      <c r="FV18" s="161"/>
      <c r="FW18" s="161"/>
      <c r="FX18" s="161"/>
      <c r="FY18" s="161"/>
      <c r="FZ18" s="161"/>
      <c r="GA18" s="136"/>
      <c r="GB18" s="136"/>
      <c r="GC18" s="161"/>
      <c r="GD18" s="161"/>
      <c r="GE18" s="161"/>
      <c r="GF18" s="161"/>
      <c r="GG18" s="161"/>
      <c r="GH18" s="161"/>
      <c r="GI18" s="161"/>
      <c r="GJ18" s="161"/>
      <c r="GK18" s="161"/>
      <c r="GL18" s="161"/>
      <c r="GM18" s="161"/>
      <c r="GN18" s="161"/>
    </row>
    <row r="19" spans="1:196" ht="25">
      <c r="A19" s="118"/>
      <c r="B19" s="142" t="s">
        <v>1342</v>
      </c>
      <c r="C19" s="143" t="s">
        <v>625</v>
      </c>
      <c r="D19" s="119"/>
      <c r="E19" s="119"/>
      <c r="F19" s="168">
        <v>46230</v>
      </c>
      <c r="G19" s="144">
        <v>10</v>
      </c>
      <c r="H19" s="148"/>
      <c r="I19" s="145" t="s">
        <v>691</v>
      </c>
      <c r="J19" s="146">
        <f t="shared" si="179"/>
        <v>0</v>
      </c>
      <c r="K19" s="185" t="s">
        <v>1287</v>
      </c>
      <c r="L19" s="161"/>
      <c r="M19" s="136"/>
      <c r="N19" s="136"/>
      <c r="O19" s="136"/>
      <c r="P19" s="136"/>
      <c r="Q19" s="136"/>
      <c r="R19" s="136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36"/>
      <c r="AD19" s="136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36"/>
      <c r="AR19" s="136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36"/>
      <c r="BF19" s="136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36"/>
      <c r="BT19" s="136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>
        <v>10</v>
      </c>
      <c r="CF19" s="161"/>
      <c r="CG19" s="136"/>
      <c r="CH19" s="136"/>
      <c r="CI19" s="161"/>
      <c r="CJ19" s="161"/>
      <c r="CK19" s="161"/>
      <c r="CL19" s="161"/>
      <c r="CM19" s="161"/>
      <c r="CN19" s="161"/>
      <c r="CO19" s="161"/>
      <c r="CP19" s="161"/>
      <c r="CQ19" s="161"/>
      <c r="CR19" s="161"/>
      <c r="CS19" s="161"/>
      <c r="CT19" s="161"/>
      <c r="CU19" s="136"/>
      <c r="CV19" s="136"/>
      <c r="CW19" s="161"/>
      <c r="CX19" s="161"/>
      <c r="CY19" s="161"/>
      <c r="CZ19" s="161"/>
      <c r="DA19" s="161"/>
      <c r="DB19" s="161"/>
      <c r="DC19" s="161"/>
      <c r="DD19" s="161"/>
      <c r="DE19" s="161"/>
      <c r="DF19" s="161"/>
      <c r="DG19" s="161"/>
      <c r="DH19" s="161"/>
      <c r="DI19" s="136"/>
      <c r="DJ19" s="136"/>
      <c r="DK19" s="161"/>
      <c r="DL19" s="161"/>
      <c r="DM19" s="161"/>
      <c r="DN19" s="161"/>
      <c r="DO19" s="161"/>
      <c r="DP19" s="161"/>
      <c r="DQ19" s="161"/>
      <c r="DR19" s="161"/>
      <c r="DS19" s="161"/>
      <c r="DT19" s="161"/>
      <c r="DU19" s="161"/>
      <c r="DV19" s="161"/>
      <c r="DW19" s="136"/>
      <c r="DX19" s="136"/>
      <c r="DY19" s="161"/>
      <c r="DZ19" s="161"/>
      <c r="EA19" s="161"/>
      <c r="EB19" s="161"/>
      <c r="EC19" s="161"/>
      <c r="ED19" s="161"/>
      <c r="EE19" s="161"/>
      <c r="EF19" s="161"/>
      <c r="EG19" s="161"/>
      <c r="EH19" s="161"/>
      <c r="EI19" s="161"/>
      <c r="EJ19" s="161"/>
      <c r="EK19" s="136"/>
      <c r="EL19" s="136"/>
      <c r="EM19" s="136"/>
      <c r="EN19" s="136"/>
      <c r="EO19" s="136"/>
      <c r="EP19" s="136"/>
      <c r="EQ19" s="136"/>
      <c r="ER19" s="136"/>
      <c r="ES19" s="161"/>
      <c r="ET19" s="161"/>
      <c r="EU19" s="161"/>
      <c r="EV19" s="161"/>
      <c r="EW19" s="161"/>
      <c r="EX19" s="161"/>
      <c r="EY19" s="136"/>
      <c r="EZ19" s="136"/>
      <c r="FA19" s="161"/>
      <c r="FB19" s="161"/>
      <c r="FC19" s="161"/>
      <c r="FD19" s="161"/>
      <c r="FE19" s="161"/>
      <c r="FF19" s="161"/>
      <c r="FG19" s="161"/>
      <c r="FH19" s="161"/>
      <c r="FI19" s="161"/>
      <c r="FJ19" s="161"/>
      <c r="FK19" s="161"/>
      <c r="FL19" s="161"/>
      <c r="FM19" s="136"/>
      <c r="FN19" s="136"/>
      <c r="FO19" s="161"/>
      <c r="FP19" s="161"/>
      <c r="FQ19" s="161"/>
      <c r="FR19" s="161"/>
      <c r="FS19" s="161"/>
      <c r="FT19" s="161"/>
      <c r="FU19" s="161"/>
      <c r="FV19" s="161"/>
      <c r="FW19" s="161"/>
      <c r="FX19" s="161"/>
      <c r="FY19" s="161"/>
      <c r="FZ19" s="161"/>
      <c r="GA19" s="136"/>
      <c r="GB19" s="136"/>
      <c r="GC19" s="161"/>
      <c r="GD19" s="161"/>
      <c r="GE19" s="161"/>
      <c r="GF19" s="161"/>
      <c r="GG19" s="161"/>
      <c r="GH19" s="161"/>
      <c r="GI19" s="161"/>
      <c r="GJ19" s="161"/>
      <c r="GK19" s="161"/>
      <c r="GL19" s="161"/>
      <c r="GM19" s="161"/>
      <c r="GN19" s="161"/>
    </row>
    <row r="20" spans="1:196" ht="25">
      <c r="A20" s="118"/>
      <c r="B20" s="142" t="s">
        <v>828</v>
      </c>
      <c r="C20" s="143" t="s">
        <v>626</v>
      </c>
      <c r="D20" s="119"/>
      <c r="E20" s="119"/>
      <c r="F20" s="168">
        <v>46230</v>
      </c>
      <c r="G20" s="144">
        <v>10</v>
      </c>
      <c r="H20" s="148"/>
      <c r="I20" s="145" t="s">
        <v>691</v>
      </c>
      <c r="J20" s="146">
        <f t="shared" si="179"/>
        <v>0</v>
      </c>
      <c r="K20" s="185" t="s">
        <v>1051</v>
      </c>
      <c r="L20" s="161"/>
      <c r="M20" s="136"/>
      <c r="N20" s="136"/>
      <c r="O20" s="136"/>
      <c r="P20" s="136"/>
      <c r="Q20" s="136"/>
      <c r="R20" s="136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36"/>
      <c r="AD20" s="136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36"/>
      <c r="AR20" s="136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36"/>
      <c r="BF20" s="136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36"/>
      <c r="BT20" s="136"/>
      <c r="BU20" s="161"/>
      <c r="BV20" s="161"/>
      <c r="BW20" s="161"/>
      <c r="BX20" s="161"/>
      <c r="BY20" s="161"/>
      <c r="BZ20" s="161"/>
      <c r="CA20" s="161"/>
      <c r="CB20" s="161"/>
      <c r="CC20" s="161"/>
      <c r="CD20" s="161"/>
      <c r="CE20" s="161">
        <v>10</v>
      </c>
      <c r="CF20" s="161"/>
      <c r="CG20" s="136"/>
      <c r="CH20" s="136"/>
      <c r="CI20" s="161"/>
      <c r="CJ20" s="161"/>
      <c r="CK20" s="161"/>
      <c r="CL20" s="161"/>
      <c r="CM20" s="161"/>
      <c r="CN20" s="161"/>
      <c r="CO20" s="161"/>
      <c r="CP20" s="161"/>
      <c r="CQ20" s="161"/>
      <c r="CR20" s="161"/>
      <c r="CS20" s="161"/>
      <c r="CT20" s="161"/>
      <c r="CU20" s="136"/>
      <c r="CV20" s="136"/>
      <c r="CW20" s="161"/>
      <c r="CX20" s="161"/>
      <c r="CY20" s="161"/>
      <c r="CZ20" s="161"/>
      <c r="DA20" s="161"/>
      <c r="DB20" s="161"/>
      <c r="DC20" s="161"/>
      <c r="DD20" s="161"/>
      <c r="DE20" s="161"/>
      <c r="DF20" s="161"/>
      <c r="DG20" s="161"/>
      <c r="DH20" s="161"/>
      <c r="DI20" s="136"/>
      <c r="DJ20" s="136"/>
      <c r="DK20" s="161"/>
      <c r="DL20" s="161"/>
      <c r="DM20" s="161"/>
      <c r="DN20" s="161"/>
      <c r="DO20" s="161"/>
      <c r="DP20" s="161"/>
      <c r="DQ20" s="161"/>
      <c r="DR20" s="161"/>
      <c r="DS20" s="161"/>
      <c r="DT20" s="161"/>
      <c r="DU20" s="161"/>
      <c r="DV20" s="161"/>
      <c r="DW20" s="136"/>
      <c r="DX20" s="136"/>
      <c r="DY20" s="161"/>
      <c r="DZ20" s="161"/>
      <c r="EA20" s="161"/>
      <c r="EB20" s="161"/>
      <c r="EC20" s="161"/>
      <c r="ED20" s="161"/>
      <c r="EE20" s="161"/>
      <c r="EF20" s="161"/>
      <c r="EG20" s="161"/>
      <c r="EH20" s="161"/>
      <c r="EI20" s="161"/>
      <c r="EJ20" s="161"/>
      <c r="EK20" s="136"/>
      <c r="EL20" s="136"/>
      <c r="EM20" s="136"/>
      <c r="EN20" s="136"/>
      <c r="EO20" s="136"/>
      <c r="EP20" s="136"/>
      <c r="EQ20" s="136"/>
      <c r="ER20" s="136"/>
      <c r="ES20" s="161"/>
      <c r="ET20" s="161"/>
      <c r="EU20" s="161"/>
      <c r="EV20" s="161"/>
      <c r="EW20" s="161"/>
      <c r="EX20" s="161"/>
      <c r="EY20" s="136"/>
      <c r="EZ20" s="136"/>
      <c r="FA20" s="161"/>
      <c r="FB20" s="161"/>
      <c r="FC20" s="161"/>
      <c r="FD20" s="161"/>
      <c r="FE20" s="161"/>
      <c r="FF20" s="161"/>
      <c r="FG20" s="161"/>
      <c r="FH20" s="161"/>
      <c r="FI20" s="161"/>
      <c r="FJ20" s="161"/>
      <c r="FK20" s="161"/>
      <c r="FL20" s="161"/>
      <c r="FM20" s="136"/>
      <c r="FN20" s="136"/>
      <c r="FO20" s="161"/>
      <c r="FP20" s="161"/>
      <c r="FQ20" s="161"/>
      <c r="FR20" s="161"/>
      <c r="FS20" s="161"/>
      <c r="FT20" s="161"/>
      <c r="FU20" s="161"/>
      <c r="FV20" s="161"/>
      <c r="FW20" s="161"/>
      <c r="FX20" s="161"/>
      <c r="FY20" s="161"/>
      <c r="FZ20" s="161"/>
      <c r="GA20" s="136"/>
      <c r="GB20" s="136"/>
      <c r="GC20" s="161"/>
      <c r="GD20" s="161"/>
      <c r="GE20" s="161"/>
      <c r="GF20" s="161"/>
      <c r="GG20" s="161"/>
      <c r="GH20" s="161"/>
      <c r="GI20" s="161"/>
      <c r="GJ20" s="161"/>
      <c r="GK20" s="161"/>
      <c r="GL20" s="161"/>
      <c r="GM20" s="161"/>
      <c r="GN20" s="161"/>
    </row>
    <row r="21" spans="1:196" ht="25">
      <c r="A21" s="118"/>
      <c r="B21" s="142" t="s">
        <v>829</v>
      </c>
      <c r="C21" s="143" t="s">
        <v>627</v>
      </c>
      <c r="D21" s="119"/>
      <c r="E21" s="119"/>
      <c r="F21" s="168">
        <v>46230</v>
      </c>
      <c r="G21" s="144">
        <v>10</v>
      </c>
      <c r="H21" s="148"/>
      <c r="I21" s="145" t="s">
        <v>691</v>
      </c>
      <c r="J21" s="146">
        <f t="shared" si="179"/>
        <v>0</v>
      </c>
      <c r="K21" s="185" t="s">
        <v>1052</v>
      </c>
      <c r="L21" s="161"/>
      <c r="M21" s="136"/>
      <c r="N21" s="136"/>
      <c r="O21" s="136"/>
      <c r="P21" s="136"/>
      <c r="Q21" s="136"/>
      <c r="R21" s="136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36"/>
      <c r="AD21" s="136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36"/>
      <c r="AR21" s="136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36"/>
      <c r="BF21" s="136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36"/>
      <c r="BT21" s="136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>
        <v>10</v>
      </c>
      <c r="CF21" s="161"/>
      <c r="CG21" s="136"/>
      <c r="CH21" s="136"/>
      <c r="CI21" s="161"/>
      <c r="CJ21" s="161"/>
      <c r="CK21" s="161"/>
      <c r="CL21" s="161"/>
      <c r="CM21" s="161"/>
      <c r="CN21" s="161"/>
      <c r="CO21" s="161"/>
      <c r="CP21" s="161"/>
      <c r="CQ21" s="161"/>
      <c r="CR21" s="161"/>
      <c r="CS21" s="161"/>
      <c r="CT21" s="161"/>
      <c r="CU21" s="136"/>
      <c r="CV21" s="136"/>
      <c r="CW21" s="161"/>
      <c r="CX21" s="161"/>
      <c r="CY21" s="161"/>
      <c r="CZ21" s="161"/>
      <c r="DA21" s="161"/>
      <c r="DB21" s="161"/>
      <c r="DC21" s="161"/>
      <c r="DD21" s="161"/>
      <c r="DE21" s="161"/>
      <c r="DF21" s="161"/>
      <c r="DG21" s="161"/>
      <c r="DH21" s="161"/>
      <c r="DI21" s="136"/>
      <c r="DJ21" s="136"/>
      <c r="DK21" s="161"/>
      <c r="DL21" s="161"/>
      <c r="DM21" s="161"/>
      <c r="DN21" s="161"/>
      <c r="DO21" s="161"/>
      <c r="DP21" s="161"/>
      <c r="DQ21" s="161"/>
      <c r="DR21" s="161"/>
      <c r="DS21" s="161"/>
      <c r="DT21" s="161"/>
      <c r="DU21" s="161"/>
      <c r="DV21" s="161"/>
      <c r="DW21" s="136"/>
      <c r="DX21" s="136"/>
      <c r="DY21" s="161"/>
      <c r="DZ21" s="161"/>
      <c r="EA21" s="161"/>
      <c r="EB21" s="161"/>
      <c r="EC21" s="161"/>
      <c r="ED21" s="161"/>
      <c r="EE21" s="161"/>
      <c r="EF21" s="161"/>
      <c r="EG21" s="161"/>
      <c r="EH21" s="161"/>
      <c r="EI21" s="161"/>
      <c r="EJ21" s="161"/>
      <c r="EK21" s="136"/>
      <c r="EL21" s="136"/>
      <c r="EM21" s="136"/>
      <c r="EN21" s="136"/>
      <c r="EO21" s="136"/>
      <c r="EP21" s="136"/>
      <c r="EQ21" s="136"/>
      <c r="ER21" s="136"/>
      <c r="ES21" s="161"/>
      <c r="ET21" s="161"/>
      <c r="EU21" s="161"/>
      <c r="EV21" s="161"/>
      <c r="EW21" s="161"/>
      <c r="EX21" s="161"/>
      <c r="EY21" s="136"/>
      <c r="EZ21" s="136"/>
      <c r="FA21" s="161"/>
      <c r="FB21" s="161"/>
      <c r="FC21" s="161"/>
      <c r="FD21" s="161"/>
      <c r="FE21" s="161"/>
      <c r="FF21" s="161"/>
      <c r="FG21" s="161"/>
      <c r="FH21" s="161"/>
      <c r="FI21" s="161"/>
      <c r="FJ21" s="161"/>
      <c r="FK21" s="161"/>
      <c r="FL21" s="161"/>
      <c r="FM21" s="136"/>
      <c r="FN21" s="136"/>
      <c r="FO21" s="161"/>
      <c r="FP21" s="161"/>
      <c r="FQ21" s="161"/>
      <c r="FR21" s="161"/>
      <c r="FS21" s="161"/>
      <c r="FT21" s="161"/>
      <c r="FU21" s="161"/>
      <c r="FV21" s="161"/>
      <c r="FW21" s="161"/>
      <c r="FX21" s="161"/>
      <c r="FY21" s="161"/>
      <c r="FZ21" s="161"/>
      <c r="GA21" s="136"/>
      <c r="GB21" s="136"/>
      <c r="GC21" s="161"/>
      <c r="GD21" s="161"/>
      <c r="GE21" s="161"/>
      <c r="GF21" s="161"/>
      <c r="GG21" s="161"/>
      <c r="GH21" s="161"/>
      <c r="GI21" s="161"/>
      <c r="GJ21" s="161"/>
      <c r="GK21" s="161"/>
      <c r="GL21" s="161"/>
      <c r="GM21" s="161"/>
      <c r="GN21" s="161"/>
    </row>
    <row r="22" spans="1:196" ht="25">
      <c r="A22" s="118"/>
      <c r="B22" s="142" t="s">
        <v>832</v>
      </c>
      <c r="C22" s="143" t="s">
        <v>630</v>
      </c>
      <c r="D22" s="119"/>
      <c r="E22" s="119"/>
      <c r="F22" s="168">
        <v>46230</v>
      </c>
      <c r="G22" s="144">
        <v>5</v>
      </c>
      <c r="H22" s="148"/>
      <c r="I22" s="145" t="s">
        <v>691</v>
      </c>
      <c r="J22" s="146">
        <f t="shared" si="179"/>
        <v>0</v>
      </c>
      <c r="K22" s="185" t="s">
        <v>1053</v>
      </c>
      <c r="L22" s="161"/>
      <c r="M22" s="136"/>
      <c r="N22" s="136"/>
      <c r="O22" s="136"/>
      <c r="P22" s="136"/>
      <c r="Q22" s="136"/>
      <c r="R22" s="136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36"/>
      <c r="AD22" s="136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36"/>
      <c r="AR22" s="136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36"/>
      <c r="BF22" s="136"/>
      <c r="BG22" s="161"/>
      <c r="BH22" s="161"/>
      <c r="BI22" s="161"/>
      <c r="BJ22" s="161"/>
      <c r="BK22" s="161"/>
      <c r="BL22" s="161"/>
      <c r="BM22" s="161"/>
      <c r="BN22" s="161"/>
      <c r="BO22" s="161"/>
      <c r="BP22" s="161"/>
      <c r="BQ22" s="161"/>
      <c r="BR22" s="161"/>
      <c r="BS22" s="136"/>
      <c r="BT22" s="136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>
        <v>5</v>
      </c>
      <c r="CF22" s="161"/>
      <c r="CG22" s="136"/>
      <c r="CH22" s="136"/>
      <c r="CI22" s="161"/>
      <c r="CJ22" s="161"/>
      <c r="CK22" s="161"/>
      <c r="CL22" s="161"/>
      <c r="CM22" s="161"/>
      <c r="CN22" s="161"/>
      <c r="CO22" s="161"/>
      <c r="CP22" s="161"/>
      <c r="CQ22" s="161"/>
      <c r="CR22" s="161"/>
      <c r="CS22" s="161"/>
      <c r="CT22" s="161"/>
      <c r="CU22" s="136"/>
      <c r="CV22" s="136"/>
      <c r="CW22" s="161"/>
      <c r="CX22" s="161"/>
      <c r="CY22" s="161"/>
      <c r="CZ22" s="161"/>
      <c r="DA22" s="161"/>
      <c r="DB22" s="161"/>
      <c r="DC22" s="161"/>
      <c r="DD22" s="161"/>
      <c r="DE22" s="161"/>
      <c r="DF22" s="161"/>
      <c r="DG22" s="161"/>
      <c r="DH22" s="161"/>
      <c r="DI22" s="136"/>
      <c r="DJ22" s="136"/>
      <c r="DK22" s="161"/>
      <c r="DL22" s="161"/>
      <c r="DM22" s="161"/>
      <c r="DN22" s="161"/>
      <c r="DO22" s="161"/>
      <c r="DP22" s="161"/>
      <c r="DQ22" s="161"/>
      <c r="DR22" s="161"/>
      <c r="DS22" s="161"/>
      <c r="DT22" s="161"/>
      <c r="DU22" s="161"/>
      <c r="DV22" s="161"/>
      <c r="DW22" s="136"/>
      <c r="DX22" s="136"/>
      <c r="DY22" s="161"/>
      <c r="DZ22" s="161"/>
      <c r="EA22" s="161"/>
      <c r="EB22" s="161"/>
      <c r="EC22" s="161"/>
      <c r="ED22" s="161"/>
      <c r="EE22" s="161"/>
      <c r="EF22" s="161"/>
      <c r="EG22" s="161"/>
      <c r="EH22" s="161"/>
      <c r="EI22" s="161"/>
      <c r="EJ22" s="161"/>
      <c r="EK22" s="136"/>
      <c r="EL22" s="136"/>
      <c r="EM22" s="136"/>
      <c r="EN22" s="136"/>
      <c r="EO22" s="136"/>
      <c r="EP22" s="136"/>
      <c r="EQ22" s="136"/>
      <c r="ER22" s="136"/>
      <c r="ES22" s="161"/>
      <c r="ET22" s="161"/>
      <c r="EU22" s="161"/>
      <c r="EV22" s="161"/>
      <c r="EW22" s="161"/>
      <c r="EX22" s="161"/>
      <c r="EY22" s="136"/>
      <c r="EZ22" s="136"/>
      <c r="FA22" s="161"/>
      <c r="FB22" s="161"/>
      <c r="FC22" s="161"/>
      <c r="FD22" s="161"/>
      <c r="FE22" s="161"/>
      <c r="FF22" s="161"/>
      <c r="FG22" s="161"/>
      <c r="FH22" s="161"/>
      <c r="FI22" s="161"/>
      <c r="FJ22" s="161"/>
      <c r="FK22" s="161"/>
      <c r="FL22" s="161"/>
      <c r="FM22" s="136"/>
      <c r="FN22" s="136"/>
      <c r="FO22" s="161"/>
      <c r="FP22" s="161"/>
      <c r="FQ22" s="161"/>
      <c r="FR22" s="161"/>
      <c r="FS22" s="161"/>
      <c r="FT22" s="161"/>
      <c r="FU22" s="161"/>
      <c r="FV22" s="161"/>
      <c r="FW22" s="161"/>
      <c r="FX22" s="161"/>
      <c r="FY22" s="161"/>
      <c r="FZ22" s="161"/>
      <c r="GA22" s="136"/>
      <c r="GB22" s="136"/>
      <c r="GC22" s="161"/>
      <c r="GD22" s="161"/>
      <c r="GE22" s="161"/>
      <c r="GF22" s="161"/>
      <c r="GG22" s="161"/>
      <c r="GH22" s="161"/>
      <c r="GI22" s="161"/>
      <c r="GJ22" s="161"/>
      <c r="GK22" s="161"/>
      <c r="GL22" s="161"/>
      <c r="GM22" s="161"/>
      <c r="GN22" s="161"/>
    </row>
    <row r="23" spans="1:196" ht="25">
      <c r="A23" s="118"/>
      <c r="B23" s="142" t="s">
        <v>846</v>
      </c>
      <c r="C23" s="143" t="s">
        <v>631</v>
      </c>
      <c r="D23" s="119"/>
      <c r="E23" s="119"/>
      <c r="F23" s="168">
        <v>46230</v>
      </c>
      <c r="G23" s="144">
        <v>5</v>
      </c>
      <c r="H23" s="148"/>
      <c r="I23" s="145" t="s">
        <v>691</v>
      </c>
      <c r="J23" s="146">
        <f t="shared" si="179"/>
        <v>0</v>
      </c>
      <c r="K23" s="185" t="s">
        <v>1054</v>
      </c>
      <c r="L23" s="161"/>
      <c r="M23" s="136"/>
      <c r="N23" s="136"/>
      <c r="O23" s="136"/>
      <c r="P23" s="136"/>
      <c r="Q23" s="136"/>
      <c r="R23" s="136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36"/>
      <c r="AD23" s="136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36"/>
      <c r="AR23" s="136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36"/>
      <c r="BF23" s="136"/>
      <c r="BG23" s="161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36"/>
      <c r="BT23" s="136"/>
      <c r="BU23" s="161"/>
      <c r="BV23" s="161"/>
      <c r="BW23" s="161"/>
      <c r="BX23" s="161"/>
      <c r="BY23" s="161"/>
      <c r="BZ23" s="161"/>
      <c r="CA23" s="161"/>
      <c r="CB23" s="161"/>
      <c r="CC23" s="161"/>
      <c r="CD23" s="161"/>
      <c r="CE23" s="161">
        <v>5</v>
      </c>
      <c r="CF23" s="161"/>
      <c r="CG23" s="136"/>
      <c r="CH23" s="136"/>
      <c r="CI23" s="161"/>
      <c r="CJ23" s="161"/>
      <c r="CK23" s="161"/>
      <c r="CL23" s="161"/>
      <c r="CM23" s="161"/>
      <c r="CN23" s="161"/>
      <c r="CO23" s="161"/>
      <c r="CP23" s="161"/>
      <c r="CQ23" s="161"/>
      <c r="CR23" s="161"/>
      <c r="CS23" s="161"/>
      <c r="CT23" s="161"/>
      <c r="CU23" s="136"/>
      <c r="CV23" s="136"/>
      <c r="CW23" s="161"/>
      <c r="CX23" s="161"/>
      <c r="CY23" s="161"/>
      <c r="CZ23" s="161"/>
      <c r="DA23" s="161"/>
      <c r="DB23" s="161"/>
      <c r="DC23" s="161"/>
      <c r="DD23" s="161"/>
      <c r="DE23" s="161"/>
      <c r="DF23" s="161"/>
      <c r="DG23" s="161"/>
      <c r="DH23" s="161"/>
      <c r="DI23" s="136"/>
      <c r="DJ23" s="136"/>
      <c r="DK23" s="161"/>
      <c r="DL23" s="161"/>
      <c r="DM23" s="161"/>
      <c r="DN23" s="161"/>
      <c r="DO23" s="161"/>
      <c r="DP23" s="161"/>
      <c r="DQ23" s="161"/>
      <c r="DR23" s="161"/>
      <c r="DS23" s="161"/>
      <c r="DT23" s="161"/>
      <c r="DU23" s="161"/>
      <c r="DV23" s="161"/>
      <c r="DW23" s="136"/>
      <c r="DX23" s="136"/>
      <c r="DY23" s="161"/>
      <c r="DZ23" s="161"/>
      <c r="EA23" s="161"/>
      <c r="EB23" s="161"/>
      <c r="EC23" s="161"/>
      <c r="ED23" s="161"/>
      <c r="EE23" s="161"/>
      <c r="EF23" s="161"/>
      <c r="EG23" s="161"/>
      <c r="EH23" s="161"/>
      <c r="EI23" s="161"/>
      <c r="EJ23" s="161"/>
      <c r="EK23" s="136"/>
      <c r="EL23" s="136"/>
      <c r="EM23" s="136"/>
      <c r="EN23" s="136"/>
      <c r="EO23" s="136"/>
      <c r="EP23" s="136"/>
      <c r="EQ23" s="136"/>
      <c r="ER23" s="136"/>
      <c r="ES23" s="161"/>
      <c r="ET23" s="161"/>
      <c r="EU23" s="161"/>
      <c r="EV23" s="161"/>
      <c r="EW23" s="161"/>
      <c r="EX23" s="161"/>
      <c r="EY23" s="136"/>
      <c r="EZ23" s="136"/>
      <c r="FA23" s="161"/>
      <c r="FB23" s="161"/>
      <c r="FC23" s="161"/>
      <c r="FD23" s="161"/>
      <c r="FE23" s="161"/>
      <c r="FF23" s="161"/>
      <c r="FG23" s="161"/>
      <c r="FH23" s="161"/>
      <c r="FI23" s="161"/>
      <c r="FJ23" s="161"/>
      <c r="FK23" s="161"/>
      <c r="FL23" s="161"/>
      <c r="FM23" s="136"/>
      <c r="FN23" s="136"/>
      <c r="FO23" s="161"/>
      <c r="FP23" s="161"/>
      <c r="FQ23" s="161"/>
      <c r="FR23" s="161"/>
      <c r="FS23" s="161"/>
      <c r="FT23" s="161"/>
      <c r="FU23" s="161"/>
      <c r="FV23" s="161"/>
      <c r="FW23" s="161"/>
      <c r="FX23" s="161"/>
      <c r="FY23" s="161"/>
      <c r="FZ23" s="161"/>
      <c r="GA23" s="136"/>
      <c r="GB23" s="136"/>
      <c r="GC23" s="161"/>
      <c r="GD23" s="161"/>
      <c r="GE23" s="161"/>
      <c r="GF23" s="161"/>
      <c r="GG23" s="161"/>
      <c r="GH23" s="161"/>
      <c r="GI23" s="161"/>
      <c r="GJ23" s="161"/>
      <c r="GK23" s="161"/>
      <c r="GL23" s="161"/>
      <c r="GM23" s="161"/>
      <c r="GN23" s="161"/>
    </row>
    <row r="24" spans="1:196" ht="25">
      <c r="A24" s="118"/>
      <c r="B24" s="142" t="s">
        <v>830</v>
      </c>
      <c r="C24" s="143" t="s">
        <v>628</v>
      </c>
      <c r="D24" s="119"/>
      <c r="E24" s="119"/>
      <c r="F24" s="168">
        <v>46230</v>
      </c>
      <c r="G24" s="144">
        <v>5</v>
      </c>
      <c r="H24" s="148"/>
      <c r="I24" s="145" t="s">
        <v>691</v>
      </c>
      <c r="J24" s="146">
        <f t="shared" si="179"/>
        <v>0</v>
      </c>
      <c r="K24" s="147" t="s">
        <v>798</v>
      </c>
      <c r="L24" s="161"/>
      <c r="M24" s="136"/>
      <c r="N24" s="136"/>
      <c r="O24" s="136"/>
      <c r="P24" s="136"/>
      <c r="Q24" s="136"/>
      <c r="R24" s="136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36"/>
      <c r="AD24" s="136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36"/>
      <c r="AR24" s="136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36"/>
      <c r="BF24" s="136"/>
      <c r="BG24" s="161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36"/>
      <c r="BT24" s="136"/>
      <c r="BU24" s="161"/>
      <c r="BV24" s="161"/>
      <c r="BW24" s="161"/>
      <c r="BX24" s="161"/>
      <c r="BY24" s="161"/>
      <c r="BZ24" s="161"/>
      <c r="CA24" s="161"/>
      <c r="CB24" s="161"/>
      <c r="CC24" s="161"/>
      <c r="CD24" s="161"/>
      <c r="CE24" s="161">
        <v>5</v>
      </c>
      <c r="CF24" s="161"/>
      <c r="CG24" s="136"/>
      <c r="CH24" s="136"/>
      <c r="CI24" s="161"/>
      <c r="CJ24" s="161"/>
      <c r="CK24" s="161"/>
      <c r="CL24" s="161"/>
      <c r="CM24" s="161"/>
      <c r="CN24" s="161"/>
      <c r="CO24" s="161"/>
      <c r="CP24" s="161"/>
      <c r="CQ24" s="161"/>
      <c r="CR24" s="161"/>
      <c r="CS24" s="161"/>
      <c r="CT24" s="161"/>
      <c r="CU24" s="136"/>
      <c r="CV24" s="136"/>
      <c r="CW24" s="161"/>
      <c r="CX24" s="161"/>
      <c r="CY24" s="161"/>
      <c r="CZ24" s="161"/>
      <c r="DA24" s="161"/>
      <c r="DB24" s="161"/>
      <c r="DC24" s="161"/>
      <c r="DD24" s="161"/>
      <c r="DE24" s="161"/>
      <c r="DF24" s="161"/>
      <c r="DG24" s="161"/>
      <c r="DH24" s="161"/>
      <c r="DI24" s="136"/>
      <c r="DJ24" s="136"/>
      <c r="DK24" s="161"/>
      <c r="DL24" s="161"/>
      <c r="DM24" s="161"/>
      <c r="DN24" s="161"/>
      <c r="DO24" s="161"/>
      <c r="DP24" s="161"/>
      <c r="DQ24" s="161"/>
      <c r="DR24" s="161"/>
      <c r="DS24" s="161"/>
      <c r="DT24" s="161"/>
      <c r="DU24" s="161"/>
      <c r="DV24" s="161"/>
      <c r="DW24" s="136"/>
      <c r="DX24" s="136"/>
      <c r="DY24" s="161"/>
      <c r="DZ24" s="161"/>
      <c r="EA24" s="161"/>
      <c r="EB24" s="161"/>
      <c r="EC24" s="161"/>
      <c r="ED24" s="161"/>
      <c r="EE24" s="161"/>
      <c r="EF24" s="161"/>
      <c r="EG24" s="161"/>
      <c r="EH24" s="161"/>
      <c r="EI24" s="161"/>
      <c r="EJ24" s="161"/>
      <c r="EK24" s="136"/>
      <c r="EL24" s="136"/>
      <c r="EM24" s="136"/>
      <c r="EN24" s="136"/>
      <c r="EO24" s="136"/>
      <c r="EP24" s="136"/>
      <c r="EQ24" s="136"/>
      <c r="ER24" s="136"/>
      <c r="ES24" s="161"/>
      <c r="ET24" s="161"/>
      <c r="EU24" s="161"/>
      <c r="EV24" s="161"/>
      <c r="EW24" s="161"/>
      <c r="EX24" s="161"/>
      <c r="EY24" s="136"/>
      <c r="EZ24" s="136"/>
      <c r="FA24" s="161"/>
      <c r="FB24" s="161"/>
      <c r="FC24" s="161"/>
      <c r="FD24" s="161"/>
      <c r="FE24" s="161"/>
      <c r="FF24" s="161"/>
      <c r="FG24" s="161"/>
      <c r="FH24" s="161"/>
      <c r="FI24" s="161"/>
      <c r="FJ24" s="161"/>
      <c r="FK24" s="161"/>
      <c r="FL24" s="161"/>
      <c r="FM24" s="136"/>
      <c r="FN24" s="136"/>
      <c r="FO24" s="161"/>
      <c r="FP24" s="161"/>
      <c r="FQ24" s="161"/>
      <c r="FR24" s="161"/>
      <c r="FS24" s="161"/>
      <c r="FT24" s="161"/>
      <c r="FU24" s="161"/>
      <c r="FV24" s="161"/>
      <c r="FW24" s="161"/>
      <c r="FX24" s="161"/>
      <c r="FY24" s="161"/>
      <c r="FZ24" s="161"/>
      <c r="GA24" s="136"/>
      <c r="GB24" s="136"/>
      <c r="GC24" s="161"/>
      <c r="GD24" s="161"/>
      <c r="GE24" s="161"/>
      <c r="GF24" s="161"/>
      <c r="GG24" s="161"/>
      <c r="GH24" s="161"/>
      <c r="GI24" s="161"/>
      <c r="GJ24" s="161"/>
      <c r="GK24" s="161"/>
      <c r="GL24" s="161"/>
      <c r="GM24" s="161"/>
      <c r="GN24" s="161"/>
    </row>
    <row r="25" spans="1:196" ht="25">
      <c r="A25" s="118"/>
      <c r="B25" s="142" t="s">
        <v>831</v>
      </c>
      <c r="C25" s="143" t="s">
        <v>629</v>
      </c>
      <c r="D25" s="119"/>
      <c r="E25" s="119"/>
      <c r="F25" s="168">
        <v>46230</v>
      </c>
      <c r="G25" s="144">
        <v>5</v>
      </c>
      <c r="H25" s="148"/>
      <c r="I25" s="145" t="s">
        <v>691</v>
      </c>
      <c r="J25" s="146">
        <f t="shared" si="179"/>
        <v>0</v>
      </c>
      <c r="K25" s="147" t="s">
        <v>799</v>
      </c>
      <c r="L25" s="161"/>
      <c r="M25" s="136"/>
      <c r="N25" s="136"/>
      <c r="O25" s="136"/>
      <c r="P25" s="136"/>
      <c r="Q25" s="136"/>
      <c r="R25" s="136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36"/>
      <c r="AD25" s="136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36"/>
      <c r="AR25" s="136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36"/>
      <c r="BF25" s="136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36"/>
      <c r="BT25" s="136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>
        <v>5</v>
      </c>
      <c r="CF25" s="161"/>
      <c r="CG25" s="136"/>
      <c r="CH25" s="136"/>
      <c r="CI25" s="161"/>
      <c r="CJ25" s="161"/>
      <c r="CK25" s="161"/>
      <c r="CL25" s="161"/>
      <c r="CM25" s="161"/>
      <c r="CN25" s="161"/>
      <c r="CO25" s="161"/>
      <c r="CP25" s="161"/>
      <c r="CQ25" s="161"/>
      <c r="CR25" s="161"/>
      <c r="CS25" s="161"/>
      <c r="CT25" s="161"/>
      <c r="CU25" s="136"/>
      <c r="CV25" s="136"/>
      <c r="CW25" s="161"/>
      <c r="CX25" s="161"/>
      <c r="CY25" s="161"/>
      <c r="CZ25" s="161"/>
      <c r="DA25" s="161"/>
      <c r="DB25" s="161"/>
      <c r="DC25" s="161"/>
      <c r="DD25" s="161"/>
      <c r="DE25" s="161"/>
      <c r="DF25" s="161"/>
      <c r="DG25" s="161"/>
      <c r="DH25" s="161"/>
      <c r="DI25" s="136"/>
      <c r="DJ25" s="136"/>
      <c r="DK25" s="161"/>
      <c r="DL25" s="161"/>
      <c r="DM25" s="161"/>
      <c r="DN25" s="161"/>
      <c r="DO25" s="161"/>
      <c r="DP25" s="161"/>
      <c r="DQ25" s="161"/>
      <c r="DR25" s="161"/>
      <c r="DS25" s="161"/>
      <c r="DT25" s="161"/>
      <c r="DU25" s="161"/>
      <c r="DV25" s="161"/>
      <c r="DW25" s="136"/>
      <c r="DX25" s="136"/>
      <c r="DY25" s="161"/>
      <c r="DZ25" s="161"/>
      <c r="EA25" s="161"/>
      <c r="EB25" s="161"/>
      <c r="EC25" s="161"/>
      <c r="ED25" s="161"/>
      <c r="EE25" s="161"/>
      <c r="EF25" s="161"/>
      <c r="EG25" s="161"/>
      <c r="EH25" s="161"/>
      <c r="EI25" s="161"/>
      <c r="EJ25" s="161"/>
      <c r="EK25" s="136"/>
      <c r="EL25" s="136"/>
      <c r="EM25" s="136"/>
      <c r="EN25" s="136"/>
      <c r="EO25" s="136"/>
      <c r="EP25" s="136"/>
      <c r="EQ25" s="136"/>
      <c r="ER25" s="136"/>
      <c r="ES25" s="161"/>
      <c r="ET25" s="161"/>
      <c r="EU25" s="161"/>
      <c r="EV25" s="161"/>
      <c r="EW25" s="161"/>
      <c r="EX25" s="161"/>
      <c r="EY25" s="136"/>
      <c r="EZ25" s="136"/>
      <c r="FA25" s="161"/>
      <c r="FB25" s="161"/>
      <c r="FC25" s="161"/>
      <c r="FD25" s="161"/>
      <c r="FE25" s="161"/>
      <c r="FF25" s="161"/>
      <c r="FG25" s="161"/>
      <c r="FH25" s="161"/>
      <c r="FI25" s="161"/>
      <c r="FJ25" s="161"/>
      <c r="FK25" s="161"/>
      <c r="FL25" s="161"/>
      <c r="FM25" s="136"/>
      <c r="FN25" s="136"/>
      <c r="FO25" s="161"/>
      <c r="FP25" s="161"/>
      <c r="FQ25" s="161"/>
      <c r="FR25" s="161"/>
      <c r="FS25" s="161"/>
      <c r="FT25" s="161"/>
      <c r="FU25" s="161"/>
      <c r="FV25" s="161"/>
      <c r="FW25" s="161"/>
      <c r="FX25" s="161"/>
      <c r="FY25" s="161"/>
      <c r="FZ25" s="161"/>
      <c r="GA25" s="136"/>
      <c r="GB25" s="136"/>
      <c r="GC25" s="161"/>
      <c r="GD25" s="161"/>
      <c r="GE25" s="161"/>
      <c r="GF25" s="161"/>
      <c r="GG25" s="161"/>
      <c r="GH25" s="161"/>
      <c r="GI25" s="161"/>
      <c r="GJ25" s="161"/>
      <c r="GK25" s="161"/>
      <c r="GL25" s="161"/>
      <c r="GM25" s="161"/>
      <c r="GN25" s="161"/>
    </row>
    <row r="26" spans="1:196">
      <c r="A26" s="122"/>
      <c r="B26" s="126" t="s">
        <v>833</v>
      </c>
      <c r="C26" s="126" t="s">
        <v>16</v>
      </c>
      <c r="D26" s="119"/>
      <c r="E26" s="119" t="e">
        <f>VLOOKUP(C26,#REF!,5,0)</f>
        <v>#REF!</v>
      </c>
      <c r="F26" s="107"/>
      <c r="G26" s="127">
        <v>850</v>
      </c>
      <c r="H26" s="107"/>
      <c r="I26" s="125">
        <v>46235</v>
      </c>
      <c r="J26" s="13">
        <f t="shared" si="178"/>
        <v>0</v>
      </c>
      <c r="K26" s="124" t="s">
        <v>1316</v>
      </c>
      <c r="L26" s="161"/>
      <c r="M26" s="136"/>
      <c r="N26" s="136"/>
      <c r="O26" s="136"/>
      <c r="P26" s="136"/>
      <c r="Q26" s="136"/>
      <c r="R26" s="136"/>
      <c r="S26" s="161"/>
      <c r="T26" s="161"/>
      <c r="U26" s="161"/>
      <c r="V26" s="161"/>
      <c r="W26" s="135"/>
      <c r="X26" s="135"/>
      <c r="Y26" s="135"/>
      <c r="Z26" s="135"/>
      <c r="AA26" s="135"/>
      <c r="AB26" s="135"/>
      <c r="AC26" s="136"/>
      <c r="AD26" s="136"/>
      <c r="AE26" s="161"/>
      <c r="AF26" s="161"/>
      <c r="AG26" s="161"/>
      <c r="AH26" s="161"/>
      <c r="AI26" s="161"/>
      <c r="AJ26" s="161"/>
      <c r="AK26" s="135"/>
      <c r="AL26" s="135"/>
      <c r="AM26" s="135"/>
      <c r="AN26" s="135"/>
      <c r="AO26" s="135"/>
      <c r="AP26" s="135"/>
      <c r="AQ26" s="136"/>
      <c r="AR26" s="136"/>
      <c r="AS26" s="161"/>
      <c r="AT26" s="161"/>
      <c r="AU26" s="161"/>
      <c r="AV26" s="161"/>
      <c r="AW26" s="161"/>
      <c r="AX26" s="161"/>
      <c r="AY26" s="135"/>
      <c r="AZ26" s="135"/>
      <c r="BA26" s="135"/>
      <c r="BB26" s="135"/>
      <c r="BC26" s="135"/>
      <c r="BD26" s="135"/>
      <c r="BE26" s="136"/>
      <c r="BF26" s="136"/>
      <c r="BG26" s="161"/>
      <c r="BH26" s="161"/>
      <c r="BI26" s="161"/>
      <c r="BJ26" s="161"/>
      <c r="BK26" s="161"/>
      <c r="BL26" s="161"/>
      <c r="BM26" s="135"/>
      <c r="BN26" s="135"/>
      <c r="BO26" s="135"/>
      <c r="BP26" s="135"/>
      <c r="BQ26" s="135"/>
      <c r="BR26" s="135"/>
      <c r="BS26" s="136"/>
      <c r="BT26" s="136"/>
      <c r="BU26" s="161"/>
      <c r="BV26" s="161"/>
      <c r="BW26" s="161"/>
      <c r="BX26" s="161"/>
      <c r="BY26" s="161"/>
      <c r="BZ26" s="161"/>
      <c r="CA26" s="135"/>
      <c r="CB26" s="135"/>
      <c r="CC26" s="135"/>
      <c r="CD26" s="135"/>
      <c r="CE26" s="135"/>
      <c r="CF26" s="135"/>
      <c r="CG26" s="136"/>
      <c r="CH26" s="136"/>
      <c r="CI26" s="161"/>
      <c r="CJ26" s="161"/>
      <c r="CK26" s="161"/>
      <c r="CL26" s="161"/>
      <c r="CM26" s="161"/>
      <c r="CN26" s="161"/>
      <c r="CO26" s="135"/>
      <c r="CP26" s="135"/>
      <c r="CQ26" s="135">
        <v>850</v>
      </c>
      <c r="CR26" s="135"/>
      <c r="CS26" s="135"/>
      <c r="CT26" s="135"/>
      <c r="CU26" s="136"/>
      <c r="CV26" s="136"/>
      <c r="CW26" s="161"/>
      <c r="CX26" s="161"/>
      <c r="CY26" s="161"/>
      <c r="CZ26" s="161"/>
      <c r="DA26" s="161"/>
      <c r="DB26" s="161"/>
      <c r="DC26" s="135"/>
      <c r="DD26" s="135"/>
      <c r="DE26" s="135"/>
      <c r="DF26" s="135"/>
      <c r="DG26" s="135"/>
      <c r="DH26" s="135"/>
      <c r="DI26" s="136"/>
      <c r="DJ26" s="136"/>
      <c r="DK26" s="161"/>
      <c r="DL26" s="161"/>
      <c r="DM26" s="161"/>
      <c r="DN26" s="161"/>
      <c r="DO26" s="161"/>
      <c r="DP26" s="161"/>
      <c r="DQ26" s="135"/>
      <c r="DR26" s="135"/>
      <c r="DS26" s="135"/>
      <c r="DT26" s="135"/>
      <c r="DU26" s="135"/>
      <c r="DV26" s="135"/>
      <c r="DW26" s="136"/>
      <c r="DX26" s="136"/>
      <c r="DY26" s="161"/>
      <c r="DZ26" s="161"/>
      <c r="EA26" s="161"/>
      <c r="EB26" s="161"/>
      <c r="EC26" s="161"/>
      <c r="ED26" s="161"/>
      <c r="EE26" s="135"/>
      <c r="EF26" s="135"/>
      <c r="EG26" s="135"/>
      <c r="EH26" s="135"/>
      <c r="EI26" s="135"/>
      <c r="EJ26" s="135"/>
      <c r="EK26" s="136"/>
      <c r="EL26" s="136"/>
      <c r="EM26" s="136"/>
      <c r="EN26" s="136"/>
      <c r="EO26" s="136"/>
      <c r="EP26" s="136"/>
      <c r="EQ26" s="136"/>
      <c r="ER26" s="136"/>
      <c r="ES26" s="135"/>
      <c r="ET26" s="135"/>
      <c r="EU26" s="135"/>
      <c r="EV26" s="135"/>
      <c r="EW26" s="135"/>
      <c r="EX26" s="135"/>
      <c r="EY26" s="136"/>
      <c r="EZ26" s="136"/>
      <c r="FA26" s="161"/>
      <c r="FB26" s="161"/>
      <c r="FC26" s="161"/>
      <c r="FD26" s="161"/>
      <c r="FE26" s="161"/>
      <c r="FF26" s="161"/>
      <c r="FG26" s="135"/>
      <c r="FH26" s="135"/>
      <c r="FI26" s="135"/>
      <c r="FJ26" s="135"/>
      <c r="FK26" s="135"/>
      <c r="FL26" s="135"/>
      <c r="FM26" s="136"/>
      <c r="FN26" s="136"/>
      <c r="FO26" s="161"/>
      <c r="FP26" s="161"/>
      <c r="FQ26" s="161"/>
      <c r="FR26" s="161"/>
      <c r="FS26" s="161"/>
      <c r="FT26" s="161"/>
      <c r="FU26" s="135"/>
      <c r="FV26" s="135"/>
      <c r="FW26" s="135"/>
      <c r="FX26" s="135"/>
      <c r="FY26" s="135"/>
      <c r="FZ26" s="135"/>
      <c r="GA26" s="136"/>
      <c r="GB26" s="136"/>
      <c r="GC26" s="161"/>
      <c r="GD26" s="161"/>
      <c r="GE26" s="161"/>
      <c r="GF26" s="161"/>
      <c r="GG26" s="161"/>
      <c r="GH26" s="161"/>
      <c r="GI26" s="135"/>
      <c r="GJ26" s="135"/>
      <c r="GK26" s="135"/>
      <c r="GL26" s="135"/>
      <c r="GM26" s="135"/>
      <c r="GN26" s="135"/>
    </row>
    <row r="27" spans="1:196">
      <c r="A27" s="122"/>
      <c r="B27" s="142" t="s">
        <v>1103</v>
      </c>
      <c r="C27" s="143">
        <v>352453120395</v>
      </c>
      <c r="D27" s="119"/>
      <c r="E27" s="119"/>
      <c r="F27" s="148"/>
      <c r="G27" s="144">
        <v>30</v>
      </c>
      <c r="H27" s="148"/>
      <c r="I27" s="145" t="s">
        <v>1107</v>
      </c>
      <c r="J27" s="146">
        <f>G27-SUM(L27:FL27)</f>
        <v>0</v>
      </c>
      <c r="K27" s="147" t="s">
        <v>1104</v>
      </c>
      <c r="L27" s="161"/>
      <c r="M27" s="136"/>
      <c r="N27" s="136"/>
      <c r="O27" s="136"/>
      <c r="P27" s="136"/>
      <c r="Q27" s="136"/>
      <c r="R27" s="136"/>
      <c r="S27" s="161"/>
      <c r="T27" s="161"/>
      <c r="U27" s="161"/>
      <c r="V27" s="161"/>
      <c r="W27" s="135"/>
      <c r="X27" s="135"/>
      <c r="Y27" s="135"/>
      <c r="Z27" s="135"/>
      <c r="AA27" s="135"/>
      <c r="AB27" s="135"/>
      <c r="AC27" s="136"/>
      <c r="AD27" s="136"/>
      <c r="AE27" s="161"/>
      <c r="AF27" s="161"/>
      <c r="AG27" s="161"/>
      <c r="AH27" s="161"/>
      <c r="AI27" s="161"/>
      <c r="AJ27" s="161"/>
      <c r="AK27" s="135"/>
      <c r="AL27" s="135"/>
      <c r="AM27" s="135"/>
      <c r="AN27" s="135"/>
      <c r="AO27" s="135"/>
      <c r="AP27" s="135"/>
      <c r="AQ27" s="136"/>
      <c r="AR27" s="136"/>
      <c r="AS27" s="161"/>
      <c r="AT27" s="161"/>
      <c r="AU27" s="161"/>
      <c r="AV27" s="161"/>
      <c r="AW27" s="161"/>
      <c r="AX27" s="161"/>
      <c r="AY27" s="135"/>
      <c r="AZ27" s="135"/>
      <c r="BA27" s="135"/>
      <c r="BB27" s="135"/>
      <c r="BC27" s="135"/>
      <c r="BD27" s="135"/>
      <c r="BE27" s="136"/>
      <c r="BF27" s="136"/>
      <c r="BG27" s="161"/>
      <c r="BH27" s="161"/>
      <c r="BI27" s="161"/>
      <c r="BJ27" s="161"/>
      <c r="BK27" s="161"/>
      <c r="BL27" s="161"/>
      <c r="BM27" s="135"/>
      <c r="BN27" s="135"/>
      <c r="BO27" s="135"/>
      <c r="BP27" s="135"/>
      <c r="BQ27" s="135"/>
      <c r="BR27" s="135"/>
      <c r="BS27" s="136"/>
      <c r="BT27" s="136"/>
      <c r="BU27" s="161"/>
      <c r="BV27" s="161"/>
      <c r="BW27" s="161"/>
      <c r="BX27" s="161"/>
      <c r="BY27" s="161"/>
      <c r="BZ27" s="161"/>
      <c r="CA27" s="135"/>
      <c r="CB27" s="135"/>
      <c r="CC27" s="135"/>
      <c r="CD27" s="135"/>
      <c r="CE27" s="135"/>
      <c r="CF27" s="135"/>
      <c r="CG27" s="136"/>
      <c r="CH27" s="136"/>
      <c r="CI27" s="161"/>
      <c r="CJ27" s="161"/>
      <c r="CK27" s="161"/>
      <c r="CL27" s="161"/>
      <c r="CM27" s="161"/>
      <c r="CN27" s="161"/>
      <c r="CO27" s="161"/>
      <c r="CP27" s="161"/>
      <c r="CQ27" s="161"/>
      <c r="CR27" s="161"/>
      <c r="CS27" s="161"/>
      <c r="CT27" s="161"/>
      <c r="CU27" s="136"/>
      <c r="CV27" s="136"/>
      <c r="CW27" s="161">
        <v>30</v>
      </c>
      <c r="CX27" s="161"/>
      <c r="CY27" s="161"/>
      <c r="CZ27" s="161"/>
      <c r="DA27" s="161"/>
      <c r="DB27" s="161"/>
      <c r="DC27" s="161"/>
      <c r="DD27" s="161"/>
      <c r="DE27" s="161"/>
      <c r="DF27" s="161"/>
      <c r="DG27" s="161"/>
      <c r="DH27" s="161"/>
      <c r="DI27" s="136"/>
      <c r="DJ27" s="136"/>
      <c r="DK27" s="161"/>
      <c r="DL27" s="161"/>
      <c r="DM27" s="161"/>
      <c r="DN27" s="161"/>
      <c r="DO27" s="161"/>
      <c r="DP27" s="161"/>
      <c r="DQ27" s="161"/>
      <c r="DR27" s="135"/>
      <c r="DS27" s="135"/>
      <c r="DT27" s="135"/>
      <c r="DU27" s="135"/>
      <c r="DV27" s="135"/>
      <c r="DW27" s="136"/>
      <c r="DX27" s="136"/>
      <c r="DY27" s="161"/>
      <c r="DZ27" s="161"/>
      <c r="EA27" s="161"/>
      <c r="EB27" s="161"/>
      <c r="EC27" s="161"/>
      <c r="ED27" s="161"/>
      <c r="EE27" s="135"/>
      <c r="EF27" s="135"/>
      <c r="EG27" s="135"/>
      <c r="EH27" s="135"/>
      <c r="EI27" s="135"/>
      <c r="EJ27" s="135"/>
      <c r="EK27" s="136"/>
      <c r="EL27" s="136"/>
      <c r="EM27" s="136"/>
      <c r="EN27" s="136"/>
      <c r="EO27" s="136"/>
      <c r="EP27" s="136"/>
      <c r="EQ27" s="136"/>
      <c r="ER27" s="136"/>
      <c r="ES27" s="135"/>
      <c r="ET27" s="135"/>
      <c r="EU27" s="135"/>
      <c r="EV27" s="135"/>
      <c r="EW27" s="135"/>
      <c r="EX27" s="135"/>
      <c r="EY27" s="136"/>
      <c r="EZ27" s="136"/>
      <c r="FA27" s="161"/>
      <c r="FB27" s="161"/>
      <c r="FC27" s="161"/>
      <c r="FD27" s="161"/>
      <c r="FE27" s="161"/>
      <c r="FF27" s="161"/>
      <c r="FG27" s="135"/>
      <c r="FH27" s="135"/>
      <c r="FI27" s="135"/>
      <c r="FJ27" s="135"/>
      <c r="FK27" s="135"/>
      <c r="FL27" s="135"/>
      <c r="FM27" s="136"/>
      <c r="FN27" s="136"/>
      <c r="FO27" s="161"/>
      <c r="FP27" s="161"/>
      <c r="FQ27" s="161"/>
      <c r="FR27" s="161"/>
      <c r="FS27" s="161"/>
      <c r="FT27" s="161"/>
      <c r="FU27" s="135"/>
      <c r="FV27" s="135"/>
      <c r="FW27" s="135"/>
      <c r="FX27" s="135"/>
      <c r="FY27" s="135"/>
      <c r="FZ27" s="135"/>
      <c r="GA27" s="136"/>
      <c r="GB27" s="136"/>
      <c r="GC27" s="161"/>
      <c r="GD27" s="161"/>
      <c r="GE27" s="161"/>
      <c r="GF27" s="161"/>
      <c r="GG27" s="161"/>
      <c r="GH27" s="161"/>
      <c r="GI27" s="135"/>
      <c r="GJ27" s="135"/>
      <c r="GK27" s="135"/>
      <c r="GL27" s="135"/>
      <c r="GM27" s="135"/>
      <c r="GN27" s="135"/>
    </row>
    <row r="28" spans="1:196">
      <c r="A28" s="122" t="s">
        <v>7</v>
      </c>
      <c r="B28" s="126" t="s">
        <v>995</v>
      </c>
      <c r="C28" s="126" t="s">
        <v>260</v>
      </c>
      <c r="D28" s="119"/>
      <c r="E28" s="119" t="e">
        <f>VLOOKUP(C28,#REF!,5,0)</f>
        <v>#REF!</v>
      </c>
      <c r="F28" s="107"/>
      <c r="G28" s="127">
        <v>600</v>
      </c>
      <c r="H28" s="6"/>
      <c r="I28" s="125">
        <v>46249</v>
      </c>
      <c r="J28" s="13">
        <f t="shared" si="178"/>
        <v>0</v>
      </c>
      <c r="K28" s="176"/>
      <c r="L28" s="161"/>
      <c r="M28" s="136"/>
      <c r="N28" s="136"/>
      <c r="O28" s="136"/>
      <c r="P28" s="136"/>
      <c r="Q28" s="136"/>
      <c r="R28" s="136"/>
      <c r="S28" s="161"/>
      <c r="T28" s="161"/>
      <c r="U28" s="161"/>
      <c r="V28" s="161"/>
      <c r="W28" s="135"/>
      <c r="X28" s="135"/>
      <c r="Y28" s="135"/>
      <c r="Z28" s="135"/>
      <c r="AA28" s="135"/>
      <c r="AB28" s="135"/>
      <c r="AC28" s="136"/>
      <c r="AD28" s="136"/>
      <c r="AE28" s="161"/>
      <c r="AF28" s="161"/>
      <c r="AG28" s="161"/>
      <c r="AH28" s="161"/>
      <c r="AI28" s="161"/>
      <c r="AJ28" s="161"/>
      <c r="AK28" s="135"/>
      <c r="AL28" s="135"/>
      <c r="AM28" s="135"/>
      <c r="AN28" s="135"/>
      <c r="AO28" s="135"/>
      <c r="AP28" s="135"/>
      <c r="AQ28" s="136"/>
      <c r="AR28" s="136"/>
      <c r="AS28" s="161"/>
      <c r="AT28" s="161"/>
      <c r="AU28" s="161"/>
      <c r="AV28" s="161"/>
      <c r="AW28" s="161"/>
      <c r="AX28" s="161"/>
      <c r="AY28" s="135"/>
      <c r="AZ28" s="135"/>
      <c r="BA28" s="135"/>
      <c r="BB28" s="135"/>
      <c r="BC28" s="135"/>
      <c r="BD28" s="135"/>
      <c r="BE28" s="136"/>
      <c r="BF28" s="136"/>
      <c r="BG28" s="161"/>
      <c r="BH28" s="161"/>
      <c r="BI28" s="161"/>
      <c r="BJ28" s="161"/>
      <c r="BK28" s="161"/>
      <c r="BL28" s="161"/>
      <c r="BM28" s="135"/>
      <c r="BN28" s="135"/>
      <c r="BO28" s="135"/>
      <c r="BP28" s="135"/>
      <c r="BQ28" s="135"/>
      <c r="BR28" s="135"/>
      <c r="BS28" s="136"/>
      <c r="BT28" s="136"/>
      <c r="BU28" s="161"/>
      <c r="BV28" s="161"/>
      <c r="BW28" s="161"/>
      <c r="BX28" s="161"/>
      <c r="BY28" s="161"/>
      <c r="BZ28" s="161"/>
      <c r="CA28" s="135"/>
      <c r="CB28" s="135"/>
      <c r="CC28" s="135"/>
      <c r="CD28" s="135"/>
      <c r="CE28" s="135"/>
      <c r="CF28" s="135"/>
      <c r="CG28" s="136"/>
      <c r="CH28" s="136"/>
      <c r="CI28" s="161"/>
      <c r="CJ28" s="161"/>
      <c r="CK28" s="161"/>
      <c r="CL28" s="161"/>
      <c r="CM28" s="161"/>
      <c r="CN28" s="161"/>
      <c r="CO28" s="135"/>
      <c r="CP28" s="135"/>
      <c r="CQ28" s="135"/>
      <c r="CR28" s="135"/>
      <c r="CS28" s="135"/>
      <c r="CT28" s="135"/>
      <c r="CU28" s="136"/>
      <c r="CV28" s="136"/>
      <c r="CW28" s="161"/>
      <c r="CX28" s="161"/>
      <c r="CY28" s="161"/>
      <c r="CZ28" s="161"/>
      <c r="DA28" s="161"/>
      <c r="DB28" s="161"/>
      <c r="DC28" s="135"/>
      <c r="DD28" s="135"/>
      <c r="DE28" s="135"/>
      <c r="DF28" s="135"/>
      <c r="DG28" s="135">
        <v>600</v>
      </c>
      <c r="DH28" s="135"/>
      <c r="DI28" s="136"/>
      <c r="DJ28" s="136"/>
      <c r="DK28" s="161"/>
      <c r="DL28" s="161"/>
      <c r="DM28" s="161"/>
      <c r="DN28" s="161"/>
      <c r="DO28" s="161"/>
      <c r="DP28" s="161"/>
      <c r="DQ28" s="135"/>
      <c r="DR28" s="135"/>
      <c r="DS28" s="135"/>
      <c r="DT28" s="135"/>
      <c r="DU28" s="135"/>
      <c r="DV28" s="135"/>
      <c r="DW28" s="136"/>
      <c r="DX28" s="136"/>
      <c r="DY28" s="161"/>
      <c r="DZ28" s="161"/>
      <c r="EA28" s="161"/>
      <c r="EB28" s="161"/>
      <c r="EC28" s="161"/>
      <c r="ED28" s="161"/>
      <c r="EE28" s="135"/>
      <c r="EF28" s="135"/>
      <c r="EG28" s="135"/>
      <c r="EH28" s="135"/>
      <c r="EI28" s="135"/>
      <c r="EJ28" s="135"/>
      <c r="EK28" s="136"/>
      <c r="EL28" s="136"/>
      <c r="EM28" s="136"/>
      <c r="EN28" s="136"/>
      <c r="EO28" s="136"/>
      <c r="EP28" s="136"/>
      <c r="EQ28" s="136"/>
      <c r="ER28" s="136"/>
      <c r="ES28" s="135"/>
      <c r="ET28" s="135"/>
      <c r="EU28" s="135"/>
      <c r="EV28" s="135"/>
      <c r="EW28" s="135"/>
      <c r="EX28" s="135"/>
      <c r="EY28" s="136"/>
      <c r="EZ28" s="136"/>
      <c r="FA28" s="161"/>
      <c r="FB28" s="161"/>
      <c r="FC28" s="161"/>
      <c r="FD28" s="161"/>
      <c r="FE28" s="161"/>
      <c r="FF28" s="161"/>
      <c r="FG28" s="135"/>
      <c r="FH28" s="135"/>
      <c r="FI28" s="135"/>
      <c r="FJ28" s="135"/>
      <c r="FK28" s="135"/>
      <c r="FL28" s="135"/>
      <c r="FM28" s="136"/>
      <c r="FN28" s="136"/>
      <c r="FO28" s="161"/>
      <c r="FP28" s="161"/>
      <c r="FQ28" s="161"/>
      <c r="FR28" s="161"/>
      <c r="FS28" s="161"/>
      <c r="FT28" s="161"/>
      <c r="FU28" s="135"/>
      <c r="FV28" s="135"/>
      <c r="FW28" s="135"/>
      <c r="FX28" s="135"/>
      <c r="FY28" s="135"/>
      <c r="FZ28" s="135"/>
      <c r="GA28" s="136"/>
      <c r="GB28" s="136"/>
      <c r="GC28" s="161"/>
      <c r="GD28" s="161"/>
      <c r="GE28" s="161"/>
      <c r="GF28" s="161"/>
      <c r="GG28" s="161"/>
      <c r="GH28" s="161"/>
      <c r="GI28" s="135"/>
      <c r="GJ28" s="135"/>
      <c r="GK28" s="135"/>
      <c r="GL28" s="135"/>
      <c r="GM28" s="135"/>
      <c r="GN28" s="135"/>
    </row>
    <row r="29" spans="1:196">
      <c r="A29" s="122"/>
      <c r="B29" s="126" t="s">
        <v>1167</v>
      </c>
      <c r="C29" s="126" t="s">
        <v>16</v>
      </c>
      <c r="D29" s="119"/>
      <c r="E29" s="119"/>
      <c r="F29" s="107"/>
      <c r="G29" s="127">
        <v>950</v>
      </c>
      <c r="H29" s="107"/>
      <c r="I29" s="125">
        <v>46256</v>
      </c>
      <c r="J29" s="13">
        <f t="shared" si="178"/>
        <v>0</v>
      </c>
      <c r="K29" s="124"/>
      <c r="L29" s="161"/>
      <c r="M29" s="136"/>
      <c r="N29" s="136"/>
      <c r="O29" s="136"/>
      <c r="P29" s="136"/>
      <c r="Q29" s="136"/>
      <c r="R29" s="136"/>
      <c r="S29" s="161"/>
      <c r="T29" s="161"/>
      <c r="U29" s="161"/>
      <c r="V29" s="161"/>
      <c r="W29" s="135"/>
      <c r="X29" s="135"/>
      <c r="Y29" s="135"/>
      <c r="Z29" s="135"/>
      <c r="AA29" s="135"/>
      <c r="AB29" s="135"/>
      <c r="AC29" s="136"/>
      <c r="AD29" s="136"/>
      <c r="AE29" s="161"/>
      <c r="AF29" s="161"/>
      <c r="AG29" s="161"/>
      <c r="AH29" s="161"/>
      <c r="AI29" s="161"/>
      <c r="AJ29" s="161"/>
      <c r="AK29" s="135"/>
      <c r="AL29" s="135"/>
      <c r="AM29" s="135"/>
      <c r="AN29" s="135"/>
      <c r="AO29" s="135"/>
      <c r="AP29" s="135"/>
      <c r="AQ29" s="136"/>
      <c r="AR29" s="136"/>
      <c r="AS29" s="161"/>
      <c r="AT29" s="161"/>
      <c r="AU29" s="161"/>
      <c r="AV29" s="161"/>
      <c r="AW29" s="161"/>
      <c r="AX29" s="161"/>
      <c r="AY29" s="135"/>
      <c r="AZ29" s="135"/>
      <c r="BA29" s="135"/>
      <c r="BB29" s="135"/>
      <c r="BC29" s="135"/>
      <c r="BD29" s="135"/>
      <c r="BE29" s="136"/>
      <c r="BF29" s="136"/>
      <c r="BG29" s="161"/>
      <c r="BH29" s="161"/>
      <c r="BI29" s="161"/>
      <c r="BJ29" s="161"/>
      <c r="BK29" s="161"/>
      <c r="BL29" s="161"/>
      <c r="BM29" s="135"/>
      <c r="BN29" s="135"/>
      <c r="BO29" s="135"/>
      <c r="BP29" s="135"/>
      <c r="BQ29" s="135"/>
      <c r="BR29" s="135"/>
      <c r="BS29" s="136"/>
      <c r="BT29" s="136"/>
      <c r="BU29" s="161"/>
      <c r="BV29" s="161"/>
      <c r="BW29" s="161"/>
      <c r="BX29" s="161"/>
      <c r="BY29" s="161"/>
      <c r="BZ29" s="161"/>
      <c r="CA29" s="135"/>
      <c r="CB29" s="135"/>
      <c r="CC29" s="135"/>
      <c r="CD29" s="135"/>
      <c r="CE29" s="135"/>
      <c r="CF29" s="135"/>
      <c r="CG29" s="136"/>
      <c r="CH29" s="136"/>
      <c r="CI29" s="161"/>
      <c r="CJ29" s="161"/>
      <c r="CK29" s="161"/>
      <c r="CL29" s="161"/>
      <c r="CM29" s="161"/>
      <c r="CN29" s="161"/>
      <c r="CO29" s="135"/>
      <c r="CP29" s="135"/>
      <c r="CQ29" s="135"/>
      <c r="CR29" s="135"/>
      <c r="CS29" s="135"/>
      <c r="CT29" s="135"/>
      <c r="CU29" s="136"/>
      <c r="CV29" s="136"/>
      <c r="CW29" s="161"/>
      <c r="CX29" s="161"/>
      <c r="CY29" s="161"/>
      <c r="CZ29" s="161"/>
      <c r="DA29" s="161"/>
      <c r="DB29" s="161"/>
      <c r="DC29" s="135"/>
      <c r="DD29" s="135"/>
      <c r="DE29" s="135"/>
      <c r="DF29" s="135"/>
      <c r="DG29" s="135"/>
      <c r="DH29" s="135"/>
      <c r="DI29" s="136"/>
      <c r="DJ29" s="136"/>
      <c r="DK29" s="161"/>
      <c r="DL29" s="161"/>
      <c r="DM29" s="161"/>
      <c r="DN29" s="161"/>
      <c r="DO29" s="161"/>
      <c r="DP29" s="161"/>
      <c r="DQ29" s="135"/>
      <c r="DR29" s="135"/>
      <c r="DS29" s="135"/>
      <c r="DT29" s="135"/>
      <c r="DU29" s="135">
        <v>950</v>
      </c>
      <c r="DV29" s="135"/>
      <c r="DW29" s="136"/>
      <c r="DX29" s="136"/>
      <c r="DY29" s="161"/>
      <c r="DZ29" s="161"/>
      <c r="EA29" s="161"/>
      <c r="EB29" s="161"/>
      <c r="EC29" s="161"/>
      <c r="ED29" s="161"/>
      <c r="EE29" s="135"/>
      <c r="EF29" s="135"/>
      <c r="EG29" s="135"/>
      <c r="EH29" s="135"/>
      <c r="EI29" s="135"/>
      <c r="EJ29" s="135"/>
      <c r="EK29" s="136"/>
      <c r="EL29" s="136"/>
      <c r="EM29" s="136"/>
      <c r="EN29" s="136"/>
      <c r="EO29" s="136"/>
      <c r="EP29" s="136"/>
      <c r="EQ29" s="136"/>
      <c r="ER29" s="136"/>
      <c r="ES29" s="135"/>
      <c r="ET29" s="135"/>
      <c r="EU29" s="135"/>
      <c r="EV29" s="135"/>
      <c r="EW29" s="135"/>
      <c r="EX29" s="135"/>
      <c r="EY29" s="136"/>
      <c r="EZ29" s="136"/>
      <c r="FA29" s="161"/>
      <c r="FB29" s="161"/>
      <c r="FC29" s="161"/>
      <c r="FD29" s="161"/>
      <c r="FE29" s="161"/>
      <c r="FF29" s="161"/>
      <c r="FG29" s="135"/>
      <c r="FH29" s="135"/>
      <c r="FI29" s="135"/>
      <c r="FJ29" s="135"/>
      <c r="FK29" s="135"/>
      <c r="FL29" s="135"/>
      <c r="FM29" s="136"/>
      <c r="FN29" s="136"/>
      <c r="FO29" s="161"/>
      <c r="FP29" s="161"/>
      <c r="FQ29" s="161"/>
      <c r="FR29" s="161"/>
      <c r="FS29" s="161"/>
      <c r="FT29" s="161"/>
      <c r="FU29" s="135"/>
      <c r="FV29" s="135"/>
      <c r="FW29" s="135"/>
      <c r="FX29" s="135"/>
      <c r="FY29" s="135"/>
      <c r="FZ29" s="135"/>
      <c r="GA29" s="136"/>
      <c r="GB29" s="136"/>
      <c r="GC29" s="161"/>
      <c r="GD29" s="161"/>
      <c r="GE29" s="161"/>
      <c r="GF29" s="161"/>
      <c r="GG29" s="161"/>
      <c r="GH29" s="161"/>
      <c r="GI29" s="135"/>
      <c r="GJ29" s="135"/>
      <c r="GK29" s="135"/>
      <c r="GL29" s="135"/>
      <c r="GM29" s="135"/>
      <c r="GN29" s="135"/>
    </row>
    <row r="30" spans="1:196">
      <c r="A30" s="122"/>
      <c r="B30" s="126" t="s">
        <v>1168</v>
      </c>
      <c r="C30" s="126" t="s">
        <v>17</v>
      </c>
      <c r="D30" s="119"/>
      <c r="E30" s="119"/>
      <c r="F30" s="107"/>
      <c r="G30" s="127">
        <v>150</v>
      </c>
      <c r="H30" s="107"/>
      <c r="I30" s="125">
        <v>46256</v>
      </c>
      <c r="J30" s="13">
        <f t="shared" si="178"/>
        <v>0</v>
      </c>
      <c r="K30" s="124"/>
      <c r="L30" s="161"/>
      <c r="M30" s="136"/>
      <c r="N30" s="136"/>
      <c r="O30" s="136"/>
      <c r="P30" s="136"/>
      <c r="Q30" s="136"/>
      <c r="R30" s="136"/>
      <c r="S30" s="161"/>
      <c r="T30" s="161"/>
      <c r="U30" s="161"/>
      <c r="V30" s="161"/>
      <c r="W30" s="135"/>
      <c r="X30" s="135"/>
      <c r="Y30" s="135"/>
      <c r="Z30" s="135"/>
      <c r="AA30" s="135"/>
      <c r="AB30" s="135"/>
      <c r="AC30" s="136"/>
      <c r="AD30" s="136"/>
      <c r="AE30" s="161"/>
      <c r="AF30" s="161"/>
      <c r="AG30" s="161"/>
      <c r="AH30" s="161"/>
      <c r="AI30" s="161"/>
      <c r="AJ30" s="161"/>
      <c r="AK30" s="135"/>
      <c r="AL30" s="135"/>
      <c r="AM30" s="135"/>
      <c r="AN30" s="135"/>
      <c r="AO30" s="135"/>
      <c r="AP30" s="135"/>
      <c r="AQ30" s="136"/>
      <c r="AR30" s="136"/>
      <c r="AS30" s="161"/>
      <c r="AT30" s="161"/>
      <c r="AU30" s="161"/>
      <c r="AV30" s="161"/>
      <c r="AW30" s="161"/>
      <c r="AX30" s="161"/>
      <c r="AY30" s="135"/>
      <c r="AZ30" s="135"/>
      <c r="BA30" s="135"/>
      <c r="BB30" s="135"/>
      <c r="BC30" s="135"/>
      <c r="BD30" s="135"/>
      <c r="BE30" s="136"/>
      <c r="BF30" s="136"/>
      <c r="BG30" s="161"/>
      <c r="BH30" s="161"/>
      <c r="BI30" s="161"/>
      <c r="BJ30" s="161"/>
      <c r="BK30" s="161"/>
      <c r="BL30" s="161"/>
      <c r="BM30" s="135"/>
      <c r="BN30" s="135"/>
      <c r="BO30" s="135"/>
      <c r="BP30" s="135"/>
      <c r="BQ30" s="135"/>
      <c r="BR30" s="135"/>
      <c r="BS30" s="136"/>
      <c r="BT30" s="136"/>
      <c r="BU30" s="161"/>
      <c r="BV30" s="161"/>
      <c r="BW30" s="161"/>
      <c r="BX30" s="161"/>
      <c r="BY30" s="161"/>
      <c r="BZ30" s="161"/>
      <c r="CA30" s="135"/>
      <c r="CB30" s="135"/>
      <c r="CC30" s="135"/>
      <c r="CD30" s="135"/>
      <c r="CE30" s="135"/>
      <c r="CF30" s="135"/>
      <c r="CG30" s="136"/>
      <c r="CH30" s="136"/>
      <c r="CI30" s="161"/>
      <c r="CJ30" s="161"/>
      <c r="CK30" s="161"/>
      <c r="CL30" s="161"/>
      <c r="CM30" s="161"/>
      <c r="CN30" s="161"/>
      <c r="CO30" s="135"/>
      <c r="CP30" s="135"/>
      <c r="CQ30" s="135"/>
      <c r="CR30" s="135"/>
      <c r="CS30" s="135"/>
      <c r="CT30" s="135"/>
      <c r="CU30" s="136"/>
      <c r="CV30" s="136"/>
      <c r="CW30" s="161"/>
      <c r="CX30" s="161"/>
      <c r="CY30" s="161"/>
      <c r="CZ30" s="161"/>
      <c r="DA30" s="161"/>
      <c r="DB30" s="161"/>
      <c r="DC30" s="135"/>
      <c r="DD30" s="135"/>
      <c r="DE30" s="135"/>
      <c r="DF30" s="135"/>
      <c r="DG30" s="135"/>
      <c r="DH30" s="135"/>
      <c r="DI30" s="136"/>
      <c r="DJ30" s="136"/>
      <c r="DK30" s="161"/>
      <c r="DL30" s="161"/>
      <c r="DM30" s="161"/>
      <c r="DN30" s="161"/>
      <c r="DO30" s="161"/>
      <c r="DP30" s="161"/>
      <c r="DQ30" s="135"/>
      <c r="DR30" s="135"/>
      <c r="DS30" s="135"/>
      <c r="DT30" s="135"/>
      <c r="DU30" s="135">
        <v>150</v>
      </c>
      <c r="DV30" s="135"/>
      <c r="DW30" s="136"/>
      <c r="DX30" s="136"/>
      <c r="DY30" s="161"/>
      <c r="DZ30" s="161"/>
      <c r="EA30" s="161"/>
      <c r="EB30" s="161"/>
      <c r="EC30" s="161"/>
      <c r="ED30" s="161"/>
      <c r="EE30" s="135"/>
      <c r="EF30" s="135"/>
      <c r="EG30" s="135"/>
      <c r="EH30" s="135"/>
      <c r="EI30" s="135"/>
      <c r="EJ30" s="135"/>
      <c r="EK30" s="136"/>
      <c r="EL30" s="136"/>
      <c r="EM30" s="136"/>
      <c r="EN30" s="136"/>
      <c r="EO30" s="136"/>
      <c r="EP30" s="136"/>
      <c r="EQ30" s="136"/>
      <c r="ER30" s="136"/>
      <c r="ES30" s="135"/>
      <c r="ET30" s="135"/>
      <c r="EU30" s="135"/>
      <c r="EV30" s="135"/>
      <c r="EW30" s="135"/>
      <c r="EX30" s="135"/>
      <c r="EY30" s="136"/>
      <c r="EZ30" s="136"/>
      <c r="FA30" s="161"/>
      <c r="FB30" s="161"/>
      <c r="FC30" s="161"/>
      <c r="FD30" s="161"/>
      <c r="FE30" s="161"/>
      <c r="FF30" s="161"/>
      <c r="FG30" s="135"/>
      <c r="FH30" s="135"/>
      <c r="FI30" s="135"/>
      <c r="FJ30" s="135"/>
      <c r="FK30" s="135"/>
      <c r="FL30" s="135"/>
      <c r="FM30" s="136"/>
      <c r="FN30" s="136"/>
      <c r="FO30" s="161"/>
      <c r="FP30" s="161"/>
      <c r="FQ30" s="161"/>
      <c r="FR30" s="161"/>
      <c r="FS30" s="161"/>
      <c r="FT30" s="161"/>
      <c r="FU30" s="135"/>
      <c r="FV30" s="135"/>
      <c r="FW30" s="135"/>
      <c r="FX30" s="135"/>
      <c r="FY30" s="135"/>
      <c r="FZ30" s="135"/>
      <c r="GA30" s="136"/>
      <c r="GB30" s="136"/>
      <c r="GC30" s="161"/>
      <c r="GD30" s="161"/>
      <c r="GE30" s="161"/>
      <c r="GF30" s="161"/>
      <c r="GG30" s="161"/>
      <c r="GH30" s="161"/>
      <c r="GI30" s="135"/>
      <c r="GJ30" s="135"/>
      <c r="GK30" s="135"/>
      <c r="GL30" s="135"/>
      <c r="GM30" s="135"/>
      <c r="GN30" s="135"/>
    </row>
    <row r="31" spans="1:196">
      <c r="A31" s="122"/>
      <c r="B31" s="126" t="s">
        <v>1169</v>
      </c>
      <c r="C31" s="126" t="s">
        <v>27</v>
      </c>
      <c r="D31" s="119"/>
      <c r="E31" s="119"/>
      <c r="F31" s="107"/>
      <c r="G31" s="127">
        <v>200</v>
      </c>
      <c r="H31" s="6"/>
      <c r="I31" s="125">
        <v>46256</v>
      </c>
      <c r="J31" s="13">
        <f t="shared" si="178"/>
        <v>0</v>
      </c>
      <c r="K31" s="176"/>
      <c r="L31" s="161"/>
      <c r="M31" s="136"/>
      <c r="N31" s="136"/>
      <c r="O31" s="136"/>
      <c r="P31" s="136"/>
      <c r="Q31" s="136"/>
      <c r="R31" s="136"/>
      <c r="S31" s="161"/>
      <c r="T31" s="161"/>
      <c r="U31" s="161"/>
      <c r="V31" s="161"/>
      <c r="W31" s="135"/>
      <c r="X31" s="135"/>
      <c r="Y31" s="135"/>
      <c r="Z31" s="135"/>
      <c r="AA31" s="135"/>
      <c r="AB31" s="135"/>
      <c r="AC31" s="136"/>
      <c r="AD31" s="136"/>
      <c r="AE31" s="161"/>
      <c r="AF31" s="161"/>
      <c r="AG31" s="161"/>
      <c r="AH31" s="161"/>
      <c r="AI31" s="161"/>
      <c r="AJ31" s="161"/>
      <c r="AK31" s="135"/>
      <c r="AL31" s="135"/>
      <c r="AM31" s="135"/>
      <c r="AN31" s="135"/>
      <c r="AO31" s="135"/>
      <c r="AP31" s="135"/>
      <c r="AQ31" s="136"/>
      <c r="AR31" s="136"/>
      <c r="AS31" s="161"/>
      <c r="AT31" s="161"/>
      <c r="AU31" s="161"/>
      <c r="AV31" s="161"/>
      <c r="AW31" s="161"/>
      <c r="AX31" s="161"/>
      <c r="AY31" s="135"/>
      <c r="AZ31" s="135"/>
      <c r="BA31" s="135"/>
      <c r="BB31" s="135"/>
      <c r="BC31" s="135"/>
      <c r="BD31" s="135"/>
      <c r="BE31" s="136"/>
      <c r="BF31" s="136"/>
      <c r="BG31" s="161"/>
      <c r="BH31" s="161"/>
      <c r="BI31" s="161"/>
      <c r="BJ31" s="161"/>
      <c r="BK31" s="161"/>
      <c r="BL31" s="161"/>
      <c r="BM31" s="135"/>
      <c r="BN31" s="135"/>
      <c r="BO31" s="135"/>
      <c r="BP31" s="135"/>
      <c r="BQ31" s="135"/>
      <c r="BR31" s="135"/>
      <c r="BS31" s="136"/>
      <c r="BT31" s="136"/>
      <c r="BU31" s="161"/>
      <c r="BV31" s="161"/>
      <c r="BW31" s="161"/>
      <c r="BX31" s="161"/>
      <c r="BY31" s="161"/>
      <c r="BZ31" s="161"/>
      <c r="CA31" s="135"/>
      <c r="CB31" s="135"/>
      <c r="CC31" s="135"/>
      <c r="CD31" s="135"/>
      <c r="CE31" s="135"/>
      <c r="CF31" s="135"/>
      <c r="CG31" s="136"/>
      <c r="CH31" s="136"/>
      <c r="CI31" s="161"/>
      <c r="CJ31" s="161"/>
      <c r="CK31" s="161"/>
      <c r="CL31" s="161"/>
      <c r="CM31" s="161"/>
      <c r="CN31" s="161"/>
      <c r="CO31" s="135"/>
      <c r="CP31" s="135"/>
      <c r="CQ31" s="135"/>
      <c r="CR31" s="135"/>
      <c r="CS31" s="135"/>
      <c r="CT31" s="135"/>
      <c r="CU31" s="136"/>
      <c r="CV31" s="136"/>
      <c r="CW31" s="161"/>
      <c r="CX31" s="161"/>
      <c r="CY31" s="161"/>
      <c r="CZ31" s="161"/>
      <c r="DA31" s="161"/>
      <c r="DB31" s="161"/>
      <c r="DC31" s="135"/>
      <c r="DD31" s="135"/>
      <c r="DE31" s="135"/>
      <c r="DF31" s="135"/>
      <c r="DG31" s="135"/>
      <c r="DH31" s="135"/>
      <c r="DI31" s="136"/>
      <c r="DJ31" s="136"/>
      <c r="DK31" s="161"/>
      <c r="DL31" s="161"/>
      <c r="DM31" s="161"/>
      <c r="DN31" s="161"/>
      <c r="DO31" s="161"/>
      <c r="DP31" s="161"/>
      <c r="DQ31" s="135"/>
      <c r="DR31" s="135"/>
      <c r="DS31" s="135"/>
      <c r="DT31" s="135"/>
      <c r="DU31" s="135">
        <v>200</v>
      </c>
      <c r="DV31" s="135"/>
      <c r="DW31" s="136"/>
      <c r="DX31" s="136"/>
      <c r="DY31" s="161"/>
      <c r="DZ31" s="161"/>
      <c r="EA31" s="161"/>
      <c r="EB31" s="161"/>
      <c r="EC31" s="161"/>
      <c r="ED31" s="161"/>
      <c r="EE31" s="135"/>
      <c r="EF31" s="135"/>
      <c r="EG31" s="135"/>
      <c r="EH31" s="135"/>
      <c r="EI31" s="135"/>
      <c r="EJ31" s="135"/>
      <c r="EK31" s="136"/>
      <c r="EL31" s="136"/>
      <c r="EM31" s="136"/>
      <c r="EN31" s="136"/>
      <c r="EO31" s="136"/>
      <c r="EP31" s="136"/>
      <c r="EQ31" s="136"/>
      <c r="ER31" s="136"/>
      <c r="ES31" s="135"/>
      <c r="ET31" s="135"/>
      <c r="EU31" s="135"/>
      <c r="EV31" s="135"/>
      <c r="EW31" s="135"/>
      <c r="EX31" s="135"/>
      <c r="EY31" s="136"/>
      <c r="EZ31" s="136"/>
      <c r="FA31" s="161"/>
      <c r="FB31" s="161"/>
      <c r="FC31" s="161"/>
      <c r="FD31" s="161"/>
      <c r="FE31" s="161"/>
      <c r="FF31" s="161"/>
      <c r="FG31" s="135"/>
      <c r="FH31" s="135"/>
      <c r="FI31" s="135"/>
      <c r="FJ31" s="135"/>
      <c r="FK31" s="135"/>
      <c r="FL31" s="135"/>
      <c r="FM31" s="136"/>
      <c r="FN31" s="136"/>
      <c r="FO31" s="161"/>
      <c r="FP31" s="161"/>
      <c r="FQ31" s="161"/>
      <c r="FR31" s="161"/>
      <c r="FS31" s="161"/>
      <c r="FT31" s="161"/>
      <c r="FU31" s="135"/>
      <c r="FV31" s="135"/>
      <c r="FW31" s="135"/>
      <c r="FX31" s="135"/>
      <c r="FY31" s="135"/>
      <c r="FZ31" s="135"/>
      <c r="GA31" s="136"/>
      <c r="GB31" s="136"/>
      <c r="GC31" s="161"/>
      <c r="GD31" s="161"/>
      <c r="GE31" s="161"/>
      <c r="GF31" s="161"/>
      <c r="GG31" s="161"/>
      <c r="GH31" s="161"/>
      <c r="GI31" s="135"/>
      <c r="GJ31" s="135"/>
      <c r="GK31" s="135"/>
      <c r="GL31" s="135"/>
      <c r="GM31" s="135"/>
      <c r="GN31" s="135"/>
    </row>
    <row r="32" spans="1:196">
      <c r="A32" s="122"/>
      <c r="B32" s="126"/>
      <c r="C32" s="126"/>
      <c r="D32" s="119"/>
      <c r="E32" s="119"/>
      <c r="F32" s="107"/>
      <c r="G32" s="127"/>
      <c r="H32" s="6"/>
      <c r="I32" s="125"/>
      <c r="J32" s="13"/>
      <c r="K32" s="176"/>
      <c r="L32" s="161"/>
      <c r="M32" s="136"/>
      <c r="N32" s="136"/>
      <c r="O32" s="136"/>
      <c r="P32" s="136"/>
      <c r="Q32" s="136"/>
      <c r="R32" s="136"/>
      <c r="S32" s="161"/>
      <c r="T32" s="161"/>
      <c r="U32" s="161"/>
      <c r="V32" s="161"/>
      <c r="W32" s="135"/>
      <c r="X32" s="135"/>
      <c r="Y32" s="135"/>
      <c r="Z32" s="135"/>
      <c r="AA32" s="135"/>
      <c r="AB32" s="135"/>
      <c r="AC32" s="136"/>
      <c r="AD32" s="136"/>
      <c r="AE32" s="161"/>
      <c r="AF32" s="161"/>
      <c r="AG32" s="161"/>
      <c r="AH32" s="161"/>
      <c r="AI32" s="161"/>
      <c r="AJ32" s="161"/>
      <c r="AK32" s="135"/>
      <c r="AL32" s="135"/>
      <c r="AM32" s="135"/>
      <c r="AN32" s="135"/>
      <c r="AO32" s="135"/>
      <c r="AP32" s="135"/>
      <c r="AQ32" s="136"/>
      <c r="AR32" s="136"/>
      <c r="AS32" s="161"/>
      <c r="AT32" s="161"/>
      <c r="AU32" s="161"/>
      <c r="AV32" s="161"/>
      <c r="AW32" s="161"/>
      <c r="AX32" s="161"/>
      <c r="AY32" s="135"/>
      <c r="AZ32" s="135"/>
      <c r="BA32" s="135"/>
      <c r="BB32" s="135"/>
      <c r="BC32" s="135"/>
      <c r="BD32" s="135"/>
      <c r="BE32" s="136"/>
      <c r="BF32" s="136"/>
      <c r="BG32" s="161"/>
      <c r="BH32" s="161"/>
      <c r="BI32" s="161"/>
      <c r="BJ32" s="161"/>
      <c r="BK32" s="161"/>
      <c r="BL32" s="161"/>
      <c r="BM32" s="135"/>
      <c r="BN32" s="135"/>
      <c r="BO32" s="135"/>
      <c r="BP32" s="135"/>
      <c r="BQ32" s="135"/>
      <c r="BR32" s="135"/>
      <c r="BS32" s="136"/>
      <c r="BT32" s="136"/>
      <c r="BU32" s="161"/>
      <c r="BV32" s="161"/>
      <c r="BW32" s="161"/>
      <c r="BX32" s="161"/>
      <c r="BY32" s="161"/>
      <c r="BZ32" s="161"/>
      <c r="CA32" s="135"/>
      <c r="CB32" s="135"/>
      <c r="CC32" s="135"/>
      <c r="CD32" s="135"/>
      <c r="CE32" s="135"/>
      <c r="CF32" s="135"/>
      <c r="CG32" s="136"/>
      <c r="CH32" s="136"/>
      <c r="CI32" s="161"/>
      <c r="CJ32" s="161"/>
      <c r="CK32" s="161"/>
      <c r="CL32" s="161"/>
      <c r="CM32" s="161"/>
      <c r="CN32" s="161"/>
      <c r="CO32" s="135"/>
      <c r="CP32" s="135"/>
      <c r="CQ32" s="135"/>
      <c r="CR32" s="135"/>
      <c r="CS32" s="135"/>
      <c r="CT32" s="135"/>
      <c r="CU32" s="136"/>
      <c r="CV32" s="136"/>
      <c r="CW32" s="161"/>
      <c r="CX32" s="161"/>
      <c r="CY32" s="161"/>
      <c r="CZ32" s="161"/>
      <c r="DA32" s="161"/>
      <c r="DB32" s="161"/>
      <c r="DC32" s="135"/>
      <c r="DD32" s="135"/>
      <c r="DE32" s="135"/>
      <c r="DF32" s="135"/>
      <c r="DG32" s="135"/>
      <c r="DH32" s="135"/>
      <c r="DI32" s="136"/>
      <c r="DJ32" s="136"/>
      <c r="DK32" s="161"/>
      <c r="DL32" s="161"/>
      <c r="DM32" s="161"/>
      <c r="DN32" s="161"/>
      <c r="DO32" s="161"/>
      <c r="DP32" s="161"/>
      <c r="DQ32" s="135"/>
      <c r="DR32" s="135"/>
      <c r="DS32" s="135"/>
      <c r="DT32" s="135"/>
      <c r="DU32" s="135"/>
      <c r="DV32" s="135"/>
      <c r="DW32" s="136"/>
      <c r="DX32" s="136"/>
      <c r="DY32" s="161"/>
      <c r="DZ32" s="161"/>
      <c r="EA32" s="161"/>
      <c r="EB32" s="161"/>
      <c r="EC32" s="161"/>
      <c r="ED32" s="161"/>
      <c r="EE32" s="135"/>
      <c r="EF32" s="135"/>
      <c r="EG32" s="135"/>
      <c r="EH32" s="135"/>
      <c r="EI32" s="135"/>
      <c r="EJ32" s="135"/>
      <c r="EK32" s="136"/>
      <c r="EL32" s="136"/>
      <c r="EM32" s="136"/>
      <c r="EN32" s="136"/>
      <c r="EO32" s="136"/>
      <c r="EP32" s="136"/>
      <c r="EQ32" s="136"/>
      <c r="ER32" s="136"/>
      <c r="ES32" s="135"/>
      <c r="ET32" s="135"/>
      <c r="EU32" s="135"/>
      <c r="EV32" s="135"/>
      <c r="EW32" s="135"/>
      <c r="EX32" s="135"/>
      <c r="EY32" s="136"/>
      <c r="EZ32" s="136"/>
      <c r="FA32" s="161"/>
      <c r="FB32" s="161"/>
      <c r="FC32" s="161"/>
      <c r="FD32" s="161"/>
      <c r="FE32" s="161"/>
      <c r="FF32" s="161"/>
      <c r="FG32" s="135"/>
      <c r="FH32" s="135"/>
      <c r="FI32" s="135"/>
      <c r="FJ32" s="135"/>
      <c r="FK32" s="135"/>
      <c r="FL32" s="135"/>
      <c r="FM32" s="136"/>
      <c r="FN32" s="136"/>
      <c r="FO32" s="161"/>
      <c r="FP32" s="161"/>
      <c r="FQ32" s="161"/>
      <c r="FR32" s="161"/>
      <c r="FS32" s="161"/>
      <c r="FT32" s="161"/>
      <c r="FU32" s="135"/>
      <c r="FV32" s="135"/>
      <c r="FW32" s="135"/>
      <c r="FX32" s="135"/>
      <c r="FY32" s="135"/>
      <c r="FZ32" s="135"/>
      <c r="GA32" s="136"/>
      <c r="GB32" s="136"/>
      <c r="GC32" s="161"/>
      <c r="GD32" s="161"/>
      <c r="GE32" s="161"/>
      <c r="GF32" s="161"/>
      <c r="GG32" s="161"/>
      <c r="GH32" s="161"/>
      <c r="GI32" s="135"/>
      <c r="GJ32" s="135"/>
      <c r="GK32" s="135"/>
      <c r="GL32" s="135"/>
      <c r="GM32" s="135"/>
      <c r="GN32" s="135"/>
    </row>
    <row r="33" spans="1:196" s="11" customFormat="1" ht="16.5" customHeight="1">
      <c r="A33" s="122"/>
      <c r="B33" s="109"/>
      <c r="C33" s="126"/>
      <c r="D33" s="119"/>
      <c r="E33" s="119"/>
      <c r="F33" s="6"/>
      <c r="G33" s="127"/>
      <c r="H33" s="6"/>
      <c r="I33" s="170"/>
      <c r="J33" s="13"/>
      <c r="K33" s="124"/>
      <c r="L33" s="161"/>
      <c r="M33" s="136"/>
      <c r="N33" s="136"/>
      <c r="O33" s="136"/>
      <c r="P33" s="136"/>
      <c r="Q33" s="136"/>
      <c r="R33" s="136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36"/>
      <c r="AD33" s="136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36"/>
      <c r="AR33" s="136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1"/>
      <c r="BD33" s="161"/>
      <c r="BE33" s="136"/>
      <c r="BF33" s="136"/>
      <c r="BG33" s="161"/>
      <c r="BH33" s="161"/>
      <c r="BI33" s="161"/>
      <c r="BJ33" s="161"/>
      <c r="BK33" s="161"/>
      <c r="BL33" s="161"/>
      <c r="BM33" s="161"/>
      <c r="BN33" s="161"/>
      <c r="BO33" s="161"/>
      <c r="BP33" s="161"/>
      <c r="BQ33" s="161"/>
      <c r="BR33" s="161"/>
      <c r="BS33" s="136"/>
      <c r="BT33" s="136"/>
      <c r="BU33" s="161"/>
      <c r="BV33" s="161"/>
      <c r="BW33" s="161"/>
      <c r="BX33" s="161"/>
      <c r="BY33" s="161"/>
      <c r="BZ33" s="161"/>
      <c r="CA33" s="161"/>
      <c r="CB33" s="161"/>
      <c r="CC33" s="161"/>
      <c r="CD33" s="161"/>
      <c r="CE33" s="161"/>
      <c r="CF33" s="161"/>
      <c r="CG33" s="136"/>
      <c r="CH33" s="136"/>
      <c r="CI33" s="161"/>
      <c r="CJ33" s="161"/>
      <c r="CK33" s="161"/>
      <c r="CL33" s="161"/>
      <c r="CM33" s="161"/>
      <c r="CN33" s="161"/>
      <c r="CO33" s="161"/>
      <c r="CP33" s="161"/>
      <c r="CQ33" s="161"/>
      <c r="CR33" s="161"/>
      <c r="CS33" s="161"/>
      <c r="CT33" s="161"/>
      <c r="CU33" s="136"/>
      <c r="CV33" s="136"/>
      <c r="CW33" s="161"/>
      <c r="CX33" s="161"/>
      <c r="CY33" s="161"/>
      <c r="CZ33" s="161"/>
      <c r="DA33" s="161"/>
      <c r="DB33" s="161"/>
      <c r="DC33" s="161"/>
      <c r="DD33" s="161"/>
      <c r="DE33" s="161"/>
      <c r="DF33" s="161"/>
      <c r="DG33" s="161"/>
      <c r="DH33" s="161"/>
      <c r="DI33" s="136"/>
      <c r="DJ33" s="136"/>
      <c r="DK33" s="161"/>
      <c r="DL33" s="161"/>
      <c r="DM33" s="161"/>
      <c r="DN33" s="161"/>
      <c r="DO33" s="161"/>
      <c r="DP33" s="161"/>
      <c r="DQ33" s="161"/>
      <c r="DR33" s="161"/>
      <c r="DS33" s="161"/>
      <c r="DT33" s="161"/>
      <c r="DU33" s="161"/>
      <c r="DV33" s="161"/>
      <c r="DW33" s="136"/>
      <c r="DX33" s="136"/>
      <c r="DY33" s="161"/>
      <c r="DZ33" s="161"/>
      <c r="EA33" s="161"/>
      <c r="EB33" s="161"/>
      <c r="EC33" s="161"/>
      <c r="ED33" s="161"/>
      <c r="EE33" s="161"/>
      <c r="EF33" s="161"/>
      <c r="EG33" s="161"/>
      <c r="EH33" s="161"/>
      <c r="EI33" s="161"/>
      <c r="EJ33" s="161"/>
      <c r="EK33" s="136"/>
      <c r="EL33" s="136"/>
      <c r="EM33" s="136"/>
      <c r="EN33" s="136"/>
      <c r="EO33" s="136"/>
      <c r="EP33" s="136"/>
      <c r="EQ33" s="136"/>
      <c r="ER33" s="136"/>
      <c r="ES33" s="161"/>
      <c r="ET33" s="161"/>
      <c r="EU33" s="161"/>
      <c r="EV33" s="161"/>
      <c r="EW33" s="161"/>
      <c r="EX33" s="161"/>
      <c r="EY33" s="136"/>
      <c r="EZ33" s="136"/>
      <c r="FA33" s="161"/>
      <c r="FB33" s="161"/>
      <c r="FC33" s="161"/>
      <c r="FD33" s="161"/>
      <c r="FE33" s="161"/>
      <c r="FF33" s="161"/>
      <c r="FG33" s="161"/>
      <c r="FH33" s="161"/>
      <c r="FI33" s="161"/>
      <c r="FJ33" s="161"/>
      <c r="FK33" s="161"/>
      <c r="FL33" s="161"/>
      <c r="FM33" s="136"/>
      <c r="FN33" s="136"/>
      <c r="FO33" s="161"/>
      <c r="FP33" s="161"/>
      <c r="FQ33" s="161"/>
      <c r="FR33" s="161"/>
      <c r="FS33" s="161"/>
      <c r="FT33" s="161"/>
      <c r="FU33" s="161"/>
      <c r="FV33" s="161"/>
      <c r="FW33" s="161"/>
      <c r="FX33" s="161"/>
      <c r="FY33" s="161"/>
      <c r="FZ33" s="161"/>
      <c r="GA33" s="136"/>
      <c r="GB33" s="136"/>
      <c r="GC33" s="161"/>
      <c r="GD33" s="161"/>
      <c r="GE33" s="161"/>
      <c r="GF33" s="161"/>
      <c r="GG33" s="161"/>
      <c r="GH33" s="161"/>
      <c r="GI33" s="161"/>
      <c r="GJ33" s="161"/>
      <c r="GK33" s="161"/>
      <c r="GL33" s="161"/>
      <c r="GM33" s="161"/>
      <c r="GN33" s="161"/>
    </row>
    <row r="34" spans="1:196">
      <c r="A34" s="7"/>
      <c r="B34" s="16"/>
      <c r="C34" s="16"/>
      <c r="D34" s="16"/>
      <c r="E34" s="150"/>
      <c r="F34" s="16"/>
      <c r="G34" s="93"/>
      <c r="H34" s="17"/>
      <c r="I34" s="22"/>
      <c r="J34" s="18"/>
      <c r="K34" s="1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</row>
    <row r="35" spans="1:196" ht="28" hidden="1" customHeight="1">
      <c r="A35" s="114"/>
      <c r="B35" s="116" t="s">
        <v>859</v>
      </c>
      <c r="C35" s="116" t="s">
        <v>253</v>
      </c>
      <c r="D35" s="119"/>
      <c r="E35" s="119"/>
      <c r="F35" s="107">
        <v>46202</v>
      </c>
      <c r="G35" s="117">
        <v>400</v>
      </c>
      <c r="H35" s="6"/>
      <c r="I35" s="125">
        <v>46193</v>
      </c>
      <c r="J35" s="13">
        <f t="shared" ref="J35:J61" si="180">G35-SUM(L35:FL35)</f>
        <v>0</v>
      </c>
      <c r="K35" s="139"/>
      <c r="L35" s="161"/>
      <c r="M35" s="136"/>
      <c r="N35" s="136"/>
      <c r="O35" s="136"/>
      <c r="P35" s="136"/>
      <c r="Q35" s="136"/>
      <c r="R35" s="136"/>
      <c r="S35" s="161">
        <v>223</v>
      </c>
      <c r="T35" s="161"/>
      <c r="U35" s="161">
        <v>177</v>
      </c>
      <c r="V35" s="161"/>
      <c r="W35" s="135"/>
      <c r="X35" s="135"/>
      <c r="Y35" s="135"/>
      <c r="Z35" s="135"/>
      <c r="AA35" s="135"/>
      <c r="AB35" s="135"/>
      <c r="AC35" s="136"/>
      <c r="AD35" s="136"/>
      <c r="AE35" s="161"/>
      <c r="AF35" s="161"/>
      <c r="AG35" s="161"/>
      <c r="AH35" s="161"/>
      <c r="AI35" s="161"/>
      <c r="AJ35" s="161"/>
      <c r="AK35" s="135"/>
      <c r="AL35" s="135"/>
      <c r="AM35" s="135"/>
      <c r="AN35" s="135"/>
      <c r="AO35" s="135"/>
      <c r="AP35" s="135"/>
      <c r="AQ35" s="136"/>
      <c r="AR35" s="136"/>
      <c r="AS35" s="161"/>
      <c r="AT35" s="161"/>
      <c r="AU35" s="161"/>
      <c r="AV35" s="161"/>
      <c r="AW35" s="161"/>
      <c r="AX35" s="161"/>
      <c r="AY35" s="135"/>
      <c r="AZ35" s="135"/>
      <c r="BA35" s="135"/>
      <c r="BB35" s="135"/>
      <c r="BC35" s="135"/>
      <c r="BD35" s="135"/>
      <c r="BE35" s="136"/>
      <c r="BF35" s="136"/>
      <c r="BG35" s="161"/>
      <c r="BH35" s="161"/>
      <c r="BI35" s="161"/>
      <c r="BJ35" s="161"/>
      <c r="BK35" s="161"/>
      <c r="BL35" s="161"/>
      <c r="BM35" s="135"/>
      <c r="BN35" s="135"/>
      <c r="BO35" s="135"/>
      <c r="BP35" s="135"/>
      <c r="BQ35" s="135"/>
      <c r="BR35" s="135"/>
      <c r="BS35" s="136"/>
      <c r="BT35" s="136"/>
      <c r="BU35" s="161"/>
      <c r="BV35" s="161"/>
      <c r="BW35" s="161"/>
      <c r="BX35" s="161"/>
      <c r="BY35" s="161"/>
      <c r="BZ35" s="161"/>
      <c r="CA35" s="135"/>
      <c r="CB35" s="135"/>
      <c r="CC35" s="135"/>
      <c r="CD35" s="135"/>
      <c r="CE35" s="135"/>
      <c r="CF35" s="135"/>
      <c r="CG35" s="136"/>
      <c r="CH35" s="136"/>
      <c r="CI35" s="161"/>
      <c r="CJ35" s="161"/>
      <c r="CK35" s="161"/>
      <c r="CL35" s="161"/>
      <c r="CM35" s="161"/>
      <c r="CN35" s="161"/>
      <c r="CO35" s="135"/>
      <c r="CP35" s="135"/>
      <c r="CQ35" s="135"/>
      <c r="CR35" s="135"/>
      <c r="CS35" s="135"/>
      <c r="CT35" s="135"/>
      <c r="CU35" s="136"/>
      <c r="CV35" s="136"/>
      <c r="CW35" s="161"/>
      <c r="CX35" s="161"/>
      <c r="CY35" s="161"/>
      <c r="CZ35" s="161"/>
      <c r="DA35" s="161"/>
      <c r="DB35" s="161"/>
      <c r="DC35" s="135"/>
      <c r="DD35" s="135"/>
      <c r="DE35" s="135"/>
      <c r="DF35" s="135"/>
      <c r="DG35" s="135"/>
      <c r="DH35" s="135"/>
      <c r="DI35" s="136"/>
      <c r="DJ35" s="136"/>
      <c r="DK35" s="161"/>
      <c r="DL35" s="161"/>
      <c r="DM35" s="161"/>
      <c r="DN35" s="161"/>
      <c r="DO35" s="161"/>
      <c r="DP35" s="161"/>
      <c r="DQ35" s="135"/>
      <c r="DR35" s="135"/>
      <c r="DS35" s="135"/>
      <c r="DT35" s="135"/>
      <c r="DU35" s="135"/>
      <c r="DV35" s="135"/>
      <c r="DW35" s="136"/>
      <c r="DX35" s="136"/>
      <c r="DY35" s="161"/>
      <c r="DZ35" s="161"/>
      <c r="EA35" s="161"/>
      <c r="EB35" s="161"/>
      <c r="EC35" s="161"/>
      <c r="ED35" s="161"/>
      <c r="EE35" s="135"/>
      <c r="EF35" s="135"/>
      <c r="EG35" s="135"/>
      <c r="EH35" s="135"/>
      <c r="EI35" s="135"/>
      <c r="EJ35" s="135"/>
      <c r="EK35" s="136"/>
      <c r="EL35" s="136"/>
      <c r="EM35" s="136"/>
      <c r="EN35" s="136"/>
      <c r="EO35" s="136"/>
      <c r="EP35" s="136"/>
      <c r="EQ35" s="136"/>
      <c r="ER35" s="136"/>
      <c r="ES35" s="135"/>
      <c r="ET35" s="135"/>
      <c r="EU35" s="135"/>
      <c r="EV35" s="135"/>
      <c r="EW35" s="135"/>
      <c r="EX35" s="135"/>
      <c r="EY35" s="136"/>
      <c r="EZ35" s="136"/>
      <c r="FA35" s="161"/>
      <c r="FB35" s="161"/>
      <c r="FC35" s="161"/>
      <c r="FD35" s="161"/>
      <c r="FE35" s="161"/>
      <c r="FF35" s="161"/>
      <c r="FG35" s="135"/>
      <c r="FH35" s="135"/>
      <c r="FI35" s="135"/>
      <c r="FJ35" s="135"/>
      <c r="FK35" s="135"/>
      <c r="FL35" s="135"/>
      <c r="FM35" s="136"/>
      <c r="FN35" s="136"/>
      <c r="FO35" s="161"/>
      <c r="FP35" s="161"/>
      <c r="FQ35" s="161"/>
      <c r="FR35" s="161"/>
      <c r="FS35" s="161"/>
      <c r="FT35" s="161"/>
      <c r="FU35" s="135"/>
      <c r="FV35" s="135"/>
      <c r="FW35" s="135"/>
      <c r="FX35" s="135"/>
      <c r="FY35" s="135"/>
      <c r="FZ35" s="135"/>
      <c r="GA35" s="136"/>
      <c r="GB35" s="136"/>
      <c r="GC35" s="161"/>
      <c r="GD35" s="161"/>
      <c r="GE35" s="161"/>
      <c r="GF35" s="161"/>
      <c r="GG35" s="161"/>
      <c r="GH35" s="161"/>
      <c r="GI35" s="135"/>
      <c r="GJ35" s="135"/>
      <c r="GK35" s="135"/>
      <c r="GL35" s="135"/>
      <c r="GM35" s="135"/>
      <c r="GN35" s="135"/>
    </row>
    <row r="36" spans="1:196" ht="26" hidden="1" customHeight="1">
      <c r="A36" s="114"/>
      <c r="B36" s="116" t="s">
        <v>964</v>
      </c>
      <c r="C36" s="116" t="s">
        <v>253</v>
      </c>
      <c r="D36" s="119"/>
      <c r="E36" s="119"/>
      <c r="F36" s="107">
        <v>46205</v>
      </c>
      <c r="G36" s="117">
        <v>20</v>
      </c>
      <c r="H36" s="6"/>
      <c r="I36" s="125">
        <v>46193</v>
      </c>
      <c r="J36" s="13">
        <f t="shared" si="180"/>
        <v>0</v>
      </c>
      <c r="K36" s="139" t="s">
        <v>966</v>
      </c>
      <c r="L36" s="161"/>
      <c r="M36" s="136"/>
      <c r="N36" s="136"/>
      <c r="O36" s="136"/>
      <c r="P36" s="136"/>
      <c r="Q36" s="136"/>
      <c r="R36" s="136"/>
      <c r="S36" s="161"/>
      <c r="T36" s="161"/>
      <c r="U36" s="161"/>
      <c r="V36" s="161"/>
      <c r="W36" s="135"/>
      <c r="X36" s="135"/>
      <c r="Y36" s="161"/>
      <c r="Z36" s="135"/>
      <c r="AA36" s="161"/>
      <c r="AB36" s="135"/>
      <c r="AC36" s="136"/>
      <c r="AD36" s="136"/>
      <c r="AE36" s="161">
        <v>20</v>
      </c>
      <c r="AF36" s="161"/>
      <c r="AG36" s="161"/>
      <c r="AH36" s="161"/>
      <c r="AI36" s="161"/>
      <c r="AJ36" s="161"/>
      <c r="AK36" s="135"/>
      <c r="AL36" s="135"/>
      <c r="AM36" s="135"/>
      <c r="AN36" s="135"/>
      <c r="AO36" s="135"/>
      <c r="AP36" s="135"/>
      <c r="AQ36" s="136"/>
      <c r="AR36" s="136"/>
      <c r="AS36" s="161"/>
      <c r="AT36" s="161"/>
      <c r="AU36" s="161"/>
      <c r="AV36" s="161"/>
      <c r="AW36" s="161"/>
      <c r="AX36" s="161"/>
      <c r="AY36" s="135"/>
      <c r="AZ36" s="135"/>
      <c r="BA36" s="135"/>
      <c r="BB36" s="135"/>
      <c r="BC36" s="135"/>
      <c r="BD36" s="135"/>
      <c r="BE36" s="136"/>
      <c r="BF36" s="136"/>
      <c r="BG36" s="161"/>
      <c r="BH36" s="161"/>
      <c r="BI36" s="161"/>
      <c r="BJ36" s="161"/>
      <c r="BK36" s="161"/>
      <c r="BL36" s="161"/>
      <c r="BM36" s="135"/>
      <c r="BN36" s="135"/>
      <c r="BO36" s="135"/>
      <c r="BP36" s="135"/>
      <c r="BQ36" s="135"/>
      <c r="BR36" s="135"/>
      <c r="BS36" s="136"/>
      <c r="BT36" s="136"/>
      <c r="BU36" s="161"/>
      <c r="BV36" s="161"/>
      <c r="BW36" s="161"/>
      <c r="BX36" s="161"/>
      <c r="BY36" s="161"/>
      <c r="BZ36" s="161"/>
      <c r="CA36" s="135"/>
      <c r="CB36" s="135"/>
      <c r="CC36" s="135"/>
      <c r="CD36" s="135"/>
      <c r="CE36" s="135"/>
      <c r="CF36" s="135"/>
      <c r="CG36" s="136"/>
      <c r="CH36" s="136"/>
      <c r="CI36" s="161"/>
      <c r="CJ36" s="161"/>
      <c r="CK36" s="161"/>
      <c r="CL36" s="161"/>
      <c r="CM36" s="161"/>
      <c r="CN36" s="161"/>
      <c r="CO36" s="135"/>
      <c r="CP36" s="135"/>
      <c r="CQ36" s="135"/>
      <c r="CR36" s="135"/>
      <c r="CS36" s="135"/>
      <c r="CT36" s="135"/>
      <c r="CU36" s="136"/>
      <c r="CV36" s="136"/>
      <c r="CW36" s="161"/>
      <c r="CX36" s="161"/>
      <c r="CY36" s="161"/>
      <c r="CZ36" s="161"/>
      <c r="DA36" s="161"/>
      <c r="DB36" s="161"/>
      <c r="DC36" s="135"/>
      <c r="DD36" s="135"/>
      <c r="DE36" s="135"/>
      <c r="DF36" s="135"/>
      <c r="DG36" s="135"/>
      <c r="DH36" s="135"/>
      <c r="DI36" s="136"/>
      <c r="DJ36" s="136"/>
      <c r="DK36" s="161"/>
      <c r="DL36" s="161"/>
      <c r="DM36" s="161"/>
      <c r="DN36" s="161"/>
      <c r="DO36" s="161"/>
      <c r="DP36" s="161"/>
      <c r="DQ36" s="135"/>
      <c r="DR36" s="135"/>
      <c r="DS36" s="135"/>
      <c r="DT36" s="135"/>
      <c r="DU36" s="135"/>
      <c r="DV36" s="135"/>
      <c r="DW36" s="136"/>
      <c r="DX36" s="136"/>
      <c r="DY36" s="161"/>
      <c r="DZ36" s="161"/>
      <c r="EA36" s="161"/>
      <c r="EB36" s="161"/>
      <c r="EC36" s="161"/>
      <c r="ED36" s="161"/>
      <c r="EE36" s="135"/>
      <c r="EF36" s="135"/>
      <c r="EG36" s="135"/>
      <c r="EH36" s="135"/>
      <c r="EI36" s="135"/>
      <c r="EJ36" s="135"/>
      <c r="EK36" s="136"/>
      <c r="EL36" s="136"/>
      <c r="EM36" s="136"/>
      <c r="EN36" s="136"/>
      <c r="EO36" s="136"/>
      <c r="EP36" s="136"/>
      <c r="EQ36" s="136"/>
      <c r="ER36" s="136"/>
      <c r="ES36" s="135"/>
      <c r="ET36" s="135"/>
      <c r="EU36" s="135"/>
      <c r="EV36" s="135"/>
      <c r="EW36" s="135"/>
      <c r="EX36" s="135"/>
      <c r="EY36" s="136"/>
      <c r="EZ36" s="136"/>
      <c r="FA36" s="161"/>
      <c r="FB36" s="161"/>
      <c r="FC36" s="161"/>
      <c r="FD36" s="161"/>
      <c r="FE36" s="161"/>
      <c r="FF36" s="161"/>
      <c r="FG36" s="135"/>
      <c r="FH36" s="135"/>
      <c r="FI36" s="135"/>
      <c r="FJ36" s="135"/>
      <c r="FK36" s="135"/>
      <c r="FL36" s="135"/>
      <c r="FM36" s="136"/>
      <c r="FN36" s="136"/>
      <c r="FO36" s="161"/>
      <c r="FP36" s="161"/>
      <c r="FQ36" s="161"/>
      <c r="FR36" s="161"/>
      <c r="FS36" s="161"/>
      <c r="FT36" s="161"/>
      <c r="FU36" s="135"/>
      <c r="FV36" s="135"/>
      <c r="FW36" s="135"/>
      <c r="FX36" s="135"/>
      <c r="FY36" s="135"/>
      <c r="FZ36" s="135"/>
      <c r="GA36" s="136"/>
      <c r="GB36" s="136"/>
      <c r="GC36" s="161"/>
      <c r="GD36" s="161"/>
      <c r="GE36" s="161"/>
      <c r="GF36" s="161"/>
      <c r="GG36" s="161"/>
      <c r="GH36" s="161"/>
      <c r="GI36" s="135"/>
      <c r="GJ36" s="135"/>
      <c r="GK36" s="135"/>
      <c r="GL36" s="135"/>
      <c r="GM36" s="135"/>
      <c r="GN36" s="135"/>
    </row>
    <row r="37" spans="1:196" ht="26" hidden="1" customHeight="1">
      <c r="A37" s="114"/>
      <c r="B37" s="137" t="s">
        <v>967</v>
      </c>
      <c r="C37" s="12" t="s">
        <v>253</v>
      </c>
      <c r="D37" s="119"/>
      <c r="E37" s="119"/>
      <c r="F37" s="133">
        <v>46205</v>
      </c>
      <c r="G37" s="95">
        <v>10</v>
      </c>
      <c r="H37" s="133"/>
      <c r="I37" s="108">
        <v>46193</v>
      </c>
      <c r="J37" s="134">
        <f t="shared" si="180"/>
        <v>0</v>
      </c>
      <c r="K37" s="183" t="s">
        <v>966</v>
      </c>
      <c r="L37" s="161"/>
      <c r="M37" s="136"/>
      <c r="N37" s="136"/>
      <c r="O37" s="136"/>
      <c r="P37" s="136"/>
      <c r="Q37" s="136"/>
      <c r="R37" s="136"/>
      <c r="S37" s="161"/>
      <c r="T37" s="161"/>
      <c r="U37" s="161"/>
      <c r="V37" s="161"/>
      <c r="W37" s="135"/>
      <c r="X37" s="135"/>
      <c r="Y37" s="161"/>
      <c r="Z37" s="135"/>
      <c r="AA37" s="161"/>
      <c r="AB37" s="135"/>
      <c r="AC37" s="136"/>
      <c r="AD37" s="136"/>
      <c r="AE37" s="161">
        <v>10</v>
      </c>
      <c r="AF37" s="161"/>
      <c r="AG37" s="161"/>
      <c r="AH37" s="161"/>
      <c r="AI37" s="161"/>
      <c r="AJ37" s="161"/>
      <c r="AK37" s="135"/>
      <c r="AL37" s="135"/>
      <c r="AM37" s="135"/>
      <c r="AN37" s="135"/>
      <c r="AO37" s="135"/>
      <c r="AP37" s="135"/>
      <c r="AQ37" s="136"/>
      <c r="AR37" s="136"/>
      <c r="AS37" s="161"/>
      <c r="AT37" s="161"/>
      <c r="AU37" s="161"/>
      <c r="AV37" s="161"/>
      <c r="AW37" s="161"/>
      <c r="AX37" s="161"/>
      <c r="AY37" s="135"/>
      <c r="AZ37" s="135"/>
      <c r="BA37" s="135"/>
      <c r="BB37" s="135"/>
      <c r="BC37" s="135"/>
      <c r="BD37" s="135"/>
      <c r="BE37" s="136"/>
      <c r="BF37" s="136"/>
      <c r="BG37" s="161"/>
      <c r="BH37" s="161"/>
      <c r="BI37" s="161"/>
      <c r="BJ37" s="161"/>
      <c r="BK37" s="161"/>
      <c r="BL37" s="161"/>
      <c r="BM37" s="135"/>
      <c r="BN37" s="135"/>
      <c r="BO37" s="135"/>
      <c r="BP37" s="135"/>
      <c r="BQ37" s="135"/>
      <c r="BR37" s="135"/>
      <c r="BS37" s="136"/>
      <c r="BT37" s="136"/>
      <c r="BU37" s="161"/>
      <c r="BV37" s="161"/>
      <c r="BW37" s="161"/>
      <c r="BX37" s="161"/>
      <c r="BY37" s="161"/>
      <c r="BZ37" s="161"/>
      <c r="CA37" s="135"/>
      <c r="CB37" s="135"/>
      <c r="CC37" s="135"/>
      <c r="CD37" s="135"/>
      <c r="CE37" s="135"/>
      <c r="CF37" s="135"/>
      <c r="CG37" s="136"/>
      <c r="CH37" s="136"/>
      <c r="CI37" s="161"/>
      <c r="CJ37" s="161"/>
      <c r="CK37" s="161"/>
      <c r="CL37" s="161"/>
      <c r="CM37" s="161"/>
      <c r="CN37" s="161"/>
      <c r="CO37" s="135"/>
      <c r="CP37" s="135"/>
      <c r="CQ37" s="135"/>
      <c r="CR37" s="135"/>
      <c r="CS37" s="135"/>
      <c r="CT37" s="135"/>
      <c r="CU37" s="136"/>
      <c r="CV37" s="136"/>
      <c r="CW37" s="161"/>
      <c r="CX37" s="161"/>
      <c r="CY37" s="161"/>
      <c r="CZ37" s="161"/>
      <c r="DA37" s="161"/>
      <c r="DB37" s="161"/>
      <c r="DC37" s="135"/>
      <c r="DD37" s="135"/>
      <c r="DE37" s="135"/>
      <c r="DF37" s="135"/>
      <c r="DG37" s="135"/>
      <c r="DH37" s="135"/>
      <c r="DI37" s="136"/>
      <c r="DJ37" s="136"/>
      <c r="DK37" s="161"/>
      <c r="DL37" s="161"/>
      <c r="DM37" s="161"/>
      <c r="DN37" s="161"/>
      <c r="DO37" s="161"/>
      <c r="DP37" s="161"/>
      <c r="DQ37" s="135"/>
      <c r="DR37" s="135"/>
      <c r="DS37" s="135"/>
      <c r="DT37" s="135"/>
      <c r="DU37" s="135"/>
      <c r="DV37" s="135"/>
      <c r="DW37" s="136"/>
      <c r="DX37" s="136"/>
      <c r="DY37" s="161"/>
      <c r="DZ37" s="161"/>
      <c r="EA37" s="161"/>
      <c r="EB37" s="161"/>
      <c r="EC37" s="161"/>
      <c r="ED37" s="161"/>
      <c r="EE37" s="135"/>
      <c r="EF37" s="135"/>
      <c r="EG37" s="135"/>
      <c r="EH37" s="135"/>
      <c r="EI37" s="135"/>
      <c r="EJ37" s="135"/>
      <c r="EK37" s="136"/>
      <c r="EL37" s="136"/>
      <c r="EM37" s="136"/>
      <c r="EN37" s="136"/>
      <c r="EO37" s="136"/>
      <c r="EP37" s="136"/>
      <c r="EQ37" s="136"/>
      <c r="ER37" s="136"/>
      <c r="ES37" s="135"/>
      <c r="ET37" s="135"/>
      <c r="EU37" s="135"/>
      <c r="EV37" s="135"/>
      <c r="EW37" s="135"/>
      <c r="EX37" s="135"/>
      <c r="EY37" s="136"/>
      <c r="EZ37" s="136"/>
      <c r="FA37" s="161"/>
      <c r="FB37" s="161"/>
      <c r="FC37" s="161"/>
      <c r="FD37" s="161"/>
      <c r="FE37" s="161"/>
      <c r="FF37" s="161"/>
      <c r="FG37" s="135"/>
      <c r="FH37" s="135"/>
      <c r="FI37" s="135"/>
      <c r="FJ37" s="135"/>
      <c r="FK37" s="135"/>
      <c r="FL37" s="135"/>
      <c r="FM37" s="136"/>
      <c r="FN37" s="136"/>
      <c r="FO37" s="161"/>
      <c r="FP37" s="161"/>
      <c r="FQ37" s="161"/>
      <c r="FR37" s="161"/>
      <c r="FS37" s="161"/>
      <c r="FT37" s="161"/>
      <c r="FU37" s="135"/>
      <c r="FV37" s="135"/>
      <c r="FW37" s="135"/>
      <c r="FX37" s="135"/>
      <c r="FY37" s="135"/>
      <c r="FZ37" s="135"/>
      <c r="GA37" s="136"/>
      <c r="GB37" s="136"/>
      <c r="GC37" s="161"/>
      <c r="GD37" s="161"/>
      <c r="GE37" s="161"/>
      <c r="GF37" s="161"/>
      <c r="GG37" s="161"/>
      <c r="GH37" s="161"/>
      <c r="GI37" s="135"/>
      <c r="GJ37" s="135"/>
      <c r="GK37" s="135"/>
      <c r="GL37" s="135"/>
      <c r="GM37" s="135"/>
      <c r="GN37" s="135"/>
    </row>
    <row r="38" spans="1:196" ht="29" hidden="1" customHeight="1">
      <c r="A38" s="114"/>
      <c r="B38" s="116" t="s">
        <v>835</v>
      </c>
      <c r="C38" s="116" t="s">
        <v>622</v>
      </c>
      <c r="D38" s="119"/>
      <c r="E38" s="119"/>
      <c r="F38" s="107">
        <v>46212</v>
      </c>
      <c r="G38" s="117">
        <v>252</v>
      </c>
      <c r="H38" s="121"/>
      <c r="I38" s="125">
        <v>46214</v>
      </c>
      <c r="J38" s="13">
        <f t="shared" si="180"/>
        <v>0</v>
      </c>
      <c r="K38" s="139"/>
      <c r="L38" s="161"/>
      <c r="M38" s="136"/>
      <c r="N38" s="136"/>
      <c r="O38" s="136"/>
      <c r="P38" s="136"/>
      <c r="Q38" s="136"/>
      <c r="R38" s="136"/>
      <c r="S38" s="161"/>
      <c r="T38" s="161"/>
      <c r="U38" s="161"/>
      <c r="V38" s="161"/>
      <c r="W38" s="135"/>
      <c r="X38" s="135"/>
      <c r="Y38" s="135"/>
      <c r="Z38" s="135"/>
      <c r="AA38" s="135"/>
      <c r="AB38" s="135"/>
      <c r="AC38" s="136"/>
      <c r="AD38" s="136"/>
      <c r="AE38" s="161"/>
      <c r="AF38" s="161"/>
      <c r="AG38" s="161"/>
      <c r="AH38" s="161"/>
      <c r="AI38" s="161"/>
      <c r="AJ38" s="161"/>
      <c r="AK38" s="161"/>
      <c r="AL38" s="135"/>
      <c r="AM38" s="161">
        <v>107</v>
      </c>
      <c r="AN38" s="161"/>
      <c r="AO38" s="161">
        <v>145</v>
      </c>
      <c r="AP38" s="161"/>
      <c r="AQ38" s="136"/>
      <c r="AR38" s="136"/>
      <c r="AS38" s="161"/>
      <c r="AT38" s="135"/>
      <c r="AU38" s="161"/>
      <c r="AV38" s="135"/>
      <c r="AW38" s="161"/>
      <c r="AX38" s="161"/>
      <c r="AY38" s="135"/>
      <c r="AZ38" s="135"/>
      <c r="BA38" s="135"/>
      <c r="BB38" s="135"/>
      <c r="BC38" s="135"/>
      <c r="BD38" s="135"/>
      <c r="BE38" s="136"/>
      <c r="BF38" s="136"/>
      <c r="BG38" s="161"/>
      <c r="BH38" s="161"/>
      <c r="BI38" s="161"/>
      <c r="BJ38" s="161"/>
      <c r="BK38" s="161"/>
      <c r="BL38" s="161"/>
      <c r="BM38" s="135"/>
      <c r="BN38" s="135"/>
      <c r="BO38" s="135"/>
      <c r="BP38" s="135"/>
      <c r="BQ38" s="135"/>
      <c r="BR38" s="135"/>
      <c r="BS38" s="136"/>
      <c r="BT38" s="136"/>
      <c r="BU38" s="161"/>
      <c r="BV38" s="161"/>
      <c r="BW38" s="161"/>
      <c r="BX38" s="161"/>
      <c r="BY38" s="161"/>
      <c r="BZ38" s="161"/>
      <c r="CA38" s="135"/>
      <c r="CB38" s="135"/>
      <c r="CC38" s="135"/>
      <c r="CD38" s="135"/>
      <c r="CE38" s="135"/>
      <c r="CF38" s="135"/>
      <c r="CG38" s="136"/>
      <c r="CH38" s="136"/>
      <c r="CI38" s="161"/>
      <c r="CJ38" s="161"/>
      <c r="CK38" s="161"/>
      <c r="CL38" s="161"/>
      <c r="CM38" s="161"/>
      <c r="CN38" s="161"/>
      <c r="CO38" s="135"/>
      <c r="CP38" s="135"/>
      <c r="CQ38" s="135"/>
      <c r="CR38" s="135"/>
      <c r="CS38" s="135"/>
      <c r="CT38" s="135"/>
      <c r="CU38" s="136"/>
      <c r="CV38" s="136"/>
      <c r="CW38" s="161"/>
      <c r="CX38" s="161"/>
      <c r="CY38" s="161"/>
      <c r="CZ38" s="161"/>
      <c r="DA38" s="161"/>
      <c r="DB38" s="161"/>
      <c r="DC38" s="135"/>
      <c r="DD38" s="135"/>
      <c r="DE38" s="135"/>
      <c r="DF38" s="135"/>
      <c r="DG38" s="135"/>
      <c r="DH38" s="135"/>
      <c r="DI38" s="136"/>
      <c r="DJ38" s="136"/>
      <c r="DK38" s="161"/>
      <c r="DL38" s="161"/>
      <c r="DM38" s="161"/>
      <c r="DN38" s="161"/>
      <c r="DO38" s="161"/>
      <c r="DP38" s="161"/>
      <c r="DQ38" s="135"/>
      <c r="DR38" s="135"/>
      <c r="DS38" s="135"/>
      <c r="DT38" s="135"/>
      <c r="DU38" s="135"/>
      <c r="DV38" s="135"/>
      <c r="DW38" s="136"/>
      <c r="DX38" s="136"/>
      <c r="DY38" s="161"/>
      <c r="DZ38" s="161"/>
      <c r="EA38" s="161"/>
      <c r="EB38" s="161"/>
      <c r="EC38" s="161"/>
      <c r="ED38" s="161"/>
      <c r="EE38" s="135"/>
      <c r="EF38" s="135"/>
      <c r="EG38" s="135"/>
      <c r="EH38" s="135"/>
      <c r="EI38" s="135"/>
      <c r="EJ38" s="135"/>
      <c r="EK38" s="136"/>
      <c r="EL38" s="136"/>
      <c r="EM38" s="136"/>
      <c r="EN38" s="136"/>
      <c r="EO38" s="136"/>
      <c r="EP38" s="136"/>
      <c r="EQ38" s="136"/>
      <c r="ER38" s="136"/>
      <c r="ES38" s="135"/>
      <c r="ET38" s="135"/>
      <c r="EU38" s="135"/>
      <c r="EV38" s="135"/>
      <c r="EW38" s="135"/>
      <c r="EX38" s="135"/>
      <c r="EY38" s="136"/>
      <c r="EZ38" s="136"/>
      <c r="FA38" s="161"/>
      <c r="FB38" s="161"/>
      <c r="FC38" s="161"/>
      <c r="FD38" s="161"/>
      <c r="FE38" s="161"/>
      <c r="FF38" s="161"/>
      <c r="FG38" s="135"/>
      <c r="FH38" s="135"/>
      <c r="FI38" s="135"/>
      <c r="FJ38" s="135"/>
      <c r="FK38" s="135"/>
      <c r="FL38" s="135"/>
      <c r="FM38" s="136"/>
      <c r="FN38" s="136"/>
      <c r="FO38" s="161"/>
      <c r="FP38" s="161"/>
      <c r="FQ38" s="161"/>
      <c r="FR38" s="161"/>
      <c r="FS38" s="161"/>
      <c r="FT38" s="161"/>
      <c r="FU38" s="135"/>
      <c r="FV38" s="135"/>
      <c r="FW38" s="135"/>
      <c r="FX38" s="135"/>
      <c r="FY38" s="135"/>
      <c r="FZ38" s="135"/>
      <c r="GA38" s="136"/>
      <c r="GB38" s="136"/>
      <c r="GC38" s="161"/>
      <c r="GD38" s="161"/>
      <c r="GE38" s="161"/>
      <c r="GF38" s="161"/>
      <c r="GG38" s="161"/>
      <c r="GH38" s="161"/>
      <c r="GI38" s="135"/>
      <c r="GJ38" s="135"/>
      <c r="GK38" s="135"/>
      <c r="GL38" s="135"/>
      <c r="GM38" s="135"/>
      <c r="GN38" s="135"/>
    </row>
    <row r="39" spans="1:196" ht="29" hidden="1" customHeight="1">
      <c r="A39" s="114"/>
      <c r="B39" s="116" t="s">
        <v>860</v>
      </c>
      <c r="C39" s="116" t="s">
        <v>672</v>
      </c>
      <c r="D39" s="119"/>
      <c r="E39" s="119"/>
      <c r="F39" s="107">
        <v>46212</v>
      </c>
      <c r="G39" s="117">
        <v>78</v>
      </c>
      <c r="H39" s="121"/>
      <c r="I39" s="125">
        <v>46207</v>
      </c>
      <c r="J39" s="13">
        <f t="shared" si="180"/>
        <v>0</v>
      </c>
      <c r="K39" s="139"/>
      <c r="L39" s="161"/>
      <c r="M39" s="136"/>
      <c r="N39" s="136"/>
      <c r="O39" s="136"/>
      <c r="P39" s="136"/>
      <c r="Q39" s="136"/>
      <c r="R39" s="136"/>
      <c r="S39" s="161"/>
      <c r="T39" s="161"/>
      <c r="U39" s="161"/>
      <c r="V39" s="161"/>
      <c r="W39" s="135"/>
      <c r="X39" s="135"/>
      <c r="Y39" s="135"/>
      <c r="Z39" s="135"/>
      <c r="AA39" s="135"/>
      <c r="AB39" s="135"/>
      <c r="AC39" s="136"/>
      <c r="AD39" s="136"/>
      <c r="AE39" s="161"/>
      <c r="AF39" s="161"/>
      <c r="AG39" s="161"/>
      <c r="AH39" s="161"/>
      <c r="AI39" s="161"/>
      <c r="AJ39" s="161"/>
      <c r="AK39" s="161"/>
      <c r="AL39" s="161"/>
      <c r="AM39" s="161"/>
      <c r="AN39" s="135"/>
      <c r="AO39" s="161">
        <v>3</v>
      </c>
      <c r="AP39" s="135"/>
      <c r="AQ39" s="136"/>
      <c r="AR39" s="136"/>
      <c r="AS39" s="161">
        <v>75</v>
      </c>
      <c r="AT39" s="135"/>
      <c r="AU39" s="161"/>
      <c r="AV39" s="135"/>
      <c r="AW39" s="161"/>
      <c r="AX39" s="161"/>
      <c r="AY39" s="161"/>
      <c r="AZ39" s="161"/>
      <c r="BA39" s="161"/>
      <c r="BB39" s="161"/>
      <c r="BC39" s="161"/>
      <c r="BD39" s="161"/>
      <c r="BE39" s="136"/>
      <c r="BF39" s="136"/>
      <c r="BG39" s="161"/>
      <c r="BH39" s="161"/>
      <c r="BI39" s="161"/>
      <c r="BJ39" s="161"/>
      <c r="BK39" s="161"/>
      <c r="BL39" s="161"/>
      <c r="BM39" s="135"/>
      <c r="BN39" s="135"/>
      <c r="BO39" s="135"/>
      <c r="BP39" s="135"/>
      <c r="BQ39" s="135"/>
      <c r="BR39" s="135"/>
      <c r="BS39" s="136"/>
      <c r="BT39" s="136"/>
      <c r="BU39" s="161"/>
      <c r="BV39" s="161"/>
      <c r="BW39" s="161"/>
      <c r="BX39" s="161"/>
      <c r="BY39" s="161"/>
      <c r="BZ39" s="161"/>
      <c r="CA39" s="135"/>
      <c r="CB39" s="135"/>
      <c r="CC39" s="135"/>
      <c r="CD39" s="135"/>
      <c r="CE39" s="135"/>
      <c r="CF39" s="135"/>
      <c r="CG39" s="136"/>
      <c r="CH39" s="136"/>
      <c r="CI39" s="161"/>
      <c r="CJ39" s="161"/>
      <c r="CK39" s="161"/>
      <c r="CL39" s="161"/>
      <c r="CM39" s="161"/>
      <c r="CN39" s="161"/>
      <c r="CO39" s="135"/>
      <c r="CP39" s="135"/>
      <c r="CQ39" s="135"/>
      <c r="CR39" s="135"/>
      <c r="CS39" s="135"/>
      <c r="CT39" s="135"/>
      <c r="CU39" s="136"/>
      <c r="CV39" s="136"/>
      <c r="CW39" s="161"/>
      <c r="CX39" s="161"/>
      <c r="CY39" s="161"/>
      <c r="CZ39" s="161"/>
      <c r="DA39" s="161"/>
      <c r="DB39" s="161"/>
      <c r="DC39" s="135"/>
      <c r="DD39" s="135"/>
      <c r="DE39" s="135"/>
      <c r="DF39" s="135"/>
      <c r="DG39" s="135"/>
      <c r="DH39" s="135"/>
      <c r="DI39" s="136"/>
      <c r="DJ39" s="136"/>
      <c r="DK39" s="161"/>
      <c r="DL39" s="161"/>
      <c r="DM39" s="161"/>
      <c r="DN39" s="161"/>
      <c r="DO39" s="161"/>
      <c r="DP39" s="161"/>
      <c r="DQ39" s="135"/>
      <c r="DR39" s="135"/>
      <c r="DS39" s="135"/>
      <c r="DT39" s="135"/>
      <c r="DU39" s="135"/>
      <c r="DV39" s="135"/>
      <c r="DW39" s="136"/>
      <c r="DX39" s="136"/>
      <c r="DY39" s="161"/>
      <c r="DZ39" s="161"/>
      <c r="EA39" s="161"/>
      <c r="EB39" s="161"/>
      <c r="EC39" s="161"/>
      <c r="ED39" s="161"/>
      <c r="EE39" s="135"/>
      <c r="EF39" s="135"/>
      <c r="EG39" s="135"/>
      <c r="EH39" s="135"/>
      <c r="EI39" s="135"/>
      <c r="EJ39" s="135"/>
      <c r="EK39" s="136"/>
      <c r="EL39" s="136"/>
      <c r="EM39" s="136"/>
      <c r="EN39" s="136"/>
      <c r="EO39" s="136"/>
      <c r="EP39" s="136"/>
      <c r="EQ39" s="136"/>
      <c r="ER39" s="136"/>
      <c r="ES39" s="135"/>
      <c r="ET39" s="135"/>
      <c r="EU39" s="135"/>
      <c r="EV39" s="135"/>
      <c r="EW39" s="135"/>
      <c r="EX39" s="135"/>
      <c r="EY39" s="136"/>
      <c r="EZ39" s="136"/>
      <c r="FA39" s="161"/>
      <c r="FB39" s="161"/>
      <c r="FC39" s="161"/>
      <c r="FD39" s="161"/>
      <c r="FE39" s="161"/>
      <c r="FF39" s="161"/>
      <c r="FG39" s="135"/>
      <c r="FH39" s="135"/>
      <c r="FI39" s="135"/>
      <c r="FJ39" s="135"/>
      <c r="FK39" s="135"/>
      <c r="FL39" s="135"/>
      <c r="FM39" s="136"/>
      <c r="FN39" s="136"/>
      <c r="FO39" s="161"/>
      <c r="FP39" s="161"/>
      <c r="FQ39" s="161"/>
      <c r="FR39" s="161"/>
      <c r="FS39" s="161"/>
      <c r="FT39" s="161"/>
      <c r="FU39" s="135"/>
      <c r="FV39" s="135"/>
      <c r="FW39" s="135"/>
      <c r="FX39" s="135"/>
      <c r="FY39" s="135"/>
      <c r="FZ39" s="135"/>
      <c r="GA39" s="136"/>
      <c r="GB39" s="136"/>
      <c r="GC39" s="161"/>
      <c r="GD39" s="161"/>
      <c r="GE39" s="161"/>
      <c r="GF39" s="161"/>
      <c r="GG39" s="161"/>
      <c r="GH39" s="161"/>
      <c r="GI39" s="135"/>
      <c r="GJ39" s="135"/>
      <c r="GK39" s="135"/>
      <c r="GL39" s="135"/>
      <c r="GM39" s="135"/>
      <c r="GN39" s="135"/>
    </row>
    <row r="40" spans="1:196" hidden="1">
      <c r="A40" s="114"/>
      <c r="B40" s="116" t="s">
        <v>804</v>
      </c>
      <c r="C40" s="116" t="s">
        <v>249</v>
      </c>
      <c r="D40" s="119"/>
      <c r="E40" s="119"/>
      <c r="F40" s="107">
        <v>46213</v>
      </c>
      <c r="G40" s="117">
        <v>10</v>
      </c>
      <c r="H40" s="6"/>
      <c r="I40" s="125">
        <v>46214</v>
      </c>
      <c r="J40" s="13">
        <f t="shared" si="180"/>
        <v>0</v>
      </c>
      <c r="K40" s="153"/>
      <c r="L40" s="161"/>
      <c r="M40" s="136"/>
      <c r="N40" s="136"/>
      <c r="O40" s="136"/>
      <c r="P40" s="136"/>
      <c r="Q40" s="136"/>
      <c r="R40" s="136"/>
      <c r="S40" s="161"/>
      <c r="T40" s="161"/>
      <c r="U40" s="161"/>
      <c r="V40" s="161"/>
      <c r="W40" s="135"/>
      <c r="X40" s="135"/>
      <c r="Y40" s="135"/>
      <c r="Z40" s="135"/>
      <c r="AA40" s="135"/>
      <c r="AB40" s="135"/>
      <c r="AC40" s="136"/>
      <c r="AD40" s="136"/>
      <c r="AE40" s="161"/>
      <c r="AF40" s="161"/>
      <c r="AG40" s="161"/>
      <c r="AH40" s="161"/>
      <c r="AI40" s="161"/>
      <c r="AJ40" s="161"/>
      <c r="AK40" s="135"/>
      <c r="AL40" s="135"/>
      <c r="AM40" s="135"/>
      <c r="AN40" s="135"/>
      <c r="AO40" s="135"/>
      <c r="AP40" s="135"/>
      <c r="AQ40" s="136"/>
      <c r="AR40" s="136"/>
      <c r="AS40" s="135">
        <v>10</v>
      </c>
      <c r="AT40" s="135"/>
      <c r="AU40" s="135"/>
      <c r="AV40" s="135"/>
      <c r="AW40" s="135"/>
      <c r="AX40" s="161"/>
      <c r="AY40" s="135"/>
      <c r="AZ40" s="135"/>
      <c r="BA40" s="135"/>
      <c r="BB40" s="135"/>
      <c r="BC40" s="135"/>
      <c r="BD40" s="135"/>
      <c r="BE40" s="136"/>
      <c r="BF40" s="136"/>
      <c r="BG40" s="161"/>
      <c r="BH40" s="161"/>
      <c r="BI40" s="135"/>
      <c r="BJ40" s="135"/>
      <c r="BK40" s="135"/>
      <c r="BL40" s="135"/>
      <c r="BM40" s="135"/>
      <c r="BN40" s="135"/>
      <c r="BO40" s="135"/>
      <c r="BP40" s="135"/>
      <c r="BQ40" s="135"/>
      <c r="BR40" s="135"/>
      <c r="BS40" s="136"/>
      <c r="BT40" s="136"/>
      <c r="BU40" s="161"/>
      <c r="BV40" s="161"/>
      <c r="BW40" s="161"/>
      <c r="BX40" s="161"/>
      <c r="BY40" s="161"/>
      <c r="BZ40" s="161"/>
      <c r="CA40" s="135"/>
      <c r="CB40" s="135"/>
      <c r="CC40" s="135"/>
      <c r="CD40" s="135"/>
      <c r="CE40" s="135"/>
      <c r="CF40" s="135"/>
      <c r="CG40" s="136"/>
      <c r="CH40" s="136"/>
      <c r="CI40" s="161"/>
      <c r="CJ40" s="161"/>
      <c r="CK40" s="161"/>
      <c r="CL40" s="161"/>
      <c r="CM40" s="161"/>
      <c r="CN40" s="161"/>
      <c r="CO40" s="135"/>
      <c r="CP40" s="135"/>
      <c r="CQ40" s="135"/>
      <c r="CR40" s="135"/>
      <c r="CS40" s="135"/>
      <c r="CT40" s="135"/>
      <c r="CU40" s="136"/>
      <c r="CV40" s="136"/>
      <c r="CW40" s="161"/>
      <c r="CX40" s="161"/>
      <c r="CY40" s="161"/>
      <c r="CZ40" s="161"/>
      <c r="DA40" s="161"/>
      <c r="DB40" s="161"/>
      <c r="DC40" s="135"/>
      <c r="DD40" s="135"/>
      <c r="DE40" s="135"/>
      <c r="DF40" s="135"/>
      <c r="DG40" s="135"/>
      <c r="DH40" s="135"/>
      <c r="DI40" s="136"/>
      <c r="DJ40" s="136"/>
      <c r="DK40" s="161"/>
      <c r="DL40" s="161"/>
      <c r="DM40" s="161"/>
      <c r="DN40" s="161"/>
      <c r="DO40" s="161"/>
      <c r="DP40" s="161"/>
      <c r="DQ40" s="135"/>
      <c r="DR40" s="135"/>
      <c r="DS40" s="135"/>
      <c r="DT40" s="135"/>
      <c r="DU40" s="135"/>
      <c r="DV40" s="135"/>
      <c r="DW40" s="136"/>
      <c r="DX40" s="136"/>
      <c r="DY40" s="161"/>
      <c r="DZ40" s="161"/>
      <c r="EA40" s="161"/>
      <c r="EB40" s="161"/>
      <c r="EC40" s="161"/>
      <c r="ED40" s="161"/>
      <c r="EE40" s="135"/>
      <c r="EF40" s="135"/>
      <c r="EG40" s="135"/>
      <c r="EH40" s="135"/>
      <c r="EI40" s="135"/>
      <c r="EJ40" s="135"/>
      <c r="EK40" s="136"/>
      <c r="EL40" s="136"/>
      <c r="EM40" s="136"/>
      <c r="EN40" s="136"/>
      <c r="EO40" s="136"/>
      <c r="EP40" s="136"/>
      <c r="EQ40" s="136"/>
      <c r="ER40" s="136"/>
      <c r="ES40" s="135"/>
      <c r="ET40" s="135"/>
      <c r="EU40" s="135"/>
      <c r="EV40" s="135"/>
      <c r="EW40" s="135"/>
      <c r="EX40" s="135"/>
      <c r="EY40" s="136"/>
      <c r="EZ40" s="136"/>
      <c r="FA40" s="161"/>
      <c r="FB40" s="161"/>
      <c r="FC40" s="161"/>
      <c r="FD40" s="161"/>
      <c r="FE40" s="161"/>
      <c r="FF40" s="161"/>
      <c r="FG40" s="135"/>
      <c r="FH40" s="135"/>
      <c r="FI40" s="135"/>
      <c r="FJ40" s="135"/>
      <c r="FK40" s="135"/>
      <c r="FL40" s="135"/>
      <c r="FM40" s="136"/>
      <c r="FN40" s="136"/>
      <c r="FO40" s="161"/>
      <c r="FP40" s="161"/>
      <c r="FQ40" s="161"/>
      <c r="FR40" s="161"/>
      <c r="FS40" s="161"/>
      <c r="FT40" s="161"/>
      <c r="FU40" s="135"/>
      <c r="FV40" s="135"/>
      <c r="FW40" s="135"/>
      <c r="FX40" s="135"/>
      <c r="FY40" s="135"/>
      <c r="FZ40" s="135"/>
      <c r="GA40" s="136"/>
      <c r="GB40" s="136"/>
      <c r="GC40" s="161"/>
      <c r="GD40" s="161"/>
      <c r="GE40" s="161"/>
      <c r="GF40" s="161"/>
      <c r="GG40" s="161"/>
      <c r="GH40" s="161"/>
      <c r="GI40" s="135"/>
      <c r="GJ40" s="135"/>
      <c r="GK40" s="135"/>
      <c r="GL40" s="135"/>
      <c r="GM40" s="135"/>
      <c r="GN40" s="135"/>
    </row>
    <row r="41" spans="1:196" hidden="1">
      <c r="A41" s="114"/>
      <c r="B41" s="116" t="s">
        <v>1098</v>
      </c>
      <c r="C41" s="116" t="s">
        <v>253</v>
      </c>
      <c r="D41" s="119"/>
      <c r="E41" s="119" t="e">
        <f>VLOOKUP(C41,#REF!,5,0)</f>
        <v>#REF!</v>
      </c>
      <c r="F41" s="107">
        <v>46218</v>
      </c>
      <c r="G41" s="117">
        <v>500</v>
      </c>
      <c r="H41" s="6"/>
      <c r="I41" s="125">
        <v>46214</v>
      </c>
      <c r="J41" s="13">
        <f t="shared" si="180"/>
        <v>0</v>
      </c>
      <c r="K41" s="171"/>
      <c r="L41" s="161"/>
      <c r="M41" s="136"/>
      <c r="N41" s="136"/>
      <c r="O41" s="136"/>
      <c r="P41" s="136"/>
      <c r="Q41" s="136"/>
      <c r="R41" s="136"/>
      <c r="S41" s="161"/>
      <c r="T41" s="161"/>
      <c r="U41" s="161"/>
      <c r="V41" s="161"/>
      <c r="W41" s="161"/>
      <c r="X41" s="135"/>
      <c r="Y41" s="161"/>
      <c r="Z41" s="135"/>
      <c r="AA41" s="161"/>
      <c r="AB41" s="135"/>
      <c r="AC41" s="136"/>
      <c r="AD41" s="136"/>
      <c r="AE41" s="161"/>
      <c r="AF41" s="161"/>
      <c r="AG41" s="161"/>
      <c r="AH41" s="161"/>
      <c r="AI41" s="161"/>
      <c r="AJ41" s="161"/>
      <c r="AK41" s="161"/>
      <c r="AL41" s="135"/>
      <c r="AM41" s="161"/>
      <c r="AN41" s="135"/>
      <c r="AO41" s="161"/>
      <c r="AP41" s="161"/>
      <c r="AQ41" s="136"/>
      <c r="AR41" s="136"/>
      <c r="AS41" s="161"/>
      <c r="AT41" s="161"/>
      <c r="AU41" s="161"/>
      <c r="AV41" s="161"/>
      <c r="AW41" s="135">
        <v>46</v>
      </c>
      <c r="AX41" s="161"/>
      <c r="AY41" s="161">
        <v>188</v>
      </c>
      <c r="AZ41" s="161"/>
      <c r="BA41" s="161">
        <v>143</v>
      </c>
      <c r="BB41" s="161"/>
      <c r="BC41" s="161">
        <v>123</v>
      </c>
      <c r="BD41" s="161"/>
      <c r="BE41" s="136"/>
      <c r="BF41" s="136"/>
      <c r="BG41" s="161"/>
      <c r="BH41" s="135"/>
      <c r="BI41" s="161"/>
      <c r="BJ41" s="161"/>
      <c r="BK41" s="161"/>
      <c r="BL41" s="161"/>
      <c r="BM41" s="161"/>
      <c r="BN41" s="161"/>
      <c r="BO41" s="135"/>
      <c r="BP41" s="135"/>
      <c r="BQ41" s="135"/>
      <c r="BR41" s="135"/>
      <c r="BS41" s="136"/>
      <c r="BT41" s="136"/>
      <c r="BU41" s="161"/>
      <c r="BV41" s="161"/>
      <c r="BW41" s="161"/>
      <c r="BX41" s="161"/>
      <c r="BY41" s="161"/>
      <c r="BZ41" s="161"/>
      <c r="CA41" s="135"/>
      <c r="CB41" s="135"/>
      <c r="CC41" s="135"/>
      <c r="CD41" s="135"/>
      <c r="CE41" s="135"/>
      <c r="CF41" s="135"/>
      <c r="CG41" s="136"/>
      <c r="CH41" s="136"/>
      <c r="CI41" s="161"/>
      <c r="CJ41" s="161"/>
      <c r="CK41" s="161"/>
      <c r="CL41" s="161"/>
      <c r="CM41" s="161"/>
      <c r="CN41" s="161"/>
      <c r="CO41" s="135"/>
      <c r="CP41" s="135"/>
      <c r="CQ41" s="135"/>
      <c r="CR41" s="135"/>
      <c r="CS41" s="135"/>
      <c r="CT41" s="135"/>
      <c r="CU41" s="136"/>
      <c r="CV41" s="136"/>
      <c r="CW41" s="161"/>
      <c r="CX41" s="161"/>
      <c r="CY41" s="161"/>
      <c r="CZ41" s="161"/>
      <c r="DA41" s="161"/>
      <c r="DB41" s="161"/>
      <c r="DC41" s="135"/>
      <c r="DD41" s="135"/>
      <c r="DE41" s="135"/>
      <c r="DF41" s="135"/>
      <c r="DG41" s="135"/>
      <c r="DH41" s="135"/>
      <c r="DI41" s="136"/>
      <c r="DJ41" s="136"/>
      <c r="DK41" s="161"/>
      <c r="DL41" s="161"/>
      <c r="DM41" s="161"/>
      <c r="DN41" s="161"/>
      <c r="DO41" s="161"/>
      <c r="DP41" s="161"/>
      <c r="DQ41" s="135"/>
      <c r="DR41" s="135"/>
      <c r="DS41" s="135"/>
      <c r="DT41" s="135"/>
      <c r="DU41" s="135"/>
      <c r="DV41" s="135"/>
      <c r="DW41" s="136"/>
      <c r="DX41" s="136"/>
      <c r="DY41" s="161"/>
      <c r="DZ41" s="161"/>
      <c r="EA41" s="161"/>
      <c r="EB41" s="161"/>
      <c r="EC41" s="161"/>
      <c r="ED41" s="161"/>
      <c r="EE41" s="135"/>
      <c r="EF41" s="135"/>
      <c r="EG41" s="135"/>
      <c r="EH41" s="135"/>
      <c r="EI41" s="135"/>
      <c r="EJ41" s="135"/>
      <c r="EK41" s="136"/>
      <c r="EL41" s="136"/>
      <c r="EM41" s="136"/>
      <c r="EN41" s="136"/>
      <c r="EO41" s="136"/>
      <c r="EP41" s="136"/>
      <c r="EQ41" s="136"/>
      <c r="ER41" s="136"/>
      <c r="ES41" s="135"/>
      <c r="ET41" s="135"/>
      <c r="EU41" s="135"/>
      <c r="EV41" s="135"/>
      <c r="EW41" s="135"/>
      <c r="EX41" s="135"/>
      <c r="EY41" s="136"/>
      <c r="EZ41" s="136"/>
      <c r="FA41" s="161"/>
      <c r="FB41" s="161"/>
      <c r="FC41" s="161"/>
      <c r="FD41" s="161"/>
      <c r="FE41" s="161"/>
      <c r="FF41" s="161"/>
      <c r="FG41" s="135"/>
      <c r="FH41" s="135"/>
      <c r="FI41" s="135"/>
      <c r="FJ41" s="135"/>
      <c r="FK41" s="135"/>
      <c r="FL41" s="135"/>
      <c r="FM41" s="136"/>
      <c r="FN41" s="136"/>
      <c r="FO41" s="161"/>
      <c r="FP41" s="161"/>
      <c r="FQ41" s="161"/>
      <c r="FR41" s="161"/>
      <c r="FS41" s="161"/>
      <c r="FT41" s="161"/>
      <c r="FU41" s="135"/>
      <c r="FV41" s="135"/>
      <c r="FW41" s="135"/>
      <c r="FX41" s="135"/>
      <c r="FY41" s="135"/>
      <c r="FZ41" s="135"/>
      <c r="GA41" s="136"/>
      <c r="GB41" s="136"/>
      <c r="GC41" s="161"/>
      <c r="GD41" s="161"/>
      <c r="GE41" s="161"/>
      <c r="GF41" s="161"/>
      <c r="GG41" s="161"/>
      <c r="GH41" s="161"/>
      <c r="GI41" s="135"/>
      <c r="GJ41" s="135"/>
      <c r="GK41" s="135"/>
      <c r="GL41" s="135"/>
      <c r="GM41" s="135"/>
      <c r="GN41" s="135"/>
    </row>
    <row r="42" spans="1:196" hidden="1">
      <c r="A42" s="114"/>
      <c r="B42" s="116" t="s">
        <v>1101</v>
      </c>
      <c r="C42" s="116" t="s">
        <v>863</v>
      </c>
      <c r="D42" s="119"/>
      <c r="E42" s="119" t="e">
        <f>VLOOKUP(C42,#REF!,5,0)</f>
        <v>#REF!</v>
      </c>
      <c r="F42" s="107">
        <v>46219</v>
      </c>
      <c r="G42" s="117">
        <v>700</v>
      </c>
      <c r="H42" s="6"/>
      <c r="I42" s="125">
        <v>46214</v>
      </c>
      <c r="J42" s="13">
        <f t="shared" si="180"/>
        <v>0</v>
      </c>
      <c r="K42" s="153" t="s">
        <v>1154</v>
      </c>
      <c r="L42" s="161"/>
      <c r="M42" s="136"/>
      <c r="N42" s="136"/>
      <c r="O42" s="136"/>
      <c r="P42" s="136"/>
      <c r="Q42" s="136"/>
      <c r="R42" s="136"/>
      <c r="S42" s="161"/>
      <c r="T42" s="161"/>
      <c r="U42" s="161"/>
      <c r="V42" s="161"/>
      <c r="W42" s="161"/>
      <c r="X42" s="135"/>
      <c r="Y42" s="161"/>
      <c r="Z42" s="135"/>
      <c r="AA42" s="161"/>
      <c r="AB42" s="135"/>
      <c r="AC42" s="136"/>
      <c r="AD42" s="136"/>
      <c r="AE42" s="161"/>
      <c r="AF42" s="161"/>
      <c r="AG42" s="161"/>
      <c r="AH42" s="161"/>
      <c r="AI42" s="161"/>
      <c r="AJ42" s="161"/>
      <c r="AK42" s="161"/>
      <c r="AL42" s="135"/>
      <c r="AM42" s="161"/>
      <c r="AN42" s="135"/>
      <c r="AO42" s="161"/>
      <c r="AP42" s="161"/>
      <c r="AQ42" s="136"/>
      <c r="AR42" s="136"/>
      <c r="AS42" s="161"/>
      <c r="AT42" s="161"/>
      <c r="AU42" s="161"/>
      <c r="AV42" s="161"/>
      <c r="AW42" s="135"/>
      <c r="AX42" s="161"/>
      <c r="AY42" s="161"/>
      <c r="AZ42" s="161"/>
      <c r="BA42" s="161"/>
      <c r="BB42" s="161"/>
      <c r="BC42" s="161">
        <v>130</v>
      </c>
      <c r="BD42" s="161"/>
      <c r="BE42" s="136"/>
      <c r="BF42" s="136"/>
      <c r="BG42" s="161">
        <v>262</v>
      </c>
      <c r="BH42" s="135"/>
      <c r="BI42" s="161">
        <v>201</v>
      </c>
      <c r="BJ42" s="161"/>
      <c r="BK42" s="161">
        <v>107</v>
      </c>
      <c r="BL42" s="161"/>
      <c r="BM42" s="161"/>
      <c r="BN42" s="161"/>
      <c r="BO42" s="135"/>
      <c r="BP42" s="135"/>
      <c r="BQ42" s="135"/>
      <c r="BR42" s="135"/>
      <c r="BS42" s="136"/>
      <c r="BT42" s="136"/>
      <c r="BU42" s="161"/>
      <c r="BV42" s="161"/>
      <c r="BW42" s="161"/>
      <c r="BX42" s="161"/>
      <c r="BY42" s="161"/>
      <c r="BZ42" s="161"/>
      <c r="CA42" s="135"/>
      <c r="CB42" s="135"/>
      <c r="CC42" s="135"/>
      <c r="CD42" s="135"/>
      <c r="CE42" s="135"/>
      <c r="CF42" s="135"/>
      <c r="CG42" s="136"/>
      <c r="CH42" s="136"/>
      <c r="CI42" s="161"/>
      <c r="CJ42" s="161"/>
      <c r="CK42" s="161"/>
      <c r="CL42" s="161"/>
      <c r="CM42" s="161"/>
      <c r="CN42" s="161"/>
      <c r="CO42" s="135"/>
      <c r="CP42" s="135"/>
      <c r="CQ42" s="135"/>
      <c r="CR42" s="135"/>
      <c r="CS42" s="135"/>
      <c r="CT42" s="135"/>
      <c r="CU42" s="136"/>
      <c r="CV42" s="136"/>
      <c r="CW42" s="161"/>
      <c r="CX42" s="161"/>
      <c r="CY42" s="161"/>
      <c r="CZ42" s="161"/>
      <c r="DA42" s="161"/>
      <c r="DB42" s="161"/>
      <c r="DC42" s="135"/>
      <c r="DD42" s="135"/>
      <c r="DE42" s="135"/>
      <c r="DF42" s="135"/>
      <c r="DG42" s="135"/>
      <c r="DH42" s="135"/>
      <c r="DI42" s="136"/>
      <c r="DJ42" s="136"/>
      <c r="DK42" s="161"/>
      <c r="DL42" s="161"/>
      <c r="DM42" s="161"/>
      <c r="DN42" s="161"/>
      <c r="DO42" s="161"/>
      <c r="DP42" s="161"/>
      <c r="DQ42" s="135"/>
      <c r="DR42" s="135"/>
      <c r="DS42" s="135"/>
      <c r="DT42" s="135"/>
      <c r="DU42" s="135"/>
      <c r="DV42" s="135"/>
      <c r="DW42" s="136"/>
      <c r="DX42" s="136"/>
      <c r="DY42" s="161"/>
      <c r="DZ42" s="161"/>
      <c r="EA42" s="161"/>
      <c r="EB42" s="161"/>
      <c r="EC42" s="161"/>
      <c r="ED42" s="161"/>
      <c r="EE42" s="135"/>
      <c r="EF42" s="135"/>
      <c r="EG42" s="135"/>
      <c r="EH42" s="135"/>
      <c r="EI42" s="135"/>
      <c r="EJ42" s="135"/>
      <c r="EK42" s="136"/>
      <c r="EL42" s="136"/>
      <c r="EM42" s="136"/>
      <c r="EN42" s="136"/>
      <c r="EO42" s="136"/>
      <c r="EP42" s="136"/>
      <c r="EQ42" s="136"/>
      <c r="ER42" s="136"/>
      <c r="ES42" s="135"/>
      <c r="ET42" s="135"/>
      <c r="EU42" s="135"/>
      <c r="EV42" s="135"/>
      <c r="EW42" s="135"/>
      <c r="EX42" s="135"/>
      <c r="EY42" s="136"/>
      <c r="EZ42" s="136"/>
      <c r="FA42" s="161"/>
      <c r="FB42" s="161"/>
      <c r="FC42" s="161"/>
      <c r="FD42" s="161"/>
      <c r="FE42" s="161"/>
      <c r="FF42" s="161"/>
      <c r="FG42" s="135"/>
      <c r="FH42" s="135"/>
      <c r="FI42" s="135"/>
      <c r="FJ42" s="135"/>
      <c r="FK42" s="135"/>
      <c r="FL42" s="135"/>
      <c r="FM42" s="136"/>
      <c r="FN42" s="136"/>
      <c r="FO42" s="161"/>
      <c r="FP42" s="161"/>
      <c r="FQ42" s="161"/>
      <c r="FR42" s="161"/>
      <c r="FS42" s="161"/>
      <c r="FT42" s="161"/>
      <c r="FU42" s="135"/>
      <c r="FV42" s="135"/>
      <c r="FW42" s="135"/>
      <c r="FX42" s="135"/>
      <c r="FY42" s="135"/>
      <c r="FZ42" s="135"/>
      <c r="GA42" s="136"/>
      <c r="GB42" s="136"/>
      <c r="GC42" s="161"/>
      <c r="GD42" s="161"/>
      <c r="GE42" s="161"/>
      <c r="GF42" s="161"/>
      <c r="GG42" s="161"/>
      <c r="GH42" s="161"/>
      <c r="GI42" s="135"/>
      <c r="GJ42" s="135"/>
      <c r="GK42" s="135"/>
      <c r="GL42" s="135"/>
      <c r="GM42" s="135"/>
      <c r="GN42" s="135"/>
    </row>
    <row r="43" spans="1:196" ht="29" hidden="1" customHeight="1">
      <c r="A43" s="114"/>
      <c r="B43" s="116" t="s">
        <v>1046</v>
      </c>
      <c r="C43" s="116" t="s">
        <v>249</v>
      </c>
      <c r="D43" s="119"/>
      <c r="E43" s="119"/>
      <c r="F43" s="107">
        <v>46213</v>
      </c>
      <c r="G43" s="117">
        <v>490</v>
      </c>
      <c r="H43" s="6"/>
      <c r="I43" s="125">
        <v>46214</v>
      </c>
      <c r="J43" s="13">
        <f t="shared" si="180"/>
        <v>0</v>
      </c>
      <c r="K43" s="153"/>
      <c r="L43" s="161"/>
      <c r="M43" s="136"/>
      <c r="N43" s="136"/>
      <c r="O43" s="136"/>
      <c r="P43" s="136"/>
      <c r="Q43" s="136"/>
      <c r="R43" s="136"/>
      <c r="S43" s="161"/>
      <c r="T43" s="161"/>
      <c r="U43" s="161"/>
      <c r="V43" s="161"/>
      <c r="W43" s="135"/>
      <c r="X43" s="135"/>
      <c r="Y43" s="135"/>
      <c r="Z43" s="135"/>
      <c r="AA43" s="135"/>
      <c r="AB43" s="135"/>
      <c r="AC43" s="136"/>
      <c r="AD43" s="136"/>
      <c r="AE43" s="161"/>
      <c r="AF43" s="161"/>
      <c r="AG43" s="161"/>
      <c r="AH43" s="161"/>
      <c r="AI43" s="161"/>
      <c r="AJ43" s="161"/>
      <c r="AK43" s="135"/>
      <c r="AL43" s="135"/>
      <c r="AM43" s="135"/>
      <c r="AN43" s="135"/>
      <c r="AO43" s="135"/>
      <c r="AP43" s="135"/>
      <c r="AQ43" s="136"/>
      <c r="AR43" s="136"/>
      <c r="AS43" s="135">
        <v>15</v>
      </c>
      <c r="AT43" s="135"/>
      <c r="AU43" s="135">
        <v>183</v>
      </c>
      <c r="AV43" s="135"/>
      <c r="AW43" s="135">
        <v>112</v>
      </c>
      <c r="AX43" s="161"/>
      <c r="AY43" s="135"/>
      <c r="AZ43" s="135"/>
      <c r="BA43" s="135"/>
      <c r="BB43" s="135"/>
      <c r="BC43" s="135"/>
      <c r="BD43" s="135"/>
      <c r="BE43" s="136"/>
      <c r="BF43" s="136"/>
      <c r="BG43" s="161"/>
      <c r="BH43" s="161"/>
      <c r="BI43" s="135"/>
      <c r="BJ43" s="135"/>
      <c r="BK43" s="161">
        <v>49</v>
      </c>
      <c r="BL43" s="135"/>
      <c r="BM43" s="135">
        <v>131</v>
      </c>
      <c r="BN43" s="135"/>
      <c r="BO43" s="135"/>
      <c r="BP43" s="135"/>
      <c r="BQ43" s="135"/>
      <c r="BR43" s="135"/>
      <c r="BS43" s="136"/>
      <c r="BT43" s="136"/>
      <c r="BU43" s="161"/>
      <c r="BV43" s="161"/>
      <c r="BW43" s="161"/>
      <c r="BX43" s="161"/>
      <c r="BY43" s="161"/>
      <c r="BZ43" s="161"/>
      <c r="CA43" s="135"/>
      <c r="CB43" s="135"/>
      <c r="CC43" s="135"/>
      <c r="CD43" s="135"/>
      <c r="CE43" s="135"/>
      <c r="CF43" s="135"/>
      <c r="CG43" s="136"/>
      <c r="CH43" s="136"/>
      <c r="CI43" s="161"/>
      <c r="CJ43" s="161"/>
      <c r="CK43" s="161"/>
      <c r="CL43" s="161"/>
      <c r="CM43" s="161"/>
      <c r="CN43" s="161"/>
      <c r="CO43" s="135"/>
      <c r="CP43" s="135"/>
      <c r="CQ43" s="135"/>
      <c r="CR43" s="135"/>
      <c r="CS43" s="135"/>
      <c r="CT43" s="135"/>
      <c r="CU43" s="136"/>
      <c r="CV43" s="136"/>
      <c r="CW43" s="161"/>
      <c r="CX43" s="161"/>
      <c r="CY43" s="161"/>
      <c r="CZ43" s="161"/>
      <c r="DA43" s="161"/>
      <c r="DB43" s="161"/>
      <c r="DC43" s="135"/>
      <c r="DD43" s="135"/>
      <c r="DE43" s="135"/>
      <c r="DF43" s="135"/>
      <c r="DG43" s="135"/>
      <c r="DH43" s="135"/>
      <c r="DI43" s="136"/>
      <c r="DJ43" s="136"/>
      <c r="DK43" s="161"/>
      <c r="DL43" s="161"/>
      <c r="DM43" s="161"/>
      <c r="DN43" s="161"/>
      <c r="DO43" s="161"/>
      <c r="DP43" s="161"/>
      <c r="DQ43" s="135"/>
      <c r="DR43" s="135"/>
      <c r="DS43" s="135"/>
      <c r="DT43" s="135"/>
      <c r="DU43" s="135"/>
      <c r="DV43" s="135"/>
      <c r="DW43" s="136"/>
      <c r="DX43" s="136"/>
      <c r="DY43" s="161"/>
      <c r="DZ43" s="161"/>
      <c r="EA43" s="161"/>
      <c r="EB43" s="161"/>
      <c r="EC43" s="161"/>
      <c r="ED43" s="161"/>
      <c r="EE43" s="135"/>
      <c r="EF43" s="135"/>
      <c r="EG43" s="135"/>
      <c r="EH43" s="135"/>
      <c r="EI43" s="135"/>
      <c r="EJ43" s="135"/>
      <c r="EK43" s="136"/>
      <c r="EL43" s="136"/>
      <c r="EM43" s="136"/>
      <c r="EN43" s="136"/>
      <c r="EO43" s="136"/>
      <c r="EP43" s="136"/>
      <c r="EQ43" s="136"/>
      <c r="ER43" s="136"/>
      <c r="ES43" s="135"/>
      <c r="ET43" s="135"/>
      <c r="EU43" s="135"/>
      <c r="EV43" s="135"/>
      <c r="EW43" s="135"/>
      <c r="EX43" s="135"/>
      <c r="EY43" s="136"/>
      <c r="EZ43" s="136"/>
      <c r="FA43" s="161"/>
      <c r="FB43" s="161"/>
      <c r="FC43" s="161"/>
      <c r="FD43" s="161"/>
      <c r="FE43" s="161"/>
      <c r="FF43" s="161"/>
      <c r="FG43" s="135"/>
      <c r="FH43" s="135"/>
      <c r="FI43" s="135"/>
      <c r="FJ43" s="135"/>
      <c r="FK43" s="135"/>
      <c r="FL43" s="135"/>
      <c r="FM43" s="136"/>
      <c r="FN43" s="136"/>
      <c r="FO43" s="161"/>
      <c r="FP43" s="161"/>
      <c r="FQ43" s="161"/>
      <c r="FR43" s="161"/>
      <c r="FS43" s="161"/>
      <c r="FT43" s="161"/>
      <c r="FU43" s="135"/>
      <c r="FV43" s="135"/>
      <c r="FW43" s="135"/>
      <c r="FX43" s="135"/>
      <c r="FY43" s="135"/>
      <c r="FZ43" s="135"/>
      <c r="GA43" s="136"/>
      <c r="GB43" s="136"/>
      <c r="GC43" s="161"/>
      <c r="GD43" s="161"/>
      <c r="GE43" s="161"/>
      <c r="GF43" s="161"/>
      <c r="GG43" s="161"/>
      <c r="GH43" s="161"/>
      <c r="GI43" s="135"/>
      <c r="GJ43" s="135"/>
      <c r="GK43" s="135"/>
      <c r="GL43" s="135"/>
      <c r="GM43" s="135"/>
      <c r="GN43" s="135"/>
    </row>
    <row r="44" spans="1:196" ht="29" hidden="1" customHeight="1">
      <c r="A44" s="114"/>
      <c r="B44" s="116" t="s">
        <v>861</v>
      </c>
      <c r="C44" s="116" t="s">
        <v>249</v>
      </c>
      <c r="D44" s="119"/>
      <c r="E44" s="119"/>
      <c r="F44" s="107">
        <v>46224</v>
      </c>
      <c r="G44" s="117">
        <v>500</v>
      </c>
      <c r="H44" s="6"/>
      <c r="I44" s="125">
        <v>46228</v>
      </c>
      <c r="J44" s="13">
        <f t="shared" si="180"/>
        <v>0</v>
      </c>
      <c r="K44" s="153"/>
      <c r="L44" s="161"/>
      <c r="M44" s="136"/>
      <c r="N44" s="136"/>
      <c r="O44" s="136"/>
      <c r="P44" s="136"/>
      <c r="Q44" s="136"/>
      <c r="R44" s="136"/>
      <c r="S44" s="161"/>
      <c r="T44" s="161"/>
      <c r="U44" s="161"/>
      <c r="V44" s="161"/>
      <c r="W44" s="135"/>
      <c r="X44" s="135"/>
      <c r="Y44" s="135"/>
      <c r="Z44" s="135"/>
      <c r="AA44" s="135"/>
      <c r="AB44" s="135"/>
      <c r="AC44" s="136"/>
      <c r="AD44" s="136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35"/>
      <c r="AQ44" s="136"/>
      <c r="AR44" s="136"/>
      <c r="AS44" s="135"/>
      <c r="AT44" s="135"/>
      <c r="AU44" s="161"/>
      <c r="AV44" s="161"/>
      <c r="AW44" s="161"/>
      <c r="AX44" s="161"/>
      <c r="AY44" s="161"/>
      <c r="AZ44" s="161"/>
      <c r="BA44" s="161"/>
      <c r="BB44" s="161"/>
      <c r="BC44" s="161"/>
      <c r="BD44" s="161"/>
      <c r="BE44" s="136"/>
      <c r="BF44" s="136"/>
      <c r="BG44" s="161"/>
      <c r="BH44" s="161"/>
      <c r="BI44" s="161"/>
      <c r="BJ44" s="135"/>
      <c r="BK44" s="161"/>
      <c r="BL44" s="135"/>
      <c r="BM44" s="161">
        <v>110</v>
      </c>
      <c r="BN44" s="161"/>
      <c r="BO44" s="161">
        <v>254</v>
      </c>
      <c r="BP44" s="161"/>
      <c r="BQ44" s="161">
        <v>136</v>
      </c>
      <c r="BR44" s="161"/>
      <c r="BS44" s="136"/>
      <c r="BT44" s="136"/>
      <c r="BU44" s="161"/>
      <c r="BV44" s="161"/>
      <c r="BW44" s="161"/>
      <c r="BX44" s="161"/>
      <c r="BY44" s="161"/>
      <c r="BZ44" s="161"/>
      <c r="CA44" s="161"/>
      <c r="CB44" s="161"/>
      <c r="CC44" s="161"/>
      <c r="CD44" s="135"/>
      <c r="CE44" s="161"/>
      <c r="CF44" s="135"/>
      <c r="CG44" s="136"/>
      <c r="CH44" s="136"/>
      <c r="CI44" s="135"/>
      <c r="CJ44" s="135"/>
      <c r="CK44" s="161"/>
      <c r="CL44" s="161"/>
      <c r="CM44" s="161"/>
      <c r="CN44" s="161"/>
      <c r="CO44" s="161"/>
      <c r="CP44" s="135"/>
      <c r="CQ44" s="135"/>
      <c r="CR44" s="135"/>
      <c r="CS44" s="135"/>
      <c r="CT44" s="135"/>
      <c r="CU44" s="136"/>
      <c r="CV44" s="136"/>
      <c r="CW44" s="161"/>
      <c r="CX44" s="161"/>
      <c r="CY44" s="161"/>
      <c r="CZ44" s="161"/>
      <c r="DA44" s="161"/>
      <c r="DB44" s="161"/>
      <c r="DC44" s="135"/>
      <c r="DD44" s="135"/>
      <c r="DE44" s="135"/>
      <c r="DF44" s="135"/>
      <c r="DG44" s="135"/>
      <c r="DH44" s="135"/>
      <c r="DI44" s="136"/>
      <c r="DJ44" s="136"/>
      <c r="DK44" s="161"/>
      <c r="DL44" s="161"/>
      <c r="DM44" s="161"/>
      <c r="DN44" s="161"/>
      <c r="DO44" s="161"/>
      <c r="DP44" s="161"/>
      <c r="DQ44" s="135"/>
      <c r="DR44" s="135"/>
      <c r="DS44" s="135"/>
      <c r="DT44" s="135"/>
      <c r="DU44" s="135"/>
      <c r="DV44" s="135"/>
      <c r="DW44" s="136"/>
      <c r="DX44" s="136"/>
      <c r="DY44" s="161"/>
      <c r="DZ44" s="161"/>
      <c r="EA44" s="161"/>
      <c r="EB44" s="161"/>
      <c r="EC44" s="161"/>
      <c r="ED44" s="161"/>
      <c r="EE44" s="135"/>
      <c r="EF44" s="135"/>
      <c r="EG44" s="135"/>
      <c r="EH44" s="135"/>
      <c r="EI44" s="135"/>
      <c r="EJ44" s="135"/>
      <c r="EK44" s="136"/>
      <c r="EL44" s="136"/>
      <c r="EM44" s="136"/>
      <c r="EN44" s="136"/>
      <c r="EO44" s="136"/>
      <c r="EP44" s="136"/>
      <c r="EQ44" s="136"/>
      <c r="ER44" s="136"/>
      <c r="ES44" s="135"/>
      <c r="ET44" s="135"/>
      <c r="EU44" s="135"/>
      <c r="EV44" s="135"/>
      <c r="EW44" s="135"/>
      <c r="EX44" s="135"/>
      <c r="EY44" s="136"/>
      <c r="EZ44" s="136"/>
      <c r="FA44" s="161"/>
      <c r="FB44" s="161"/>
      <c r="FC44" s="161"/>
      <c r="FD44" s="161"/>
      <c r="FE44" s="161"/>
      <c r="FF44" s="161"/>
      <c r="FG44" s="135"/>
      <c r="FH44" s="135"/>
      <c r="FI44" s="135"/>
      <c r="FJ44" s="135"/>
      <c r="FK44" s="135"/>
      <c r="FL44" s="135"/>
      <c r="FM44" s="136"/>
      <c r="FN44" s="136"/>
      <c r="FO44" s="161"/>
      <c r="FP44" s="161"/>
      <c r="FQ44" s="161"/>
      <c r="FR44" s="161"/>
      <c r="FS44" s="161"/>
      <c r="FT44" s="161"/>
      <c r="FU44" s="135"/>
      <c r="FV44" s="135"/>
      <c r="FW44" s="135"/>
      <c r="FX44" s="135"/>
      <c r="FY44" s="135"/>
      <c r="FZ44" s="135"/>
      <c r="GA44" s="136"/>
      <c r="GB44" s="136"/>
      <c r="GC44" s="161"/>
      <c r="GD44" s="161"/>
      <c r="GE44" s="161"/>
      <c r="GF44" s="161"/>
      <c r="GG44" s="161"/>
      <c r="GH44" s="161"/>
      <c r="GI44" s="135"/>
      <c r="GJ44" s="135"/>
      <c r="GK44" s="135"/>
      <c r="GL44" s="135"/>
      <c r="GM44" s="135"/>
      <c r="GN44" s="135"/>
    </row>
    <row r="45" spans="1:196" ht="29" hidden="1" customHeight="1">
      <c r="A45" s="114"/>
      <c r="B45" s="116" t="s">
        <v>1155</v>
      </c>
      <c r="C45" s="116" t="s">
        <v>1156</v>
      </c>
      <c r="D45" s="119"/>
      <c r="E45" s="119"/>
      <c r="F45" s="107">
        <v>46226</v>
      </c>
      <c r="G45" s="117">
        <v>500</v>
      </c>
      <c r="H45" s="6"/>
      <c r="I45" s="125">
        <v>46228</v>
      </c>
      <c r="J45" s="13">
        <f t="shared" si="180"/>
        <v>0</v>
      </c>
      <c r="K45" s="153"/>
      <c r="L45" s="161"/>
      <c r="M45" s="136"/>
      <c r="N45" s="136"/>
      <c r="O45" s="136"/>
      <c r="P45" s="136"/>
      <c r="Q45" s="136"/>
      <c r="R45" s="136"/>
      <c r="S45" s="161"/>
      <c r="T45" s="161"/>
      <c r="U45" s="161"/>
      <c r="V45" s="161"/>
      <c r="W45" s="135"/>
      <c r="X45" s="135"/>
      <c r="Y45" s="135"/>
      <c r="Z45" s="135"/>
      <c r="AA45" s="135"/>
      <c r="AB45" s="135"/>
      <c r="AC45" s="136"/>
      <c r="AD45" s="136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35"/>
      <c r="AQ45" s="136"/>
      <c r="AR45" s="136"/>
      <c r="AS45" s="135"/>
      <c r="AT45" s="135"/>
      <c r="AU45" s="161"/>
      <c r="AV45" s="161"/>
      <c r="AW45" s="161"/>
      <c r="AX45" s="161"/>
      <c r="AY45" s="161"/>
      <c r="AZ45" s="161"/>
      <c r="BA45" s="161"/>
      <c r="BB45" s="161"/>
      <c r="BC45" s="161"/>
      <c r="BD45" s="161"/>
      <c r="BE45" s="136"/>
      <c r="BF45" s="136"/>
      <c r="BG45" s="161"/>
      <c r="BH45" s="161"/>
      <c r="BI45" s="161"/>
      <c r="BJ45" s="135"/>
      <c r="BK45" s="161"/>
      <c r="BL45" s="135"/>
      <c r="BM45" s="161"/>
      <c r="BN45" s="161"/>
      <c r="BO45" s="161"/>
      <c r="BP45" s="161"/>
      <c r="BQ45" s="161">
        <v>56</v>
      </c>
      <c r="BR45" s="161"/>
      <c r="BS45" s="136"/>
      <c r="BT45" s="136"/>
      <c r="BU45" s="161">
        <v>285</v>
      </c>
      <c r="BV45" s="161"/>
      <c r="BW45" s="161">
        <v>159</v>
      </c>
      <c r="BX45" s="161"/>
      <c r="BY45" s="161"/>
      <c r="BZ45" s="161"/>
      <c r="CA45" s="161"/>
      <c r="CB45" s="161"/>
      <c r="CC45" s="161"/>
      <c r="CD45" s="135"/>
      <c r="CE45" s="161"/>
      <c r="CF45" s="135"/>
      <c r="CG45" s="136"/>
      <c r="CH45" s="136"/>
      <c r="CI45" s="135"/>
      <c r="CJ45" s="135"/>
      <c r="CK45" s="161"/>
      <c r="CL45" s="161"/>
      <c r="CM45" s="161"/>
      <c r="CN45" s="161"/>
      <c r="CO45" s="161"/>
      <c r="CP45" s="135"/>
      <c r="CQ45" s="135"/>
      <c r="CR45" s="135"/>
      <c r="CS45" s="135"/>
      <c r="CT45" s="135"/>
      <c r="CU45" s="136"/>
      <c r="CV45" s="136"/>
      <c r="CW45" s="161"/>
      <c r="CX45" s="161"/>
      <c r="CY45" s="161"/>
      <c r="CZ45" s="161"/>
      <c r="DA45" s="161"/>
      <c r="DB45" s="161"/>
      <c r="DC45" s="135"/>
      <c r="DD45" s="135"/>
      <c r="DE45" s="135"/>
      <c r="DF45" s="135"/>
      <c r="DG45" s="135"/>
      <c r="DH45" s="135"/>
      <c r="DI45" s="136"/>
      <c r="DJ45" s="136"/>
      <c r="DK45" s="161"/>
      <c r="DL45" s="161"/>
      <c r="DM45" s="161"/>
      <c r="DN45" s="161"/>
      <c r="DO45" s="161"/>
      <c r="DP45" s="161"/>
      <c r="DQ45" s="135"/>
      <c r="DR45" s="135"/>
      <c r="DS45" s="135"/>
      <c r="DT45" s="135"/>
      <c r="DU45" s="135"/>
      <c r="DV45" s="135"/>
      <c r="DW45" s="136"/>
      <c r="DX45" s="136"/>
      <c r="DY45" s="161"/>
      <c r="DZ45" s="161"/>
      <c r="EA45" s="161"/>
      <c r="EB45" s="161"/>
      <c r="EC45" s="161"/>
      <c r="ED45" s="161"/>
      <c r="EE45" s="135"/>
      <c r="EF45" s="135"/>
      <c r="EG45" s="135"/>
      <c r="EH45" s="135"/>
      <c r="EI45" s="135"/>
      <c r="EJ45" s="135"/>
      <c r="EK45" s="136"/>
      <c r="EL45" s="136"/>
      <c r="EM45" s="136"/>
      <c r="EN45" s="136"/>
      <c r="EO45" s="136"/>
      <c r="EP45" s="136"/>
      <c r="EQ45" s="136"/>
      <c r="ER45" s="136"/>
      <c r="ES45" s="135"/>
      <c r="ET45" s="135"/>
      <c r="EU45" s="135"/>
      <c r="EV45" s="135"/>
      <c r="EW45" s="135"/>
      <c r="EX45" s="135"/>
      <c r="EY45" s="136"/>
      <c r="EZ45" s="136"/>
      <c r="FA45" s="161"/>
      <c r="FB45" s="161"/>
      <c r="FC45" s="161"/>
      <c r="FD45" s="161"/>
      <c r="FE45" s="161"/>
      <c r="FF45" s="161"/>
      <c r="FG45" s="135"/>
      <c r="FH45" s="135"/>
      <c r="FI45" s="135"/>
      <c r="FJ45" s="135"/>
      <c r="FK45" s="135"/>
      <c r="FL45" s="135"/>
      <c r="FM45" s="136"/>
      <c r="FN45" s="136"/>
      <c r="FO45" s="161"/>
      <c r="FP45" s="161"/>
      <c r="FQ45" s="161"/>
      <c r="FR45" s="161"/>
      <c r="FS45" s="161"/>
      <c r="FT45" s="161"/>
      <c r="FU45" s="135"/>
      <c r="FV45" s="135"/>
      <c r="FW45" s="135"/>
      <c r="FX45" s="135"/>
      <c r="FY45" s="135"/>
      <c r="FZ45" s="135"/>
      <c r="GA45" s="136"/>
      <c r="GB45" s="136"/>
      <c r="GC45" s="161"/>
      <c r="GD45" s="161"/>
      <c r="GE45" s="161"/>
      <c r="GF45" s="161"/>
      <c r="GG45" s="161"/>
      <c r="GH45" s="161"/>
      <c r="GI45" s="135"/>
      <c r="GJ45" s="135"/>
      <c r="GK45" s="135"/>
      <c r="GL45" s="135"/>
      <c r="GM45" s="135"/>
      <c r="GN45" s="135"/>
    </row>
    <row r="46" spans="1:196" hidden="1">
      <c r="A46" s="114"/>
      <c r="B46" s="116" t="s">
        <v>1157</v>
      </c>
      <c r="C46" s="116" t="s">
        <v>1156</v>
      </c>
      <c r="D46" s="119"/>
      <c r="E46" s="119"/>
      <c r="F46" s="107">
        <v>46227</v>
      </c>
      <c r="G46" s="117">
        <v>500</v>
      </c>
      <c r="H46" s="6"/>
      <c r="I46" s="125">
        <v>46228</v>
      </c>
      <c r="J46" s="13">
        <f t="shared" si="180"/>
        <v>0</v>
      </c>
      <c r="K46" s="153" t="s">
        <v>1214</v>
      </c>
      <c r="L46" s="161"/>
      <c r="M46" s="136"/>
      <c r="N46" s="136"/>
      <c r="O46" s="136"/>
      <c r="P46" s="136"/>
      <c r="Q46" s="136"/>
      <c r="R46" s="136"/>
      <c r="S46" s="161"/>
      <c r="T46" s="161"/>
      <c r="U46" s="161"/>
      <c r="V46" s="161"/>
      <c r="W46" s="135"/>
      <c r="X46" s="135"/>
      <c r="Y46" s="135"/>
      <c r="Z46" s="135"/>
      <c r="AA46" s="135"/>
      <c r="AB46" s="135"/>
      <c r="AC46" s="136"/>
      <c r="AD46" s="136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35"/>
      <c r="AQ46" s="136"/>
      <c r="AR46" s="136"/>
      <c r="AS46" s="135"/>
      <c r="AT46" s="135"/>
      <c r="AU46" s="161"/>
      <c r="AV46" s="161"/>
      <c r="AW46" s="161"/>
      <c r="AX46" s="161"/>
      <c r="AY46" s="161"/>
      <c r="AZ46" s="161"/>
      <c r="BA46" s="161"/>
      <c r="BB46" s="161"/>
      <c r="BC46" s="161"/>
      <c r="BD46" s="161"/>
      <c r="BE46" s="136"/>
      <c r="BF46" s="136"/>
      <c r="BG46" s="161"/>
      <c r="BH46" s="161"/>
      <c r="BI46" s="161"/>
      <c r="BJ46" s="135"/>
      <c r="BK46" s="161"/>
      <c r="BL46" s="135"/>
      <c r="BM46" s="161"/>
      <c r="BN46" s="161"/>
      <c r="BO46" s="161"/>
      <c r="BP46" s="161"/>
      <c r="BQ46" s="161"/>
      <c r="BR46" s="161"/>
      <c r="BS46" s="136"/>
      <c r="BT46" s="136"/>
      <c r="BU46" s="161"/>
      <c r="BV46" s="161"/>
      <c r="BW46" s="161">
        <v>166</v>
      </c>
      <c r="BX46" s="161"/>
      <c r="BY46" s="161">
        <v>282</v>
      </c>
      <c r="BZ46" s="161"/>
      <c r="CA46" s="161">
        <v>52</v>
      </c>
      <c r="CB46" s="161"/>
      <c r="CC46" s="161"/>
      <c r="CD46" s="135"/>
      <c r="CE46" s="161"/>
      <c r="CF46" s="135"/>
      <c r="CG46" s="136"/>
      <c r="CH46" s="136"/>
      <c r="CI46" s="161"/>
      <c r="CJ46" s="161"/>
      <c r="CK46" s="161"/>
      <c r="CL46" s="161"/>
      <c r="CM46" s="161"/>
      <c r="CN46" s="161"/>
      <c r="CO46" s="161"/>
      <c r="CP46" s="135"/>
      <c r="CQ46" s="135"/>
      <c r="CR46" s="135"/>
      <c r="CS46" s="135"/>
      <c r="CT46" s="135"/>
      <c r="CU46" s="136"/>
      <c r="CV46" s="136"/>
      <c r="CW46" s="161"/>
      <c r="CX46" s="161"/>
      <c r="CY46" s="161"/>
      <c r="CZ46" s="161"/>
      <c r="DA46" s="161"/>
      <c r="DB46" s="161"/>
      <c r="DC46" s="135"/>
      <c r="DD46" s="135"/>
      <c r="DE46" s="135"/>
      <c r="DF46" s="135"/>
      <c r="DG46" s="135"/>
      <c r="DH46" s="135"/>
      <c r="DI46" s="136"/>
      <c r="DJ46" s="136"/>
      <c r="DK46" s="161"/>
      <c r="DL46" s="161"/>
      <c r="DM46" s="161"/>
      <c r="DN46" s="161"/>
      <c r="DO46" s="161"/>
      <c r="DP46" s="161"/>
      <c r="DQ46" s="135"/>
      <c r="DR46" s="135"/>
      <c r="DS46" s="135"/>
      <c r="DT46" s="135"/>
      <c r="DU46" s="135"/>
      <c r="DV46" s="135"/>
      <c r="DW46" s="136"/>
      <c r="DX46" s="136"/>
      <c r="DY46" s="161"/>
      <c r="DZ46" s="161"/>
      <c r="EA46" s="161"/>
      <c r="EB46" s="161"/>
      <c r="EC46" s="161"/>
      <c r="ED46" s="161"/>
      <c r="EE46" s="135"/>
      <c r="EF46" s="135"/>
      <c r="EG46" s="135"/>
      <c r="EH46" s="135"/>
      <c r="EI46" s="135"/>
      <c r="EJ46" s="135"/>
      <c r="EK46" s="136"/>
      <c r="EL46" s="136"/>
      <c r="EM46" s="136"/>
      <c r="EN46" s="136"/>
      <c r="EO46" s="136"/>
      <c r="EP46" s="136"/>
      <c r="EQ46" s="136"/>
      <c r="ER46" s="136"/>
      <c r="ES46" s="135"/>
      <c r="ET46" s="135"/>
      <c r="EU46" s="135"/>
      <c r="EV46" s="135"/>
      <c r="EW46" s="135"/>
      <c r="EX46" s="135"/>
      <c r="EY46" s="136"/>
      <c r="EZ46" s="136"/>
      <c r="FA46" s="161"/>
      <c r="FB46" s="161"/>
      <c r="FC46" s="161"/>
      <c r="FD46" s="161"/>
      <c r="FE46" s="161"/>
      <c r="FF46" s="161"/>
      <c r="FG46" s="135"/>
      <c r="FH46" s="135"/>
      <c r="FI46" s="135"/>
      <c r="FJ46" s="135"/>
      <c r="FK46" s="135"/>
      <c r="FL46" s="135"/>
      <c r="FM46" s="136"/>
      <c r="FN46" s="136"/>
      <c r="FO46" s="161"/>
      <c r="FP46" s="161"/>
      <c r="FQ46" s="161"/>
      <c r="FR46" s="161"/>
      <c r="FS46" s="161"/>
      <c r="FT46" s="161"/>
      <c r="FU46" s="135"/>
      <c r="FV46" s="135"/>
      <c r="FW46" s="135"/>
      <c r="FX46" s="135"/>
      <c r="FY46" s="135"/>
      <c r="FZ46" s="135"/>
      <c r="GA46" s="136"/>
      <c r="GB46" s="136"/>
      <c r="GC46" s="161"/>
      <c r="GD46" s="161"/>
      <c r="GE46" s="161"/>
      <c r="GF46" s="161"/>
      <c r="GG46" s="161"/>
      <c r="GH46" s="161"/>
      <c r="GI46" s="135"/>
      <c r="GJ46" s="135"/>
      <c r="GK46" s="135"/>
      <c r="GL46" s="135"/>
      <c r="GM46" s="135"/>
      <c r="GN46" s="135"/>
    </row>
    <row r="47" spans="1:196" ht="50" hidden="1">
      <c r="A47" s="114" t="s">
        <v>10</v>
      </c>
      <c r="B47" s="137" t="s">
        <v>820</v>
      </c>
      <c r="C47" s="12" t="s">
        <v>253</v>
      </c>
      <c r="D47" s="119"/>
      <c r="E47" s="119"/>
      <c r="F47" s="133">
        <v>46230</v>
      </c>
      <c r="G47" s="95">
        <v>10</v>
      </c>
      <c r="H47" s="133"/>
      <c r="I47" s="108">
        <v>46193</v>
      </c>
      <c r="J47" s="134">
        <f t="shared" si="180"/>
        <v>0</v>
      </c>
      <c r="K47" s="175" t="s">
        <v>824</v>
      </c>
      <c r="L47" s="161"/>
      <c r="M47" s="136"/>
      <c r="N47" s="136"/>
      <c r="O47" s="136"/>
      <c r="P47" s="136"/>
      <c r="Q47" s="136"/>
      <c r="R47" s="136"/>
      <c r="S47" s="161"/>
      <c r="T47" s="161"/>
      <c r="U47" s="161"/>
      <c r="V47" s="161"/>
      <c r="W47" s="135"/>
      <c r="X47" s="135"/>
      <c r="Y47" s="135"/>
      <c r="Z47" s="135"/>
      <c r="AA47" s="135"/>
      <c r="AB47" s="135"/>
      <c r="AC47" s="136"/>
      <c r="AD47" s="136"/>
      <c r="AE47" s="135"/>
      <c r="AF47" s="161"/>
      <c r="AG47" s="135"/>
      <c r="AH47" s="161"/>
      <c r="AI47" s="161"/>
      <c r="AJ47" s="161"/>
      <c r="AK47" s="135"/>
      <c r="AL47" s="135"/>
      <c r="AM47" s="135"/>
      <c r="AN47" s="135"/>
      <c r="AO47" s="135"/>
      <c r="AP47" s="161"/>
      <c r="AQ47" s="136"/>
      <c r="AR47" s="136"/>
      <c r="AS47" s="135"/>
      <c r="AT47" s="161"/>
      <c r="AU47" s="135"/>
      <c r="AV47" s="135"/>
      <c r="AW47" s="135"/>
      <c r="AX47" s="135"/>
      <c r="AY47" s="135"/>
      <c r="AZ47" s="135"/>
      <c r="BA47" s="135"/>
      <c r="BB47" s="135"/>
      <c r="BC47" s="161"/>
      <c r="BD47" s="161"/>
      <c r="BE47" s="136"/>
      <c r="BF47" s="136"/>
      <c r="BG47" s="161"/>
      <c r="BH47" s="161"/>
      <c r="BI47" s="135"/>
      <c r="BJ47" s="135"/>
      <c r="BK47" s="135"/>
      <c r="BL47" s="161"/>
      <c r="BM47" s="135"/>
      <c r="BN47" s="135"/>
      <c r="BO47" s="135"/>
      <c r="BP47" s="135"/>
      <c r="BQ47" s="135"/>
      <c r="BR47" s="135"/>
      <c r="BS47" s="136"/>
      <c r="BT47" s="136"/>
      <c r="BU47" s="135"/>
      <c r="BV47" s="161"/>
      <c r="BW47" s="135"/>
      <c r="BX47" s="161"/>
      <c r="BY47" s="135"/>
      <c r="BZ47" s="161"/>
      <c r="CA47" s="135">
        <v>10</v>
      </c>
      <c r="CB47" s="161"/>
      <c r="CC47" s="135"/>
      <c r="CD47" s="135"/>
      <c r="CE47" s="135"/>
      <c r="CF47" s="135"/>
      <c r="CG47" s="136"/>
      <c r="CH47" s="136"/>
      <c r="CI47" s="161"/>
      <c r="CJ47" s="161"/>
      <c r="CK47" s="161"/>
      <c r="CL47" s="161"/>
      <c r="CM47" s="161"/>
      <c r="CN47" s="161"/>
      <c r="CO47" s="135"/>
      <c r="CP47" s="135"/>
      <c r="CQ47" s="135"/>
      <c r="CR47" s="135"/>
      <c r="CS47" s="135"/>
      <c r="CT47" s="135"/>
      <c r="CU47" s="136"/>
      <c r="CV47" s="136"/>
      <c r="CW47" s="161"/>
      <c r="CX47" s="161"/>
      <c r="CY47" s="161"/>
      <c r="CZ47" s="161"/>
      <c r="DA47" s="161"/>
      <c r="DB47" s="161"/>
      <c r="DC47" s="135"/>
      <c r="DD47" s="135"/>
      <c r="DE47" s="135"/>
      <c r="DF47" s="135"/>
      <c r="DG47" s="135"/>
      <c r="DH47" s="135"/>
      <c r="DI47" s="136"/>
      <c r="DJ47" s="136"/>
      <c r="DK47" s="161"/>
      <c r="DL47" s="161"/>
      <c r="DM47" s="161"/>
      <c r="DN47" s="161"/>
      <c r="DO47" s="161"/>
      <c r="DP47" s="161"/>
      <c r="DQ47" s="135"/>
      <c r="DR47" s="135"/>
      <c r="DS47" s="135"/>
      <c r="DT47" s="135"/>
      <c r="DU47" s="135"/>
      <c r="DV47" s="135"/>
      <c r="DW47" s="136"/>
      <c r="DX47" s="136"/>
      <c r="DY47" s="161"/>
      <c r="DZ47" s="161"/>
      <c r="EA47" s="161"/>
      <c r="EB47" s="161"/>
      <c r="EC47" s="161"/>
      <c r="ED47" s="161"/>
      <c r="EE47" s="135"/>
      <c r="EF47" s="135"/>
      <c r="EG47" s="135"/>
      <c r="EH47" s="135"/>
      <c r="EI47" s="135"/>
      <c r="EJ47" s="135"/>
      <c r="EK47" s="136"/>
      <c r="EL47" s="136"/>
      <c r="EM47" s="136"/>
      <c r="EN47" s="136"/>
      <c r="EO47" s="136"/>
      <c r="EP47" s="136"/>
      <c r="EQ47" s="136"/>
      <c r="ER47" s="136"/>
      <c r="ES47" s="135"/>
      <c r="ET47" s="135"/>
      <c r="EU47" s="135"/>
      <c r="EV47" s="135"/>
      <c r="EW47" s="135"/>
      <c r="EX47" s="135"/>
      <c r="EY47" s="136"/>
      <c r="EZ47" s="136"/>
      <c r="FA47" s="161"/>
      <c r="FB47" s="161"/>
      <c r="FC47" s="161"/>
      <c r="FD47" s="161"/>
      <c r="FE47" s="161"/>
      <c r="FF47" s="161"/>
      <c r="FG47" s="135"/>
      <c r="FH47" s="135"/>
      <c r="FI47" s="135"/>
      <c r="FJ47" s="135"/>
      <c r="FK47" s="135"/>
      <c r="FL47" s="135"/>
      <c r="FM47" s="136"/>
      <c r="FN47" s="136"/>
      <c r="FO47" s="161"/>
      <c r="FP47" s="161"/>
      <c r="FQ47" s="161"/>
      <c r="FR47" s="161"/>
      <c r="FS47" s="161"/>
      <c r="FT47" s="161"/>
      <c r="FU47" s="135"/>
      <c r="FV47" s="135"/>
      <c r="FW47" s="135"/>
      <c r="FX47" s="135"/>
      <c r="FY47" s="135"/>
      <c r="FZ47" s="135"/>
      <c r="GA47" s="136"/>
      <c r="GB47" s="136"/>
      <c r="GC47" s="161"/>
      <c r="GD47" s="161"/>
      <c r="GE47" s="161"/>
      <c r="GF47" s="161"/>
      <c r="GG47" s="161"/>
      <c r="GH47" s="161"/>
      <c r="GI47" s="135"/>
      <c r="GJ47" s="135"/>
      <c r="GK47" s="135"/>
      <c r="GL47" s="135"/>
      <c r="GM47" s="135"/>
      <c r="GN47" s="135"/>
    </row>
    <row r="48" spans="1:196" ht="50" hidden="1">
      <c r="A48" s="114"/>
      <c r="B48" s="137" t="s">
        <v>821</v>
      </c>
      <c r="C48" s="12" t="s">
        <v>253</v>
      </c>
      <c r="D48" s="119"/>
      <c r="E48" s="119"/>
      <c r="F48" s="133">
        <v>46230</v>
      </c>
      <c r="G48" s="95">
        <v>10</v>
      </c>
      <c r="H48" s="133"/>
      <c r="I48" s="108">
        <v>46193</v>
      </c>
      <c r="J48" s="134">
        <f t="shared" si="180"/>
        <v>0</v>
      </c>
      <c r="K48" s="175" t="s">
        <v>823</v>
      </c>
      <c r="L48" s="161"/>
      <c r="M48" s="136"/>
      <c r="N48" s="136"/>
      <c r="O48" s="136"/>
      <c r="P48" s="136"/>
      <c r="Q48" s="136"/>
      <c r="R48" s="136"/>
      <c r="S48" s="161"/>
      <c r="T48" s="161"/>
      <c r="U48" s="161"/>
      <c r="V48" s="161"/>
      <c r="W48" s="135"/>
      <c r="X48" s="135"/>
      <c r="Y48" s="135"/>
      <c r="Z48" s="135"/>
      <c r="AA48" s="135"/>
      <c r="AB48" s="135"/>
      <c r="AC48" s="136"/>
      <c r="AD48" s="136"/>
      <c r="AE48" s="135"/>
      <c r="AF48" s="161"/>
      <c r="AG48" s="135"/>
      <c r="AH48" s="161"/>
      <c r="AI48" s="161"/>
      <c r="AJ48" s="161"/>
      <c r="AK48" s="135"/>
      <c r="AL48" s="135"/>
      <c r="AM48" s="135"/>
      <c r="AN48" s="135"/>
      <c r="AO48" s="135"/>
      <c r="AP48" s="161"/>
      <c r="AQ48" s="136"/>
      <c r="AR48" s="136"/>
      <c r="AS48" s="135"/>
      <c r="AT48" s="161"/>
      <c r="AU48" s="135"/>
      <c r="AV48" s="135"/>
      <c r="AW48" s="135"/>
      <c r="AX48" s="135"/>
      <c r="AY48" s="135"/>
      <c r="AZ48" s="135"/>
      <c r="BA48" s="135"/>
      <c r="BB48" s="135"/>
      <c r="BC48" s="161"/>
      <c r="BD48" s="161"/>
      <c r="BE48" s="136"/>
      <c r="BF48" s="136"/>
      <c r="BG48" s="161"/>
      <c r="BH48" s="161"/>
      <c r="BI48" s="135"/>
      <c r="BJ48" s="135"/>
      <c r="BK48" s="135"/>
      <c r="BL48" s="161"/>
      <c r="BM48" s="135"/>
      <c r="BN48" s="135"/>
      <c r="BO48" s="135"/>
      <c r="BP48" s="135"/>
      <c r="BQ48" s="135"/>
      <c r="BR48" s="135"/>
      <c r="BS48" s="136"/>
      <c r="BT48" s="136"/>
      <c r="BU48" s="135"/>
      <c r="BV48" s="161"/>
      <c r="BW48" s="135"/>
      <c r="BX48" s="161"/>
      <c r="BY48" s="135"/>
      <c r="BZ48" s="161"/>
      <c r="CA48" s="135">
        <v>10</v>
      </c>
      <c r="CB48" s="161"/>
      <c r="CC48" s="135"/>
      <c r="CD48" s="135"/>
      <c r="CE48" s="135"/>
      <c r="CF48" s="135"/>
      <c r="CG48" s="136"/>
      <c r="CH48" s="136"/>
      <c r="CI48" s="161"/>
      <c r="CJ48" s="161"/>
      <c r="CK48" s="161"/>
      <c r="CL48" s="161"/>
      <c r="CM48" s="161"/>
      <c r="CN48" s="161"/>
      <c r="CO48" s="135"/>
      <c r="CP48" s="135"/>
      <c r="CQ48" s="135"/>
      <c r="CR48" s="135"/>
      <c r="CS48" s="135"/>
      <c r="CT48" s="135"/>
      <c r="CU48" s="136"/>
      <c r="CV48" s="136"/>
      <c r="CW48" s="161"/>
      <c r="CX48" s="161"/>
      <c r="CY48" s="161"/>
      <c r="CZ48" s="161"/>
      <c r="DA48" s="161"/>
      <c r="DB48" s="161"/>
      <c r="DC48" s="135"/>
      <c r="DD48" s="135"/>
      <c r="DE48" s="135"/>
      <c r="DF48" s="135"/>
      <c r="DG48" s="135"/>
      <c r="DH48" s="135"/>
      <c r="DI48" s="136"/>
      <c r="DJ48" s="136"/>
      <c r="DK48" s="161"/>
      <c r="DL48" s="161"/>
      <c r="DM48" s="161"/>
      <c r="DN48" s="161"/>
      <c r="DO48" s="161"/>
      <c r="DP48" s="161"/>
      <c r="DQ48" s="135"/>
      <c r="DR48" s="135"/>
      <c r="DS48" s="135"/>
      <c r="DT48" s="135"/>
      <c r="DU48" s="135"/>
      <c r="DV48" s="135"/>
      <c r="DW48" s="136"/>
      <c r="DX48" s="136"/>
      <c r="DY48" s="161"/>
      <c r="DZ48" s="161"/>
      <c r="EA48" s="161"/>
      <c r="EB48" s="161"/>
      <c r="EC48" s="161"/>
      <c r="ED48" s="161"/>
      <c r="EE48" s="135"/>
      <c r="EF48" s="135"/>
      <c r="EG48" s="135"/>
      <c r="EH48" s="135"/>
      <c r="EI48" s="135"/>
      <c r="EJ48" s="135"/>
      <c r="EK48" s="136"/>
      <c r="EL48" s="136"/>
      <c r="EM48" s="136"/>
      <c r="EN48" s="136"/>
      <c r="EO48" s="136"/>
      <c r="EP48" s="136"/>
      <c r="EQ48" s="136"/>
      <c r="ER48" s="136"/>
      <c r="ES48" s="135"/>
      <c r="ET48" s="135"/>
      <c r="EU48" s="135"/>
      <c r="EV48" s="135"/>
      <c r="EW48" s="135"/>
      <c r="EX48" s="135"/>
      <c r="EY48" s="136"/>
      <c r="EZ48" s="136"/>
      <c r="FA48" s="161"/>
      <c r="FB48" s="161"/>
      <c r="FC48" s="161"/>
      <c r="FD48" s="161"/>
      <c r="FE48" s="161"/>
      <c r="FF48" s="161"/>
      <c r="FG48" s="135"/>
      <c r="FH48" s="135"/>
      <c r="FI48" s="135"/>
      <c r="FJ48" s="135"/>
      <c r="FK48" s="135"/>
      <c r="FL48" s="135"/>
      <c r="FM48" s="136"/>
      <c r="FN48" s="136"/>
      <c r="FO48" s="161"/>
      <c r="FP48" s="161"/>
      <c r="FQ48" s="161"/>
      <c r="FR48" s="161"/>
      <c r="FS48" s="161"/>
      <c r="FT48" s="161"/>
      <c r="FU48" s="135"/>
      <c r="FV48" s="135"/>
      <c r="FW48" s="135"/>
      <c r="FX48" s="135"/>
      <c r="FY48" s="135"/>
      <c r="FZ48" s="135"/>
      <c r="GA48" s="136"/>
      <c r="GB48" s="136"/>
      <c r="GC48" s="161"/>
      <c r="GD48" s="161"/>
      <c r="GE48" s="161"/>
      <c r="GF48" s="161"/>
      <c r="GG48" s="161"/>
      <c r="GH48" s="161"/>
      <c r="GI48" s="135"/>
      <c r="GJ48" s="135"/>
      <c r="GK48" s="135"/>
      <c r="GL48" s="135"/>
      <c r="GM48" s="135"/>
      <c r="GN48" s="135"/>
    </row>
    <row r="49" spans="1:196" ht="29" customHeight="1">
      <c r="A49" s="114"/>
      <c r="B49" s="116" t="s">
        <v>878</v>
      </c>
      <c r="C49" s="116" t="s">
        <v>1343</v>
      </c>
      <c r="D49" s="119"/>
      <c r="E49" s="119"/>
      <c r="F49" s="107">
        <v>46230</v>
      </c>
      <c r="G49" s="117">
        <v>838</v>
      </c>
      <c r="H49" s="6"/>
      <c r="I49" s="125">
        <v>46228</v>
      </c>
      <c r="J49" s="13">
        <f t="shared" si="180"/>
        <v>0</v>
      </c>
      <c r="K49" s="153"/>
      <c r="L49" s="161"/>
      <c r="M49" s="136"/>
      <c r="N49" s="136"/>
      <c r="O49" s="136"/>
      <c r="P49" s="136"/>
      <c r="Q49" s="136"/>
      <c r="R49" s="136"/>
      <c r="S49" s="161"/>
      <c r="T49" s="161"/>
      <c r="U49" s="161"/>
      <c r="V49" s="161"/>
      <c r="W49" s="135"/>
      <c r="X49" s="135"/>
      <c r="Y49" s="135"/>
      <c r="Z49" s="135"/>
      <c r="AA49" s="135"/>
      <c r="AB49" s="135"/>
      <c r="AC49" s="136"/>
      <c r="AD49" s="136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35"/>
      <c r="AQ49" s="136"/>
      <c r="AR49" s="136"/>
      <c r="AS49" s="135"/>
      <c r="AT49" s="135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36"/>
      <c r="BF49" s="136"/>
      <c r="BG49" s="161"/>
      <c r="BH49" s="161"/>
      <c r="BI49" s="161"/>
      <c r="BJ49" s="161"/>
      <c r="BK49" s="161"/>
      <c r="BL49" s="161"/>
      <c r="BM49" s="161"/>
      <c r="BN49" s="161"/>
      <c r="BO49" s="161"/>
      <c r="BP49" s="135"/>
      <c r="BQ49" s="161"/>
      <c r="BR49" s="161"/>
      <c r="BS49" s="136"/>
      <c r="BT49" s="136"/>
      <c r="BU49" s="135"/>
      <c r="BV49" s="161"/>
      <c r="BW49" s="135"/>
      <c r="BX49" s="161"/>
      <c r="BY49" s="135"/>
      <c r="BZ49" s="161"/>
      <c r="CA49" s="135">
        <v>61</v>
      </c>
      <c r="CB49" s="135"/>
      <c r="CC49" s="135">
        <v>250</v>
      </c>
      <c r="CD49" s="161"/>
      <c r="CE49" s="135">
        <v>250</v>
      </c>
      <c r="CF49" s="135"/>
      <c r="CG49" s="136"/>
      <c r="CH49" s="136"/>
      <c r="CI49" s="135">
        <v>250</v>
      </c>
      <c r="CJ49" s="161"/>
      <c r="CK49" s="161">
        <v>27</v>
      </c>
      <c r="CL49" s="161"/>
      <c r="CM49" s="161"/>
      <c r="CN49" s="161"/>
      <c r="CO49" s="135"/>
      <c r="CP49" s="135"/>
      <c r="CQ49" s="135"/>
      <c r="CR49" s="135"/>
      <c r="CS49" s="135"/>
      <c r="CT49" s="135"/>
      <c r="CU49" s="136"/>
      <c r="CV49" s="136"/>
      <c r="CW49" s="161"/>
      <c r="CX49" s="161"/>
      <c r="CY49" s="161"/>
      <c r="CZ49" s="161"/>
      <c r="DA49" s="161"/>
      <c r="DB49" s="161"/>
      <c r="DC49" s="135"/>
      <c r="DD49" s="135"/>
      <c r="DE49" s="135"/>
      <c r="DF49" s="135"/>
      <c r="DG49" s="135"/>
      <c r="DH49" s="135"/>
      <c r="DI49" s="136"/>
      <c r="DJ49" s="136"/>
      <c r="DK49" s="161"/>
      <c r="DL49" s="161"/>
      <c r="DM49" s="161"/>
      <c r="DN49" s="161"/>
      <c r="DO49" s="161"/>
      <c r="DP49" s="161"/>
      <c r="DQ49" s="135"/>
      <c r="DR49" s="135"/>
      <c r="DS49" s="135"/>
      <c r="DT49" s="135"/>
      <c r="DU49" s="135"/>
      <c r="DV49" s="135"/>
      <c r="DW49" s="136"/>
      <c r="DX49" s="136"/>
      <c r="DY49" s="161"/>
      <c r="DZ49" s="161"/>
      <c r="EA49" s="161"/>
      <c r="EB49" s="161"/>
      <c r="EC49" s="161"/>
      <c r="ED49" s="161"/>
      <c r="EE49" s="135"/>
      <c r="EF49" s="135"/>
      <c r="EG49" s="135"/>
      <c r="EH49" s="135"/>
      <c r="EI49" s="135"/>
      <c r="EJ49" s="135"/>
      <c r="EK49" s="136"/>
      <c r="EL49" s="136"/>
      <c r="EM49" s="136"/>
      <c r="EN49" s="136"/>
      <c r="EO49" s="136"/>
      <c r="EP49" s="136"/>
      <c r="EQ49" s="136"/>
      <c r="ER49" s="136"/>
      <c r="ES49" s="135"/>
      <c r="ET49" s="135"/>
      <c r="EU49" s="135"/>
      <c r="EV49" s="135"/>
      <c r="EW49" s="135"/>
      <c r="EX49" s="135"/>
      <c r="EY49" s="136"/>
      <c r="EZ49" s="136"/>
      <c r="FA49" s="161"/>
      <c r="FB49" s="161"/>
      <c r="FC49" s="161"/>
      <c r="FD49" s="161"/>
      <c r="FE49" s="161"/>
      <c r="FF49" s="161"/>
      <c r="FG49" s="135"/>
      <c r="FH49" s="135"/>
      <c r="FI49" s="135"/>
      <c r="FJ49" s="135"/>
      <c r="FK49" s="135"/>
      <c r="FL49" s="135"/>
      <c r="FM49" s="136"/>
      <c r="FN49" s="136"/>
      <c r="FO49" s="161"/>
      <c r="FP49" s="161"/>
      <c r="FQ49" s="161"/>
      <c r="FR49" s="161"/>
      <c r="FS49" s="161"/>
      <c r="FT49" s="161"/>
      <c r="FU49" s="135"/>
      <c r="FV49" s="135"/>
      <c r="FW49" s="135"/>
      <c r="FX49" s="135"/>
      <c r="FY49" s="135"/>
      <c r="FZ49" s="135"/>
      <c r="GA49" s="136"/>
      <c r="GB49" s="136"/>
      <c r="GC49" s="161"/>
      <c r="GD49" s="161"/>
      <c r="GE49" s="161"/>
      <c r="GF49" s="161"/>
      <c r="GG49" s="161"/>
      <c r="GH49" s="161"/>
      <c r="GI49" s="135"/>
      <c r="GJ49" s="135"/>
      <c r="GK49" s="135"/>
      <c r="GL49" s="135"/>
      <c r="GM49" s="135"/>
      <c r="GN49" s="135"/>
    </row>
    <row r="50" spans="1:196">
      <c r="A50" s="114"/>
      <c r="B50" s="165" t="s">
        <v>1108</v>
      </c>
      <c r="C50" s="165" t="s">
        <v>1112</v>
      </c>
      <c r="D50" s="138"/>
      <c r="E50" s="138"/>
      <c r="F50" s="129"/>
      <c r="G50" s="149">
        <v>12</v>
      </c>
      <c r="H50" s="129"/>
      <c r="I50" s="110">
        <v>46221</v>
      </c>
      <c r="J50" s="111">
        <f>G50-SUM(L50:FL50)</f>
        <v>0</v>
      </c>
      <c r="K50" s="139" t="s">
        <v>1111</v>
      </c>
      <c r="L50" s="161"/>
      <c r="M50" s="136"/>
      <c r="N50" s="136"/>
      <c r="O50" s="136"/>
      <c r="P50" s="136"/>
      <c r="Q50" s="136"/>
      <c r="R50" s="136"/>
      <c r="S50" s="161"/>
      <c r="T50" s="161"/>
      <c r="U50" s="161"/>
      <c r="V50" s="161"/>
      <c r="W50" s="135"/>
      <c r="X50" s="135"/>
      <c r="Y50" s="135"/>
      <c r="Z50" s="135"/>
      <c r="AA50" s="135"/>
      <c r="AB50" s="135"/>
      <c r="AC50" s="136"/>
      <c r="AD50" s="136"/>
      <c r="AE50" s="161"/>
      <c r="AF50" s="161"/>
      <c r="AG50" s="161"/>
      <c r="AH50" s="161"/>
      <c r="AI50" s="161"/>
      <c r="AJ50" s="161"/>
      <c r="AK50" s="135"/>
      <c r="AL50" s="135"/>
      <c r="AM50" s="135"/>
      <c r="AN50" s="135"/>
      <c r="AO50" s="135"/>
      <c r="AP50" s="135"/>
      <c r="AQ50" s="136"/>
      <c r="AR50" s="136"/>
      <c r="AS50" s="135"/>
      <c r="AT50" s="135"/>
      <c r="AU50" s="135"/>
      <c r="AV50" s="135"/>
      <c r="AW50" s="135"/>
      <c r="AX50" s="161"/>
      <c r="AY50" s="135"/>
      <c r="AZ50" s="135"/>
      <c r="BA50" s="135"/>
      <c r="BB50" s="135"/>
      <c r="BC50" s="135"/>
      <c r="BD50" s="135"/>
      <c r="BE50" s="136"/>
      <c r="BF50" s="136"/>
      <c r="BG50" s="161"/>
      <c r="BH50" s="161"/>
      <c r="BI50" s="135"/>
      <c r="BJ50" s="135"/>
      <c r="BK50" s="135"/>
      <c r="BL50" s="135"/>
      <c r="BM50" s="135"/>
      <c r="BN50" s="135"/>
      <c r="BO50" s="135"/>
      <c r="BP50" s="135"/>
      <c r="BQ50" s="135"/>
      <c r="BR50" s="135"/>
      <c r="BS50" s="136"/>
      <c r="BT50" s="136"/>
      <c r="BU50" s="135"/>
      <c r="BV50" s="161"/>
      <c r="BW50" s="135"/>
      <c r="BX50" s="161"/>
      <c r="BY50" s="135"/>
      <c r="BZ50" s="161"/>
      <c r="CA50" s="135"/>
      <c r="CB50" s="161"/>
      <c r="CC50" s="135"/>
      <c r="CD50" s="135"/>
      <c r="CE50" s="135"/>
      <c r="CF50" s="135"/>
      <c r="CG50" s="136"/>
      <c r="CH50" s="136"/>
      <c r="CI50" s="161"/>
      <c r="CJ50" s="161"/>
      <c r="CK50" s="135">
        <v>12</v>
      </c>
      <c r="CL50" s="161"/>
      <c r="CM50" s="161"/>
      <c r="CN50" s="161"/>
      <c r="CO50" s="135"/>
      <c r="CP50" s="135"/>
      <c r="CQ50" s="135"/>
      <c r="CR50" s="135"/>
      <c r="CS50" s="135"/>
      <c r="CT50" s="135"/>
      <c r="CU50" s="136"/>
      <c r="CV50" s="136"/>
      <c r="CW50" s="161"/>
      <c r="CX50" s="161"/>
      <c r="CY50" s="161"/>
      <c r="CZ50" s="161"/>
      <c r="DA50" s="161"/>
      <c r="DB50" s="161"/>
      <c r="DC50" s="135"/>
      <c r="DD50" s="135"/>
      <c r="DE50" s="135"/>
      <c r="DF50" s="135"/>
      <c r="DG50" s="135"/>
      <c r="DH50" s="135"/>
      <c r="DI50" s="136"/>
      <c r="DJ50" s="136"/>
      <c r="DK50" s="161"/>
      <c r="DL50" s="161"/>
      <c r="DM50" s="161"/>
      <c r="DN50" s="161"/>
      <c r="DO50" s="161"/>
      <c r="DP50" s="161"/>
      <c r="DQ50" s="135"/>
      <c r="DR50" s="135"/>
      <c r="DS50" s="135"/>
      <c r="DT50" s="135"/>
      <c r="DU50" s="135"/>
      <c r="DV50" s="135"/>
      <c r="DW50" s="136"/>
      <c r="DX50" s="136"/>
      <c r="DY50" s="161"/>
      <c r="DZ50" s="161"/>
      <c r="EA50" s="161"/>
      <c r="EB50" s="161"/>
      <c r="EC50" s="161"/>
      <c r="ED50" s="161"/>
      <c r="EE50" s="135"/>
      <c r="EF50" s="135"/>
      <c r="EG50" s="135"/>
      <c r="EH50" s="135"/>
      <c r="EI50" s="135"/>
      <c r="EJ50" s="135"/>
      <c r="EK50" s="136"/>
      <c r="EL50" s="136"/>
      <c r="EM50" s="136"/>
      <c r="EN50" s="136"/>
      <c r="EO50" s="136"/>
      <c r="EP50" s="136"/>
      <c r="EQ50" s="136"/>
      <c r="ER50" s="136"/>
      <c r="ES50" s="135"/>
      <c r="ET50" s="135"/>
      <c r="EU50" s="135"/>
      <c r="EV50" s="135"/>
      <c r="EW50" s="135"/>
      <c r="EX50" s="135"/>
      <c r="EY50" s="136"/>
      <c r="EZ50" s="136"/>
      <c r="FA50" s="161"/>
      <c r="FB50" s="161"/>
      <c r="FC50" s="161"/>
      <c r="FD50" s="161"/>
      <c r="FE50" s="161"/>
      <c r="FF50" s="161"/>
      <c r="FG50" s="135"/>
      <c r="FH50" s="135"/>
      <c r="FI50" s="135"/>
      <c r="FJ50" s="135"/>
      <c r="FK50" s="135"/>
      <c r="FL50" s="135"/>
      <c r="FM50" s="136"/>
      <c r="FN50" s="136"/>
      <c r="FO50" s="161"/>
      <c r="FP50" s="161"/>
      <c r="FQ50" s="161"/>
      <c r="FR50" s="161"/>
      <c r="FS50" s="161"/>
      <c r="FT50" s="161"/>
      <c r="FU50" s="135"/>
      <c r="FV50" s="135"/>
      <c r="FW50" s="135"/>
      <c r="FX50" s="135"/>
      <c r="FY50" s="135"/>
      <c r="FZ50" s="135"/>
      <c r="GA50" s="136"/>
      <c r="GB50" s="136"/>
      <c r="GC50" s="161"/>
      <c r="GD50" s="161"/>
      <c r="GE50" s="161"/>
      <c r="GF50" s="161"/>
      <c r="GG50" s="161"/>
      <c r="GH50" s="161"/>
      <c r="GI50" s="135"/>
      <c r="GJ50" s="135"/>
      <c r="GK50" s="135"/>
      <c r="GL50" s="135"/>
      <c r="GM50" s="135"/>
      <c r="GN50" s="135"/>
    </row>
    <row r="51" spans="1:196">
      <c r="A51" s="114"/>
      <c r="B51" s="165" t="s">
        <v>1134</v>
      </c>
      <c r="C51" s="165" t="s">
        <v>1112</v>
      </c>
      <c r="D51" s="138"/>
      <c r="E51" s="138"/>
      <c r="F51" s="166"/>
      <c r="G51" s="149">
        <v>16</v>
      </c>
      <c r="H51" s="129"/>
      <c r="I51" s="110">
        <v>46221</v>
      </c>
      <c r="J51" s="111">
        <f>G51-SUM(L51:FL51)</f>
        <v>0</v>
      </c>
      <c r="K51" s="139" t="s">
        <v>1111</v>
      </c>
      <c r="L51" s="161"/>
      <c r="M51" s="136"/>
      <c r="N51" s="136"/>
      <c r="O51" s="136"/>
      <c r="P51" s="136"/>
      <c r="Q51" s="136"/>
      <c r="R51" s="136"/>
      <c r="S51" s="161"/>
      <c r="T51" s="161"/>
      <c r="U51" s="161"/>
      <c r="V51" s="161"/>
      <c r="W51" s="135"/>
      <c r="X51" s="135"/>
      <c r="Y51" s="135"/>
      <c r="Z51" s="135"/>
      <c r="AA51" s="135"/>
      <c r="AB51" s="135"/>
      <c r="AC51" s="136"/>
      <c r="AD51" s="136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35"/>
      <c r="AQ51" s="136"/>
      <c r="AR51" s="136"/>
      <c r="AS51" s="135"/>
      <c r="AT51" s="135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36"/>
      <c r="BF51" s="136"/>
      <c r="BG51" s="161"/>
      <c r="BH51" s="161"/>
      <c r="BI51" s="161"/>
      <c r="BJ51" s="135"/>
      <c r="BK51" s="161"/>
      <c r="BL51" s="135"/>
      <c r="BM51" s="161"/>
      <c r="BN51" s="161"/>
      <c r="BO51" s="161"/>
      <c r="BP51" s="161"/>
      <c r="BQ51" s="161"/>
      <c r="BR51" s="161"/>
      <c r="BS51" s="136"/>
      <c r="BT51" s="136"/>
      <c r="BU51" s="161"/>
      <c r="BV51" s="161"/>
      <c r="BW51" s="161"/>
      <c r="BX51" s="161"/>
      <c r="BY51" s="161"/>
      <c r="BZ51" s="161"/>
      <c r="CA51" s="161"/>
      <c r="CB51" s="161"/>
      <c r="CC51" s="161"/>
      <c r="CD51" s="161"/>
      <c r="CE51" s="161"/>
      <c r="CF51" s="135"/>
      <c r="CG51" s="136"/>
      <c r="CH51" s="136"/>
      <c r="CI51" s="161"/>
      <c r="CJ51" s="161"/>
      <c r="CK51" s="161">
        <v>16</v>
      </c>
      <c r="CL51" s="135"/>
      <c r="CM51" s="161"/>
      <c r="CN51" s="161"/>
      <c r="CO51" s="161"/>
      <c r="CP51" s="135"/>
      <c r="CQ51" s="161"/>
      <c r="CR51" s="135"/>
      <c r="CS51" s="135"/>
      <c r="CT51" s="135"/>
      <c r="CU51" s="136"/>
      <c r="CV51" s="136"/>
      <c r="CW51" s="161"/>
      <c r="CX51" s="161"/>
      <c r="CY51" s="161"/>
      <c r="CZ51" s="161"/>
      <c r="DA51" s="161"/>
      <c r="DB51" s="161"/>
      <c r="DC51" s="135"/>
      <c r="DD51" s="135"/>
      <c r="DE51" s="135"/>
      <c r="DF51" s="135"/>
      <c r="DG51" s="135"/>
      <c r="DH51" s="135"/>
      <c r="DI51" s="136"/>
      <c r="DJ51" s="136"/>
      <c r="DK51" s="161"/>
      <c r="DL51" s="161"/>
      <c r="DM51" s="161"/>
      <c r="DN51" s="161"/>
      <c r="DO51" s="161"/>
      <c r="DP51" s="161"/>
      <c r="DQ51" s="135"/>
      <c r="DR51" s="135"/>
      <c r="DS51" s="135"/>
      <c r="DT51" s="135"/>
      <c r="DU51" s="135"/>
      <c r="DV51" s="135"/>
      <c r="DW51" s="136"/>
      <c r="DX51" s="136"/>
      <c r="DY51" s="161"/>
      <c r="DZ51" s="161"/>
      <c r="EA51" s="161"/>
      <c r="EB51" s="161"/>
      <c r="EC51" s="161"/>
      <c r="ED51" s="161"/>
      <c r="EE51" s="135"/>
      <c r="EF51" s="135"/>
      <c r="EG51" s="135"/>
      <c r="EH51" s="135"/>
      <c r="EI51" s="135"/>
      <c r="EJ51" s="135"/>
      <c r="EK51" s="136"/>
      <c r="EL51" s="136"/>
      <c r="EM51" s="136"/>
      <c r="EN51" s="136"/>
      <c r="EO51" s="136"/>
      <c r="EP51" s="136"/>
      <c r="EQ51" s="136"/>
      <c r="ER51" s="136"/>
      <c r="ES51" s="135"/>
      <c r="ET51" s="135"/>
      <c r="EU51" s="135"/>
      <c r="EV51" s="135"/>
      <c r="EW51" s="135"/>
      <c r="EX51" s="135"/>
      <c r="EY51" s="136"/>
      <c r="EZ51" s="136"/>
      <c r="FA51" s="161"/>
      <c r="FB51" s="161"/>
      <c r="FC51" s="161"/>
      <c r="FD51" s="161"/>
      <c r="FE51" s="161"/>
      <c r="FF51" s="161"/>
      <c r="FG51" s="135"/>
      <c r="FH51" s="135"/>
      <c r="FI51" s="135"/>
      <c r="FJ51" s="135"/>
      <c r="FK51" s="135"/>
      <c r="FL51" s="135"/>
      <c r="FM51" s="136"/>
      <c r="FN51" s="136"/>
      <c r="FO51" s="161"/>
      <c r="FP51" s="161"/>
      <c r="FQ51" s="161"/>
      <c r="FR51" s="161"/>
      <c r="FS51" s="161"/>
      <c r="FT51" s="161"/>
      <c r="FU51" s="135"/>
      <c r="FV51" s="135"/>
      <c r="FW51" s="135"/>
      <c r="FX51" s="135"/>
      <c r="FY51" s="135"/>
      <c r="FZ51" s="135"/>
      <c r="GA51" s="136"/>
      <c r="GB51" s="136"/>
      <c r="GC51" s="161"/>
      <c r="GD51" s="161"/>
      <c r="GE51" s="161"/>
      <c r="GF51" s="161"/>
      <c r="GG51" s="161"/>
      <c r="GH51" s="161"/>
      <c r="GI51" s="135"/>
      <c r="GJ51" s="135"/>
      <c r="GK51" s="135"/>
      <c r="GL51" s="135"/>
      <c r="GM51" s="135"/>
      <c r="GN51" s="135"/>
    </row>
    <row r="52" spans="1:196">
      <c r="A52" s="114"/>
      <c r="B52" s="116" t="s">
        <v>948</v>
      </c>
      <c r="C52" s="116" t="s">
        <v>253</v>
      </c>
      <c r="D52" s="119"/>
      <c r="E52" s="119"/>
      <c r="F52" s="160"/>
      <c r="G52" s="117">
        <v>400</v>
      </c>
      <c r="H52" s="6"/>
      <c r="I52" s="125">
        <v>46235</v>
      </c>
      <c r="J52" s="13">
        <f t="shared" si="180"/>
        <v>0</v>
      </c>
      <c r="K52" s="153" t="s">
        <v>1150</v>
      </c>
      <c r="L52" s="161"/>
      <c r="M52" s="136"/>
      <c r="N52" s="136"/>
      <c r="O52" s="136"/>
      <c r="P52" s="136"/>
      <c r="Q52" s="136"/>
      <c r="R52" s="136"/>
      <c r="S52" s="161"/>
      <c r="T52" s="161"/>
      <c r="U52" s="161"/>
      <c r="V52" s="161"/>
      <c r="W52" s="161"/>
      <c r="X52" s="135"/>
      <c r="Y52" s="161"/>
      <c r="Z52" s="135"/>
      <c r="AA52" s="161"/>
      <c r="AB52" s="135"/>
      <c r="AC52" s="136"/>
      <c r="AD52" s="136"/>
      <c r="AE52" s="161"/>
      <c r="AF52" s="161"/>
      <c r="AG52" s="161"/>
      <c r="AH52" s="161"/>
      <c r="AI52" s="161"/>
      <c r="AJ52" s="161"/>
      <c r="AK52" s="161"/>
      <c r="AL52" s="135"/>
      <c r="AM52" s="161"/>
      <c r="AN52" s="135"/>
      <c r="AO52" s="161"/>
      <c r="AP52" s="161"/>
      <c r="AQ52" s="136"/>
      <c r="AR52" s="136"/>
      <c r="AS52" s="161"/>
      <c r="AT52" s="161"/>
      <c r="AU52" s="161"/>
      <c r="AV52" s="135"/>
      <c r="AW52" s="161"/>
      <c r="AX52" s="135"/>
      <c r="AY52" s="161"/>
      <c r="AZ52" s="135"/>
      <c r="BA52" s="135"/>
      <c r="BB52" s="135"/>
      <c r="BC52" s="161"/>
      <c r="BD52" s="161"/>
      <c r="BE52" s="136"/>
      <c r="BF52" s="136"/>
      <c r="BG52" s="161"/>
      <c r="BH52" s="161"/>
      <c r="BI52" s="161"/>
      <c r="BJ52" s="161"/>
      <c r="BK52" s="161"/>
      <c r="BL52" s="161"/>
      <c r="BM52" s="135"/>
      <c r="BN52" s="161"/>
      <c r="BO52" s="135"/>
      <c r="BP52" s="135"/>
      <c r="BQ52" s="161"/>
      <c r="BR52" s="161"/>
      <c r="BS52" s="136"/>
      <c r="BT52" s="136"/>
      <c r="BU52" s="135"/>
      <c r="BV52" s="161"/>
      <c r="BW52" s="135"/>
      <c r="BX52" s="161"/>
      <c r="BY52" s="135"/>
      <c r="BZ52" s="161"/>
      <c r="CA52" s="135"/>
      <c r="CB52" s="135"/>
      <c r="CC52" s="135"/>
      <c r="CD52" s="161"/>
      <c r="CE52" s="135"/>
      <c r="CF52" s="135"/>
      <c r="CG52" s="136"/>
      <c r="CH52" s="136"/>
      <c r="CI52" s="161"/>
      <c r="CJ52" s="161"/>
      <c r="CK52" s="161">
        <v>223</v>
      </c>
      <c r="CL52" s="161"/>
      <c r="CM52" s="161">
        <v>177</v>
      </c>
      <c r="CN52" s="161"/>
      <c r="CO52" s="135"/>
      <c r="CP52" s="135"/>
      <c r="CQ52" s="135"/>
      <c r="CR52" s="135"/>
      <c r="CS52" s="135"/>
      <c r="CT52" s="135"/>
      <c r="CU52" s="136"/>
      <c r="CV52" s="136"/>
      <c r="CW52" s="161"/>
      <c r="CX52" s="161"/>
      <c r="CY52" s="161"/>
      <c r="CZ52" s="161"/>
      <c r="DA52" s="161"/>
      <c r="DB52" s="161"/>
      <c r="DC52" s="135"/>
      <c r="DD52" s="135"/>
      <c r="DE52" s="135"/>
      <c r="DF52" s="135"/>
      <c r="DG52" s="135"/>
      <c r="DH52" s="135"/>
      <c r="DI52" s="136"/>
      <c r="DJ52" s="136"/>
      <c r="DK52" s="161"/>
      <c r="DL52" s="161"/>
      <c r="DM52" s="161"/>
      <c r="DN52" s="161"/>
      <c r="DO52" s="161"/>
      <c r="DP52" s="161"/>
      <c r="DQ52" s="135"/>
      <c r="DR52" s="135"/>
      <c r="DS52" s="135"/>
      <c r="DT52" s="135"/>
      <c r="DU52" s="135"/>
      <c r="DV52" s="135"/>
      <c r="DW52" s="136"/>
      <c r="DX52" s="136"/>
      <c r="DY52" s="161"/>
      <c r="DZ52" s="161"/>
      <c r="EA52" s="161"/>
      <c r="EB52" s="161"/>
      <c r="EC52" s="161"/>
      <c r="ED52" s="161"/>
      <c r="EE52" s="135"/>
      <c r="EF52" s="135"/>
      <c r="EG52" s="135"/>
      <c r="EH52" s="135"/>
      <c r="EI52" s="135"/>
      <c r="EJ52" s="135"/>
      <c r="EK52" s="136"/>
      <c r="EL52" s="136"/>
      <c r="EM52" s="136"/>
      <c r="EN52" s="136"/>
      <c r="EO52" s="136"/>
      <c r="EP52" s="136"/>
      <c r="EQ52" s="136"/>
      <c r="ER52" s="136"/>
      <c r="ES52" s="135"/>
      <c r="ET52" s="135"/>
      <c r="EU52" s="135"/>
      <c r="EV52" s="135"/>
      <c r="EW52" s="135"/>
      <c r="EX52" s="135"/>
      <c r="EY52" s="136"/>
      <c r="EZ52" s="136"/>
      <c r="FA52" s="161"/>
      <c r="FB52" s="161"/>
      <c r="FC52" s="161"/>
      <c r="FD52" s="161"/>
      <c r="FE52" s="161"/>
      <c r="FF52" s="161"/>
      <c r="FG52" s="135"/>
      <c r="FH52" s="135"/>
      <c r="FI52" s="135"/>
      <c r="FJ52" s="135"/>
      <c r="FK52" s="135"/>
      <c r="FL52" s="135"/>
      <c r="FM52" s="136"/>
      <c r="FN52" s="136"/>
      <c r="FO52" s="161"/>
      <c r="FP52" s="161"/>
      <c r="FQ52" s="161"/>
      <c r="FR52" s="161"/>
      <c r="FS52" s="161"/>
      <c r="FT52" s="161"/>
      <c r="FU52" s="135"/>
      <c r="FV52" s="135"/>
      <c r="FW52" s="135"/>
      <c r="FX52" s="135"/>
      <c r="FY52" s="135"/>
      <c r="FZ52" s="135"/>
      <c r="GA52" s="136"/>
      <c r="GB52" s="136"/>
      <c r="GC52" s="161"/>
      <c r="GD52" s="161"/>
      <c r="GE52" s="161"/>
      <c r="GF52" s="161"/>
      <c r="GG52" s="161"/>
      <c r="GH52" s="161"/>
      <c r="GI52" s="135"/>
      <c r="GJ52" s="135"/>
      <c r="GK52" s="135"/>
      <c r="GL52" s="135"/>
      <c r="GM52" s="135"/>
      <c r="GN52" s="135"/>
    </row>
    <row r="53" spans="1:196">
      <c r="A53" s="114"/>
      <c r="B53" s="13" t="s">
        <v>1170</v>
      </c>
      <c r="C53" s="13" t="s">
        <v>253</v>
      </c>
      <c r="D53" s="13"/>
      <c r="E53" s="13"/>
      <c r="F53" s="13"/>
      <c r="G53" s="117">
        <v>460</v>
      </c>
      <c r="H53" s="13"/>
      <c r="I53" s="125">
        <v>46235</v>
      </c>
      <c r="J53" s="13">
        <f>G53-SUM(L53:FL53)</f>
        <v>0</v>
      </c>
      <c r="K53" s="13"/>
      <c r="L53" s="161"/>
      <c r="M53" s="136"/>
      <c r="N53" s="136"/>
      <c r="O53" s="136"/>
      <c r="P53" s="136"/>
      <c r="Q53" s="136"/>
      <c r="R53" s="136"/>
      <c r="S53" s="161"/>
      <c r="T53" s="161"/>
      <c r="U53" s="161"/>
      <c r="V53" s="161"/>
      <c r="W53" s="135"/>
      <c r="X53" s="135"/>
      <c r="Y53" s="135"/>
      <c r="Z53" s="135"/>
      <c r="AA53" s="135"/>
      <c r="AB53" s="135"/>
      <c r="AC53" s="136"/>
      <c r="AD53" s="136"/>
      <c r="AE53" s="161"/>
      <c r="AF53" s="161"/>
      <c r="AG53" s="161"/>
      <c r="AH53" s="161"/>
      <c r="AI53" s="161"/>
      <c r="AJ53" s="161"/>
      <c r="AK53" s="135"/>
      <c r="AL53" s="135"/>
      <c r="AM53" s="135"/>
      <c r="AN53" s="135"/>
      <c r="AO53" s="135"/>
      <c r="AP53" s="135"/>
      <c r="AQ53" s="136"/>
      <c r="AR53" s="136"/>
      <c r="AS53" s="161"/>
      <c r="AT53" s="161"/>
      <c r="AU53" s="161"/>
      <c r="AV53" s="161"/>
      <c r="AW53" s="161"/>
      <c r="AX53" s="161"/>
      <c r="AY53" s="135"/>
      <c r="AZ53" s="135"/>
      <c r="BA53" s="135"/>
      <c r="BB53" s="135"/>
      <c r="BC53" s="135"/>
      <c r="BD53" s="135"/>
      <c r="BE53" s="136"/>
      <c r="BF53" s="136"/>
      <c r="BG53" s="161"/>
      <c r="BH53" s="161"/>
      <c r="BI53" s="161"/>
      <c r="BJ53" s="161"/>
      <c r="BK53" s="161"/>
      <c r="BL53" s="161"/>
      <c r="BM53" s="135"/>
      <c r="BN53" s="135"/>
      <c r="BO53" s="135"/>
      <c r="BP53" s="135"/>
      <c r="BQ53" s="135"/>
      <c r="BR53" s="135"/>
      <c r="BS53" s="136"/>
      <c r="BT53" s="136"/>
      <c r="BU53" s="161"/>
      <c r="BV53" s="161"/>
      <c r="BW53" s="161"/>
      <c r="BX53" s="161"/>
      <c r="BY53" s="161"/>
      <c r="BZ53" s="161"/>
      <c r="CA53" s="135"/>
      <c r="CB53" s="135"/>
      <c r="CC53" s="135"/>
      <c r="CD53" s="135"/>
      <c r="CE53" s="135"/>
      <c r="CF53" s="135"/>
      <c r="CG53" s="136"/>
      <c r="CH53" s="136"/>
      <c r="CI53" s="161"/>
      <c r="CJ53" s="161"/>
      <c r="CK53" s="161"/>
      <c r="CL53" s="161"/>
      <c r="CM53" s="161">
        <v>73</v>
      </c>
      <c r="CN53" s="161"/>
      <c r="CO53" s="161">
        <v>250</v>
      </c>
      <c r="CP53" s="161"/>
      <c r="CQ53" s="135">
        <v>137</v>
      </c>
      <c r="CR53" s="135"/>
      <c r="CS53" s="135"/>
      <c r="CT53" s="135"/>
      <c r="CU53" s="136"/>
      <c r="CV53" s="136"/>
      <c r="CW53" s="135"/>
      <c r="CX53" s="161"/>
      <c r="CY53" s="135"/>
      <c r="CZ53" s="161"/>
      <c r="DA53" s="135"/>
      <c r="DB53" s="161"/>
      <c r="DC53" s="135"/>
      <c r="DD53" s="135"/>
      <c r="DE53" s="135"/>
      <c r="DF53" s="135"/>
      <c r="DG53" s="135"/>
      <c r="DH53" s="135"/>
      <c r="DI53" s="136"/>
      <c r="DJ53" s="136"/>
      <c r="DK53" s="161"/>
      <c r="DL53" s="161"/>
      <c r="DM53" s="161"/>
      <c r="DN53" s="161"/>
      <c r="DO53" s="135"/>
      <c r="DP53" s="135"/>
      <c r="DQ53" s="135"/>
      <c r="DR53" s="161"/>
      <c r="DS53" s="135"/>
      <c r="DT53" s="161"/>
      <c r="DU53" s="135"/>
      <c r="DV53" s="161"/>
      <c r="DW53" s="136"/>
      <c r="DX53" s="136"/>
      <c r="DY53" s="161"/>
      <c r="DZ53" s="161"/>
      <c r="EA53" s="161"/>
      <c r="EB53" s="161"/>
      <c r="EC53" s="161"/>
      <c r="ED53" s="161"/>
      <c r="EE53" s="135"/>
      <c r="EF53" s="135"/>
      <c r="EG53" s="135"/>
      <c r="EH53" s="135"/>
      <c r="EI53" s="135"/>
      <c r="EJ53" s="135"/>
      <c r="EK53" s="136"/>
      <c r="EL53" s="136"/>
      <c r="EM53" s="136"/>
      <c r="EN53" s="136"/>
      <c r="EO53" s="136"/>
      <c r="EP53" s="136"/>
      <c r="EQ53" s="136"/>
      <c r="ER53" s="136"/>
      <c r="ES53" s="135"/>
      <c r="ET53" s="135"/>
      <c r="EU53" s="135"/>
      <c r="EV53" s="135"/>
      <c r="EW53" s="135"/>
      <c r="EX53" s="135"/>
      <c r="EY53" s="136"/>
      <c r="EZ53" s="136"/>
      <c r="FA53" s="161"/>
      <c r="FB53" s="161"/>
      <c r="FC53" s="161"/>
      <c r="FD53" s="161"/>
      <c r="FE53" s="161"/>
      <c r="FF53" s="161"/>
      <c r="FG53" s="135"/>
      <c r="FH53" s="135"/>
      <c r="FI53" s="135"/>
      <c r="FJ53" s="135"/>
      <c r="FK53" s="135"/>
      <c r="FL53" s="135"/>
      <c r="FM53" s="136"/>
      <c r="FN53" s="136"/>
      <c r="FO53" s="161"/>
      <c r="FP53" s="161"/>
      <c r="FQ53" s="161"/>
      <c r="FR53" s="161"/>
      <c r="FS53" s="161"/>
      <c r="FT53" s="161"/>
      <c r="FU53" s="135"/>
      <c r="FV53" s="135"/>
      <c r="FW53" s="135"/>
      <c r="FX53" s="135"/>
      <c r="FY53" s="135"/>
      <c r="FZ53" s="135"/>
      <c r="GA53" s="136"/>
      <c r="GB53" s="136"/>
      <c r="GC53" s="161"/>
      <c r="GD53" s="161"/>
      <c r="GE53" s="161"/>
      <c r="GF53" s="161"/>
      <c r="GG53" s="161"/>
      <c r="GH53" s="161"/>
      <c r="GI53" s="135"/>
      <c r="GJ53" s="135"/>
      <c r="GK53" s="135"/>
      <c r="GL53" s="135"/>
      <c r="GM53" s="135"/>
      <c r="GN53" s="135"/>
    </row>
    <row r="54" spans="1:196" ht="29" customHeight="1">
      <c r="A54" s="114"/>
      <c r="B54" s="116" t="s">
        <v>1158</v>
      </c>
      <c r="C54" s="116" t="s">
        <v>1156</v>
      </c>
      <c r="D54" s="119"/>
      <c r="E54" s="119"/>
      <c r="F54" s="160"/>
      <c r="G54" s="117">
        <v>1000</v>
      </c>
      <c r="H54" s="6"/>
      <c r="I54" s="125">
        <v>46235</v>
      </c>
      <c r="J54" s="13">
        <f t="shared" ref="J54" si="181">G54-SUM(L54:FL54)</f>
        <v>0</v>
      </c>
      <c r="K54" s="139" t="s">
        <v>1237</v>
      </c>
      <c r="L54" s="161"/>
      <c r="M54" s="136"/>
      <c r="N54" s="136"/>
      <c r="O54" s="136"/>
      <c r="P54" s="136"/>
      <c r="Q54" s="136"/>
      <c r="R54" s="136"/>
      <c r="S54" s="161"/>
      <c r="T54" s="161"/>
      <c r="U54" s="161"/>
      <c r="V54" s="161"/>
      <c r="W54" s="135"/>
      <c r="X54" s="135"/>
      <c r="Y54" s="135"/>
      <c r="Z54" s="135"/>
      <c r="AA54" s="135"/>
      <c r="AB54" s="135"/>
      <c r="AC54" s="136"/>
      <c r="AD54" s="136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35"/>
      <c r="AQ54" s="136"/>
      <c r="AR54" s="136"/>
      <c r="AS54" s="135"/>
      <c r="AT54" s="135"/>
      <c r="AU54" s="161"/>
      <c r="AV54" s="161"/>
      <c r="AW54" s="161"/>
      <c r="AX54" s="161"/>
      <c r="AY54" s="161"/>
      <c r="AZ54" s="161"/>
      <c r="BA54" s="161"/>
      <c r="BB54" s="161"/>
      <c r="BC54" s="161"/>
      <c r="BD54" s="161"/>
      <c r="BE54" s="136"/>
      <c r="BF54" s="136"/>
      <c r="BG54" s="161"/>
      <c r="BH54" s="161"/>
      <c r="BI54" s="161"/>
      <c r="BJ54" s="135"/>
      <c r="BK54" s="161"/>
      <c r="BL54" s="135"/>
      <c r="BM54" s="161"/>
      <c r="BN54" s="161"/>
      <c r="BO54" s="161"/>
      <c r="BP54" s="161"/>
      <c r="BQ54" s="161"/>
      <c r="BR54" s="161"/>
      <c r="BS54" s="136"/>
      <c r="BT54" s="136"/>
      <c r="BU54" s="161"/>
      <c r="BV54" s="161"/>
      <c r="BW54" s="161"/>
      <c r="BX54" s="161"/>
      <c r="BY54" s="161"/>
      <c r="BZ54" s="161"/>
      <c r="CA54" s="161"/>
      <c r="CB54" s="161"/>
      <c r="CC54" s="161"/>
      <c r="CD54" s="135"/>
      <c r="CE54" s="161"/>
      <c r="CF54" s="135"/>
      <c r="CG54" s="136"/>
      <c r="CH54" s="136"/>
      <c r="CI54" s="161"/>
      <c r="CJ54" s="161"/>
      <c r="CK54" s="161"/>
      <c r="CL54" s="161"/>
      <c r="CM54" s="161"/>
      <c r="CN54" s="161"/>
      <c r="CO54" s="161"/>
      <c r="CP54" s="161"/>
      <c r="CQ54" s="135">
        <v>200</v>
      </c>
      <c r="CR54" s="135"/>
      <c r="CS54" s="135">
        <v>400</v>
      </c>
      <c r="CT54" s="161"/>
      <c r="CU54" s="136"/>
      <c r="CV54" s="136"/>
      <c r="CW54" s="161">
        <v>400</v>
      </c>
      <c r="CX54" s="161"/>
      <c r="CY54" s="161"/>
      <c r="CZ54" s="161"/>
      <c r="DA54" s="161"/>
      <c r="DB54" s="161"/>
      <c r="DC54" s="135"/>
      <c r="DD54" s="135"/>
      <c r="DE54" s="135"/>
      <c r="DF54" s="135"/>
      <c r="DG54" s="135"/>
      <c r="DH54" s="135"/>
      <c r="DI54" s="136"/>
      <c r="DJ54" s="136"/>
      <c r="DK54" s="161"/>
      <c r="DL54" s="161"/>
      <c r="DM54" s="161"/>
      <c r="DN54" s="161"/>
      <c r="DO54" s="161"/>
      <c r="DP54" s="161"/>
      <c r="DQ54" s="135"/>
      <c r="DR54" s="135"/>
      <c r="DS54" s="135"/>
      <c r="DT54" s="135"/>
      <c r="DU54" s="135"/>
      <c r="DV54" s="135"/>
      <c r="DW54" s="136"/>
      <c r="DX54" s="136"/>
      <c r="DY54" s="161"/>
      <c r="DZ54" s="161"/>
      <c r="EA54" s="161"/>
      <c r="EB54" s="161"/>
      <c r="EC54" s="161"/>
      <c r="ED54" s="161"/>
      <c r="EE54" s="135"/>
      <c r="EF54" s="135"/>
      <c r="EG54" s="135"/>
      <c r="EH54" s="135"/>
      <c r="EI54" s="135"/>
      <c r="EJ54" s="135"/>
      <c r="EK54" s="136"/>
      <c r="EL54" s="136"/>
      <c r="EM54" s="136"/>
      <c r="EN54" s="136"/>
      <c r="EO54" s="136"/>
      <c r="EP54" s="136"/>
      <c r="EQ54" s="136"/>
      <c r="ER54" s="136"/>
      <c r="ES54" s="135"/>
      <c r="ET54" s="135"/>
      <c r="EU54" s="135"/>
      <c r="EV54" s="135"/>
      <c r="EW54" s="135"/>
      <c r="EX54" s="135"/>
      <c r="EY54" s="136"/>
      <c r="EZ54" s="136"/>
      <c r="FA54" s="161"/>
      <c r="FB54" s="161"/>
      <c r="FC54" s="161"/>
      <c r="FD54" s="161"/>
      <c r="FE54" s="161"/>
      <c r="FF54" s="161"/>
      <c r="FG54" s="135"/>
      <c r="FH54" s="135"/>
      <c r="FI54" s="135"/>
      <c r="FJ54" s="135"/>
      <c r="FK54" s="135"/>
      <c r="FL54" s="135"/>
      <c r="FM54" s="136"/>
      <c r="FN54" s="136"/>
      <c r="FO54" s="161"/>
      <c r="FP54" s="161"/>
      <c r="FQ54" s="161"/>
      <c r="FR54" s="161"/>
      <c r="FS54" s="161"/>
      <c r="FT54" s="161"/>
      <c r="FU54" s="135"/>
      <c r="FV54" s="135"/>
      <c r="FW54" s="135"/>
      <c r="FX54" s="135"/>
      <c r="FY54" s="135"/>
      <c r="FZ54" s="135"/>
      <c r="GA54" s="136"/>
      <c r="GB54" s="136"/>
      <c r="GC54" s="161"/>
      <c r="GD54" s="161"/>
      <c r="GE54" s="161"/>
      <c r="GF54" s="161"/>
      <c r="GG54" s="161"/>
      <c r="GH54" s="161"/>
      <c r="GI54" s="135"/>
      <c r="GJ54" s="135"/>
      <c r="GK54" s="135"/>
      <c r="GL54" s="135"/>
      <c r="GM54" s="135"/>
      <c r="GN54" s="135"/>
    </row>
    <row r="55" spans="1:196" ht="29" customHeight="1">
      <c r="A55" s="114"/>
      <c r="B55" s="116" t="s">
        <v>1159</v>
      </c>
      <c r="C55" s="116" t="s">
        <v>1156</v>
      </c>
      <c r="D55" s="119"/>
      <c r="E55" s="119"/>
      <c r="F55" s="160"/>
      <c r="G55" s="117">
        <v>2500</v>
      </c>
      <c r="H55" s="6"/>
      <c r="I55" s="125">
        <v>46242</v>
      </c>
      <c r="J55" s="13">
        <f t="shared" si="180"/>
        <v>0</v>
      </c>
      <c r="K55" s="153"/>
      <c r="L55" s="161"/>
      <c r="M55" s="136"/>
      <c r="N55" s="136"/>
      <c r="O55" s="136"/>
      <c r="P55" s="136"/>
      <c r="Q55" s="136"/>
      <c r="R55" s="136"/>
      <c r="S55" s="161"/>
      <c r="T55" s="161"/>
      <c r="U55" s="161"/>
      <c r="V55" s="161"/>
      <c r="W55" s="135"/>
      <c r="X55" s="135"/>
      <c r="Y55" s="135"/>
      <c r="Z55" s="135"/>
      <c r="AA55" s="135"/>
      <c r="AB55" s="135"/>
      <c r="AC55" s="136"/>
      <c r="AD55" s="136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35"/>
      <c r="AQ55" s="136"/>
      <c r="AR55" s="136"/>
      <c r="AS55" s="135"/>
      <c r="AT55" s="135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36"/>
      <c r="BF55" s="136"/>
      <c r="BG55" s="161"/>
      <c r="BH55" s="161"/>
      <c r="BI55" s="161"/>
      <c r="BJ55" s="161"/>
      <c r="BK55" s="161"/>
      <c r="BL55" s="161"/>
      <c r="BM55" s="135"/>
      <c r="BN55" s="135"/>
      <c r="BO55" s="135"/>
      <c r="BP55" s="135"/>
      <c r="BQ55" s="135"/>
      <c r="BR55" s="135"/>
      <c r="BS55" s="136"/>
      <c r="BT55" s="136"/>
      <c r="BU55" s="135"/>
      <c r="BV55" s="135"/>
      <c r="BW55" s="161"/>
      <c r="BX55" s="161"/>
      <c r="BY55" s="161"/>
      <c r="BZ55" s="161"/>
      <c r="CA55" s="161"/>
      <c r="CB55" s="161"/>
      <c r="CC55" s="135"/>
      <c r="CD55" s="135"/>
      <c r="CE55" s="161"/>
      <c r="CF55" s="135"/>
      <c r="CG55" s="136"/>
      <c r="CH55" s="136"/>
      <c r="CI55" s="161"/>
      <c r="CJ55" s="161"/>
      <c r="CK55" s="161"/>
      <c r="CL55" s="161"/>
      <c r="CM55" s="161"/>
      <c r="CN55" s="161"/>
      <c r="CO55" s="161"/>
      <c r="CP55" s="161"/>
      <c r="CQ55" s="161"/>
      <c r="CR55" s="161"/>
      <c r="CS55" s="161"/>
      <c r="CT55" s="161"/>
      <c r="CU55" s="136"/>
      <c r="CV55" s="136"/>
      <c r="CW55" s="161"/>
      <c r="CX55" s="161"/>
      <c r="CY55" s="161">
        <v>400</v>
      </c>
      <c r="CZ55" s="161"/>
      <c r="DA55" s="161">
        <v>200</v>
      </c>
      <c r="DB55" s="161">
        <v>400</v>
      </c>
      <c r="DC55" s="161">
        <v>200</v>
      </c>
      <c r="DD55" s="161">
        <v>400</v>
      </c>
      <c r="DE55" s="161">
        <v>200</v>
      </c>
      <c r="DF55" s="161">
        <v>400</v>
      </c>
      <c r="DG55" s="135">
        <v>300</v>
      </c>
      <c r="DH55" s="135"/>
      <c r="DI55" s="136"/>
      <c r="DJ55" s="136"/>
      <c r="DK55" s="161"/>
      <c r="DL55" s="161"/>
      <c r="DM55" s="161"/>
      <c r="DN55" s="161"/>
      <c r="DO55" s="161"/>
      <c r="DP55" s="161"/>
      <c r="DQ55" s="135"/>
      <c r="DR55" s="135"/>
      <c r="DS55" s="135"/>
      <c r="DT55" s="135"/>
      <c r="DU55" s="135"/>
      <c r="DV55" s="135"/>
      <c r="DW55" s="136"/>
      <c r="DX55" s="136"/>
      <c r="DY55" s="161"/>
      <c r="DZ55" s="161"/>
      <c r="EA55" s="161"/>
      <c r="EB55" s="161"/>
      <c r="EC55" s="161"/>
      <c r="ED55" s="161"/>
      <c r="EE55" s="135"/>
      <c r="EF55" s="135"/>
      <c r="EG55" s="135"/>
      <c r="EH55" s="135"/>
      <c r="EI55" s="135"/>
      <c r="EJ55" s="135"/>
      <c r="EK55" s="136"/>
      <c r="EL55" s="136"/>
      <c r="EM55" s="136"/>
      <c r="EN55" s="136"/>
      <c r="EO55" s="136"/>
      <c r="EP55" s="136"/>
      <c r="EQ55" s="136"/>
      <c r="ER55" s="136"/>
      <c r="ES55" s="135"/>
      <c r="ET55" s="135"/>
      <c r="EU55" s="135"/>
      <c r="EV55" s="135"/>
      <c r="EW55" s="135"/>
      <c r="EX55" s="135"/>
      <c r="EY55" s="136"/>
      <c r="EZ55" s="136"/>
      <c r="FA55" s="161"/>
      <c r="FB55" s="161"/>
      <c r="FC55" s="161"/>
      <c r="FD55" s="161"/>
      <c r="FE55" s="161"/>
      <c r="FF55" s="161"/>
      <c r="FG55" s="135"/>
      <c r="FH55" s="135"/>
      <c r="FI55" s="135"/>
      <c r="FJ55" s="135"/>
      <c r="FK55" s="135"/>
      <c r="FL55" s="135"/>
      <c r="FM55" s="136"/>
      <c r="FN55" s="136"/>
      <c r="FO55" s="161"/>
      <c r="FP55" s="161"/>
      <c r="FQ55" s="161"/>
      <c r="FR55" s="161"/>
      <c r="FS55" s="161"/>
      <c r="FT55" s="161"/>
      <c r="FU55" s="135"/>
      <c r="FV55" s="135"/>
      <c r="FW55" s="135"/>
      <c r="FX55" s="135"/>
      <c r="FY55" s="135"/>
      <c r="FZ55" s="135"/>
      <c r="GA55" s="136"/>
      <c r="GB55" s="136"/>
      <c r="GC55" s="161"/>
      <c r="GD55" s="161"/>
      <c r="GE55" s="161"/>
      <c r="GF55" s="161"/>
      <c r="GG55" s="161"/>
      <c r="GH55" s="161"/>
      <c r="GI55" s="135"/>
      <c r="GJ55" s="135"/>
      <c r="GK55" s="135"/>
      <c r="GL55" s="135"/>
      <c r="GM55" s="135"/>
      <c r="GN55" s="135"/>
    </row>
    <row r="56" spans="1:196" ht="29" customHeight="1">
      <c r="A56" s="114"/>
      <c r="B56" s="116" t="s">
        <v>1160</v>
      </c>
      <c r="C56" s="116" t="s">
        <v>1156</v>
      </c>
      <c r="D56" s="119"/>
      <c r="E56" s="119"/>
      <c r="F56" s="160"/>
      <c r="G56" s="117">
        <v>2500</v>
      </c>
      <c r="H56" s="6"/>
      <c r="I56" s="125">
        <v>46249</v>
      </c>
      <c r="J56" s="13">
        <f t="shared" si="180"/>
        <v>0</v>
      </c>
      <c r="K56" s="132" t="s">
        <v>1238</v>
      </c>
      <c r="L56" s="161"/>
      <c r="M56" s="136"/>
      <c r="N56" s="136"/>
      <c r="O56" s="136"/>
      <c r="P56" s="136"/>
      <c r="Q56" s="136"/>
      <c r="R56" s="136"/>
      <c r="S56" s="161"/>
      <c r="T56" s="161"/>
      <c r="U56" s="161"/>
      <c r="V56" s="161"/>
      <c r="W56" s="135"/>
      <c r="X56" s="135"/>
      <c r="Y56" s="135"/>
      <c r="Z56" s="135"/>
      <c r="AA56" s="135"/>
      <c r="AB56" s="135"/>
      <c r="AC56" s="136"/>
      <c r="AD56" s="136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35"/>
      <c r="AQ56" s="136"/>
      <c r="AR56" s="136"/>
      <c r="AS56" s="135"/>
      <c r="AT56" s="135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36"/>
      <c r="BF56" s="136"/>
      <c r="BG56" s="161"/>
      <c r="BH56" s="161"/>
      <c r="BI56" s="161"/>
      <c r="BJ56" s="161"/>
      <c r="BK56" s="161"/>
      <c r="BL56" s="161"/>
      <c r="BM56" s="135"/>
      <c r="BN56" s="135"/>
      <c r="BO56" s="135"/>
      <c r="BP56" s="135"/>
      <c r="BQ56" s="135"/>
      <c r="BR56" s="135"/>
      <c r="BS56" s="136"/>
      <c r="BT56" s="136"/>
      <c r="BU56" s="161"/>
      <c r="BV56" s="161"/>
      <c r="BW56" s="161"/>
      <c r="BX56" s="161"/>
      <c r="BY56" s="161"/>
      <c r="BZ56" s="161"/>
      <c r="CA56" s="135"/>
      <c r="CB56" s="135"/>
      <c r="CC56" s="135"/>
      <c r="CD56" s="135"/>
      <c r="CE56" s="135"/>
      <c r="CF56" s="135"/>
      <c r="CG56" s="136"/>
      <c r="CH56" s="136"/>
      <c r="CI56" s="161"/>
      <c r="CJ56" s="161"/>
      <c r="CK56" s="161"/>
      <c r="CL56" s="161"/>
      <c r="CM56" s="161"/>
      <c r="CN56" s="161"/>
      <c r="CO56" s="161"/>
      <c r="CP56" s="161"/>
      <c r="CQ56" s="161"/>
      <c r="CR56" s="135"/>
      <c r="CS56" s="161"/>
      <c r="CT56" s="135"/>
      <c r="CU56" s="136"/>
      <c r="CV56" s="136"/>
      <c r="CW56" s="161"/>
      <c r="CX56" s="161"/>
      <c r="CY56" s="161"/>
      <c r="CZ56" s="161"/>
      <c r="DA56" s="161"/>
      <c r="DB56" s="161"/>
      <c r="DC56" s="161"/>
      <c r="DD56" s="161"/>
      <c r="DE56" s="135"/>
      <c r="DF56" s="135"/>
      <c r="DG56" s="135"/>
      <c r="DH56" s="135">
        <v>400</v>
      </c>
      <c r="DI56" s="136"/>
      <c r="DJ56" s="136"/>
      <c r="DK56" s="161">
        <v>400</v>
      </c>
      <c r="DL56" s="161"/>
      <c r="DM56" s="161">
        <v>400</v>
      </c>
      <c r="DN56" s="161"/>
      <c r="DO56" s="161">
        <v>400</v>
      </c>
      <c r="DP56" s="161"/>
      <c r="DQ56" s="161">
        <v>400</v>
      </c>
      <c r="DR56" s="161"/>
      <c r="DS56" s="161">
        <v>400</v>
      </c>
      <c r="DT56" s="135"/>
      <c r="DU56" s="135">
        <v>100</v>
      </c>
      <c r="DV56" s="135"/>
      <c r="DW56" s="136"/>
      <c r="DX56" s="136"/>
      <c r="DY56" s="161"/>
      <c r="DZ56" s="161"/>
      <c r="EA56" s="161"/>
      <c r="EB56" s="161"/>
      <c r="EC56" s="161"/>
      <c r="ED56" s="161"/>
      <c r="EE56" s="135"/>
      <c r="EF56" s="135"/>
      <c r="EG56" s="135"/>
      <c r="EH56" s="135"/>
      <c r="EI56" s="135"/>
      <c r="EJ56" s="135"/>
      <c r="EK56" s="136"/>
      <c r="EL56" s="136"/>
      <c r="EM56" s="136"/>
      <c r="EN56" s="136"/>
      <c r="EO56" s="136"/>
      <c r="EP56" s="136"/>
      <c r="EQ56" s="136"/>
      <c r="ER56" s="136"/>
      <c r="ES56" s="135"/>
      <c r="ET56" s="135"/>
      <c r="EU56" s="135"/>
      <c r="EV56" s="135"/>
      <c r="EW56" s="135"/>
      <c r="EX56" s="135"/>
      <c r="EY56" s="136"/>
      <c r="EZ56" s="136"/>
      <c r="FA56" s="161"/>
      <c r="FB56" s="161"/>
      <c r="FC56" s="161"/>
      <c r="FD56" s="161"/>
      <c r="FE56" s="161"/>
      <c r="FF56" s="161"/>
      <c r="FG56" s="135"/>
      <c r="FH56" s="135"/>
      <c r="FI56" s="135"/>
      <c r="FJ56" s="135"/>
      <c r="FK56" s="135"/>
      <c r="FL56" s="135"/>
      <c r="FM56" s="136"/>
      <c r="FN56" s="136"/>
      <c r="FO56" s="161"/>
      <c r="FP56" s="161"/>
      <c r="FQ56" s="161"/>
      <c r="FR56" s="161"/>
      <c r="FS56" s="161"/>
      <c r="FT56" s="161"/>
      <c r="FU56" s="135"/>
      <c r="FV56" s="135"/>
      <c r="FW56" s="135"/>
      <c r="FX56" s="135"/>
      <c r="FY56" s="135"/>
      <c r="FZ56" s="135"/>
      <c r="GA56" s="136"/>
      <c r="GB56" s="136"/>
      <c r="GC56" s="161"/>
      <c r="GD56" s="161"/>
      <c r="GE56" s="161"/>
      <c r="GF56" s="161"/>
      <c r="GG56" s="161"/>
      <c r="GH56" s="161"/>
      <c r="GI56" s="135"/>
      <c r="GJ56" s="135"/>
      <c r="GK56" s="135"/>
      <c r="GL56" s="135"/>
      <c r="GM56" s="135"/>
      <c r="GN56" s="135"/>
    </row>
    <row r="57" spans="1:196" ht="29" customHeight="1">
      <c r="A57" s="114"/>
      <c r="B57" s="165" t="s">
        <v>902</v>
      </c>
      <c r="C57" s="165" t="s">
        <v>932</v>
      </c>
      <c r="D57" s="138"/>
      <c r="E57" s="138"/>
      <c r="F57" s="166"/>
      <c r="G57" s="149">
        <v>10</v>
      </c>
      <c r="H57" s="129"/>
      <c r="I57" s="110">
        <v>46207</v>
      </c>
      <c r="J57" s="13">
        <f t="shared" si="180"/>
        <v>0</v>
      </c>
      <c r="K57" s="139" t="s">
        <v>901</v>
      </c>
      <c r="L57" s="161"/>
      <c r="M57" s="136"/>
      <c r="N57" s="136"/>
      <c r="O57" s="136"/>
      <c r="P57" s="136"/>
      <c r="Q57" s="136"/>
      <c r="R57" s="136"/>
      <c r="S57" s="161"/>
      <c r="T57" s="161"/>
      <c r="U57" s="161"/>
      <c r="V57" s="161"/>
      <c r="W57" s="135"/>
      <c r="X57" s="135"/>
      <c r="Y57" s="135"/>
      <c r="Z57" s="135"/>
      <c r="AA57" s="135"/>
      <c r="AB57" s="135"/>
      <c r="AC57" s="136"/>
      <c r="AD57" s="136"/>
      <c r="AE57" s="161"/>
      <c r="AF57" s="161"/>
      <c r="AG57" s="161"/>
      <c r="AH57" s="161"/>
      <c r="AI57" s="161"/>
      <c r="AJ57" s="161"/>
      <c r="AK57" s="135"/>
      <c r="AL57" s="135"/>
      <c r="AM57" s="161"/>
      <c r="AN57" s="161"/>
      <c r="AO57" s="161"/>
      <c r="AP57" s="135"/>
      <c r="AQ57" s="136"/>
      <c r="AR57" s="136"/>
      <c r="AS57" s="161"/>
      <c r="AT57" s="135"/>
      <c r="AU57" s="161"/>
      <c r="AV57" s="135"/>
      <c r="AW57" s="161"/>
      <c r="AX57" s="161"/>
      <c r="AY57" s="135"/>
      <c r="AZ57" s="135"/>
      <c r="BA57" s="135"/>
      <c r="BB57" s="135"/>
      <c r="BC57" s="135"/>
      <c r="BD57" s="135"/>
      <c r="BE57" s="136"/>
      <c r="BF57" s="136"/>
      <c r="BG57" s="161"/>
      <c r="BH57" s="161"/>
      <c r="BI57" s="161"/>
      <c r="BJ57" s="135"/>
      <c r="BK57" s="161"/>
      <c r="BL57" s="161"/>
      <c r="BM57" s="161"/>
      <c r="BN57" s="135"/>
      <c r="BO57" s="161"/>
      <c r="BP57" s="135"/>
      <c r="BQ57" s="161"/>
      <c r="BR57" s="135"/>
      <c r="BS57" s="136"/>
      <c r="BT57" s="136"/>
      <c r="BU57" s="161"/>
      <c r="BV57" s="161"/>
      <c r="BW57" s="161"/>
      <c r="BX57" s="161"/>
      <c r="BY57" s="161"/>
      <c r="BZ57" s="161"/>
      <c r="CA57" s="135"/>
      <c r="CB57" s="135"/>
      <c r="CC57" s="135"/>
      <c r="CD57" s="135"/>
      <c r="CE57" s="161"/>
      <c r="CF57" s="135"/>
      <c r="CG57" s="136"/>
      <c r="CH57" s="136"/>
      <c r="CI57" s="161"/>
      <c r="CJ57" s="161"/>
      <c r="CK57" s="161"/>
      <c r="CL57" s="161"/>
      <c r="CM57" s="161"/>
      <c r="CN57" s="161"/>
      <c r="CO57" s="135"/>
      <c r="CP57" s="135"/>
      <c r="CQ57" s="135"/>
      <c r="CR57" s="135"/>
      <c r="CS57" s="135"/>
      <c r="CT57" s="135"/>
      <c r="CU57" s="136"/>
      <c r="CV57" s="136"/>
      <c r="CW57" s="161"/>
      <c r="CX57" s="161"/>
      <c r="CY57" s="161"/>
      <c r="CZ57" s="161"/>
      <c r="DA57" s="161"/>
      <c r="DB57" s="161"/>
      <c r="DC57" s="135"/>
      <c r="DD57" s="161"/>
      <c r="DE57" s="161"/>
      <c r="DF57" s="135"/>
      <c r="DG57" s="161">
        <v>10</v>
      </c>
      <c r="DH57" s="135"/>
      <c r="DI57" s="136"/>
      <c r="DJ57" s="136"/>
      <c r="DK57" s="161"/>
      <c r="DL57" s="161"/>
      <c r="DM57" s="161"/>
      <c r="DN57" s="161"/>
      <c r="DO57" s="161"/>
      <c r="DP57" s="161"/>
      <c r="DQ57" s="135"/>
      <c r="DR57" s="135"/>
      <c r="DS57" s="135"/>
      <c r="DT57" s="135"/>
      <c r="DU57" s="135"/>
      <c r="DV57" s="135"/>
      <c r="DW57" s="136"/>
      <c r="DX57" s="136"/>
      <c r="DY57" s="161"/>
      <c r="DZ57" s="161"/>
      <c r="EA57" s="161"/>
      <c r="EB57" s="161"/>
      <c r="EC57" s="161"/>
      <c r="ED57" s="161"/>
      <c r="EE57" s="135"/>
      <c r="EF57" s="135"/>
      <c r="EG57" s="135"/>
      <c r="EH57" s="135"/>
      <c r="EI57" s="135"/>
      <c r="EJ57" s="135"/>
      <c r="EK57" s="136"/>
      <c r="EL57" s="136"/>
      <c r="EM57" s="136"/>
      <c r="EN57" s="136"/>
      <c r="EO57" s="136"/>
      <c r="EP57" s="136"/>
      <c r="EQ57" s="136"/>
      <c r="ER57" s="136"/>
      <c r="ES57" s="135"/>
      <c r="ET57" s="135"/>
      <c r="EU57" s="135"/>
      <c r="EV57" s="135"/>
      <c r="EW57" s="135"/>
      <c r="EX57" s="135"/>
      <c r="EY57" s="136"/>
      <c r="EZ57" s="136"/>
      <c r="FA57" s="161"/>
      <c r="FB57" s="161"/>
      <c r="FC57" s="161"/>
      <c r="FD57" s="161"/>
      <c r="FE57" s="161"/>
      <c r="FF57" s="161"/>
      <c r="FG57" s="135"/>
      <c r="FH57" s="135"/>
      <c r="FI57" s="135"/>
      <c r="FJ57" s="135"/>
      <c r="FK57" s="135"/>
      <c r="FL57" s="135"/>
      <c r="FM57" s="136"/>
      <c r="FN57" s="136"/>
      <c r="FO57" s="161"/>
      <c r="FP57" s="161"/>
      <c r="FQ57" s="161"/>
      <c r="FR57" s="161"/>
      <c r="FS57" s="161"/>
      <c r="FT57" s="161"/>
      <c r="FU57" s="135"/>
      <c r="FV57" s="135"/>
      <c r="FW57" s="135"/>
      <c r="FX57" s="135"/>
      <c r="FY57" s="135"/>
      <c r="FZ57" s="135"/>
      <c r="GA57" s="136"/>
      <c r="GB57" s="136"/>
      <c r="GC57" s="161"/>
      <c r="GD57" s="161"/>
      <c r="GE57" s="161"/>
      <c r="GF57" s="161"/>
      <c r="GG57" s="161"/>
      <c r="GH57" s="161"/>
      <c r="GI57" s="135"/>
      <c r="GJ57" s="135"/>
      <c r="GK57" s="135"/>
      <c r="GL57" s="135"/>
      <c r="GM57" s="135"/>
      <c r="GN57" s="135"/>
    </row>
    <row r="58" spans="1:196" ht="29" customHeight="1">
      <c r="A58" s="114"/>
      <c r="B58" s="137" t="s">
        <v>1146</v>
      </c>
      <c r="C58" s="12" t="s">
        <v>622</v>
      </c>
      <c r="D58" s="119"/>
      <c r="E58" s="119"/>
      <c r="F58" s="133"/>
      <c r="G58" s="95">
        <v>10</v>
      </c>
      <c r="H58" s="133"/>
      <c r="I58" s="108">
        <v>46248</v>
      </c>
      <c r="J58" s="134">
        <f t="shared" si="180"/>
        <v>0</v>
      </c>
      <c r="K58" s="175" t="s">
        <v>1145</v>
      </c>
      <c r="L58" s="161"/>
      <c r="M58" s="136"/>
      <c r="N58" s="136"/>
      <c r="O58" s="136"/>
      <c r="P58" s="136"/>
      <c r="Q58" s="136"/>
      <c r="R58" s="136"/>
      <c r="S58" s="161"/>
      <c r="T58" s="161"/>
      <c r="U58" s="161"/>
      <c r="V58" s="161"/>
      <c r="W58" s="135"/>
      <c r="X58" s="135"/>
      <c r="Y58" s="135"/>
      <c r="Z58" s="135"/>
      <c r="AA58" s="135"/>
      <c r="AB58" s="135"/>
      <c r="AC58" s="136"/>
      <c r="AD58" s="136"/>
      <c r="AE58" s="161"/>
      <c r="AF58" s="161"/>
      <c r="AG58" s="161"/>
      <c r="AH58" s="161"/>
      <c r="AI58" s="161"/>
      <c r="AJ58" s="161"/>
      <c r="AK58" s="135"/>
      <c r="AL58" s="135"/>
      <c r="AM58" s="161"/>
      <c r="AN58" s="161"/>
      <c r="AO58" s="161"/>
      <c r="AP58" s="135"/>
      <c r="AQ58" s="136"/>
      <c r="AR58" s="136"/>
      <c r="AS58" s="161"/>
      <c r="AT58" s="135"/>
      <c r="AU58" s="161"/>
      <c r="AV58" s="135"/>
      <c r="AW58" s="161"/>
      <c r="AX58" s="161"/>
      <c r="AY58" s="135"/>
      <c r="AZ58" s="135"/>
      <c r="BA58" s="135"/>
      <c r="BB58" s="135"/>
      <c r="BC58" s="135"/>
      <c r="BD58" s="135"/>
      <c r="BE58" s="136"/>
      <c r="BF58" s="136"/>
      <c r="BG58" s="161"/>
      <c r="BH58" s="161"/>
      <c r="BI58" s="161"/>
      <c r="BJ58" s="135"/>
      <c r="BK58" s="161"/>
      <c r="BL58" s="161"/>
      <c r="BM58" s="161"/>
      <c r="BN58" s="135"/>
      <c r="BO58" s="161"/>
      <c r="BP58" s="135"/>
      <c r="BQ58" s="161"/>
      <c r="BR58" s="135"/>
      <c r="BS58" s="136"/>
      <c r="BT58" s="136"/>
      <c r="BU58" s="161"/>
      <c r="BV58" s="161"/>
      <c r="BW58" s="161"/>
      <c r="BX58" s="161"/>
      <c r="BY58" s="161"/>
      <c r="BZ58" s="161"/>
      <c r="CA58" s="135"/>
      <c r="CB58" s="135"/>
      <c r="CC58" s="135"/>
      <c r="CD58" s="135"/>
      <c r="CE58" s="161"/>
      <c r="CF58" s="135"/>
      <c r="CG58" s="136"/>
      <c r="CH58" s="136"/>
      <c r="CI58" s="161"/>
      <c r="CJ58" s="161"/>
      <c r="CK58" s="161"/>
      <c r="CL58" s="161"/>
      <c r="CM58" s="161"/>
      <c r="CN58" s="161"/>
      <c r="CO58" s="135"/>
      <c r="CP58" s="135"/>
      <c r="CQ58" s="135"/>
      <c r="CR58" s="135"/>
      <c r="CS58" s="135"/>
      <c r="CT58" s="135"/>
      <c r="CU58" s="136"/>
      <c r="CV58" s="136"/>
      <c r="CW58" s="161"/>
      <c r="CX58" s="161"/>
      <c r="CY58" s="161"/>
      <c r="CZ58" s="161"/>
      <c r="DA58" s="161"/>
      <c r="DB58" s="161"/>
      <c r="DC58" s="135"/>
      <c r="DD58" s="161"/>
      <c r="DE58" s="161"/>
      <c r="DF58" s="135"/>
      <c r="DG58" s="161">
        <v>10</v>
      </c>
      <c r="DH58" s="135"/>
      <c r="DI58" s="136"/>
      <c r="DJ58" s="136"/>
      <c r="DK58" s="161"/>
      <c r="DL58" s="161"/>
      <c r="DM58" s="161"/>
      <c r="DN58" s="161"/>
      <c r="DO58" s="161"/>
      <c r="DP58" s="161"/>
      <c r="DQ58" s="135"/>
      <c r="DR58" s="135"/>
      <c r="DS58" s="135"/>
      <c r="DT58" s="135"/>
      <c r="DU58" s="135"/>
      <c r="DV58" s="135"/>
      <c r="DW58" s="136"/>
      <c r="DX58" s="136"/>
      <c r="DY58" s="161"/>
      <c r="DZ58" s="161"/>
      <c r="EA58" s="161"/>
      <c r="EB58" s="161"/>
      <c r="EC58" s="161"/>
      <c r="ED58" s="161"/>
      <c r="EE58" s="135"/>
      <c r="EF58" s="135"/>
      <c r="EG58" s="135"/>
      <c r="EH58" s="135"/>
      <c r="EI58" s="135"/>
      <c r="EJ58" s="135"/>
      <c r="EK58" s="136"/>
      <c r="EL58" s="136"/>
      <c r="EM58" s="136"/>
      <c r="EN58" s="136"/>
      <c r="EO58" s="136"/>
      <c r="EP58" s="136"/>
      <c r="EQ58" s="136"/>
      <c r="ER58" s="136"/>
      <c r="ES58" s="135"/>
      <c r="ET58" s="135"/>
      <c r="EU58" s="135"/>
      <c r="EV58" s="135"/>
      <c r="EW58" s="135"/>
      <c r="EX58" s="135"/>
      <c r="EY58" s="136"/>
      <c r="EZ58" s="136"/>
      <c r="FA58" s="161"/>
      <c r="FB58" s="161"/>
      <c r="FC58" s="161"/>
      <c r="FD58" s="161"/>
      <c r="FE58" s="161"/>
      <c r="FF58" s="161"/>
      <c r="FG58" s="135"/>
      <c r="FH58" s="135"/>
      <c r="FI58" s="135"/>
      <c r="FJ58" s="135"/>
      <c r="FK58" s="135"/>
      <c r="FL58" s="135"/>
      <c r="FM58" s="136"/>
      <c r="FN58" s="136"/>
      <c r="FO58" s="161"/>
      <c r="FP58" s="161"/>
      <c r="FQ58" s="161"/>
      <c r="FR58" s="161"/>
      <c r="FS58" s="161"/>
      <c r="FT58" s="161"/>
      <c r="FU58" s="135"/>
      <c r="FV58" s="135"/>
      <c r="FW58" s="135"/>
      <c r="FX58" s="135"/>
      <c r="FY58" s="135"/>
      <c r="FZ58" s="135"/>
      <c r="GA58" s="136"/>
      <c r="GB58" s="136"/>
      <c r="GC58" s="161"/>
      <c r="GD58" s="161"/>
      <c r="GE58" s="161"/>
      <c r="GF58" s="161"/>
      <c r="GG58" s="161"/>
      <c r="GH58" s="161"/>
      <c r="GI58" s="135"/>
      <c r="GJ58" s="135"/>
      <c r="GK58" s="135"/>
      <c r="GL58" s="135"/>
      <c r="GM58" s="135"/>
      <c r="GN58" s="135"/>
    </row>
    <row r="59" spans="1:196">
      <c r="A59" s="114"/>
      <c r="B59" s="13" t="s">
        <v>1171</v>
      </c>
      <c r="C59" s="13" t="s">
        <v>672</v>
      </c>
      <c r="D59" s="13"/>
      <c r="E59" s="13"/>
      <c r="F59" s="13"/>
      <c r="G59" s="117">
        <v>300</v>
      </c>
      <c r="H59" s="13"/>
      <c r="I59" s="125">
        <v>46249</v>
      </c>
      <c r="J59" s="13">
        <f>G59-SUM(L59:FL59)</f>
        <v>0</v>
      </c>
      <c r="K59" s="13"/>
      <c r="L59" s="161"/>
      <c r="M59" s="136"/>
      <c r="N59" s="136"/>
      <c r="O59" s="136"/>
      <c r="P59" s="136"/>
      <c r="Q59" s="136"/>
      <c r="R59" s="136"/>
      <c r="S59" s="161"/>
      <c r="T59" s="161"/>
      <c r="U59" s="161"/>
      <c r="V59" s="161"/>
      <c r="W59" s="135"/>
      <c r="X59" s="135"/>
      <c r="Y59" s="135"/>
      <c r="Z59" s="135"/>
      <c r="AA59" s="135"/>
      <c r="AB59" s="135"/>
      <c r="AC59" s="136"/>
      <c r="AD59" s="136"/>
      <c r="AE59" s="161"/>
      <c r="AF59" s="161"/>
      <c r="AG59" s="161"/>
      <c r="AH59" s="161"/>
      <c r="AI59" s="161"/>
      <c r="AJ59" s="161"/>
      <c r="AK59" s="135"/>
      <c r="AL59" s="135"/>
      <c r="AM59" s="135"/>
      <c r="AN59" s="135"/>
      <c r="AO59" s="135"/>
      <c r="AP59" s="135"/>
      <c r="AQ59" s="136"/>
      <c r="AR59" s="136"/>
      <c r="AS59" s="161"/>
      <c r="AT59" s="161"/>
      <c r="AU59" s="161"/>
      <c r="AV59" s="161"/>
      <c r="AW59" s="161"/>
      <c r="AX59" s="161"/>
      <c r="AY59" s="135"/>
      <c r="AZ59" s="135"/>
      <c r="BA59" s="135"/>
      <c r="BB59" s="135"/>
      <c r="BC59" s="135"/>
      <c r="BD59" s="135"/>
      <c r="BE59" s="136"/>
      <c r="BF59" s="136"/>
      <c r="BG59" s="161"/>
      <c r="BH59" s="161"/>
      <c r="BI59" s="161"/>
      <c r="BJ59" s="161"/>
      <c r="BK59" s="161"/>
      <c r="BL59" s="161"/>
      <c r="BM59" s="135"/>
      <c r="BN59" s="135"/>
      <c r="BO59" s="135"/>
      <c r="BP59" s="135"/>
      <c r="BQ59" s="135"/>
      <c r="BR59" s="135"/>
      <c r="BS59" s="136"/>
      <c r="BT59" s="136"/>
      <c r="BU59" s="161"/>
      <c r="BV59" s="161"/>
      <c r="BW59" s="161"/>
      <c r="BX59" s="161"/>
      <c r="BY59" s="161"/>
      <c r="BZ59" s="161"/>
      <c r="CA59" s="135"/>
      <c r="CB59" s="135"/>
      <c r="CC59" s="135"/>
      <c r="CD59" s="135"/>
      <c r="CE59" s="135"/>
      <c r="CF59" s="135"/>
      <c r="CG59" s="136"/>
      <c r="CH59" s="136"/>
      <c r="CI59" s="161"/>
      <c r="CJ59" s="161"/>
      <c r="CK59" s="161"/>
      <c r="CL59" s="161"/>
      <c r="CM59" s="161"/>
      <c r="CN59" s="161"/>
      <c r="CO59" s="135"/>
      <c r="CP59" s="135"/>
      <c r="CQ59" s="135"/>
      <c r="CR59" s="135"/>
      <c r="CS59" s="135"/>
      <c r="CT59" s="135"/>
      <c r="CU59" s="136"/>
      <c r="CV59" s="136"/>
      <c r="CW59" s="135"/>
      <c r="CX59" s="161"/>
      <c r="CY59" s="135"/>
      <c r="CZ59" s="161"/>
      <c r="DA59" s="135"/>
      <c r="DB59" s="161"/>
      <c r="DC59" s="135"/>
      <c r="DD59" s="135"/>
      <c r="DE59" s="135"/>
      <c r="DF59" s="135"/>
      <c r="DG59" s="135">
        <v>300</v>
      </c>
      <c r="DH59" s="135"/>
      <c r="DI59" s="136"/>
      <c r="DJ59" s="136"/>
      <c r="DK59" s="161"/>
      <c r="DL59" s="161"/>
      <c r="DM59" s="161"/>
      <c r="DN59" s="161"/>
      <c r="DO59" s="135"/>
      <c r="DP59" s="135"/>
      <c r="DQ59" s="135"/>
      <c r="DR59" s="161"/>
      <c r="DS59" s="135"/>
      <c r="DT59" s="161"/>
      <c r="DU59" s="135"/>
      <c r="DV59" s="161"/>
      <c r="DW59" s="136"/>
      <c r="DX59" s="136"/>
      <c r="DY59" s="161"/>
      <c r="DZ59" s="161"/>
      <c r="EA59" s="161"/>
      <c r="EB59" s="161"/>
      <c r="EC59" s="161"/>
      <c r="ED59" s="161"/>
      <c r="EE59" s="135"/>
      <c r="EF59" s="135"/>
      <c r="EG59" s="135"/>
      <c r="EH59" s="135"/>
      <c r="EI59" s="135"/>
      <c r="EJ59" s="135"/>
      <c r="EK59" s="136"/>
      <c r="EL59" s="136"/>
      <c r="EM59" s="136"/>
      <c r="EN59" s="136"/>
      <c r="EO59" s="136"/>
      <c r="EP59" s="136"/>
      <c r="EQ59" s="136"/>
      <c r="ER59" s="136"/>
      <c r="ES59" s="135"/>
      <c r="ET59" s="135"/>
      <c r="EU59" s="135"/>
      <c r="EV59" s="135"/>
      <c r="EW59" s="135"/>
      <c r="EX59" s="135"/>
      <c r="EY59" s="136"/>
      <c r="EZ59" s="136"/>
      <c r="FA59" s="161"/>
      <c r="FB59" s="161"/>
      <c r="FC59" s="161"/>
      <c r="FD59" s="161"/>
      <c r="FE59" s="161"/>
      <c r="FF59" s="161"/>
      <c r="FG59" s="135"/>
      <c r="FH59" s="135"/>
      <c r="FI59" s="135"/>
      <c r="FJ59" s="135"/>
      <c r="FK59" s="135"/>
      <c r="FL59" s="135"/>
      <c r="FM59" s="136"/>
      <c r="FN59" s="136"/>
      <c r="FO59" s="161"/>
      <c r="FP59" s="161"/>
      <c r="FQ59" s="161"/>
      <c r="FR59" s="161"/>
      <c r="FS59" s="161"/>
      <c r="FT59" s="161"/>
      <c r="FU59" s="135"/>
      <c r="FV59" s="135"/>
      <c r="FW59" s="135"/>
      <c r="FX59" s="135"/>
      <c r="FY59" s="135"/>
      <c r="FZ59" s="135"/>
      <c r="GA59" s="136"/>
      <c r="GB59" s="136"/>
      <c r="GC59" s="161"/>
      <c r="GD59" s="161"/>
      <c r="GE59" s="161"/>
      <c r="GF59" s="161"/>
      <c r="GG59" s="161"/>
      <c r="GH59" s="161"/>
      <c r="GI59" s="135"/>
      <c r="GJ59" s="135"/>
      <c r="GK59" s="135"/>
      <c r="GL59" s="135"/>
      <c r="GM59" s="135"/>
      <c r="GN59" s="135"/>
    </row>
    <row r="60" spans="1:196">
      <c r="A60" s="114"/>
      <c r="B60" s="173" t="s">
        <v>725</v>
      </c>
      <c r="C60" s="173" t="s">
        <v>251</v>
      </c>
      <c r="D60" s="119"/>
      <c r="E60" s="119" t="e">
        <f>VLOOKUP(C60,#REF!,5,0)</f>
        <v>#REF!</v>
      </c>
      <c r="F60" s="160"/>
      <c r="G60" s="117">
        <v>960</v>
      </c>
      <c r="H60" s="6"/>
      <c r="I60" s="125">
        <v>46249</v>
      </c>
      <c r="J60" s="13">
        <f t="shared" si="180"/>
        <v>0</v>
      </c>
      <c r="K60" s="153" t="s">
        <v>1319</v>
      </c>
      <c r="L60" s="161"/>
      <c r="M60" s="136"/>
      <c r="N60" s="136"/>
      <c r="O60" s="136"/>
      <c r="P60" s="136"/>
      <c r="Q60" s="136"/>
      <c r="R60" s="136"/>
      <c r="S60" s="161"/>
      <c r="T60" s="161"/>
      <c r="U60" s="161"/>
      <c r="V60" s="135"/>
      <c r="W60" s="161"/>
      <c r="X60" s="135"/>
      <c r="Y60" s="161"/>
      <c r="Z60" s="135"/>
      <c r="AA60" s="161"/>
      <c r="AB60" s="135"/>
      <c r="AC60" s="136"/>
      <c r="AD60" s="136"/>
      <c r="AE60" s="161"/>
      <c r="AF60" s="161"/>
      <c r="AG60" s="161"/>
      <c r="AH60" s="161"/>
      <c r="AI60" s="161"/>
      <c r="AJ60" s="161"/>
      <c r="AK60" s="161"/>
      <c r="AL60" s="135"/>
      <c r="AM60" s="161"/>
      <c r="AN60" s="135"/>
      <c r="AO60" s="161"/>
      <c r="AP60" s="135"/>
      <c r="AQ60" s="136"/>
      <c r="AR60" s="136"/>
      <c r="AS60" s="161"/>
      <c r="AT60" s="161"/>
      <c r="AU60" s="161"/>
      <c r="AV60" s="161"/>
      <c r="AW60" s="161"/>
      <c r="AX60" s="135"/>
      <c r="AY60" s="161"/>
      <c r="AZ60" s="135"/>
      <c r="BA60" s="161"/>
      <c r="BB60" s="135"/>
      <c r="BC60" s="161"/>
      <c r="BD60" s="161"/>
      <c r="BE60" s="136"/>
      <c r="BF60" s="136"/>
      <c r="BG60" s="161"/>
      <c r="BH60" s="135"/>
      <c r="BI60" s="161"/>
      <c r="BJ60" s="135"/>
      <c r="BK60" s="161"/>
      <c r="BL60" s="135"/>
      <c r="BM60" s="161"/>
      <c r="BN60" s="135"/>
      <c r="BO60" s="161"/>
      <c r="BP60" s="135"/>
      <c r="BQ60" s="161"/>
      <c r="BR60" s="135"/>
      <c r="BS60" s="136"/>
      <c r="BT60" s="136"/>
      <c r="BU60" s="161"/>
      <c r="BV60" s="161"/>
      <c r="BW60" s="161"/>
      <c r="BX60" s="135"/>
      <c r="BY60" s="161"/>
      <c r="BZ60" s="135"/>
      <c r="CA60" s="161"/>
      <c r="CB60" s="135"/>
      <c r="CC60" s="161"/>
      <c r="CD60" s="135"/>
      <c r="CE60" s="161"/>
      <c r="CF60" s="161"/>
      <c r="CG60" s="136"/>
      <c r="CH60" s="136"/>
      <c r="CI60" s="161"/>
      <c r="CJ60" s="135"/>
      <c r="CK60" s="161"/>
      <c r="CL60" s="135"/>
      <c r="CM60" s="161"/>
      <c r="CN60" s="135"/>
      <c r="CO60" s="161"/>
      <c r="CP60" s="135"/>
      <c r="CQ60" s="135"/>
      <c r="CR60" s="135"/>
      <c r="CS60" s="135"/>
      <c r="CT60" s="135"/>
      <c r="CU60" s="136"/>
      <c r="CV60" s="136"/>
      <c r="CW60" s="161"/>
      <c r="CX60" s="161"/>
      <c r="CY60" s="161"/>
      <c r="CZ60" s="161"/>
      <c r="DA60" s="161"/>
      <c r="DB60" s="161"/>
      <c r="DC60" s="135"/>
      <c r="DD60" s="135"/>
      <c r="DE60" s="135"/>
      <c r="DF60" s="135"/>
      <c r="DG60" s="161"/>
      <c r="DH60" s="135"/>
      <c r="DI60" s="136"/>
      <c r="DJ60" s="136"/>
      <c r="DK60" s="161">
        <v>250</v>
      </c>
      <c r="DL60" s="135"/>
      <c r="DM60" s="161">
        <v>250</v>
      </c>
      <c r="DN60" s="135"/>
      <c r="DO60" s="161">
        <v>250</v>
      </c>
      <c r="DP60" s="161"/>
      <c r="DQ60" s="161">
        <v>210</v>
      </c>
      <c r="DR60" s="135"/>
      <c r="DS60" s="135"/>
      <c r="DT60" s="135"/>
      <c r="DU60" s="135"/>
      <c r="DV60" s="135"/>
      <c r="DW60" s="136"/>
      <c r="DX60" s="136"/>
      <c r="DY60" s="161"/>
      <c r="DZ60" s="161"/>
      <c r="EA60" s="161"/>
      <c r="EB60" s="161"/>
      <c r="EC60" s="161"/>
      <c r="ED60" s="161"/>
      <c r="EE60" s="135"/>
      <c r="EF60" s="135"/>
      <c r="EG60" s="135"/>
      <c r="EH60" s="135"/>
      <c r="EI60" s="135"/>
      <c r="EJ60" s="135"/>
      <c r="EK60" s="136"/>
      <c r="EL60" s="136"/>
      <c r="EM60" s="136"/>
      <c r="EN60" s="136"/>
      <c r="EO60" s="136"/>
      <c r="EP60" s="136"/>
      <c r="EQ60" s="136"/>
      <c r="ER60" s="136"/>
      <c r="ES60" s="135"/>
      <c r="ET60" s="135"/>
      <c r="EU60" s="135"/>
      <c r="EV60" s="135"/>
      <c r="EW60" s="135"/>
      <c r="EX60" s="135"/>
      <c r="EY60" s="136"/>
      <c r="EZ60" s="136"/>
      <c r="FA60" s="161"/>
      <c r="FB60" s="161"/>
      <c r="FC60" s="161"/>
      <c r="FD60" s="161"/>
      <c r="FE60" s="161"/>
      <c r="FF60" s="161"/>
      <c r="FG60" s="135"/>
      <c r="FH60" s="135"/>
      <c r="FI60" s="135"/>
      <c r="FJ60" s="135"/>
      <c r="FK60" s="135"/>
      <c r="FL60" s="135"/>
      <c r="FM60" s="136"/>
      <c r="FN60" s="136"/>
      <c r="FO60" s="161"/>
      <c r="FP60" s="161"/>
      <c r="FQ60" s="161"/>
      <c r="FR60" s="161"/>
      <c r="FS60" s="161"/>
      <c r="FT60" s="161"/>
      <c r="FU60" s="135"/>
      <c r="FV60" s="135"/>
      <c r="FW60" s="135"/>
      <c r="FX60" s="135"/>
      <c r="FY60" s="135"/>
      <c r="FZ60" s="135"/>
      <c r="GA60" s="136"/>
      <c r="GB60" s="136"/>
      <c r="GC60" s="161"/>
      <c r="GD60" s="161"/>
      <c r="GE60" s="161"/>
      <c r="GF60" s="161"/>
      <c r="GG60" s="161"/>
      <c r="GH60" s="161"/>
      <c r="GI60" s="135"/>
      <c r="GJ60" s="135"/>
      <c r="GK60" s="135"/>
      <c r="GL60" s="135"/>
      <c r="GM60" s="135"/>
      <c r="GN60" s="135"/>
    </row>
    <row r="61" spans="1:196">
      <c r="A61" s="114"/>
      <c r="B61" s="13" t="s">
        <v>1115</v>
      </c>
      <c r="C61" s="13" t="s">
        <v>863</v>
      </c>
      <c r="D61" s="13"/>
      <c r="E61" s="13"/>
      <c r="F61" s="13"/>
      <c r="G61" s="117">
        <v>900</v>
      </c>
      <c r="H61" s="13"/>
      <c r="I61" s="125">
        <v>46249</v>
      </c>
      <c r="J61" s="13">
        <f t="shared" si="180"/>
        <v>0</v>
      </c>
      <c r="K61" s="139" t="s">
        <v>1320</v>
      </c>
      <c r="L61" s="161"/>
      <c r="M61" s="136"/>
      <c r="N61" s="136"/>
      <c r="O61" s="136"/>
      <c r="P61" s="136"/>
      <c r="Q61" s="136"/>
      <c r="R61" s="136"/>
      <c r="S61" s="161"/>
      <c r="T61" s="161"/>
      <c r="U61" s="161"/>
      <c r="V61" s="161"/>
      <c r="W61" s="135"/>
      <c r="X61" s="135"/>
      <c r="Y61" s="135"/>
      <c r="Z61" s="135"/>
      <c r="AA61" s="135"/>
      <c r="AB61" s="135"/>
      <c r="AC61" s="136"/>
      <c r="AD61" s="136"/>
      <c r="AE61" s="161"/>
      <c r="AF61" s="161"/>
      <c r="AG61" s="161"/>
      <c r="AH61" s="161"/>
      <c r="AI61" s="161"/>
      <c r="AJ61" s="161"/>
      <c r="AK61" s="135"/>
      <c r="AL61" s="135"/>
      <c r="AM61" s="135"/>
      <c r="AN61" s="135"/>
      <c r="AO61" s="135"/>
      <c r="AP61" s="135"/>
      <c r="AQ61" s="136"/>
      <c r="AR61" s="136"/>
      <c r="AS61" s="161"/>
      <c r="AT61" s="161"/>
      <c r="AU61" s="161"/>
      <c r="AV61" s="161"/>
      <c r="AW61" s="161"/>
      <c r="AX61" s="161"/>
      <c r="AY61" s="135"/>
      <c r="AZ61" s="135"/>
      <c r="BA61" s="135"/>
      <c r="BB61" s="135"/>
      <c r="BC61" s="135"/>
      <c r="BD61" s="135"/>
      <c r="BE61" s="136"/>
      <c r="BF61" s="136"/>
      <c r="BG61" s="161"/>
      <c r="BH61" s="161"/>
      <c r="BI61" s="161"/>
      <c r="BJ61" s="161"/>
      <c r="BK61" s="161"/>
      <c r="BL61" s="161"/>
      <c r="BM61" s="135"/>
      <c r="BN61" s="135"/>
      <c r="BO61" s="135"/>
      <c r="BP61" s="135"/>
      <c r="BQ61" s="135"/>
      <c r="BR61" s="135"/>
      <c r="BS61" s="136"/>
      <c r="BT61" s="136"/>
      <c r="BU61" s="161"/>
      <c r="BV61" s="161"/>
      <c r="BW61" s="161"/>
      <c r="BX61" s="161"/>
      <c r="BY61" s="161"/>
      <c r="BZ61" s="161"/>
      <c r="CA61" s="161"/>
      <c r="CB61" s="161"/>
      <c r="CC61" s="135"/>
      <c r="CD61" s="135"/>
      <c r="CE61" s="135"/>
      <c r="CF61" s="135"/>
      <c r="CG61" s="136"/>
      <c r="CH61" s="136"/>
      <c r="CI61" s="161"/>
      <c r="CJ61" s="161"/>
      <c r="CK61" s="161"/>
      <c r="CL61" s="161"/>
      <c r="CM61" s="161"/>
      <c r="CN61" s="161"/>
      <c r="CO61" s="135"/>
      <c r="CP61" s="135"/>
      <c r="CQ61" s="135"/>
      <c r="CR61" s="135"/>
      <c r="CS61" s="135"/>
      <c r="CT61" s="135"/>
      <c r="CU61" s="136"/>
      <c r="CV61" s="136"/>
      <c r="CW61" s="135"/>
      <c r="CX61" s="161"/>
      <c r="CY61" s="135"/>
      <c r="CZ61" s="161"/>
      <c r="DA61" s="135"/>
      <c r="DB61" s="161"/>
      <c r="DC61" s="135"/>
      <c r="DD61" s="135"/>
      <c r="DE61" s="135"/>
      <c r="DF61" s="135"/>
      <c r="DG61" s="135"/>
      <c r="DH61" s="135"/>
      <c r="DI61" s="136"/>
      <c r="DJ61" s="136"/>
      <c r="DK61" s="161"/>
      <c r="DL61" s="161"/>
      <c r="DM61" s="161"/>
      <c r="DN61" s="161"/>
      <c r="DO61" s="135"/>
      <c r="DP61" s="135"/>
      <c r="DQ61" s="135">
        <v>40</v>
      </c>
      <c r="DR61" s="161"/>
      <c r="DS61" s="161">
        <v>250</v>
      </c>
      <c r="DT61" s="161"/>
      <c r="DU61" s="161">
        <v>250</v>
      </c>
      <c r="DV61" s="161"/>
      <c r="DW61" s="136"/>
      <c r="DX61" s="136"/>
      <c r="DY61" s="135">
        <v>360</v>
      </c>
      <c r="DZ61" s="161"/>
      <c r="EA61" s="161"/>
      <c r="EB61" s="161"/>
      <c r="EC61" s="161"/>
      <c r="ED61" s="161"/>
      <c r="EE61" s="135"/>
      <c r="EF61" s="135"/>
      <c r="EG61" s="135"/>
      <c r="EH61" s="135"/>
      <c r="EI61" s="135"/>
      <c r="EJ61" s="135"/>
      <c r="EK61" s="136"/>
      <c r="EL61" s="136"/>
      <c r="EM61" s="136"/>
      <c r="EN61" s="136"/>
      <c r="EO61" s="136"/>
      <c r="EP61" s="136"/>
      <c r="EQ61" s="136"/>
      <c r="ER61" s="136"/>
      <c r="ES61" s="135"/>
      <c r="ET61" s="135"/>
      <c r="EU61" s="135"/>
      <c r="EV61" s="135"/>
      <c r="EW61" s="135"/>
      <c r="EX61" s="135"/>
      <c r="EY61" s="136"/>
      <c r="EZ61" s="136"/>
      <c r="FA61" s="161"/>
      <c r="FB61" s="161"/>
      <c r="FC61" s="161"/>
      <c r="FD61" s="161"/>
      <c r="FE61" s="161"/>
      <c r="FF61" s="161"/>
      <c r="FG61" s="135"/>
      <c r="FH61" s="135"/>
      <c r="FI61" s="135"/>
      <c r="FJ61" s="135"/>
      <c r="FK61" s="135"/>
      <c r="FL61" s="135"/>
      <c r="FM61" s="136"/>
      <c r="FN61" s="136"/>
      <c r="FO61" s="161"/>
      <c r="FP61" s="161"/>
      <c r="FQ61" s="161"/>
      <c r="FR61" s="161"/>
      <c r="FS61" s="161"/>
      <c r="FT61" s="161"/>
      <c r="FU61" s="135"/>
      <c r="FV61" s="135"/>
      <c r="FW61" s="135"/>
      <c r="FX61" s="135"/>
      <c r="FY61" s="135"/>
      <c r="FZ61" s="135"/>
      <c r="GA61" s="136"/>
      <c r="GB61" s="136"/>
      <c r="GC61" s="161"/>
      <c r="GD61" s="161"/>
      <c r="GE61" s="161"/>
      <c r="GF61" s="161"/>
      <c r="GG61" s="161"/>
      <c r="GH61" s="161"/>
      <c r="GI61" s="135"/>
      <c r="GJ61" s="135"/>
      <c r="GK61" s="135"/>
      <c r="GL61" s="135"/>
      <c r="GM61" s="135"/>
      <c r="GN61" s="135"/>
    </row>
    <row r="62" spans="1:196">
      <c r="A62" s="114"/>
      <c r="B62" s="116" t="s">
        <v>1161</v>
      </c>
      <c r="C62" s="116" t="s">
        <v>1156</v>
      </c>
      <c r="D62" s="119"/>
      <c r="E62" s="119"/>
      <c r="F62" s="160"/>
      <c r="G62" s="117">
        <v>1990</v>
      </c>
      <c r="H62" s="6"/>
      <c r="I62" s="125">
        <v>46256</v>
      </c>
      <c r="J62" s="13">
        <f>G62-SUM(L62:FL62)</f>
        <v>0</v>
      </c>
      <c r="K62" s="139" t="s">
        <v>1208</v>
      </c>
      <c r="L62" s="161"/>
      <c r="M62" s="136"/>
      <c r="N62" s="136"/>
      <c r="O62" s="136"/>
      <c r="P62" s="136"/>
      <c r="Q62" s="136"/>
      <c r="R62" s="136"/>
      <c r="S62" s="161"/>
      <c r="T62" s="161"/>
      <c r="U62" s="161"/>
      <c r="V62" s="161"/>
      <c r="W62" s="135"/>
      <c r="X62" s="135"/>
      <c r="Y62" s="135"/>
      <c r="Z62" s="135"/>
      <c r="AA62" s="135"/>
      <c r="AB62" s="135"/>
      <c r="AC62" s="136"/>
      <c r="AD62" s="136"/>
      <c r="AE62" s="161"/>
      <c r="AF62" s="161"/>
      <c r="AG62" s="161"/>
      <c r="AH62" s="161"/>
      <c r="AI62" s="161"/>
      <c r="AJ62" s="161"/>
      <c r="AK62" s="135"/>
      <c r="AL62" s="135"/>
      <c r="AM62" s="135"/>
      <c r="AN62" s="135"/>
      <c r="AO62" s="135"/>
      <c r="AP62" s="135"/>
      <c r="AQ62" s="136"/>
      <c r="AR62" s="136"/>
      <c r="AS62" s="161"/>
      <c r="AT62" s="161"/>
      <c r="AU62" s="161"/>
      <c r="AV62" s="161"/>
      <c r="AW62" s="161"/>
      <c r="AX62" s="161"/>
      <c r="AY62" s="135"/>
      <c r="AZ62" s="135"/>
      <c r="BA62" s="135"/>
      <c r="BB62" s="135"/>
      <c r="BC62" s="135"/>
      <c r="BD62" s="135"/>
      <c r="BE62" s="136"/>
      <c r="BF62" s="136"/>
      <c r="BG62" s="161"/>
      <c r="BH62" s="161"/>
      <c r="BI62" s="161"/>
      <c r="BJ62" s="161"/>
      <c r="BK62" s="161"/>
      <c r="BL62" s="161"/>
      <c r="BM62" s="135"/>
      <c r="BN62" s="135"/>
      <c r="BO62" s="135"/>
      <c r="BP62" s="135"/>
      <c r="BQ62" s="135"/>
      <c r="BR62" s="135"/>
      <c r="BS62" s="136"/>
      <c r="BT62" s="136"/>
      <c r="BU62" s="161"/>
      <c r="BV62" s="161"/>
      <c r="BW62" s="161"/>
      <c r="BX62" s="161"/>
      <c r="BY62" s="161"/>
      <c r="BZ62" s="161"/>
      <c r="CA62" s="135"/>
      <c r="CB62" s="135"/>
      <c r="CC62" s="135"/>
      <c r="CD62" s="135"/>
      <c r="CE62" s="135"/>
      <c r="CF62" s="135"/>
      <c r="CG62" s="136"/>
      <c r="CH62" s="136"/>
      <c r="CI62" s="161"/>
      <c r="CJ62" s="161"/>
      <c r="CK62" s="161"/>
      <c r="CL62" s="161"/>
      <c r="CM62" s="161"/>
      <c r="CN62" s="161"/>
      <c r="CO62" s="135"/>
      <c r="CP62" s="135"/>
      <c r="CQ62" s="135"/>
      <c r="CR62" s="135"/>
      <c r="CS62" s="135"/>
      <c r="CT62" s="135"/>
      <c r="CU62" s="136"/>
      <c r="CV62" s="136"/>
      <c r="CW62" s="135"/>
      <c r="CX62" s="161"/>
      <c r="CY62" s="135"/>
      <c r="CZ62" s="161"/>
      <c r="DA62" s="135"/>
      <c r="DB62" s="161"/>
      <c r="DC62" s="135"/>
      <c r="DD62" s="135"/>
      <c r="DE62" s="161"/>
      <c r="DF62" s="161"/>
      <c r="DG62" s="161"/>
      <c r="DH62" s="161"/>
      <c r="DI62" s="136"/>
      <c r="DJ62" s="136"/>
      <c r="DK62" s="161"/>
      <c r="DL62" s="161"/>
      <c r="DM62" s="161"/>
      <c r="DN62" s="161"/>
      <c r="DO62" s="161"/>
      <c r="DP62" s="135"/>
      <c r="DQ62" s="161">
        <v>100</v>
      </c>
      <c r="DR62" s="161"/>
      <c r="DS62" s="161">
        <v>400</v>
      </c>
      <c r="DT62" s="161"/>
      <c r="DU62" s="161">
        <v>400</v>
      </c>
      <c r="DV62" s="161"/>
      <c r="DW62" s="136"/>
      <c r="DX62" s="136"/>
      <c r="DY62" s="161">
        <v>400</v>
      </c>
      <c r="DZ62" s="161"/>
      <c r="EA62" s="161">
        <v>400</v>
      </c>
      <c r="EB62" s="161"/>
      <c r="EC62" s="161">
        <v>290</v>
      </c>
      <c r="ED62" s="161"/>
      <c r="EE62" s="135"/>
      <c r="EF62" s="135"/>
      <c r="EG62" s="135"/>
      <c r="EH62" s="135"/>
      <c r="EI62" s="135"/>
      <c r="EJ62" s="135"/>
      <c r="EK62" s="136"/>
      <c r="EL62" s="136"/>
      <c r="EM62" s="136"/>
      <c r="EN62" s="136"/>
      <c r="EO62" s="136"/>
      <c r="EP62" s="136"/>
      <c r="EQ62" s="136"/>
      <c r="ER62" s="136"/>
      <c r="ES62" s="135"/>
      <c r="ET62" s="135"/>
      <c r="EU62" s="135"/>
      <c r="EV62" s="135"/>
      <c r="EW62" s="135"/>
      <c r="EX62" s="135"/>
      <c r="EY62" s="136"/>
      <c r="EZ62" s="136"/>
      <c r="FA62" s="161"/>
      <c r="FB62" s="161"/>
      <c r="FC62" s="161"/>
      <c r="FD62" s="161"/>
      <c r="FE62" s="161"/>
      <c r="FF62" s="161"/>
      <c r="FG62" s="135"/>
      <c r="FH62" s="135"/>
      <c r="FI62" s="135"/>
      <c r="FJ62" s="135"/>
      <c r="FK62" s="135"/>
      <c r="FL62" s="135"/>
      <c r="FM62" s="136"/>
      <c r="FN62" s="136"/>
      <c r="FO62" s="161"/>
      <c r="FP62" s="161"/>
      <c r="FQ62" s="161"/>
      <c r="FR62" s="161"/>
      <c r="FS62" s="161"/>
      <c r="FT62" s="161"/>
      <c r="FU62" s="135"/>
      <c r="FV62" s="135"/>
      <c r="FW62" s="135"/>
      <c r="FX62" s="135"/>
      <c r="FY62" s="135"/>
      <c r="FZ62" s="135"/>
      <c r="GA62" s="136"/>
      <c r="GB62" s="136"/>
      <c r="GC62" s="161"/>
      <c r="GD62" s="161"/>
      <c r="GE62" s="161"/>
      <c r="GF62" s="161"/>
      <c r="GG62" s="161"/>
      <c r="GH62" s="161"/>
      <c r="GI62" s="135"/>
      <c r="GJ62" s="135"/>
      <c r="GK62" s="135"/>
      <c r="GL62" s="135"/>
      <c r="GM62" s="135"/>
      <c r="GN62" s="135"/>
    </row>
    <row r="63" spans="1:196">
      <c r="A63" s="114"/>
      <c r="B63" s="116" t="s">
        <v>1292</v>
      </c>
      <c r="C63" s="116" t="s">
        <v>622</v>
      </c>
      <c r="D63" s="119"/>
      <c r="E63" s="119"/>
      <c r="F63" s="160"/>
      <c r="G63" s="117">
        <v>300</v>
      </c>
      <c r="H63" s="6"/>
      <c r="I63" s="125">
        <v>46263</v>
      </c>
      <c r="J63" s="13">
        <f t="shared" ref="J63" si="182">G63-SUM(L63:FL63)</f>
        <v>0</v>
      </c>
      <c r="K63" s="139"/>
      <c r="L63" s="161"/>
      <c r="M63" s="136"/>
      <c r="N63" s="136"/>
      <c r="O63" s="136"/>
      <c r="P63" s="136"/>
      <c r="Q63" s="136"/>
      <c r="R63" s="136"/>
      <c r="S63" s="161"/>
      <c r="T63" s="161"/>
      <c r="U63" s="161"/>
      <c r="V63" s="161"/>
      <c r="W63" s="135"/>
      <c r="X63" s="135"/>
      <c r="Y63" s="135"/>
      <c r="Z63" s="135"/>
      <c r="AA63" s="135"/>
      <c r="AB63" s="135"/>
      <c r="AC63" s="136"/>
      <c r="AD63" s="136"/>
      <c r="AE63" s="161"/>
      <c r="AF63" s="161"/>
      <c r="AG63" s="161"/>
      <c r="AH63" s="161"/>
      <c r="AI63" s="161"/>
      <c r="AJ63" s="161"/>
      <c r="AK63" s="135"/>
      <c r="AL63" s="135"/>
      <c r="AM63" s="135"/>
      <c r="AN63" s="135"/>
      <c r="AO63" s="135"/>
      <c r="AP63" s="135"/>
      <c r="AQ63" s="136"/>
      <c r="AR63" s="136"/>
      <c r="AS63" s="161"/>
      <c r="AT63" s="161"/>
      <c r="AU63" s="161"/>
      <c r="AV63" s="161"/>
      <c r="AW63" s="161"/>
      <c r="AX63" s="161"/>
      <c r="AY63" s="135"/>
      <c r="AZ63" s="135"/>
      <c r="BA63" s="135"/>
      <c r="BB63" s="135"/>
      <c r="BC63" s="135"/>
      <c r="BD63" s="135"/>
      <c r="BE63" s="136"/>
      <c r="BF63" s="136"/>
      <c r="BG63" s="161"/>
      <c r="BH63" s="161"/>
      <c r="BI63" s="161"/>
      <c r="BJ63" s="161"/>
      <c r="BK63" s="161"/>
      <c r="BL63" s="161"/>
      <c r="BM63" s="135"/>
      <c r="BN63" s="135"/>
      <c r="BO63" s="135"/>
      <c r="BP63" s="135"/>
      <c r="BQ63" s="135"/>
      <c r="BR63" s="135"/>
      <c r="BS63" s="136"/>
      <c r="BT63" s="136"/>
      <c r="BU63" s="161"/>
      <c r="BV63" s="161"/>
      <c r="BW63" s="161"/>
      <c r="BX63" s="161"/>
      <c r="BY63" s="161"/>
      <c r="BZ63" s="161"/>
      <c r="CA63" s="135"/>
      <c r="CB63" s="135"/>
      <c r="CC63" s="135"/>
      <c r="CD63" s="135"/>
      <c r="CE63" s="135"/>
      <c r="CF63" s="135"/>
      <c r="CG63" s="136"/>
      <c r="CH63" s="136"/>
      <c r="CI63" s="161"/>
      <c r="CJ63" s="161"/>
      <c r="CK63" s="161"/>
      <c r="CL63" s="161"/>
      <c r="CM63" s="161"/>
      <c r="CN63" s="161"/>
      <c r="CO63" s="135"/>
      <c r="CP63" s="135"/>
      <c r="CQ63" s="135"/>
      <c r="CR63" s="135"/>
      <c r="CS63" s="135"/>
      <c r="CT63" s="135"/>
      <c r="CU63" s="136"/>
      <c r="CV63" s="136"/>
      <c r="CW63" s="135"/>
      <c r="CX63" s="161"/>
      <c r="CY63" s="135"/>
      <c r="CZ63" s="161"/>
      <c r="DA63" s="135"/>
      <c r="DB63" s="161"/>
      <c r="DC63" s="135"/>
      <c r="DD63" s="135"/>
      <c r="DE63" s="135"/>
      <c r="DF63" s="135"/>
      <c r="DG63" s="135"/>
      <c r="DH63" s="135"/>
      <c r="DI63" s="136"/>
      <c r="DJ63" s="136"/>
      <c r="DK63" s="161"/>
      <c r="DL63" s="161"/>
      <c r="DM63" s="161"/>
      <c r="DN63" s="161"/>
      <c r="DO63" s="135"/>
      <c r="DP63" s="135"/>
      <c r="DQ63" s="135"/>
      <c r="DR63" s="161"/>
      <c r="DS63" s="135"/>
      <c r="DT63" s="161"/>
      <c r="DU63" s="135"/>
      <c r="DV63" s="161"/>
      <c r="DW63" s="136"/>
      <c r="DX63" s="136"/>
      <c r="DY63" s="161"/>
      <c r="DZ63" s="161"/>
      <c r="EA63" s="161"/>
      <c r="EB63" s="161"/>
      <c r="EC63" s="161"/>
      <c r="ED63" s="161"/>
      <c r="EE63" s="135"/>
      <c r="EF63" s="135"/>
      <c r="EG63" s="135"/>
      <c r="EH63" s="135"/>
      <c r="EI63" s="135">
        <v>300</v>
      </c>
      <c r="EJ63" s="135"/>
      <c r="EK63" s="136"/>
      <c r="EL63" s="136"/>
      <c r="EM63" s="136"/>
      <c r="EN63" s="136"/>
      <c r="EO63" s="136"/>
      <c r="EP63" s="136"/>
      <c r="EQ63" s="136"/>
      <c r="ER63" s="136"/>
      <c r="ES63" s="135"/>
      <c r="ET63" s="135"/>
      <c r="EU63" s="135"/>
      <c r="EV63" s="135"/>
      <c r="EW63" s="135"/>
      <c r="EX63" s="135"/>
      <c r="EY63" s="136"/>
      <c r="EZ63" s="136"/>
      <c r="FA63" s="161"/>
      <c r="FB63" s="161"/>
      <c r="FC63" s="161"/>
      <c r="FD63" s="161"/>
      <c r="FE63" s="161"/>
      <c r="FF63" s="161"/>
      <c r="FG63" s="135"/>
      <c r="FH63" s="135"/>
      <c r="FI63" s="135"/>
      <c r="FJ63" s="135"/>
      <c r="FK63" s="135"/>
      <c r="FL63" s="135"/>
      <c r="FM63" s="136"/>
      <c r="FN63" s="136"/>
      <c r="FO63" s="161"/>
      <c r="FP63" s="161"/>
      <c r="FQ63" s="161"/>
      <c r="FR63" s="161"/>
      <c r="FS63" s="161"/>
      <c r="FT63" s="161"/>
      <c r="FU63" s="135"/>
      <c r="FV63" s="135"/>
      <c r="FW63" s="135"/>
      <c r="FX63" s="135"/>
      <c r="FY63" s="135"/>
      <c r="FZ63" s="135"/>
      <c r="GA63" s="136"/>
      <c r="GB63" s="136"/>
      <c r="GC63" s="161"/>
      <c r="GD63" s="161"/>
      <c r="GE63" s="161"/>
      <c r="GF63" s="161"/>
      <c r="GG63" s="161"/>
      <c r="GH63" s="161"/>
      <c r="GI63" s="135"/>
      <c r="GJ63" s="135"/>
      <c r="GK63" s="135"/>
      <c r="GL63" s="135"/>
      <c r="GM63" s="135"/>
      <c r="GN63" s="135"/>
    </row>
    <row r="64" spans="1:196">
      <c r="A64" s="114"/>
      <c r="B64" s="116"/>
      <c r="C64" s="116"/>
      <c r="D64" s="119"/>
      <c r="E64" s="119"/>
      <c r="F64" s="160"/>
      <c r="G64" s="117"/>
      <c r="H64" s="6"/>
      <c r="I64" s="125"/>
      <c r="J64" s="13"/>
      <c r="K64" s="139"/>
      <c r="L64" s="161"/>
      <c r="M64" s="136"/>
      <c r="N64" s="136"/>
      <c r="O64" s="136"/>
      <c r="P64" s="136"/>
      <c r="Q64" s="136"/>
      <c r="R64" s="136"/>
      <c r="S64" s="161"/>
      <c r="T64" s="161"/>
      <c r="U64" s="161"/>
      <c r="V64" s="161"/>
      <c r="W64" s="135"/>
      <c r="X64" s="135"/>
      <c r="Y64" s="135"/>
      <c r="Z64" s="135"/>
      <c r="AA64" s="135"/>
      <c r="AB64" s="135"/>
      <c r="AC64" s="136"/>
      <c r="AD64" s="136"/>
      <c r="AE64" s="161"/>
      <c r="AF64" s="161"/>
      <c r="AG64" s="161"/>
      <c r="AH64" s="161"/>
      <c r="AI64" s="161"/>
      <c r="AJ64" s="161"/>
      <c r="AK64" s="135"/>
      <c r="AL64" s="135"/>
      <c r="AM64" s="135"/>
      <c r="AN64" s="135"/>
      <c r="AO64" s="135"/>
      <c r="AP64" s="135"/>
      <c r="AQ64" s="136"/>
      <c r="AR64" s="136"/>
      <c r="AS64" s="161"/>
      <c r="AT64" s="161"/>
      <c r="AU64" s="161"/>
      <c r="AV64" s="161"/>
      <c r="AW64" s="161"/>
      <c r="AX64" s="161"/>
      <c r="AY64" s="135"/>
      <c r="AZ64" s="135"/>
      <c r="BA64" s="135"/>
      <c r="BB64" s="135"/>
      <c r="BC64" s="135"/>
      <c r="BD64" s="135"/>
      <c r="BE64" s="136"/>
      <c r="BF64" s="136"/>
      <c r="BG64" s="161"/>
      <c r="BH64" s="161"/>
      <c r="BI64" s="161"/>
      <c r="BJ64" s="161"/>
      <c r="BK64" s="161"/>
      <c r="BL64" s="161"/>
      <c r="BM64" s="135"/>
      <c r="BN64" s="135"/>
      <c r="BO64" s="135"/>
      <c r="BP64" s="135"/>
      <c r="BQ64" s="135"/>
      <c r="BR64" s="135"/>
      <c r="BS64" s="136"/>
      <c r="BT64" s="136"/>
      <c r="BU64" s="161"/>
      <c r="BV64" s="161"/>
      <c r="BW64" s="161"/>
      <c r="BX64" s="161"/>
      <c r="BY64" s="161"/>
      <c r="BZ64" s="161"/>
      <c r="CA64" s="135"/>
      <c r="CB64" s="135"/>
      <c r="CC64" s="135"/>
      <c r="CD64" s="135"/>
      <c r="CE64" s="135"/>
      <c r="CF64" s="135"/>
      <c r="CG64" s="136"/>
      <c r="CH64" s="136"/>
      <c r="CI64" s="161"/>
      <c r="CJ64" s="161"/>
      <c r="CK64" s="161"/>
      <c r="CL64" s="161"/>
      <c r="CM64" s="161"/>
      <c r="CN64" s="161"/>
      <c r="CO64" s="135"/>
      <c r="CP64" s="135"/>
      <c r="CQ64" s="135"/>
      <c r="CR64" s="135"/>
      <c r="CS64" s="135"/>
      <c r="CT64" s="135"/>
      <c r="CU64" s="136"/>
      <c r="CV64" s="136"/>
      <c r="CW64" s="135"/>
      <c r="CX64" s="161"/>
      <c r="CY64" s="135"/>
      <c r="CZ64" s="161"/>
      <c r="DA64" s="135"/>
      <c r="DB64" s="161"/>
      <c r="DC64" s="135"/>
      <c r="DD64" s="135"/>
      <c r="DE64" s="135"/>
      <c r="DF64" s="135"/>
      <c r="DG64" s="135"/>
      <c r="DH64" s="135"/>
      <c r="DI64" s="136"/>
      <c r="DJ64" s="136"/>
      <c r="DK64" s="161"/>
      <c r="DL64" s="161"/>
      <c r="DM64" s="161"/>
      <c r="DN64" s="161"/>
      <c r="DO64" s="135"/>
      <c r="DP64" s="135"/>
      <c r="DQ64" s="135"/>
      <c r="DR64" s="161"/>
      <c r="DS64" s="135"/>
      <c r="DT64" s="161"/>
      <c r="DU64" s="135"/>
      <c r="DV64" s="161"/>
      <c r="DW64" s="136"/>
      <c r="DX64" s="136"/>
      <c r="DY64" s="161"/>
      <c r="DZ64" s="161"/>
      <c r="EA64" s="161"/>
      <c r="EB64" s="161"/>
      <c r="EC64" s="161"/>
      <c r="ED64" s="161"/>
      <c r="EE64" s="135"/>
      <c r="EF64" s="135"/>
      <c r="EG64" s="135"/>
      <c r="EH64" s="135"/>
      <c r="EI64" s="135"/>
      <c r="EJ64" s="135"/>
      <c r="EK64" s="136"/>
      <c r="EL64" s="136"/>
      <c r="EM64" s="136"/>
      <c r="EN64" s="136"/>
      <c r="EO64" s="136"/>
      <c r="EP64" s="136"/>
      <c r="EQ64" s="136"/>
      <c r="ER64" s="136"/>
      <c r="ES64" s="135"/>
      <c r="ET64" s="135"/>
      <c r="EU64" s="135"/>
      <c r="EV64" s="135"/>
      <c r="EW64" s="135"/>
      <c r="EX64" s="135"/>
      <c r="EY64" s="136"/>
      <c r="EZ64" s="136"/>
      <c r="FA64" s="161"/>
      <c r="FB64" s="161"/>
      <c r="FC64" s="161"/>
      <c r="FD64" s="161"/>
      <c r="FE64" s="161"/>
      <c r="FF64" s="161"/>
      <c r="FG64" s="135"/>
      <c r="FH64" s="135"/>
      <c r="FI64" s="135"/>
      <c r="FJ64" s="135"/>
      <c r="FK64" s="135"/>
      <c r="FL64" s="135"/>
      <c r="FM64" s="136"/>
      <c r="FN64" s="136"/>
      <c r="FO64" s="161"/>
      <c r="FP64" s="161"/>
      <c r="FQ64" s="161"/>
      <c r="FR64" s="161"/>
      <c r="FS64" s="161"/>
      <c r="FT64" s="161"/>
      <c r="FU64" s="135"/>
      <c r="FV64" s="135"/>
      <c r="FW64" s="135"/>
      <c r="FX64" s="135"/>
      <c r="FY64" s="135"/>
      <c r="FZ64" s="135"/>
      <c r="GA64" s="136"/>
      <c r="GB64" s="136"/>
      <c r="GC64" s="161"/>
      <c r="GD64" s="161"/>
      <c r="GE64" s="161"/>
      <c r="GF64" s="161"/>
      <c r="GG64" s="161"/>
      <c r="GH64" s="161"/>
      <c r="GI64" s="135"/>
      <c r="GJ64" s="135"/>
      <c r="GK64" s="135"/>
      <c r="GL64" s="135"/>
      <c r="GM64" s="135"/>
      <c r="GN64" s="135"/>
    </row>
    <row r="65" spans="1:196">
      <c r="A65" s="114"/>
      <c r="B65" s="116"/>
      <c r="C65" s="116"/>
      <c r="D65" s="119"/>
      <c r="E65" s="119"/>
      <c r="F65" s="160"/>
      <c r="G65" s="117"/>
      <c r="H65" s="6"/>
      <c r="I65" s="125"/>
      <c r="J65" s="13"/>
      <c r="K65" s="139"/>
      <c r="L65" s="161"/>
      <c r="M65" s="136"/>
      <c r="N65" s="136"/>
      <c r="O65" s="136"/>
      <c r="P65" s="136"/>
      <c r="Q65" s="136"/>
      <c r="R65" s="136"/>
      <c r="S65" s="161"/>
      <c r="T65" s="161"/>
      <c r="U65" s="161"/>
      <c r="V65" s="161"/>
      <c r="W65" s="135"/>
      <c r="X65" s="135"/>
      <c r="Y65" s="135"/>
      <c r="Z65" s="135"/>
      <c r="AA65" s="135"/>
      <c r="AB65" s="135"/>
      <c r="AC65" s="136"/>
      <c r="AD65" s="136"/>
      <c r="AE65" s="161"/>
      <c r="AF65" s="161"/>
      <c r="AG65" s="161"/>
      <c r="AH65" s="161"/>
      <c r="AI65" s="161"/>
      <c r="AJ65" s="161"/>
      <c r="AK65" s="135"/>
      <c r="AL65" s="135"/>
      <c r="AM65" s="135"/>
      <c r="AN65" s="135"/>
      <c r="AO65" s="135"/>
      <c r="AP65" s="135"/>
      <c r="AQ65" s="136"/>
      <c r="AR65" s="136"/>
      <c r="AS65" s="161"/>
      <c r="AT65" s="161"/>
      <c r="AU65" s="161"/>
      <c r="AV65" s="161"/>
      <c r="AW65" s="161"/>
      <c r="AX65" s="161"/>
      <c r="AY65" s="135"/>
      <c r="AZ65" s="135"/>
      <c r="BA65" s="135"/>
      <c r="BB65" s="135"/>
      <c r="BC65" s="135"/>
      <c r="BD65" s="135"/>
      <c r="BE65" s="136"/>
      <c r="BF65" s="136"/>
      <c r="BG65" s="161"/>
      <c r="BH65" s="161"/>
      <c r="BI65" s="161"/>
      <c r="BJ65" s="161"/>
      <c r="BK65" s="161"/>
      <c r="BL65" s="161"/>
      <c r="BM65" s="135"/>
      <c r="BN65" s="135"/>
      <c r="BO65" s="135"/>
      <c r="BP65" s="135"/>
      <c r="BQ65" s="135"/>
      <c r="BR65" s="135"/>
      <c r="BS65" s="136"/>
      <c r="BT65" s="136"/>
      <c r="BU65" s="161"/>
      <c r="BV65" s="161"/>
      <c r="BW65" s="161"/>
      <c r="BX65" s="161"/>
      <c r="BY65" s="161"/>
      <c r="BZ65" s="161"/>
      <c r="CA65" s="135"/>
      <c r="CB65" s="135"/>
      <c r="CC65" s="135"/>
      <c r="CD65" s="135"/>
      <c r="CE65" s="135"/>
      <c r="CF65" s="135"/>
      <c r="CG65" s="136"/>
      <c r="CH65" s="136"/>
      <c r="CI65" s="161"/>
      <c r="CJ65" s="161"/>
      <c r="CK65" s="161"/>
      <c r="CL65" s="161"/>
      <c r="CM65" s="161"/>
      <c r="CN65" s="161"/>
      <c r="CO65" s="135"/>
      <c r="CP65" s="135"/>
      <c r="CQ65" s="135"/>
      <c r="CR65" s="135"/>
      <c r="CS65" s="135"/>
      <c r="CT65" s="135"/>
      <c r="CU65" s="136"/>
      <c r="CV65" s="136"/>
      <c r="CW65" s="135"/>
      <c r="CX65" s="161"/>
      <c r="CY65" s="135"/>
      <c r="CZ65" s="161"/>
      <c r="DA65" s="135"/>
      <c r="DB65" s="161"/>
      <c r="DC65" s="135"/>
      <c r="DD65" s="135"/>
      <c r="DE65" s="135"/>
      <c r="DF65" s="135"/>
      <c r="DG65" s="135"/>
      <c r="DH65" s="135"/>
      <c r="DI65" s="136"/>
      <c r="DJ65" s="136"/>
      <c r="DK65" s="161"/>
      <c r="DL65" s="161"/>
      <c r="DM65" s="161"/>
      <c r="DN65" s="161"/>
      <c r="DO65" s="135"/>
      <c r="DP65" s="135"/>
      <c r="DQ65" s="135"/>
      <c r="DR65" s="161"/>
      <c r="DS65" s="135"/>
      <c r="DT65" s="161"/>
      <c r="DU65" s="135"/>
      <c r="DV65" s="161"/>
      <c r="DW65" s="136"/>
      <c r="DX65" s="136"/>
      <c r="DY65" s="161"/>
      <c r="DZ65" s="161"/>
      <c r="EA65" s="161"/>
      <c r="EB65" s="161"/>
      <c r="EC65" s="161"/>
      <c r="ED65" s="161"/>
      <c r="EE65" s="135"/>
      <c r="EF65" s="135"/>
      <c r="EG65" s="135"/>
      <c r="EH65" s="135"/>
      <c r="EI65" s="135"/>
      <c r="EJ65" s="135"/>
      <c r="EK65" s="136"/>
      <c r="EL65" s="136"/>
      <c r="EM65" s="136"/>
      <c r="EN65" s="136"/>
      <c r="EO65" s="136"/>
      <c r="EP65" s="136"/>
      <c r="EQ65" s="136"/>
      <c r="ER65" s="136"/>
      <c r="ES65" s="135"/>
      <c r="ET65" s="135"/>
      <c r="EU65" s="135"/>
      <c r="EV65" s="135"/>
      <c r="EW65" s="135"/>
      <c r="EX65" s="135"/>
      <c r="EY65" s="136"/>
      <c r="EZ65" s="136"/>
      <c r="FA65" s="161"/>
      <c r="FB65" s="161"/>
      <c r="FC65" s="161"/>
      <c r="FD65" s="161"/>
      <c r="FE65" s="161"/>
      <c r="FF65" s="161"/>
      <c r="FG65" s="135"/>
      <c r="FH65" s="135"/>
      <c r="FI65" s="135"/>
      <c r="FJ65" s="135"/>
      <c r="FK65" s="135"/>
      <c r="FL65" s="135"/>
      <c r="FM65" s="136"/>
      <c r="FN65" s="136"/>
      <c r="FO65" s="161"/>
      <c r="FP65" s="161"/>
      <c r="FQ65" s="161"/>
      <c r="FR65" s="161"/>
      <c r="FS65" s="161"/>
      <c r="FT65" s="161"/>
      <c r="FU65" s="135"/>
      <c r="FV65" s="135"/>
      <c r="FW65" s="135"/>
      <c r="FX65" s="135"/>
      <c r="FY65" s="135"/>
      <c r="FZ65" s="135"/>
      <c r="GA65" s="136"/>
      <c r="GB65" s="136"/>
      <c r="GC65" s="161"/>
      <c r="GD65" s="161"/>
      <c r="GE65" s="161"/>
      <c r="GF65" s="161"/>
      <c r="GG65" s="161"/>
      <c r="GH65" s="161"/>
      <c r="GI65" s="135"/>
      <c r="GJ65" s="135"/>
      <c r="GK65" s="135"/>
      <c r="GL65" s="135"/>
      <c r="GM65" s="135"/>
      <c r="GN65" s="135"/>
    </row>
    <row r="66" spans="1:196">
      <c r="A66" s="114"/>
      <c r="B66" s="116"/>
      <c r="C66" s="116"/>
      <c r="D66" s="119"/>
      <c r="E66" s="119"/>
      <c r="F66" s="160"/>
      <c r="G66" s="117"/>
      <c r="H66" s="6"/>
      <c r="I66" s="125"/>
      <c r="J66" s="13"/>
      <c r="K66" s="139"/>
      <c r="L66" s="161"/>
      <c r="M66" s="136"/>
      <c r="N66" s="136"/>
      <c r="O66" s="136"/>
      <c r="P66" s="136"/>
      <c r="Q66" s="136"/>
      <c r="R66" s="136"/>
      <c r="S66" s="161"/>
      <c r="T66" s="161"/>
      <c r="U66" s="161"/>
      <c r="V66" s="161"/>
      <c r="W66" s="135"/>
      <c r="X66" s="135"/>
      <c r="Y66" s="135"/>
      <c r="Z66" s="135"/>
      <c r="AA66" s="135"/>
      <c r="AB66" s="135"/>
      <c r="AC66" s="136"/>
      <c r="AD66" s="136"/>
      <c r="AE66" s="161"/>
      <c r="AF66" s="161"/>
      <c r="AG66" s="161"/>
      <c r="AH66" s="161"/>
      <c r="AI66" s="161"/>
      <c r="AJ66" s="161"/>
      <c r="AK66" s="135"/>
      <c r="AL66" s="135"/>
      <c r="AM66" s="135"/>
      <c r="AN66" s="135"/>
      <c r="AO66" s="135"/>
      <c r="AP66" s="135"/>
      <c r="AQ66" s="136"/>
      <c r="AR66" s="136"/>
      <c r="AS66" s="161"/>
      <c r="AT66" s="161"/>
      <c r="AU66" s="161"/>
      <c r="AV66" s="161"/>
      <c r="AW66" s="161"/>
      <c r="AX66" s="161"/>
      <c r="AY66" s="135"/>
      <c r="AZ66" s="135"/>
      <c r="BA66" s="135"/>
      <c r="BB66" s="135"/>
      <c r="BC66" s="135"/>
      <c r="BD66" s="135"/>
      <c r="BE66" s="136"/>
      <c r="BF66" s="136"/>
      <c r="BG66" s="161"/>
      <c r="BH66" s="161"/>
      <c r="BI66" s="161"/>
      <c r="BJ66" s="161"/>
      <c r="BK66" s="161"/>
      <c r="BL66" s="161"/>
      <c r="BM66" s="135"/>
      <c r="BN66" s="135"/>
      <c r="BO66" s="135"/>
      <c r="BP66" s="135"/>
      <c r="BQ66" s="135"/>
      <c r="BR66" s="135"/>
      <c r="BS66" s="136"/>
      <c r="BT66" s="136"/>
      <c r="BU66" s="161"/>
      <c r="BV66" s="161"/>
      <c r="BW66" s="161"/>
      <c r="BX66" s="161"/>
      <c r="BY66" s="161"/>
      <c r="BZ66" s="161"/>
      <c r="CA66" s="135"/>
      <c r="CB66" s="135"/>
      <c r="CC66" s="135"/>
      <c r="CD66" s="135"/>
      <c r="CE66" s="135"/>
      <c r="CF66" s="135"/>
      <c r="CG66" s="136"/>
      <c r="CH66" s="136"/>
      <c r="CI66" s="161"/>
      <c r="CJ66" s="161"/>
      <c r="CK66" s="161"/>
      <c r="CL66" s="161"/>
      <c r="CM66" s="161"/>
      <c r="CN66" s="161"/>
      <c r="CO66" s="135"/>
      <c r="CP66" s="135"/>
      <c r="CQ66" s="135"/>
      <c r="CR66" s="135"/>
      <c r="CS66" s="135"/>
      <c r="CT66" s="135"/>
      <c r="CU66" s="136"/>
      <c r="CV66" s="136"/>
      <c r="CW66" s="135"/>
      <c r="CX66" s="161"/>
      <c r="CY66" s="135"/>
      <c r="CZ66" s="161"/>
      <c r="DA66" s="135"/>
      <c r="DB66" s="161"/>
      <c r="DC66" s="135"/>
      <c r="DD66" s="135"/>
      <c r="DE66" s="135"/>
      <c r="DF66" s="135"/>
      <c r="DG66" s="135"/>
      <c r="DH66" s="135"/>
      <c r="DI66" s="136"/>
      <c r="DJ66" s="136"/>
      <c r="DK66" s="161"/>
      <c r="DL66" s="161"/>
      <c r="DM66" s="161"/>
      <c r="DN66" s="161"/>
      <c r="DO66" s="135"/>
      <c r="DP66" s="135"/>
      <c r="DQ66" s="135"/>
      <c r="DR66" s="161"/>
      <c r="DS66" s="135"/>
      <c r="DT66" s="161"/>
      <c r="DU66" s="135"/>
      <c r="DV66" s="161"/>
      <c r="DW66" s="136"/>
      <c r="DX66" s="136"/>
      <c r="DY66" s="161"/>
      <c r="DZ66" s="161"/>
      <c r="EA66" s="161"/>
      <c r="EB66" s="161"/>
      <c r="EC66" s="161"/>
      <c r="ED66" s="161"/>
      <c r="EE66" s="135"/>
      <c r="EF66" s="135"/>
      <c r="EG66" s="135"/>
      <c r="EH66" s="135"/>
      <c r="EI66" s="135"/>
      <c r="EJ66" s="135"/>
      <c r="EK66" s="136"/>
      <c r="EL66" s="136"/>
      <c r="EM66" s="136"/>
      <c r="EN66" s="136"/>
      <c r="EO66" s="136"/>
      <c r="EP66" s="136"/>
      <c r="EQ66" s="136"/>
      <c r="ER66" s="136"/>
      <c r="ES66" s="135"/>
      <c r="ET66" s="135"/>
      <c r="EU66" s="135"/>
      <c r="EV66" s="135"/>
      <c r="EW66" s="135"/>
      <c r="EX66" s="135"/>
      <c r="EY66" s="136"/>
      <c r="EZ66" s="136"/>
      <c r="FA66" s="161"/>
      <c r="FB66" s="161"/>
      <c r="FC66" s="161"/>
      <c r="FD66" s="161"/>
      <c r="FE66" s="161"/>
      <c r="FF66" s="161"/>
      <c r="FG66" s="135"/>
      <c r="FH66" s="135"/>
      <c r="FI66" s="135"/>
      <c r="FJ66" s="135"/>
      <c r="FK66" s="135"/>
      <c r="FL66" s="135"/>
      <c r="FM66" s="136"/>
      <c r="FN66" s="136"/>
      <c r="FO66" s="161"/>
      <c r="FP66" s="161"/>
      <c r="FQ66" s="161"/>
      <c r="FR66" s="161"/>
      <c r="FS66" s="161"/>
      <c r="FT66" s="161"/>
      <c r="FU66" s="135"/>
      <c r="FV66" s="135"/>
      <c r="FW66" s="135"/>
      <c r="FX66" s="135"/>
      <c r="FY66" s="135"/>
      <c r="FZ66" s="135"/>
      <c r="GA66" s="136"/>
      <c r="GB66" s="136"/>
      <c r="GC66" s="161"/>
      <c r="GD66" s="161"/>
      <c r="GE66" s="161"/>
      <c r="GF66" s="161"/>
      <c r="GG66" s="161"/>
      <c r="GH66" s="161"/>
      <c r="GI66" s="135"/>
      <c r="GJ66" s="135"/>
      <c r="GK66" s="135"/>
      <c r="GL66" s="135"/>
      <c r="GM66" s="135"/>
      <c r="GN66" s="135"/>
    </row>
    <row r="67" spans="1:196">
      <c r="A67" s="114"/>
      <c r="B67" s="116"/>
      <c r="C67" s="116"/>
      <c r="D67" s="119"/>
      <c r="E67" s="119"/>
      <c r="F67" s="160"/>
      <c r="G67" s="117"/>
      <c r="H67" s="6"/>
      <c r="I67" s="125"/>
      <c r="J67" s="13"/>
      <c r="K67" s="139"/>
      <c r="L67" s="161"/>
      <c r="M67" s="136"/>
      <c r="N67" s="136"/>
      <c r="O67" s="136"/>
      <c r="P67" s="136"/>
      <c r="Q67" s="136"/>
      <c r="R67" s="136"/>
      <c r="S67" s="161"/>
      <c r="T67" s="161"/>
      <c r="U67" s="161"/>
      <c r="V67" s="161"/>
      <c r="W67" s="135"/>
      <c r="X67" s="135"/>
      <c r="Y67" s="135"/>
      <c r="Z67" s="135"/>
      <c r="AA67" s="135"/>
      <c r="AB67" s="135"/>
      <c r="AC67" s="136"/>
      <c r="AD67" s="136"/>
      <c r="AE67" s="161"/>
      <c r="AF67" s="161"/>
      <c r="AG67" s="161"/>
      <c r="AH67" s="161"/>
      <c r="AI67" s="161"/>
      <c r="AJ67" s="161"/>
      <c r="AK67" s="135"/>
      <c r="AL67" s="135"/>
      <c r="AM67" s="135"/>
      <c r="AN67" s="135"/>
      <c r="AO67" s="135"/>
      <c r="AP67" s="135"/>
      <c r="AQ67" s="136"/>
      <c r="AR67" s="136"/>
      <c r="AS67" s="161"/>
      <c r="AT67" s="161"/>
      <c r="AU67" s="161"/>
      <c r="AV67" s="161"/>
      <c r="AW67" s="161"/>
      <c r="AX67" s="161"/>
      <c r="AY67" s="135"/>
      <c r="AZ67" s="135"/>
      <c r="BA67" s="135"/>
      <c r="BB67" s="135"/>
      <c r="BC67" s="135"/>
      <c r="BD67" s="135"/>
      <c r="BE67" s="136"/>
      <c r="BF67" s="136"/>
      <c r="BG67" s="161"/>
      <c r="BH67" s="161"/>
      <c r="BI67" s="161"/>
      <c r="BJ67" s="161"/>
      <c r="BK67" s="161"/>
      <c r="BL67" s="161"/>
      <c r="BM67" s="135"/>
      <c r="BN67" s="135"/>
      <c r="BO67" s="135"/>
      <c r="BP67" s="135"/>
      <c r="BQ67" s="135"/>
      <c r="BR67" s="135"/>
      <c r="BS67" s="136"/>
      <c r="BT67" s="136"/>
      <c r="BU67" s="161"/>
      <c r="BV67" s="161"/>
      <c r="BW67" s="161"/>
      <c r="BX67" s="161"/>
      <c r="BY67" s="161"/>
      <c r="BZ67" s="161"/>
      <c r="CA67" s="135"/>
      <c r="CB67" s="135"/>
      <c r="CC67" s="135"/>
      <c r="CD67" s="135"/>
      <c r="CE67" s="135"/>
      <c r="CF67" s="135"/>
      <c r="CG67" s="136"/>
      <c r="CH67" s="136"/>
      <c r="CI67" s="161"/>
      <c r="CJ67" s="161"/>
      <c r="CK67" s="161"/>
      <c r="CL67" s="161"/>
      <c r="CM67" s="161"/>
      <c r="CN67" s="161"/>
      <c r="CO67" s="135"/>
      <c r="CP67" s="135"/>
      <c r="CQ67" s="135"/>
      <c r="CR67" s="135"/>
      <c r="CS67" s="135"/>
      <c r="CT67" s="135"/>
      <c r="CU67" s="136"/>
      <c r="CV67" s="136"/>
      <c r="CW67" s="135"/>
      <c r="CX67" s="161"/>
      <c r="CY67" s="135"/>
      <c r="CZ67" s="161"/>
      <c r="DA67" s="135"/>
      <c r="DB67" s="161"/>
      <c r="DC67" s="135"/>
      <c r="DD67" s="135"/>
      <c r="DE67" s="135"/>
      <c r="DF67" s="135"/>
      <c r="DG67" s="135"/>
      <c r="DH67" s="135"/>
      <c r="DI67" s="136"/>
      <c r="DJ67" s="136"/>
      <c r="DK67" s="161"/>
      <c r="DL67" s="161"/>
      <c r="DM67" s="161"/>
      <c r="DN67" s="161"/>
      <c r="DO67" s="135"/>
      <c r="DP67" s="135"/>
      <c r="DQ67" s="135"/>
      <c r="DR67" s="161"/>
      <c r="DS67" s="135"/>
      <c r="DT67" s="161"/>
      <c r="DU67" s="135"/>
      <c r="DV67" s="161"/>
      <c r="DW67" s="136"/>
      <c r="DX67" s="136"/>
      <c r="DY67" s="161"/>
      <c r="DZ67" s="161"/>
      <c r="EA67" s="161"/>
      <c r="EB67" s="161"/>
      <c r="EC67" s="161"/>
      <c r="ED67" s="161"/>
      <c r="EE67" s="135"/>
      <c r="EF67" s="135"/>
      <c r="EG67" s="135"/>
      <c r="EH67" s="135"/>
      <c r="EI67" s="135"/>
      <c r="EJ67" s="135"/>
      <c r="EK67" s="136"/>
      <c r="EL67" s="136"/>
      <c r="EM67" s="136"/>
      <c r="EN67" s="136"/>
      <c r="EO67" s="136"/>
      <c r="EP67" s="136"/>
      <c r="EQ67" s="136"/>
      <c r="ER67" s="136"/>
      <c r="ES67" s="135"/>
      <c r="ET67" s="135"/>
      <c r="EU67" s="135"/>
      <c r="EV67" s="135"/>
      <c r="EW67" s="135"/>
      <c r="EX67" s="135"/>
      <c r="EY67" s="136"/>
      <c r="EZ67" s="136"/>
      <c r="FA67" s="161"/>
      <c r="FB67" s="161"/>
      <c r="FC67" s="161"/>
      <c r="FD67" s="161"/>
      <c r="FE67" s="161"/>
      <c r="FF67" s="161"/>
      <c r="FG67" s="135"/>
      <c r="FH67" s="135"/>
      <c r="FI67" s="135"/>
      <c r="FJ67" s="135"/>
      <c r="FK67" s="135"/>
      <c r="FL67" s="135"/>
      <c r="FM67" s="136"/>
      <c r="FN67" s="136"/>
      <c r="FO67" s="161"/>
      <c r="FP67" s="161"/>
      <c r="FQ67" s="161"/>
      <c r="FR67" s="161"/>
      <c r="FS67" s="161"/>
      <c r="FT67" s="161"/>
      <c r="FU67" s="135"/>
      <c r="FV67" s="135"/>
      <c r="FW67" s="135"/>
      <c r="FX67" s="135"/>
      <c r="FY67" s="135"/>
      <c r="FZ67" s="135"/>
      <c r="GA67" s="136"/>
      <c r="GB67" s="136"/>
      <c r="GC67" s="161"/>
      <c r="GD67" s="161"/>
      <c r="GE67" s="161"/>
      <c r="GF67" s="161"/>
      <c r="GG67" s="161"/>
      <c r="GH67" s="161"/>
      <c r="GI67" s="135"/>
      <c r="GJ67" s="135"/>
      <c r="GK67" s="135"/>
      <c r="GL67" s="135"/>
      <c r="GM67" s="135"/>
      <c r="GN67" s="135"/>
    </row>
    <row r="68" spans="1:196">
      <c r="A68" s="114"/>
      <c r="B68" s="116"/>
      <c r="C68" s="116"/>
      <c r="D68" s="119"/>
      <c r="E68" s="119"/>
      <c r="F68" s="160"/>
      <c r="G68" s="117"/>
      <c r="H68" s="6"/>
      <c r="I68" s="125"/>
      <c r="J68" s="13"/>
      <c r="K68" s="139"/>
      <c r="L68" s="161"/>
      <c r="M68" s="136"/>
      <c r="N68" s="136"/>
      <c r="O68" s="136"/>
      <c r="P68" s="136"/>
      <c r="Q68" s="136"/>
      <c r="R68" s="136"/>
      <c r="S68" s="161"/>
      <c r="T68" s="161"/>
      <c r="U68" s="161"/>
      <c r="V68" s="161"/>
      <c r="W68" s="135"/>
      <c r="X68" s="135"/>
      <c r="Y68" s="135"/>
      <c r="Z68" s="135"/>
      <c r="AA68" s="135"/>
      <c r="AB68" s="135"/>
      <c r="AC68" s="136"/>
      <c r="AD68" s="136"/>
      <c r="AE68" s="161"/>
      <c r="AF68" s="161"/>
      <c r="AG68" s="161"/>
      <c r="AH68" s="161"/>
      <c r="AI68" s="161"/>
      <c r="AJ68" s="161"/>
      <c r="AK68" s="135"/>
      <c r="AL68" s="135"/>
      <c r="AM68" s="135"/>
      <c r="AN68" s="135"/>
      <c r="AO68" s="135"/>
      <c r="AP68" s="135"/>
      <c r="AQ68" s="136"/>
      <c r="AR68" s="136"/>
      <c r="AS68" s="161"/>
      <c r="AT68" s="161"/>
      <c r="AU68" s="161"/>
      <c r="AV68" s="161"/>
      <c r="AW68" s="161"/>
      <c r="AX68" s="161"/>
      <c r="AY68" s="135"/>
      <c r="AZ68" s="135"/>
      <c r="BA68" s="135"/>
      <c r="BB68" s="135"/>
      <c r="BC68" s="135"/>
      <c r="BD68" s="135"/>
      <c r="BE68" s="136"/>
      <c r="BF68" s="136"/>
      <c r="BG68" s="161"/>
      <c r="BH68" s="161"/>
      <c r="BI68" s="161"/>
      <c r="BJ68" s="161"/>
      <c r="BK68" s="161"/>
      <c r="BL68" s="161"/>
      <c r="BM68" s="135"/>
      <c r="BN68" s="135"/>
      <c r="BO68" s="135"/>
      <c r="BP68" s="135"/>
      <c r="BQ68" s="135"/>
      <c r="BR68" s="135"/>
      <c r="BS68" s="136"/>
      <c r="BT68" s="136"/>
      <c r="BU68" s="161"/>
      <c r="BV68" s="161"/>
      <c r="BW68" s="161"/>
      <c r="BX68" s="161"/>
      <c r="BY68" s="161"/>
      <c r="BZ68" s="161"/>
      <c r="CA68" s="135"/>
      <c r="CB68" s="135"/>
      <c r="CC68" s="135"/>
      <c r="CD68" s="135"/>
      <c r="CE68" s="135"/>
      <c r="CF68" s="135"/>
      <c r="CG68" s="136"/>
      <c r="CH68" s="136"/>
      <c r="CI68" s="161"/>
      <c r="CJ68" s="161"/>
      <c r="CK68" s="161"/>
      <c r="CL68" s="161"/>
      <c r="CM68" s="161"/>
      <c r="CN68" s="161"/>
      <c r="CO68" s="135"/>
      <c r="CP68" s="135"/>
      <c r="CQ68" s="135"/>
      <c r="CR68" s="135"/>
      <c r="CS68" s="135"/>
      <c r="CT68" s="135"/>
      <c r="CU68" s="136"/>
      <c r="CV68" s="136"/>
      <c r="CW68" s="161"/>
      <c r="CX68" s="161"/>
      <c r="CY68" s="161"/>
      <c r="CZ68" s="161"/>
      <c r="DA68" s="161"/>
      <c r="DB68" s="161"/>
      <c r="DC68" s="135"/>
      <c r="DD68" s="135"/>
      <c r="DE68" s="135"/>
      <c r="DF68" s="135"/>
      <c r="DG68" s="135"/>
      <c r="DH68" s="135"/>
      <c r="DI68" s="136"/>
      <c r="DJ68" s="136"/>
      <c r="DK68" s="161"/>
      <c r="DL68" s="161"/>
      <c r="DM68" s="161"/>
      <c r="DN68" s="161"/>
      <c r="DO68" s="161"/>
      <c r="DP68" s="161"/>
      <c r="DQ68" s="135"/>
      <c r="DR68" s="135"/>
      <c r="DS68" s="135"/>
      <c r="DT68" s="135"/>
      <c r="DU68" s="135"/>
      <c r="DV68" s="135"/>
      <c r="DW68" s="136"/>
      <c r="DX68" s="136"/>
      <c r="DY68" s="161"/>
      <c r="DZ68" s="161"/>
      <c r="EA68" s="161"/>
      <c r="EB68" s="161"/>
      <c r="EC68" s="161"/>
      <c r="ED68" s="161"/>
      <c r="EE68" s="135"/>
      <c r="EF68" s="135"/>
      <c r="EG68" s="135"/>
      <c r="EH68" s="135"/>
      <c r="EI68" s="135"/>
      <c r="EJ68" s="135"/>
      <c r="EK68" s="136"/>
      <c r="EL68" s="136"/>
      <c r="EM68" s="136"/>
      <c r="EN68" s="136"/>
      <c r="EO68" s="136"/>
      <c r="EP68" s="136"/>
      <c r="EQ68" s="136"/>
      <c r="ER68" s="136"/>
      <c r="ES68" s="135"/>
      <c r="ET68" s="135"/>
      <c r="EU68" s="135"/>
      <c r="EV68" s="135"/>
      <c r="EW68" s="135"/>
      <c r="EX68" s="135"/>
      <c r="EY68" s="136"/>
      <c r="EZ68" s="136"/>
      <c r="FA68" s="161"/>
      <c r="FB68" s="161"/>
      <c r="FC68" s="161"/>
      <c r="FD68" s="161"/>
      <c r="FE68" s="161"/>
      <c r="FF68" s="161"/>
      <c r="FG68" s="135"/>
      <c r="FH68" s="135"/>
      <c r="FI68" s="135"/>
      <c r="FJ68" s="135"/>
      <c r="FK68" s="135"/>
      <c r="FL68" s="135"/>
      <c r="FM68" s="136"/>
      <c r="FN68" s="136"/>
      <c r="FO68" s="161"/>
      <c r="FP68" s="161"/>
      <c r="FQ68" s="161"/>
      <c r="FR68" s="161"/>
      <c r="FS68" s="161"/>
      <c r="FT68" s="161"/>
      <c r="FU68" s="135"/>
      <c r="FV68" s="135"/>
      <c r="FW68" s="135"/>
      <c r="FX68" s="135"/>
      <c r="FY68" s="135"/>
      <c r="FZ68" s="135"/>
      <c r="GA68" s="136"/>
      <c r="GB68" s="136"/>
      <c r="GC68" s="161"/>
      <c r="GD68" s="161"/>
      <c r="GE68" s="161"/>
      <c r="GF68" s="161"/>
      <c r="GG68" s="161"/>
      <c r="GH68" s="161"/>
      <c r="GI68" s="135"/>
      <c r="GJ68" s="135"/>
      <c r="GK68" s="135"/>
      <c r="GL68" s="135"/>
      <c r="GM68" s="135"/>
      <c r="GN68" s="135"/>
    </row>
    <row r="69" spans="1:196" ht="14" customHeight="1">
      <c r="A69" s="114"/>
      <c r="B69" s="109"/>
      <c r="C69" s="104"/>
      <c r="D69" s="119"/>
      <c r="E69" s="119"/>
      <c r="F69" s="160"/>
      <c r="G69" s="120"/>
      <c r="H69" s="121"/>
      <c r="I69" s="96"/>
      <c r="J69" s="97"/>
      <c r="K69" s="135"/>
      <c r="L69" s="161"/>
      <c r="M69" s="136"/>
      <c r="N69" s="136"/>
      <c r="O69" s="136"/>
      <c r="P69" s="136"/>
      <c r="Q69" s="136"/>
      <c r="R69" s="136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36"/>
      <c r="AD69" s="136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36"/>
      <c r="AR69" s="136"/>
      <c r="AS69" s="161"/>
      <c r="AT69" s="161"/>
      <c r="AU69" s="161"/>
      <c r="AV69" s="161"/>
      <c r="AW69" s="161"/>
      <c r="AX69" s="161"/>
      <c r="AY69" s="161"/>
      <c r="AZ69" s="161"/>
      <c r="BA69" s="161"/>
      <c r="BB69" s="161"/>
      <c r="BC69" s="161"/>
      <c r="BD69" s="161"/>
      <c r="BE69" s="136"/>
      <c r="BF69" s="136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36"/>
      <c r="BT69" s="136"/>
      <c r="BU69" s="161"/>
      <c r="BV69" s="161"/>
      <c r="BW69" s="161"/>
      <c r="BX69" s="161"/>
      <c r="BY69" s="161"/>
      <c r="BZ69" s="161"/>
      <c r="CA69" s="161"/>
      <c r="CB69" s="161"/>
      <c r="CC69" s="161"/>
      <c r="CD69" s="161"/>
      <c r="CE69" s="161"/>
      <c r="CF69" s="161"/>
      <c r="CG69" s="136"/>
      <c r="CH69" s="136"/>
      <c r="CI69" s="161"/>
      <c r="CJ69" s="161"/>
      <c r="CK69" s="161"/>
      <c r="CL69" s="161"/>
      <c r="CM69" s="161"/>
      <c r="CN69" s="161"/>
      <c r="CO69" s="161"/>
      <c r="CP69" s="161"/>
      <c r="CQ69" s="161"/>
      <c r="CR69" s="161"/>
      <c r="CS69" s="161"/>
      <c r="CT69" s="161"/>
      <c r="CU69" s="136"/>
      <c r="CV69" s="136"/>
      <c r="CW69" s="161"/>
      <c r="CX69" s="161"/>
      <c r="CY69" s="161"/>
      <c r="CZ69" s="161"/>
      <c r="DA69" s="161"/>
      <c r="DB69" s="161"/>
      <c r="DC69" s="161"/>
      <c r="DD69" s="161"/>
      <c r="DE69" s="161"/>
      <c r="DF69" s="161"/>
      <c r="DG69" s="161"/>
      <c r="DH69" s="161"/>
      <c r="DI69" s="136"/>
      <c r="DJ69" s="136"/>
      <c r="DK69" s="161"/>
      <c r="DL69" s="161"/>
      <c r="DM69" s="161"/>
      <c r="DN69" s="161"/>
      <c r="DO69" s="161"/>
      <c r="DP69" s="161"/>
      <c r="DQ69" s="161"/>
      <c r="DR69" s="161"/>
      <c r="DS69" s="161"/>
      <c r="DT69" s="161"/>
      <c r="DU69" s="161"/>
      <c r="DV69" s="161"/>
      <c r="DW69" s="136"/>
      <c r="DX69" s="136"/>
      <c r="DY69" s="161"/>
      <c r="DZ69" s="161"/>
      <c r="EA69" s="161"/>
      <c r="EB69" s="161"/>
      <c r="EC69" s="161"/>
      <c r="ED69" s="161"/>
      <c r="EE69" s="161"/>
      <c r="EF69" s="161"/>
      <c r="EG69" s="161"/>
      <c r="EH69" s="161"/>
      <c r="EI69" s="161"/>
      <c r="EJ69" s="161"/>
      <c r="EK69" s="136"/>
      <c r="EL69" s="136"/>
      <c r="EM69" s="136"/>
      <c r="EN69" s="136"/>
      <c r="EO69" s="136"/>
      <c r="EP69" s="136"/>
      <c r="EQ69" s="136"/>
      <c r="ER69" s="136"/>
      <c r="ES69" s="161"/>
      <c r="ET69" s="161"/>
      <c r="EU69" s="161"/>
      <c r="EV69" s="161"/>
      <c r="EW69" s="161"/>
      <c r="EX69" s="161"/>
      <c r="EY69" s="136"/>
      <c r="EZ69" s="136"/>
      <c r="FA69" s="161"/>
      <c r="FB69" s="161"/>
      <c r="FC69" s="161"/>
      <c r="FD69" s="161"/>
      <c r="FE69" s="161"/>
      <c r="FF69" s="161"/>
      <c r="FG69" s="161"/>
      <c r="FH69" s="161"/>
      <c r="FI69" s="161"/>
      <c r="FJ69" s="161"/>
      <c r="FK69" s="161"/>
      <c r="FL69" s="161"/>
      <c r="FM69" s="136"/>
      <c r="FN69" s="136"/>
      <c r="FO69" s="161"/>
      <c r="FP69" s="161"/>
      <c r="FQ69" s="161"/>
      <c r="FR69" s="161"/>
      <c r="FS69" s="161"/>
      <c r="FT69" s="161"/>
      <c r="FU69" s="161"/>
      <c r="FV69" s="161"/>
      <c r="FW69" s="161"/>
      <c r="FX69" s="161"/>
      <c r="FY69" s="161"/>
      <c r="FZ69" s="161"/>
      <c r="GA69" s="136"/>
      <c r="GB69" s="136"/>
      <c r="GC69" s="161"/>
      <c r="GD69" s="161"/>
      <c r="GE69" s="161"/>
      <c r="GF69" s="161"/>
      <c r="GG69" s="161"/>
      <c r="GH69" s="161"/>
      <c r="GI69" s="161"/>
      <c r="GJ69" s="161"/>
      <c r="GK69" s="161"/>
      <c r="GL69" s="161"/>
      <c r="GM69" s="161"/>
      <c r="GN69" s="161"/>
    </row>
    <row r="70" spans="1:196" ht="19.5" customHeight="1">
      <c r="A70" s="7"/>
      <c r="B70" s="16"/>
      <c r="C70" s="98"/>
      <c r="D70" s="98"/>
      <c r="E70" s="151"/>
      <c r="F70" s="98"/>
      <c r="G70" s="99"/>
      <c r="H70" s="100"/>
      <c r="I70" s="101"/>
      <c r="J70" s="102"/>
      <c r="K70" s="103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</row>
    <row r="71" spans="1:196" ht="21" hidden="1">
      <c r="A71" s="118"/>
      <c r="B71" s="165" t="s">
        <v>751</v>
      </c>
      <c r="C71" s="165" t="s">
        <v>753</v>
      </c>
      <c r="D71" s="138"/>
      <c r="E71" s="119" t="e">
        <f>VLOOKUP(C71,#REF!,5,0)</f>
        <v>#REF!</v>
      </c>
      <c r="F71" s="166"/>
      <c r="G71" s="149">
        <v>10</v>
      </c>
      <c r="H71" s="129"/>
      <c r="I71" s="110">
        <v>46164</v>
      </c>
      <c r="J71" s="111">
        <f t="shared" ref="J71:J121" si="183">G71-SUM(L71:FL71)</f>
        <v>0</v>
      </c>
      <c r="K71" s="139" t="s">
        <v>855</v>
      </c>
      <c r="L71" s="161"/>
      <c r="M71" s="136"/>
      <c r="N71" s="136"/>
      <c r="O71" s="136"/>
      <c r="P71" s="136"/>
      <c r="Q71" s="136"/>
      <c r="R71" s="136"/>
      <c r="S71" s="161">
        <v>10</v>
      </c>
      <c r="T71" s="161"/>
      <c r="U71" s="161"/>
      <c r="V71" s="161"/>
      <c r="W71" s="161"/>
      <c r="X71" s="161"/>
      <c r="Y71" s="161"/>
      <c r="Z71" s="161"/>
      <c r="AA71" s="161"/>
      <c r="AB71" s="161"/>
      <c r="AC71" s="136"/>
      <c r="AD71" s="136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36"/>
      <c r="AR71" s="136"/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36"/>
      <c r="BF71" s="136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  <c r="BS71" s="136"/>
      <c r="BT71" s="136"/>
      <c r="BU71" s="161"/>
      <c r="BV71" s="161"/>
      <c r="BW71" s="161"/>
      <c r="BX71" s="161"/>
      <c r="BY71" s="161"/>
      <c r="BZ71" s="161"/>
      <c r="CA71" s="161"/>
      <c r="CB71" s="161"/>
      <c r="CC71" s="161"/>
      <c r="CD71" s="161"/>
      <c r="CE71" s="161"/>
      <c r="CF71" s="161"/>
      <c r="CG71" s="136"/>
      <c r="CH71" s="136"/>
      <c r="CI71" s="161"/>
      <c r="CJ71" s="161"/>
      <c r="CK71" s="161"/>
      <c r="CL71" s="161"/>
      <c r="CM71" s="161"/>
      <c r="CN71" s="161"/>
      <c r="CO71" s="161"/>
      <c r="CP71" s="161"/>
      <c r="CQ71" s="161"/>
      <c r="CR71" s="161"/>
      <c r="CS71" s="161"/>
      <c r="CT71" s="161"/>
      <c r="CU71" s="136"/>
      <c r="CV71" s="136"/>
      <c r="CW71" s="161"/>
      <c r="CX71" s="161"/>
      <c r="CY71" s="161"/>
      <c r="CZ71" s="161"/>
      <c r="DA71" s="161"/>
      <c r="DB71" s="161"/>
      <c r="DC71" s="161"/>
      <c r="DD71" s="161"/>
      <c r="DE71" s="161"/>
      <c r="DF71" s="161"/>
      <c r="DG71" s="161"/>
      <c r="DH71" s="161"/>
      <c r="DI71" s="136"/>
      <c r="DJ71" s="136"/>
      <c r="DK71" s="161"/>
      <c r="DL71" s="161"/>
      <c r="DM71" s="161"/>
      <c r="DN71" s="161"/>
      <c r="DO71" s="161"/>
      <c r="DP71" s="161"/>
      <c r="DQ71" s="161"/>
      <c r="DR71" s="161"/>
      <c r="DS71" s="161"/>
      <c r="DT71" s="161"/>
      <c r="DU71" s="161"/>
      <c r="DV71" s="161"/>
      <c r="DW71" s="136"/>
      <c r="DX71" s="136"/>
      <c r="DY71" s="161"/>
      <c r="DZ71" s="161"/>
      <c r="EA71" s="161"/>
      <c r="EB71" s="161"/>
      <c r="EC71" s="161"/>
      <c r="ED71" s="161"/>
      <c r="EE71" s="161"/>
      <c r="EF71" s="161"/>
      <c r="EG71" s="161"/>
      <c r="EH71" s="161"/>
      <c r="EI71" s="161"/>
      <c r="EJ71" s="161"/>
      <c r="EK71" s="136"/>
      <c r="EL71" s="136"/>
      <c r="EM71" s="136"/>
      <c r="EN71" s="136"/>
      <c r="EO71" s="136"/>
      <c r="EP71" s="136"/>
      <c r="EQ71" s="136"/>
      <c r="ER71" s="136"/>
      <c r="ES71" s="161"/>
      <c r="ET71" s="161"/>
      <c r="EU71" s="161"/>
      <c r="EV71" s="161"/>
      <c r="EW71" s="161"/>
      <c r="EX71" s="161"/>
      <c r="EY71" s="136"/>
      <c r="EZ71" s="136"/>
      <c r="FA71" s="161"/>
      <c r="FB71" s="161"/>
      <c r="FC71" s="161"/>
      <c r="FD71" s="161"/>
      <c r="FE71" s="161"/>
      <c r="FF71" s="161"/>
      <c r="FG71" s="161"/>
      <c r="FH71" s="161"/>
      <c r="FI71" s="161"/>
      <c r="FJ71" s="161"/>
      <c r="FK71" s="161"/>
      <c r="FL71" s="161"/>
      <c r="FM71" s="136"/>
      <c r="FN71" s="136"/>
      <c r="FO71" s="161"/>
      <c r="FP71" s="161"/>
      <c r="FQ71" s="161"/>
      <c r="FR71" s="161"/>
      <c r="FS71" s="161"/>
      <c r="FT71" s="161"/>
      <c r="FU71" s="161"/>
      <c r="FV71" s="161"/>
      <c r="FW71" s="161"/>
      <c r="FX71" s="161"/>
      <c r="FY71" s="161"/>
      <c r="FZ71" s="161"/>
      <c r="GA71" s="136"/>
      <c r="GB71" s="136"/>
      <c r="GC71" s="161"/>
      <c r="GD71" s="161"/>
      <c r="GE71" s="161"/>
      <c r="GF71" s="161"/>
      <c r="GG71" s="161"/>
      <c r="GH71" s="161"/>
      <c r="GI71" s="161"/>
      <c r="GJ71" s="161"/>
      <c r="GK71" s="161"/>
      <c r="GL71" s="161"/>
      <c r="GM71" s="161"/>
      <c r="GN71" s="161"/>
    </row>
    <row r="72" spans="1:196" ht="21" hidden="1">
      <c r="A72" s="118"/>
      <c r="B72" s="165" t="s">
        <v>778</v>
      </c>
      <c r="C72" s="165" t="s">
        <v>752</v>
      </c>
      <c r="D72" s="138"/>
      <c r="E72" s="119" t="e">
        <f>VLOOKUP(C72,#REF!,5,0)</f>
        <v>#REF!</v>
      </c>
      <c r="F72" s="166"/>
      <c r="G72" s="149">
        <v>10</v>
      </c>
      <c r="H72" s="129"/>
      <c r="I72" s="110" t="s">
        <v>765</v>
      </c>
      <c r="J72" s="111">
        <f t="shared" si="183"/>
        <v>0</v>
      </c>
      <c r="K72" s="139" t="s">
        <v>857</v>
      </c>
      <c r="L72" s="161"/>
      <c r="M72" s="136"/>
      <c r="N72" s="136"/>
      <c r="O72" s="136"/>
      <c r="P72" s="136"/>
      <c r="Q72" s="136"/>
      <c r="R72" s="136"/>
      <c r="S72" s="161">
        <v>10</v>
      </c>
      <c r="T72" s="161"/>
      <c r="U72" s="161"/>
      <c r="V72" s="161"/>
      <c r="W72" s="161"/>
      <c r="X72" s="161"/>
      <c r="Y72" s="161"/>
      <c r="Z72" s="161"/>
      <c r="AA72" s="161"/>
      <c r="AB72" s="161"/>
      <c r="AC72" s="136"/>
      <c r="AD72" s="136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36"/>
      <c r="AR72" s="136"/>
      <c r="AS72" s="161"/>
      <c r="AT72" s="161"/>
      <c r="AU72" s="161"/>
      <c r="AV72" s="161"/>
      <c r="AW72" s="161"/>
      <c r="AX72" s="161"/>
      <c r="AY72" s="161"/>
      <c r="AZ72" s="161"/>
      <c r="BA72" s="161"/>
      <c r="BB72" s="161"/>
      <c r="BC72" s="161"/>
      <c r="BD72" s="161"/>
      <c r="BE72" s="136"/>
      <c r="BF72" s="136"/>
      <c r="BG72" s="161"/>
      <c r="BH72" s="161"/>
      <c r="BI72" s="161"/>
      <c r="BJ72" s="161"/>
      <c r="BK72" s="161"/>
      <c r="BL72" s="161"/>
      <c r="BM72" s="161"/>
      <c r="BN72" s="161"/>
      <c r="BO72" s="161"/>
      <c r="BP72" s="161"/>
      <c r="BQ72" s="161"/>
      <c r="BR72" s="161"/>
      <c r="BS72" s="136"/>
      <c r="BT72" s="136"/>
      <c r="BU72" s="161"/>
      <c r="BV72" s="161"/>
      <c r="BW72" s="161"/>
      <c r="BX72" s="161"/>
      <c r="BY72" s="161"/>
      <c r="BZ72" s="161"/>
      <c r="CA72" s="161"/>
      <c r="CB72" s="161"/>
      <c r="CC72" s="161"/>
      <c r="CD72" s="161"/>
      <c r="CE72" s="161"/>
      <c r="CF72" s="161"/>
      <c r="CG72" s="136"/>
      <c r="CH72" s="136"/>
      <c r="CI72" s="161"/>
      <c r="CJ72" s="161"/>
      <c r="CK72" s="161"/>
      <c r="CL72" s="161"/>
      <c r="CM72" s="161"/>
      <c r="CN72" s="161"/>
      <c r="CO72" s="161"/>
      <c r="CP72" s="161"/>
      <c r="CQ72" s="161"/>
      <c r="CR72" s="161"/>
      <c r="CS72" s="161"/>
      <c r="CT72" s="161"/>
      <c r="CU72" s="136"/>
      <c r="CV72" s="136"/>
      <c r="CW72" s="161"/>
      <c r="CX72" s="161"/>
      <c r="CY72" s="161"/>
      <c r="CZ72" s="161"/>
      <c r="DA72" s="161"/>
      <c r="DB72" s="161"/>
      <c r="DC72" s="161"/>
      <c r="DD72" s="161"/>
      <c r="DE72" s="161"/>
      <c r="DF72" s="161"/>
      <c r="DG72" s="161"/>
      <c r="DH72" s="161"/>
      <c r="DI72" s="136"/>
      <c r="DJ72" s="136"/>
      <c r="DK72" s="161"/>
      <c r="DL72" s="161"/>
      <c r="DM72" s="161"/>
      <c r="DN72" s="161"/>
      <c r="DO72" s="161"/>
      <c r="DP72" s="161"/>
      <c r="DQ72" s="161"/>
      <c r="DR72" s="161"/>
      <c r="DS72" s="161"/>
      <c r="DT72" s="161"/>
      <c r="DU72" s="161"/>
      <c r="DV72" s="161"/>
      <c r="DW72" s="136"/>
      <c r="DX72" s="136"/>
      <c r="DY72" s="161"/>
      <c r="DZ72" s="161"/>
      <c r="EA72" s="161"/>
      <c r="EB72" s="161"/>
      <c r="EC72" s="161"/>
      <c r="ED72" s="161"/>
      <c r="EE72" s="161"/>
      <c r="EF72" s="161"/>
      <c r="EG72" s="161"/>
      <c r="EH72" s="161"/>
      <c r="EI72" s="161"/>
      <c r="EJ72" s="161"/>
      <c r="EK72" s="136"/>
      <c r="EL72" s="136"/>
      <c r="EM72" s="136"/>
      <c r="EN72" s="136"/>
      <c r="EO72" s="136"/>
      <c r="EP72" s="136"/>
      <c r="EQ72" s="136"/>
      <c r="ER72" s="136"/>
      <c r="ES72" s="161"/>
      <c r="ET72" s="161"/>
      <c r="EU72" s="161"/>
      <c r="EV72" s="161"/>
      <c r="EW72" s="161"/>
      <c r="EX72" s="161"/>
      <c r="EY72" s="136"/>
      <c r="EZ72" s="136"/>
      <c r="FA72" s="161"/>
      <c r="FB72" s="161"/>
      <c r="FC72" s="161"/>
      <c r="FD72" s="161"/>
      <c r="FE72" s="161"/>
      <c r="FF72" s="161"/>
      <c r="FG72" s="161"/>
      <c r="FH72" s="161"/>
      <c r="FI72" s="161"/>
      <c r="FJ72" s="161"/>
      <c r="FK72" s="161"/>
      <c r="FL72" s="161"/>
      <c r="FM72" s="136"/>
      <c r="FN72" s="136"/>
      <c r="FO72" s="161"/>
      <c r="FP72" s="161"/>
      <c r="FQ72" s="161"/>
      <c r="FR72" s="161"/>
      <c r="FS72" s="161"/>
      <c r="FT72" s="161"/>
      <c r="FU72" s="161"/>
      <c r="FV72" s="161"/>
      <c r="FW72" s="161"/>
      <c r="FX72" s="161"/>
      <c r="FY72" s="161"/>
      <c r="FZ72" s="161"/>
      <c r="GA72" s="136"/>
      <c r="GB72" s="136"/>
      <c r="GC72" s="161"/>
      <c r="GD72" s="161"/>
      <c r="GE72" s="161"/>
      <c r="GF72" s="161"/>
      <c r="GG72" s="161"/>
      <c r="GH72" s="161"/>
      <c r="GI72" s="161"/>
      <c r="GJ72" s="161"/>
      <c r="GK72" s="161"/>
      <c r="GL72" s="161"/>
      <c r="GM72" s="161"/>
      <c r="GN72" s="161"/>
    </row>
    <row r="73" spans="1:196" hidden="1">
      <c r="A73" s="118"/>
      <c r="B73" s="116" t="s">
        <v>743</v>
      </c>
      <c r="C73" s="116" t="s">
        <v>218</v>
      </c>
      <c r="D73" s="119"/>
      <c r="E73" s="119" t="e">
        <f>VLOOKUP(C73,#REF!,5,0)</f>
        <v>#REF!</v>
      </c>
      <c r="F73" s="107">
        <v>46204</v>
      </c>
      <c r="G73" s="117">
        <v>280</v>
      </c>
      <c r="H73" s="6"/>
      <c r="I73" s="125">
        <v>46207</v>
      </c>
      <c r="J73" s="13">
        <f t="shared" si="183"/>
        <v>0</v>
      </c>
      <c r="K73" s="153" t="s">
        <v>954</v>
      </c>
      <c r="L73" s="161"/>
      <c r="M73" s="136"/>
      <c r="N73" s="136"/>
      <c r="O73" s="136"/>
      <c r="P73" s="136"/>
      <c r="Q73" s="136"/>
      <c r="R73" s="136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36"/>
      <c r="AD73" s="136"/>
      <c r="AE73" s="161">
        <v>108</v>
      </c>
      <c r="AF73" s="161"/>
      <c r="AG73" s="161">
        <v>172</v>
      </c>
      <c r="AH73" s="161"/>
      <c r="AI73" s="161"/>
      <c r="AJ73" s="161"/>
      <c r="AK73" s="161"/>
      <c r="AL73" s="161"/>
      <c r="AM73" s="161"/>
      <c r="AN73" s="161"/>
      <c r="AO73" s="161"/>
      <c r="AP73" s="161"/>
      <c r="AQ73" s="136"/>
      <c r="AR73" s="136"/>
      <c r="AS73" s="161"/>
      <c r="AT73" s="161"/>
      <c r="AU73" s="161"/>
      <c r="AV73" s="161"/>
      <c r="AW73" s="161"/>
      <c r="AX73" s="161"/>
      <c r="AY73" s="161"/>
      <c r="AZ73" s="161"/>
      <c r="BA73" s="161"/>
      <c r="BB73" s="161"/>
      <c r="BC73" s="161"/>
      <c r="BD73" s="161"/>
      <c r="BE73" s="136"/>
      <c r="BF73" s="136"/>
      <c r="BG73" s="161"/>
      <c r="BH73" s="161"/>
      <c r="BI73" s="161"/>
      <c r="BJ73" s="161"/>
      <c r="BK73" s="161"/>
      <c r="BL73" s="161"/>
      <c r="BM73" s="161"/>
      <c r="BN73" s="161"/>
      <c r="BO73" s="161"/>
      <c r="BP73" s="161"/>
      <c r="BQ73" s="161"/>
      <c r="BR73" s="161"/>
      <c r="BS73" s="136"/>
      <c r="BT73" s="136"/>
      <c r="BU73" s="161"/>
      <c r="BV73" s="161"/>
      <c r="BW73" s="161"/>
      <c r="BX73" s="161"/>
      <c r="BY73" s="161"/>
      <c r="BZ73" s="161"/>
      <c r="CA73" s="161"/>
      <c r="CB73" s="161"/>
      <c r="CC73" s="161"/>
      <c r="CD73" s="161"/>
      <c r="CE73" s="161"/>
      <c r="CF73" s="161"/>
      <c r="CG73" s="136"/>
      <c r="CH73" s="136"/>
      <c r="CI73" s="161"/>
      <c r="CJ73" s="161"/>
      <c r="CK73" s="161"/>
      <c r="CL73" s="161"/>
      <c r="CM73" s="161"/>
      <c r="CN73" s="161"/>
      <c r="CO73" s="161"/>
      <c r="CP73" s="161"/>
      <c r="CQ73" s="161"/>
      <c r="CR73" s="161"/>
      <c r="CS73" s="161"/>
      <c r="CT73" s="161"/>
      <c r="CU73" s="136"/>
      <c r="CV73" s="136"/>
      <c r="CW73" s="161"/>
      <c r="CX73" s="161"/>
      <c r="CY73" s="161"/>
      <c r="CZ73" s="161"/>
      <c r="DA73" s="161"/>
      <c r="DB73" s="161"/>
      <c r="DC73" s="161"/>
      <c r="DD73" s="161"/>
      <c r="DE73" s="161"/>
      <c r="DF73" s="161"/>
      <c r="DG73" s="161"/>
      <c r="DH73" s="161"/>
      <c r="DI73" s="136"/>
      <c r="DJ73" s="136"/>
      <c r="DK73" s="161"/>
      <c r="DL73" s="161"/>
      <c r="DM73" s="161"/>
      <c r="DN73" s="161"/>
      <c r="DO73" s="161"/>
      <c r="DP73" s="161"/>
      <c r="DQ73" s="161"/>
      <c r="DR73" s="161"/>
      <c r="DS73" s="161"/>
      <c r="DT73" s="161"/>
      <c r="DU73" s="161"/>
      <c r="DV73" s="161"/>
      <c r="DW73" s="136"/>
      <c r="DX73" s="136"/>
      <c r="DY73" s="161"/>
      <c r="DZ73" s="161"/>
      <c r="EA73" s="161"/>
      <c r="EB73" s="161"/>
      <c r="EC73" s="161"/>
      <c r="ED73" s="161"/>
      <c r="EE73" s="161"/>
      <c r="EF73" s="161"/>
      <c r="EG73" s="161"/>
      <c r="EH73" s="161"/>
      <c r="EI73" s="161"/>
      <c r="EJ73" s="161"/>
      <c r="EK73" s="136"/>
      <c r="EL73" s="136"/>
      <c r="EM73" s="136"/>
      <c r="EN73" s="136"/>
      <c r="EO73" s="136"/>
      <c r="EP73" s="136"/>
      <c r="EQ73" s="136"/>
      <c r="ER73" s="136"/>
      <c r="ES73" s="161"/>
      <c r="ET73" s="161"/>
      <c r="EU73" s="161"/>
      <c r="EV73" s="161"/>
      <c r="EW73" s="161"/>
      <c r="EX73" s="161"/>
      <c r="EY73" s="136"/>
      <c r="EZ73" s="136"/>
      <c r="FA73" s="161"/>
      <c r="FB73" s="161"/>
      <c r="FC73" s="161"/>
      <c r="FD73" s="161"/>
      <c r="FE73" s="161"/>
      <c r="FF73" s="161"/>
      <c r="FG73" s="161"/>
      <c r="FH73" s="161"/>
      <c r="FI73" s="161"/>
      <c r="FJ73" s="161"/>
      <c r="FK73" s="161"/>
      <c r="FL73" s="161"/>
      <c r="FM73" s="136"/>
      <c r="FN73" s="136"/>
      <c r="FO73" s="161"/>
      <c r="FP73" s="161"/>
      <c r="FQ73" s="161"/>
      <c r="FR73" s="161"/>
      <c r="FS73" s="161"/>
      <c r="FT73" s="161"/>
      <c r="FU73" s="161"/>
      <c r="FV73" s="161"/>
      <c r="FW73" s="161"/>
      <c r="FX73" s="161"/>
      <c r="FY73" s="161"/>
      <c r="FZ73" s="161"/>
      <c r="GA73" s="136"/>
      <c r="GB73" s="136"/>
      <c r="GC73" s="161"/>
      <c r="GD73" s="161"/>
      <c r="GE73" s="161"/>
      <c r="GF73" s="161"/>
      <c r="GG73" s="161"/>
      <c r="GH73" s="161"/>
      <c r="GI73" s="161"/>
      <c r="GJ73" s="161"/>
      <c r="GK73" s="161"/>
      <c r="GL73" s="161"/>
      <c r="GM73" s="161"/>
      <c r="GN73" s="161"/>
    </row>
    <row r="74" spans="1:196" ht="16" hidden="1" customHeight="1">
      <c r="A74" s="118"/>
      <c r="B74" s="116" t="s">
        <v>858</v>
      </c>
      <c r="C74" s="116" t="s">
        <v>218</v>
      </c>
      <c r="D74" s="119"/>
      <c r="E74" s="119" t="e">
        <f>VLOOKUP(C74,#REF!,5,0)</f>
        <v>#REF!</v>
      </c>
      <c r="F74" s="107">
        <v>46204</v>
      </c>
      <c r="G74" s="117">
        <v>160</v>
      </c>
      <c r="H74" s="6"/>
      <c r="I74" s="125">
        <v>46200</v>
      </c>
      <c r="J74" s="13">
        <f t="shared" si="183"/>
        <v>0</v>
      </c>
      <c r="K74" s="153" t="s">
        <v>954</v>
      </c>
      <c r="L74" s="161"/>
      <c r="M74" s="136"/>
      <c r="N74" s="136"/>
      <c r="O74" s="136"/>
      <c r="P74" s="136"/>
      <c r="Q74" s="136"/>
      <c r="R74" s="136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36"/>
      <c r="AD74" s="136"/>
      <c r="AE74" s="161"/>
      <c r="AF74" s="161"/>
      <c r="AG74" s="161">
        <v>39</v>
      </c>
      <c r="AH74" s="161"/>
      <c r="AI74" s="161">
        <v>121</v>
      </c>
      <c r="AJ74" s="161"/>
      <c r="AK74" s="161"/>
      <c r="AL74" s="161"/>
      <c r="AM74" s="161"/>
      <c r="AN74" s="161"/>
      <c r="AO74" s="161"/>
      <c r="AP74" s="161"/>
      <c r="AQ74" s="136"/>
      <c r="AR74" s="136"/>
      <c r="AS74" s="161"/>
      <c r="AT74" s="161"/>
      <c r="AU74" s="161"/>
      <c r="AV74" s="161"/>
      <c r="AW74" s="161"/>
      <c r="AX74" s="161"/>
      <c r="AY74" s="161"/>
      <c r="AZ74" s="161"/>
      <c r="BA74" s="161"/>
      <c r="BB74" s="161"/>
      <c r="BC74" s="161"/>
      <c r="BD74" s="161"/>
      <c r="BE74" s="136"/>
      <c r="BF74" s="136"/>
      <c r="BG74" s="161"/>
      <c r="BH74" s="161"/>
      <c r="BI74" s="161"/>
      <c r="BJ74" s="161"/>
      <c r="BK74" s="161"/>
      <c r="BL74" s="161"/>
      <c r="BM74" s="161"/>
      <c r="BN74" s="161"/>
      <c r="BO74" s="161"/>
      <c r="BP74" s="161"/>
      <c r="BQ74" s="161"/>
      <c r="BR74" s="161"/>
      <c r="BS74" s="136"/>
      <c r="BT74" s="136"/>
      <c r="BU74" s="161"/>
      <c r="BV74" s="161"/>
      <c r="BW74" s="161"/>
      <c r="BX74" s="161"/>
      <c r="BY74" s="161"/>
      <c r="BZ74" s="161"/>
      <c r="CA74" s="161"/>
      <c r="CB74" s="161"/>
      <c r="CC74" s="161"/>
      <c r="CD74" s="161"/>
      <c r="CE74" s="161"/>
      <c r="CF74" s="161"/>
      <c r="CG74" s="136"/>
      <c r="CH74" s="136"/>
      <c r="CI74" s="161"/>
      <c r="CJ74" s="161"/>
      <c r="CK74" s="161"/>
      <c r="CL74" s="161"/>
      <c r="CM74" s="161"/>
      <c r="CN74" s="161"/>
      <c r="CO74" s="161"/>
      <c r="CP74" s="161"/>
      <c r="CQ74" s="161"/>
      <c r="CR74" s="161"/>
      <c r="CS74" s="161"/>
      <c r="CT74" s="161"/>
      <c r="CU74" s="136"/>
      <c r="CV74" s="136"/>
      <c r="CW74" s="161"/>
      <c r="CX74" s="161"/>
      <c r="CY74" s="161"/>
      <c r="CZ74" s="161"/>
      <c r="DA74" s="161"/>
      <c r="DB74" s="161"/>
      <c r="DC74" s="161"/>
      <c r="DD74" s="161"/>
      <c r="DE74" s="161"/>
      <c r="DF74" s="161"/>
      <c r="DG74" s="161"/>
      <c r="DH74" s="161"/>
      <c r="DI74" s="136"/>
      <c r="DJ74" s="136"/>
      <c r="DK74" s="161"/>
      <c r="DL74" s="161"/>
      <c r="DM74" s="161"/>
      <c r="DN74" s="161"/>
      <c r="DO74" s="161"/>
      <c r="DP74" s="161"/>
      <c r="DQ74" s="161"/>
      <c r="DR74" s="161"/>
      <c r="DS74" s="161"/>
      <c r="DT74" s="161"/>
      <c r="DU74" s="161"/>
      <c r="DV74" s="161"/>
      <c r="DW74" s="136"/>
      <c r="DX74" s="136"/>
      <c r="DY74" s="161"/>
      <c r="DZ74" s="161"/>
      <c r="EA74" s="161"/>
      <c r="EB74" s="161"/>
      <c r="EC74" s="161"/>
      <c r="ED74" s="161"/>
      <c r="EE74" s="161"/>
      <c r="EF74" s="161"/>
      <c r="EG74" s="161"/>
      <c r="EH74" s="161"/>
      <c r="EI74" s="161"/>
      <c r="EJ74" s="161"/>
      <c r="EK74" s="136"/>
      <c r="EL74" s="136"/>
      <c r="EM74" s="136"/>
      <c r="EN74" s="136"/>
      <c r="EO74" s="136"/>
      <c r="EP74" s="136"/>
      <c r="EQ74" s="136"/>
      <c r="ER74" s="136"/>
      <c r="ES74" s="161"/>
      <c r="ET74" s="161"/>
      <c r="EU74" s="161"/>
      <c r="EV74" s="161"/>
      <c r="EW74" s="161"/>
      <c r="EX74" s="161"/>
      <c r="EY74" s="136"/>
      <c r="EZ74" s="136"/>
      <c r="FA74" s="161"/>
      <c r="FB74" s="161"/>
      <c r="FC74" s="161"/>
      <c r="FD74" s="161"/>
      <c r="FE74" s="161"/>
      <c r="FF74" s="161"/>
      <c r="FG74" s="161"/>
      <c r="FH74" s="161"/>
      <c r="FI74" s="161"/>
      <c r="FJ74" s="161"/>
      <c r="FK74" s="161"/>
      <c r="FL74" s="161"/>
      <c r="FM74" s="136"/>
      <c r="FN74" s="136"/>
      <c r="FO74" s="161"/>
      <c r="FP74" s="161"/>
      <c r="FQ74" s="161"/>
      <c r="FR74" s="161"/>
      <c r="FS74" s="161"/>
      <c r="FT74" s="161"/>
      <c r="FU74" s="161"/>
      <c r="FV74" s="161"/>
      <c r="FW74" s="161"/>
      <c r="FX74" s="161"/>
      <c r="FY74" s="161"/>
      <c r="FZ74" s="161"/>
      <c r="GA74" s="136"/>
      <c r="GB74" s="136"/>
      <c r="GC74" s="161"/>
      <c r="GD74" s="161"/>
      <c r="GE74" s="161"/>
      <c r="GF74" s="161"/>
      <c r="GG74" s="161"/>
      <c r="GH74" s="161"/>
      <c r="GI74" s="161"/>
      <c r="GJ74" s="161"/>
      <c r="GK74" s="161"/>
      <c r="GL74" s="161"/>
      <c r="GM74" s="161"/>
      <c r="GN74" s="161"/>
    </row>
    <row r="75" spans="1:196" ht="22" hidden="1" customHeight="1">
      <c r="A75" s="118"/>
      <c r="B75" s="116" t="s">
        <v>716</v>
      </c>
      <c r="C75" s="116" t="s">
        <v>643</v>
      </c>
      <c r="D75" s="119"/>
      <c r="E75" s="119" t="e">
        <f>VLOOKUP(C75,#REF!,5,0)</f>
        <v>#REF!</v>
      </c>
      <c r="F75" s="107">
        <v>46204</v>
      </c>
      <c r="G75" s="117">
        <v>40</v>
      </c>
      <c r="H75" s="6"/>
      <c r="I75" s="125">
        <v>46207</v>
      </c>
      <c r="J75" s="13">
        <f t="shared" si="183"/>
        <v>0</v>
      </c>
      <c r="K75" s="153" t="s">
        <v>955</v>
      </c>
      <c r="L75" s="161"/>
      <c r="M75" s="136"/>
      <c r="N75" s="136"/>
      <c r="O75" s="136"/>
      <c r="P75" s="136"/>
      <c r="Q75" s="136"/>
      <c r="R75" s="136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36"/>
      <c r="AD75" s="136"/>
      <c r="AE75" s="161"/>
      <c r="AF75" s="161"/>
      <c r="AG75" s="161"/>
      <c r="AH75" s="161"/>
      <c r="AI75" s="161">
        <v>40</v>
      </c>
      <c r="AJ75" s="161"/>
      <c r="AK75" s="161"/>
      <c r="AL75" s="161"/>
      <c r="AM75" s="161"/>
      <c r="AN75" s="161"/>
      <c r="AO75" s="161"/>
      <c r="AP75" s="161"/>
      <c r="AQ75" s="136"/>
      <c r="AR75" s="136"/>
      <c r="AS75" s="161"/>
      <c r="AT75" s="161"/>
      <c r="AU75" s="161"/>
      <c r="AV75" s="161"/>
      <c r="AW75" s="161"/>
      <c r="AX75" s="161"/>
      <c r="AY75" s="161"/>
      <c r="AZ75" s="161"/>
      <c r="BA75" s="161"/>
      <c r="BB75" s="161"/>
      <c r="BC75" s="161"/>
      <c r="BD75" s="161"/>
      <c r="BE75" s="136"/>
      <c r="BF75" s="136"/>
      <c r="BG75" s="161"/>
      <c r="BH75" s="161"/>
      <c r="BI75" s="161"/>
      <c r="BJ75" s="161"/>
      <c r="BK75" s="161"/>
      <c r="BL75" s="161"/>
      <c r="BM75" s="161"/>
      <c r="BN75" s="161"/>
      <c r="BO75" s="161"/>
      <c r="BP75" s="161"/>
      <c r="BQ75" s="161"/>
      <c r="BR75" s="161"/>
      <c r="BS75" s="136"/>
      <c r="BT75" s="136"/>
      <c r="BU75" s="161"/>
      <c r="BV75" s="161"/>
      <c r="BW75" s="161"/>
      <c r="BX75" s="161"/>
      <c r="BY75" s="161"/>
      <c r="BZ75" s="161"/>
      <c r="CA75" s="161"/>
      <c r="CB75" s="161"/>
      <c r="CC75" s="161"/>
      <c r="CD75" s="161"/>
      <c r="CE75" s="161"/>
      <c r="CF75" s="161"/>
      <c r="CG75" s="136"/>
      <c r="CH75" s="136"/>
      <c r="CI75" s="161"/>
      <c r="CJ75" s="161"/>
      <c r="CK75" s="161"/>
      <c r="CL75" s="161"/>
      <c r="CM75" s="161"/>
      <c r="CN75" s="161"/>
      <c r="CO75" s="161"/>
      <c r="CP75" s="161"/>
      <c r="CQ75" s="161"/>
      <c r="CR75" s="161"/>
      <c r="CS75" s="161"/>
      <c r="CT75" s="161"/>
      <c r="CU75" s="136"/>
      <c r="CV75" s="136"/>
      <c r="CW75" s="161"/>
      <c r="CX75" s="161"/>
      <c r="CY75" s="161"/>
      <c r="CZ75" s="161"/>
      <c r="DA75" s="161"/>
      <c r="DB75" s="161"/>
      <c r="DC75" s="161"/>
      <c r="DD75" s="161"/>
      <c r="DE75" s="161"/>
      <c r="DF75" s="161"/>
      <c r="DG75" s="161"/>
      <c r="DH75" s="161"/>
      <c r="DI75" s="136"/>
      <c r="DJ75" s="136"/>
      <c r="DK75" s="161"/>
      <c r="DL75" s="161"/>
      <c r="DM75" s="161"/>
      <c r="DN75" s="161"/>
      <c r="DO75" s="161"/>
      <c r="DP75" s="161"/>
      <c r="DQ75" s="161"/>
      <c r="DR75" s="161"/>
      <c r="DS75" s="161"/>
      <c r="DT75" s="161"/>
      <c r="DU75" s="161"/>
      <c r="DV75" s="161"/>
      <c r="DW75" s="136"/>
      <c r="DX75" s="136"/>
      <c r="DY75" s="161"/>
      <c r="DZ75" s="161"/>
      <c r="EA75" s="161"/>
      <c r="EB75" s="161"/>
      <c r="EC75" s="161"/>
      <c r="ED75" s="161"/>
      <c r="EE75" s="161"/>
      <c r="EF75" s="161"/>
      <c r="EG75" s="161"/>
      <c r="EH75" s="161"/>
      <c r="EI75" s="161"/>
      <c r="EJ75" s="161"/>
      <c r="EK75" s="136"/>
      <c r="EL75" s="136"/>
      <c r="EM75" s="136"/>
      <c r="EN75" s="136"/>
      <c r="EO75" s="136"/>
      <c r="EP75" s="136"/>
      <c r="EQ75" s="136"/>
      <c r="ER75" s="136"/>
      <c r="ES75" s="161"/>
      <c r="ET75" s="161"/>
      <c r="EU75" s="161"/>
      <c r="EV75" s="161"/>
      <c r="EW75" s="161"/>
      <c r="EX75" s="161"/>
      <c r="EY75" s="136"/>
      <c r="EZ75" s="136"/>
      <c r="FA75" s="161"/>
      <c r="FB75" s="161"/>
      <c r="FC75" s="161"/>
      <c r="FD75" s="161"/>
      <c r="FE75" s="161"/>
      <c r="FF75" s="161"/>
      <c r="FG75" s="161"/>
      <c r="FH75" s="161"/>
      <c r="FI75" s="161"/>
      <c r="FJ75" s="161"/>
      <c r="FK75" s="161"/>
      <c r="FL75" s="161"/>
      <c r="FM75" s="136"/>
      <c r="FN75" s="136"/>
      <c r="FO75" s="161"/>
      <c r="FP75" s="161"/>
      <c r="FQ75" s="161"/>
      <c r="FR75" s="161"/>
      <c r="FS75" s="161"/>
      <c r="FT75" s="161"/>
      <c r="FU75" s="161"/>
      <c r="FV75" s="161"/>
      <c r="FW75" s="161"/>
      <c r="FX75" s="161"/>
      <c r="FY75" s="161"/>
      <c r="FZ75" s="161"/>
      <c r="GA75" s="136"/>
      <c r="GB75" s="136"/>
      <c r="GC75" s="161"/>
      <c r="GD75" s="161"/>
      <c r="GE75" s="161"/>
      <c r="GF75" s="161"/>
      <c r="GG75" s="161"/>
      <c r="GH75" s="161"/>
      <c r="GI75" s="161"/>
      <c r="GJ75" s="161"/>
      <c r="GK75" s="161"/>
      <c r="GL75" s="161"/>
      <c r="GM75" s="161"/>
      <c r="GN75" s="161"/>
    </row>
    <row r="76" spans="1:196" hidden="1">
      <c r="A76" s="118"/>
      <c r="B76" s="165"/>
      <c r="C76" s="165" t="s">
        <v>1020</v>
      </c>
      <c r="D76" s="138"/>
      <c r="E76" s="138"/>
      <c r="F76" s="166"/>
      <c r="G76" s="149">
        <v>177</v>
      </c>
      <c r="H76" s="129"/>
      <c r="I76" s="110">
        <v>46207</v>
      </c>
      <c r="J76" s="111">
        <f t="shared" si="183"/>
        <v>0</v>
      </c>
      <c r="K76" s="139" t="s">
        <v>954</v>
      </c>
      <c r="L76" s="161"/>
      <c r="M76" s="136"/>
      <c r="N76" s="136"/>
      <c r="O76" s="136"/>
      <c r="P76" s="136"/>
      <c r="Q76" s="136"/>
      <c r="R76" s="136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36"/>
      <c r="AD76" s="136"/>
      <c r="AE76" s="161"/>
      <c r="AF76" s="161"/>
      <c r="AG76" s="161"/>
      <c r="AH76" s="161"/>
      <c r="AI76" s="161"/>
      <c r="AJ76" s="161"/>
      <c r="AK76" s="161">
        <v>12</v>
      </c>
      <c r="AL76" s="161"/>
      <c r="AM76" s="161">
        <v>165</v>
      </c>
      <c r="AN76" s="161"/>
      <c r="AO76" s="161"/>
      <c r="AP76" s="161"/>
      <c r="AQ76" s="136"/>
      <c r="AR76" s="136"/>
      <c r="AS76" s="161"/>
      <c r="AT76" s="161"/>
      <c r="AU76" s="161"/>
      <c r="AV76" s="161"/>
      <c r="AW76" s="161"/>
      <c r="AX76" s="161"/>
      <c r="AY76" s="161"/>
      <c r="AZ76" s="161"/>
      <c r="BA76" s="161"/>
      <c r="BB76" s="161"/>
      <c r="BC76" s="161"/>
      <c r="BD76" s="161"/>
      <c r="BE76" s="136"/>
      <c r="BF76" s="136"/>
      <c r="BG76" s="161"/>
      <c r="BH76" s="161"/>
      <c r="BI76" s="161"/>
      <c r="BJ76" s="161"/>
      <c r="BK76" s="161"/>
      <c r="BL76" s="161"/>
      <c r="BM76" s="161"/>
      <c r="BN76" s="161"/>
      <c r="BO76" s="161"/>
      <c r="BP76" s="161"/>
      <c r="BQ76" s="161"/>
      <c r="BR76" s="161"/>
      <c r="BS76" s="136"/>
      <c r="BT76" s="136"/>
      <c r="BU76" s="161"/>
      <c r="BV76" s="161"/>
      <c r="BW76" s="161"/>
      <c r="BX76" s="161"/>
      <c r="BY76" s="161"/>
      <c r="BZ76" s="161"/>
      <c r="CA76" s="161"/>
      <c r="CB76" s="161"/>
      <c r="CC76" s="161"/>
      <c r="CD76" s="161"/>
      <c r="CE76" s="161"/>
      <c r="CF76" s="161"/>
      <c r="CG76" s="136"/>
      <c r="CH76" s="136"/>
      <c r="CI76" s="161"/>
      <c r="CJ76" s="161"/>
      <c r="CK76" s="161"/>
      <c r="CL76" s="161"/>
      <c r="CM76" s="161"/>
      <c r="CN76" s="161"/>
      <c r="CO76" s="161"/>
      <c r="CP76" s="161"/>
      <c r="CQ76" s="161"/>
      <c r="CR76" s="161"/>
      <c r="CS76" s="161"/>
      <c r="CT76" s="161"/>
      <c r="CU76" s="136"/>
      <c r="CV76" s="136"/>
      <c r="CW76" s="161"/>
      <c r="CX76" s="161"/>
      <c r="CY76" s="161"/>
      <c r="CZ76" s="161"/>
      <c r="DA76" s="161"/>
      <c r="DB76" s="161"/>
      <c r="DC76" s="161"/>
      <c r="DD76" s="161"/>
      <c r="DE76" s="161"/>
      <c r="DF76" s="161"/>
      <c r="DG76" s="161"/>
      <c r="DH76" s="161"/>
      <c r="DI76" s="136"/>
      <c r="DJ76" s="136"/>
      <c r="DK76" s="161"/>
      <c r="DL76" s="161"/>
      <c r="DM76" s="161"/>
      <c r="DN76" s="161"/>
      <c r="DO76" s="161"/>
      <c r="DP76" s="161"/>
      <c r="DQ76" s="161"/>
      <c r="DR76" s="161"/>
      <c r="DS76" s="161"/>
      <c r="DT76" s="161"/>
      <c r="DU76" s="161"/>
      <c r="DV76" s="161"/>
      <c r="DW76" s="136"/>
      <c r="DX76" s="136"/>
      <c r="DY76" s="161"/>
      <c r="DZ76" s="161"/>
      <c r="EA76" s="161"/>
      <c r="EB76" s="161"/>
      <c r="EC76" s="161"/>
      <c r="ED76" s="161"/>
      <c r="EE76" s="161"/>
      <c r="EF76" s="161"/>
      <c r="EG76" s="161"/>
      <c r="EH76" s="161"/>
      <c r="EI76" s="161"/>
      <c r="EJ76" s="161"/>
      <c r="EK76" s="136"/>
      <c r="EL76" s="136"/>
      <c r="EM76" s="136"/>
      <c r="EN76" s="136"/>
      <c r="EO76" s="136"/>
      <c r="EP76" s="136"/>
      <c r="EQ76" s="136"/>
      <c r="ER76" s="136"/>
      <c r="ES76" s="161"/>
      <c r="ET76" s="161"/>
      <c r="EU76" s="161"/>
      <c r="EV76" s="161"/>
      <c r="EW76" s="161"/>
      <c r="EX76" s="161"/>
      <c r="EY76" s="136"/>
      <c r="EZ76" s="136"/>
      <c r="FA76" s="161"/>
      <c r="FB76" s="161"/>
      <c r="FC76" s="161"/>
      <c r="FD76" s="161"/>
      <c r="FE76" s="161"/>
      <c r="FF76" s="161"/>
      <c r="FG76" s="161"/>
      <c r="FH76" s="161"/>
      <c r="FI76" s="161"/>
      <c r="FJ76" s="161"/>
      <c r="FK76" s="161"/>
      <c r="FL76" s="161"/>
      <c r="FM76" s="136"/>
      <c r="FN76" s="136"/>
      <c r="FO76" s="161"/>
      <c r="FP76" s="161"/>
      <c r="FQ76" s="161"/>
      <c r="FR76" s="161"/>
      <c r="FS76" s="161"/>
      <c r="FT76" s="161"/>
      <c r="FU76" s="161"/>
      <c r="FV76" s="161"/>
      <c r="FW76" s="161"/>
      <c r="FX76" s="161"/>
      <c r="FY76" s="161"/>
      <c r="FZ76" s="161"/>
      <c r="GA76" s="136"/>
      <c r="GB76" s="136"/>
      <c r="GC76" s="161"/>
      <c r="GD76" s="161"/>
      <c r="GE76" s="161"/>
      <c r="GF76" s="161"/>
      <c r="GG76" s="161"/>
      <c r="GH76" s="161"/>
      <c r="GI76" s="161"/>
      <c r="GJ76" s="161"/>
      <c r="GK76" s="161"/>
      <c r="GL76" s="161"/>
      <c r="GM76" s="161"/>
      <c r="GN76" s="161"/>
    </row>
    <row r="77" spans="1:196" ht="21" hidden="1">
      <c r="A77" s="118"/>
      <c r="B77" s="165" t="s">
        <v>750</v>
      </c>
      <c r="C77" s="165" t="s">
        <v>752</v>
      </c>
      <c r="D77" s="138"/>
      <c r="E77" s="119" t="e">
        <f>VLOOKUP(C77,#REF!,5,0)</f>
        <v>#REF!</v>
      </c>
      <c r="F77" s="166"/>
      <c r="G77" s="149">
        <v>10</v>
      </c>
      <c r="H77" s="129"/>
      <c r="I77" s="110">
        <v>46207</v>
      </c>
      <c r="J77" s="111">
        <f t="shared" si="183"/>
        <v>0</v>
      </c>
      <c r="K77" s="139" t="s">
        <v>856</v>
      </c>
      <c r="L77" s="161"/>
      <c r="M77" s="136"/>
      <c r="N77" s="136"/>
      <c r="O77" s="136"/>
      <c r="P77" s="136"/>
      <c r="Q77" s="136"/>
      <c r="R77" s="136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36"/>
      <c r="AD77" s="136"/>
      <c r="AE77" s="161"/>
      <c r="AF77" s="161"/>
      <c r="AG77" s="161"/>
      <c r="AH77" s="161"/>
      <c r="AI77" s="161"/>
      <c r="AJ77" s="161"/>
      <c r="AK77" s="161"/>
      <c r="AL77" s="161"/>
      <c r="AM77" s="161">
        <v>10</v>
      </c>
      <c r="AN77" s="161"/>
      <c r="AO77" s="161"/>
      <c r="AP77" s="161"/>
      <c r="AQ77" s="136"/>
      <c r="AR77" s="136"/>
      <c r="AS77" s="161"/>
      <c r="AT77" s="161"/>
      <c r="AU77" s="161"/>
      <c r="AV77" s="161"/>
      <c r="AW77" s="161"/>
      <c r="AX77" s="161"/>
      <c r="AY77" s="161"/>
      <c r="AZ77" s="161"/>
      <c r="BA77" s="161"/>
      <c r="BB77" s="161"/>
      <c r="BC77" s="161"/>
      <c r="BD77" s="161"/>
      <c r="BE77" s="136"/>
      <c r="BF77" s="136"/>
      <c r="BG77" s="161"/>
      <c r="BH77" s="161"/>
      <c r="BI77" s="161"/>
      <c r="BJ77" s="161"/>
      <c r="BK77" s="161"/>
      <c r="BL77" s="161"/>
      <c r="BM77" s="161"/>
      <c r="BN77" s="161"/>
      <c r="BO77" s="161"/>
      <c r="BP77" s="161"/>
      <c r="BQ77" s="161"/>
      <c r="BR77" s="161"/>
      <c r="BS77" s="136"/>
      <c r="BT77" s="136"/>
      <c r="BU77" s="161"/>
      <c r="BV77" s="161"/>
      <c r="BW77" s="161"/>
      <c r="BX77" s="161"/>
      <c r="BY77" s="161"/>
      <c r="BZ77" s="161"/>
      <c r="CA77" s="161"/>
      <c r="CB77" s="161"/>
      <c r="CC77" s="161"/>
      <c r="CD77" s="161"/>
      <c r="CE77" s="161"/>
      <c r="CF77" s="161"/>
      <c r="CG77" s="136"/>
      <c r="CH77" s="136"/>
      <c r="CI77" s="161"/>
      <c r="CJ77" s="161"/>
      <c r="CK77" s="161"/>
      <c r="CL77" s="161"/>
      <c r="CM77" s="161"/>
      <c r="CN77" s="161"/>
      <c r="CO77" s="161"/>
      <c r="CP77" s="161"/>
      <c r="CQ77" s="161"/>
      <c r="CR77" s="161"/>
      <c r="CS77" s="161"/>
      <c r="CT77" s="161"/>
      <c r="CU77" s="136"/>
      <c r="CV77" s="136"/>
      <c r="CW77" s="161"/>
      <c r="CX77" s="161"/>
      <c r="CY77" s="161"/>
      <c r="CZ77" s="161"/>
      <c r="DA77" s="161"/>
      <c r="DB77" s="161"/>
      <c r="DC77" s="161"/>
      <c r="DD77" s="161"/>
      <c r="DE77" s="161"/>
      <c r="DF77" s="161"/>
      <c r="DG77" s="161"/>
      <c r="DH77" s="161"/>
      <c r="DI77" s="136"/>
      <c r="DJ77" s="136"/>
      <c r="DK77" s="161"/>
      <c r="DL77" s="161"/>
      <c r="DM77" s="161"/>
      <c r="DN77" s="161"/>
      <c r="DO77" s="161"/>
      <c r="DP77" s="161"/>
      <c r="DQ77" s="161"/>
      <c r="DR77" s="161"/>
      <c r="DS77" s="161"/>
      <c r="DT77" s="161"/>
      <c r="DU77" s="161"/>
      <c r="DV77" s="161"/>
      <c r="DW77" s="136"/>
      <c r="DX77" s="136"/>
      <c r="DY77" s="161"/>
      <c r="DZ77" s="161"/>
      <c r="EA77" s="161"/>
      <c r="EB77" s="161"/>
      <c r="EC77" s="161"/>
      <c r="ED77" s="161"/>
      <c r="EE77" s="161"/>
      <c r="EF77" s="161"/>
      <c r="EG77" s="161"/>
      <c r="EH77" s="161"/>
      <c r="EI77" s="161"/>
      <c r="EJ77" s="161"/>
      <c r="EK77" s="136"/>
      <c r="EL77" s="136"/>
      <c r="EM77" s="136"/>
      <c r="EN77" s="136"/>
      <c r="EO77" s="136"/>
      <c r="EP77" s="136"/>
      <c r="EQ77" s="136"/>
      <c r="ER77" s="136"/>
      <c r="ES77" s="161"/>
      <c r="ET77" s="161"/>
      <c r="EU77" s="161"/>
      <c r="EV77" s="161"/>
      <c r="EW77" s="161"/>
      <c r="EX77" s="161"/>
      <c r="EY77" s="136"/>
      <c r="EZ77" s="136"/>
      <c r="FA77" s="161"/>
      <c r="FB77" s="161"/>
      <c r="FC77" s="161"/>
      <c r="FD77" s="161"/>
      <c r="FE77" s="161"/>
      <c r="FF77" s="161"/>
      <c r="FG77" s="161"/>
      <c r="FH77" s="161"/>
      <c r="FI77" s="161"/>
      <c r="FJ77" s="161"/>
      <c r="FK77" s="161"/>
      <c r="FL77" s="161"/>
      <c r="FM77" s="136"/>
      <c r="FN77" s="136"/>
      <c r="FO77" s="161"/>
      <c r="FP77" s="161"/>
      <c r="FQ77" s="161"/>
      <c r="FR77" s="161"/>
      <c r="FS77" s="161"/>
      <c r="FT77" s="161"/>
      <c r="FU77" s="161"/>
      <c r="FV77" s="161"/>
      <c r="FW77" s="161"/>
      <c r="FX77" s="161"/>
      <c r="FY77" s="161"/>
      <c r="FZ77" s="161"/>
      <c r="GA77" s="136"/>
      <c r="GB77" s="136"/>
      <c r="GC77" s="161"/>
      <c r="GD77" s="161"/>
      <c r="GE77" s="161"/>
      <c r="GF77" s="161"/>
      <c r="GG77" s="161"/>
      <c r="GH77" s="161"/>
      <c r="GI77" s="161"/>
      <c r="GJ77" s="161"/>
      <c r="GK77" s="161"/>
      <c r="GL77" s="161"/>
      <c r="GM77" s="161"/>
      <c r="GN77" s="161"/>
    </row>
    <row r="78" spans="1:196" hidden="1">
      <c r="A78" s="118"/>
      <c r="B78" s="165" t="s">
        <v>968</v>
      </c>
      <c r="C78" s="165" t="s">
        <v>752</v>
      </c>
      <c r="D78" s="138"/>
      <c r="E78" s="119"/>
      <c r="F78" s="166"/>
      <c r="G78" s="149">
        <v>50</v>
      </c>
      <c r="H78" s="129"/>
      <c r="I78" s="110">
        <v>46207</v>
      </c>
      <c r="J78" s="111">
        <f t="shared" si="183"/>
        <v>0</v>
      </c>
      <c r="K78" s="139" t="s">
        <v>970</v>
      </c>
      <c r="L78" s="161"/>
      <c r="M78" s="136"/>
      <c r="N78" s="136"/>
      <c r="O78" s="136"/>
      <c r="P78" s="136"/>
      <c r="Q78" s="136"/>
      <c r="R78" s="136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36"/>
      <c r="AD78" s="136"/>
      <c r="AE78" s="161"/>
      <c r="AF78" s="161"/>
      <c r="AG78" s="161"/>
      <c r="AH78" s="161"/>
      <c r="AI78" s="161"/>
      <c r="AJ78" s="161"/>
      <c r="AK78" s="161"/>
      <c r="AL78" s="161"/>
      <c r="AM78" s="161">
        <v>50</v>
      </c>
      <c r="AN78" s="161"/>
      <c r="AO78" s="161"/>
      <c r="AP78" s="161"/>
      <c r="AQ78" s="136"/>
      <c r="AR78" s="136"/>
      <c r="AS78" s="161"/>
      <c r="AT78" s="161"/>
      <c r="AU78" s="161"/>
      <c r="AV78" s="161"/>
      <c r="AW78" s="161"/>
      <c r="AX78" s="161"/>
      <c r="AY78" s="161"/>
      <c r="AZ78" s="161"/>
      <c r="BA78" s="161"/>
      <c r="BB78" s="161"/>
      <c r="BC78" s="161"/>
      <c r="BD78" s="161"/>
      <c r="BE78" s="136"/>
      <c r="BF78" s="136"/>
      <c r="BG78" s="161"/>
      <c r="BH78" s="161"/>
      <c r="BI78" s="161"/>
      <c r="BJ78" s="161"/>
      <c r="BK78" s="161"/>
      <c r="BL78" s="161"/>
      <c r="BM78" s="161"/>
      <c r="BN78" s="161"/>
      <c r="BO78" s="161"/>
      <c r="BP78" s="161"/>
      <c r="BQ78" s="161"/>
      <c r="BR78" s="161"/>
      <c r="BS78" s="136"/>
      <c r="BT78" s="136"/>
      <c r="BU78" s="161"/>
      <c r="BV78" s="161"/>
      <c r="BW78" s="161"/>
      <c r="BX78" s="161"/>
      <c r="BY78" s="161"/>
      <c r="BZ78" s="161"/>
      <c r="CA78" s="161"/>
      <c r="CB78" s="161"/>
      <c r="CC78" s="161"/>
      <c r="CD78" s="161"/>
      <c r="CE78" s="161"/>
      <c r="CF78" s="161"/>
      <c r="CG78" s="136"/>
      <c r="CH78" s="136"/>
      <c r="CI78" s="161"/>
      <c r="CJ78" s="161"/>
      <c r="CK78" s="161"/>
      <c r="CL78" s="161"/>
      <c r="CM78" s="161"/>
      <c r="CN78" s="161"/>
      <c r="CO78" s="161"/>
      <c r="CP78" s="161"/>
      <c r="CQ78" s="161"/>
      <c r="CR78" s="161"/>
      <c r="CS78" s="161"/>
      <c r="CT78" s="161"/>
      <c r="CU78" s="136"/>
      <c r="CV78" s="136"/>
      <c r="CW78" s="161"/>
      <c r="CX78" s="161"/>
      <c r="CY78" s="161"/>
      <c r="CZ78" s="161"/>
      <c r="DA78" s="161"/>
      <c r="DB78" s="161"/>
      <c r="DC78" s="161"/>
      <c r="DD78" s="161"/>
      <c r="DE78" s="161"/>
      <c r="DF78" s="161"/>
      <c r="DG78" s="161"/>
      <c r="DH78" s="161"/>
      <c r="DI78" s="136"/>
      <c r="DJ78" s="136"/>
      <c r="DK78" s="161"/>
      <c r="DL78" s="161"/>
      <c r="DM78" s="161"/>
      <c r="DN78" s="161"/>
      <c r="DO78" s="161"/>
      <c r="DP78" s="161"/>
      <c r="DQ78" s="161"/>
      <c r="DR78" s="161"/>
      <c r="DS78" s="161"/>
      <c r="DT78" s="161"/>
      <c r="DU78" s="161"/>
      <c r="DV78" s="161"/>
      <c r="DW78" s="136"/>
      <c r="DX78" s="136"/>
      <c r="DY78" s="161"/>
      <c r="DZ78" s="161"/>
      <c r="EA78" s="161"/>
      <c r="EB78" s="161"/>
      <c r="EC78" s="161"/>
      <c r="ED78" s="161"/>
      <c r="EE78" s="161"/>
      <c r="EF78" s="161"/>
      <c r="EG78" s="161"/>
      <c r="EH78" s="161"/>
      <c r="EI78" s="161"/>
      <c r="EJ78" s="161"/>
      <c r="EK78" s="136"/>
      <c r="EL78" s="136"/>
      <c r="EM78" s="136"/>
      <c r="EN78" s="136"/>
      <c r="EO78" s="136"/>
      <c r="EP78" s="136"/>
      <c r="EQ78" s="136"/>
      <c r="ER78" s="136"/>
      <c r="ES78" s="161"/>
      <c r="ET78" s="161"/>
      <c r="EU78" s="161"/>
      <c r="EV78" s="161"/>
      <c r="EW78" s="161"/>
      <c r="EX78" s="161"/>
      <c r="EY78" s="136"/>
      <c r="EZ78" s="136"/>
      <c r="FA78" s="161"/>
      <c r="FB78" s="161"/>
      <c r="FC78" s="161"/>
      <c r="FD78" s="161"/>
      <c r="FE78" s="161"/>
      <c r="FF78" s="161"/>
      <c r="FG78" s="161"/>
      <c r="FH78" s="161"/>
      <c r="FI78" s="161"/>
      <c r="FJ78" s="161"/>
      <c r="FK78" s="161"/>
      <c r="FL78" s="161"/>
      <c r="FM78" s="136"/>
      <c r="FN78" s="136"/>
      <c r="FO78" s="161"/>
      <c r="FP78" s="161"/>
      <c r="FQ78" s="161"/>
      <c r="FR78" s="161"/>
      <c r="FS78" s="161"/>
      <c r="FT78" s="161"/>
      <c r="FU78" s="161"/>
      <c r="FV78" s="161"/>
      <c r="FW78" s="161"/>
      <c r="FX78" s="161"/>
      <c r="FY78" s="161"/>
      <c r="FZ78" s="161"/>
      <c r="GA78" s="136"/>
      <c r="GB78" s="136"/>
      <c r="GC78" s="161"/>
      <c r="GD78" s="161"/>
      <c r="GE78" s="161"/>
      <c r="GF78" s="161"/>
      <c r="GG78" s="161"/>
      <c r="GH78" s="161"/>
      <c r="GI78" s="161"/>
      <c r="GJ78" s="161"/>
      <c r="GK78" s="161"/>
      <c r="GL78" s="161"/>
      <c r="GM78" s="161"/>
      <c r="GN78" s="161"/>
    </row>
    <row r="79" spans="1:196" hidden="1">
      <c r="A79" s="118"/>
      <c r="B79" s="165" t="s">
        <v>969</v>
      </c>
      <c r="C79" s="165" t="s">
        <v>753</v>
      </c>
      <c r="D79" s="138"/>
      <c r="E79" s="119"/>
      <c r="F79" s="166"/>
      <c r="G79" s="149">
        <v>10</v>
      </c>
      <c r="H79" s="129"/>
      <c r="I79" s="110">
        <v>46207</v>
      </c>
      <c r="J79" s="111">
        <f t="shared" si="183"/>
        <v>0</v>
      </c>
      <c r="K79" s="139" t="s">
        <v>971</v>
      </c>
      <c r="L79" s="161"/>
      <c r="M79" s="136"/>
      <c r="N79" s="136"/>
      <c r="O79" s="136"/>
      <c r="P79" s="136"/>
      <c r="Q79" s="136"/>
      <c r="R79" s="136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36"/>
      <c r="AD79" s="136"/>
      <c r="AE79" s="161"/>
      <c r="AF79" s="161"/>
      <c r="AG79" s="161"/>
      <c r="AH79" s="161"/>
      <c r="AI79" s="161"/>
      <c r="AJ79" s="161"/>
      <c r="AK79" s="161"/>
      <c r="AL79" s="161"/>
      <c r="AM79" s="161">
        <v>10</v>
      </c>
      <c r="AN79" s="161"/>
      <c r="AO79" s="161"/>
      <c r="AP79" s="161"/>
      <c r="AQ79" s="136"/>
      <c r="AR79" s="136"/>
      <c r="AS79" s="161"/>
      <c r="AT79" s="161"/>
      <c r="AU79" s="161"/>
      <c r="AV79" s="161"/>
      <c r="AW79" s="161"/>
      <c r="AX79" s="161"/>
      <c r="AY79" s="161"/>
      <c r="AZ79" s="161"/>
      <c r="BA79" s="161"/>
      <c r="BB79" s="161"/>
      <c r="BC79" s="161"/>
      <c r="BD79" s="161"/>
      <c r="BE79" s="136"/>
      <c r="BF79" s="136"/>
      <c r="BG79" s="161"/>
      <c r="BH79" s="161"/>
      <c r="BI79" s="161"/>
      <c r="BJ79" s="161"/>
      <c r="BK79" s="161"/>
      <c r="BL79" s="161"/>
      <c r="BM79" s="161"/>
      <c r="BN79" s="161"/>
      <c r="BO79" s="161"/>
      <c r="BP79" s="161"/>
      <c r="BQ79" s="161"/>
      <c r="BR79" s="161"/>
      <c r="BS79" s="136"/>
      <c r="BT79" s="136"/>
      <c r="BU79" s="161"/>
      <c r="BV79" s="161"/>
      <c r="BW79" s="161"/>
      <c r="BX79" s="161"/>
      <c r="BY79" s="161"/>
      <c r="BZ79" s="161"/>
      <c r="CA79" s="161"/>
      <c r="CB79" s="161"/>
      <c r="CC79" s="161"/>
      <c r="CD79" s="161"/>
      <c r="CE79" s="161"/>
      <c r="CF79" s="161"/>
      <c r="CG79" s="136"/>
      <c r="CH79" s="136"/>
      <c r="CI79" s="161"/>
      <c r="CJ79" s="161"/>
      <c r="CK79" s="161"/>
      <c r="CL79" s="161"/>
      <c r="CM79" s="161"/>
      <c r="CN79" s="161"/>
      <c r="CO79" s="161"/>
      <c r="CP79" s="161"/>
      <c r="CQ79" s="161"/>
      <c r="CR79" s="161"/>
      <c r="CS79" s="161"/>
      <c r="CT79" s="161"/>
      <c r="CU79" s="136"/>
      <c r="CV79" s="136"/>
      <c r="CW79" s="161"/>
      <c r="CX79" s="161"/>
      <c r="CY79" s="161"/>
      <c r="CZ79" s="161"/>
      <c r="DA79" s="161"/>
      <c r="DB79" s="161"/>
      <c r="DC79" s="161"/>
      <c r="DD79" s="161"/>
      <c r="DE79" s="161"/>
      <c r="DF79" s="161"/>
      <c r="DG79" s="161"/>
      <c r="DH79" s="161"/>
      <c r="DI79" s="136"/>
      <c r="DJ79" s="136"/>
      <c r="DK79" s="161"/>
      <c r="DL79" s="161"/>
      <c r="DM79" s="161"/>
      <c r="DN79" s="161"/>
      <c r="DO79" s="161"/>
      <c r="DP79" s="161"/>
      <c r="DQ79" s="161"/>
      <c r="DR79" s="161"/>
      <c r="DS79" s="161"/>
      <c r="DT79" s="161"/>
      <c r="DU79" s="161"/>
      <c r="DV79" s="161"/>
      <c r="DW79" s="136"/>
      <c r="DX79" s="136"/>
      <c r="DY79" s="161"/>
      <c r="DZ79" s="161"/>
      <c r="EA79" s="161"/>
      <c r="EB79" s="161"/>
      <c r="EC79" s="161"/>
      <c r="ED79" s="161"/>
      <c r="EE79" s="161"/>
      <c r="EF79" s="161"/>
      <c r="EG79" s="161"/>
      <c r="EH79" s="161"/>
      <c r="EI79" s="161"/>
      <c r="EJ79" s="161"/>
      <c r="EK79" s="136"/>
      <c r="EL79" s="136"/>
      <c r="EM79" s="136"/>
      <c r="EN79" s="136"/>
      <c r="EO79" s="136"/>
      <c r="EP79" s="136"/>
      <c r="EQ79" s="136"/>
      <c r="ER79" s="136"/>
      <c r="ES79" s="161"/>
      <c r="ET79" s="161"/>
      <c r="EU79" s="161"/>
      <c r="EV79" s="161"/>
      <c r="EW79" s="161"/>
      <c r="EX79" s="161"/>
      <c r="EY79" s="136"/>
      <c r="EZ79" s="136"/>
      <c r="FA79" s="161"/>
      <c r="FB79" s="161"/>
      <c r="FC79" s="161"/>
      <c r="FD79" s="161"/>
      <c r="FE79" s="161"/>
      <c r="FF79" s="161"/>
      <c r="FG79" s="161"/>
      <c r="FH79" s="161"/>
      <c r="FI79" s="161"/>
      <c r="FJ79" s="161"/>
      <c r="FK79" s="161"/>
      <c r="FL79" s="161"/>
      <c r="FM79" s="136"/>
      <c r="FN79" s="136"/>
      <c r="FO79" s="161"/>
      <c r="FP79" s="161"/>
      <c r="FQ79" s="161"/>
      <c r="FR79" s="161"/>
      <c r="FS79" s="161"/>
      <c r="FT79" s="161"/>
      <c r="FU79" s="161"/>
      <c r="FV79" s="161"/>
      <c r="FW79" s="161"/>
      <c r="FX79" s="161"/>
      <c r="FY79" s="161"/>
      <c r="FZ79" s="161"/>
      <c r="GA79" s="136"/>
      <c r="GB79" s="136"/>
      <c r="GC79" s="161"/>
      <c r="GD79" s="161"/>
      <c r="GE79" s="161"/>
      <c r="GF79" s="161"/>
      <c r="GG79" s="161"/>
      <c r="GH79" s="161"/>
      <c r="GI79" s="161"/>
      <c r="GJ79" s="161"/>
      <c r="GK79" s="161"/>
      <c r="GL79" s="161"/>
      <c r="GM79" s="161"/>
      <c r="GN79" s="161"/>
    </row>
    <row r="80" spans="1:196" hidden="1">
      <c r="A80" s="118"/>
      <c r="B80" s="165" t="s">
        <v>1022</v>
      </c>
      <c r="C80" s="165" t="s">
        <v>752</v>
      </c>
      <c r="D80" s="138"/>
      <c r="E80" s="119"/>
      <c r="F80" s="166"/>
      <c r="G80" s="149">
        <v>20</v>
      </c>
      <c r="H80" s="129"/>
      <c r="I80" s="110">
        <v>46207</v>
      </c>
      <c r="J80" s="111">
        <f t="shared" si="183"/>
        <v>0</v>
      </c>
      <c r="K80" s="139" t="s">
        <v>1024</v>
      </c>
      <c r="L80" s="161"/>
      <c r="M80" s="136"/>
      <c r="N80" s="136"/>
      <c r="O80" s="136"/>
      <c r="P80" s="136"/>
      <c r="Q80" s="136"/>
      <c r="R80" s="136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36"/>
      <c r="AD80" s="136"/>
      <c r="AE80" s="161"/>
      <c r="AF80" s="161"/>
      <c r="AG80" s="161"/>
      <c r="AH80" s="161"/>
      <c r="AI80" s="161"/>
      <c r="AJ80" s="161"/>
      <c r="AK80" s="161"/>
      <c r="AL80" s="161"/>
      <c r="AM80" s="161">
        <v>20</v>
      </c>
      <c r="AN80" s="161"/>
      <c r="AO80" s="161"/>
      <c r="AP80" s="161"/>
      <c r="AQ80" s="136"/>
      <c r="AR80" s="136"/>
      <c r="AS80" s="161"/>
      <c r="AT80" s="161"/>
      <c r="AU80" s="161"/>
      <c r="AV80" s="161"/>
      <c r="AW80" s="161"/>
      <c r="AX80" s="161"/>
      <c r="AY80" s="161"/>
      <c r="AZ80" s="161"/>
      <c r="BA80" s="161"/>
      <c r="BB80" s="161"/>
      <c r="BC80" s="161"/>
      <c r="BD80" s="161"/>
      <c r="BE80" s="136"/>
      <c r="BF80" s="136"/>
      <c r="BG80" s="161"/>
      <c r="BH80" s="161"/>
      <c r="BI80" s="161"/>
      <c r="BJ80" s="161"/>
      <c r="BK80" s="161"/>
      <c r="BL80" s="161"/>
      <c r="BM80" s="161"/>
      <c r="BN80" s="161"/>
      <c r="BO80" s="161"/>
      <c r="BP80" s="161"/>
      <c r="BQ80" s="161"/>
      <c r="BR80" s="161"/>
      <c r="BS80" s="136"/>
      <c r="BT80" s="136"/>
      <c r="BU80" s="161"/>
      <c r="BV80" s="161"/>
      <c r="BW80" s="161"/>
      <c r="BX80" s="161"/>
      <c r="BY80" s="161"/>
      <c r="BZ80" s="161"/>
      <c r="CA80" s="161"/>
      <c r="CB80" s="161"/>
      <c r="CC80" s="161"/>
      <c r="CD80" s="161"/>
      <c r="CE80" s="161"/>
      <c r="CF80" s="161"/>
      <c r="CG80" s="136"/>
      <c r="CH80" s="136"/>
      <c r="CI80" s="161"/>
      <c r="CJ80" s="161"/>
      <c r="CK80" s="161"/>
      <c r="CL80" s="161"/>
      <c r="CM80" s="161"/>
      <c r="CN80" s="161"/>
      <c r="CO80" s="161"/>
      <c r="CP80" s="161"/>
      <c r="CQ80" s="161"/>
      <c r="CR80" s="161"/>
      <c r="CS80" s="161"/>
      <c r="CT80" s="161"/>
      <c r="CU80" s="136"/>
      <c r="CV80" s="136"/>
      <c r="CW80" s="161"/>
      <c r="CX80" s="161"/>
      <c r="CY80" s="161"/>
      <c r="CZ80" s="161"/>
      <c r="DA80" s="161"/>
      <c r="DB80" s="161"/>
      <c r="DC80" s="161"/>
      <c r="DD80" s="161"/>
      <c r="DE80" s="161"/>
      <c r="DF80" s="161"/>
      <c r="DG80" s="161"/>
      <c r="DH80" s="161"/>
      <c r="DI80" s="136"/>
      <c r="DJ80" s="136"/>
      <c r="DK80" s="161"/>
      <c r="DL80" s="161"/>
      <c r="DM80" s="161"/>
      <c r="DN80" s="161"/>
      <c r="DO80" s="161"/>
      <c r="DP80" s="161"/>
      <c r="DQ80" s="161"/>
      <c r="DR80" s="161"/>
      <c r="DS80" s="161"/>
      <c r="DT80" s="161"/>
      <c r="DU80" s="161"/>
      <c r="DV80" s="161"/>
      <c r="DW80" s="136"/>
      <c r="DX80" s="136"/>
      <c r="DY80" s="161"/>
      <c r="DZ80" s="161"/>
      <c r="EA80" s="161"/>
      <c r="EB80" s="161"/>
      <c r="EC80" s="161"/>
      <c r="ED80" s="161"/>
      <c r="EE80" s="161"/>
      <c r="EF80" s="161"/>
      <c r="EG80" s="161"/>
      <c r="EH80" s="161"/>
      <c r="EI80" s="161"/>
      <c r="EJ80" s="161"/>
      <c r="EK80" s="136"/>
      <c r="EL80" s="136"/>
      <c r="EM80" s="136"/>
      <c r="EN80" s="136"/>
      <c r="EO80" s="136"/>
      <c r="EP80" s="136"/>
      <c r="EQ80" s="136"/>
      <c r="ER80" s="136"/>
      <c r="ES80" s="161"/>
      <c r="ET80" s="161"/>
      <c r="EU80" s="161"/>
      <c r="EV80" s="161"/>
      <c r="EW80" s="161"/>
      <c r="EX80" s="161"/>
      <c r="EY80" s="136"/>
      <c r="EZ80" s="136"/>
      <c r="FA80" s="161"/>
      <c r="FB80" s="161"/>
      <c r="FC80" s="161"/>
      <c r="FD80" s="161"/>
      <c r="FE80" s="161"/>
      <c r="FF80" s="161"/>
      <c r="FG80" s="161"/>
      <c r="FH80" s="161"/>
      <c r="FI80" s="161"/>
      <c r="FJ80" s="161"/>
      <c r="FK80" s="161"/>
      <c r="FL80" s="161"/>
      <c r="FM80" s="136"/>
      <c r="FN80" s="136"/>
      <c r="FO80" s="161"/>
      <c r="FP80" s="161"/>
      <c r="FQ80" s="161"/>
      <c r="FR80" s="161"/>
      <c r="FS80" s="161"/>
      <c r="FT80" s="161"/>
      <c r="FU80" s="161"/>
      <c r="FV80" s="161"/>
      <c r="FW80" s="161"/>
      <c r="FX80" s="161"/>
      <c r="FY80" s="161"/>
      <c r="FZ80" s="161"/>
      <c r="GA80" s="136"/>
      <c r="GB80" s="136"/>
      <c r="GC80" s="161"/>
      <c r="GD80" s="161"/>
      <c r="GE80" s="161"/>
      <c r="GF80" s="161"/>
      <c r="GG80" s="161"/>
      <c r="GH80" s="161"/>
      <c r="GI80" s="161"/>
      <c r="GJ80" s="161"/>
      <c r="GK80" s="161"/>
      <c r="GL80" s="161"/>
      <c r="GM80" s="161"/>
      <c r="GN80" s="161"/>
    </row>
    <row r="81" spans="1:196" hidden="1">
      <c r="A81" s="118"/>
      <c r="B81" s="165" t="s">
        <v>1023</v>
      </c>
      <c r="C81" s="165" t="s">
        <v>752</v>
      </c>
      <c r="D81" s="138"/>
      <c r="E81" s="119"/>
      <c r="F81" s="166"/>
      <c r="G81" s="149">
        <v>25</v>
      </c>
      <c r="H81" s="129"/>
      <c r="I81" s="110">
        <v>46207</v>
      </c>
      <c r="J81" s="111">
        <f t="shared" si="183"/>
        <v>0</v>
      </c>
      <c r="K81" s="139" t="s">
        <v>1025</v>
      </c>
      <c r="L81" s="161"/>
      <c r="M81" s="136"/>
      <c r="N81" s="136"/>
      <c r="O81" s="136"/>
      <c r="P81" s="136"/>
      <c r="Q81" s="136"/>
      <c r="R81" s="136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36"/>
      <c r="AD81" s="136"/>
      <c r="AE81" s="161"/>
      <c r="AF81" s="161"/>
      <c r="AG81" s="161"/>
      <c r="AH81" s="161"/>
      <c r="AI81" s="161"/>
      <c r="AJ81" s="161"/>
      <c r="AK81" s="161"/>
      <c r="AL81" s="161"/>
      <c r="AM81" s="161">
        <v>25</v>
      </c>
      <c r="AN81" s="161"/>
      <c r="AO81" s="161"/>
      <c r="AP81" s="161"/>
      <c r="AQ81" s="136"/>
      <c r="AR81" s="136"/>
      <c r="AS81" s="161"/>
      <c r="AT81" s="161"/>
      <c r="AU81" s="161"/>
      <c r="AV81" s="161"/>
      <c r="AW81" s="161"/>
      <c r="AX81" s="161"/>
      <c r="AY81" s="161"/>
      <c r="AZ81" s="161"/>
      <c r="BA81" s="161"/>
      <c r="BB81" s="161"/>
      <c r="BC81" s="161"/>
      <c r="BD81" s="161"/>
      <c r="BE81" s="136"/>
      <c r="BF81" s="136"/>
      <c r="BG81" s="161"/>
      <c r="BH81" s="161"/>
      <c r="BI81" s="161"/>
      <c r="BJ81" s="161"/>
      <c r="BK81" s="161"/>
      <c r="BL81" s="161"/>
      <c r="BM81" s="161"/>
      <c r="BN81" s="161"/>
      <c r="BO81" s="161"/>
      <c r="BP81" s="161"/>
      <c r="BQ81" s="161"/>
      <c r="BR81" s="161"/>
      <c r="BS81" s="136"/>
      <c r="BT81" s="136"/>
      <c r="BU81" s="161"/>
      <c r="BV81" s="161"/>
      <c r="BW81" s="161"/>
      <c r="BX81" s="161"/>
      <c r="BY81" s="161"/>
      <c r="BZ81" s="161"/>
      <c r="CA81" s="161"/>
      <c r="CB81" s="161"/>
      <c r="CC81" s="161"/>
      <c r="CD81" s="161"/>
      <c r="CE81" s="161"/>
      <c r="CF81" s="161"/>
      <c r="CG81" s="136"/>
      <c r="CH81" s="136"/>
      <c r="CI81" s="161"/>
      <c r="CJ81" s="161"/>
      <c r="CK81" s="161"/>
      <c r="CL81" s="161"/>
      <c r="CM81" s="161"/>
      <c r="CN81" s="161"/>
      <c r="CO81" s="161"/>
      <c r="CP81" s="161"/>
      <c r="CQ81" s="161"/>
      <c r="CR81" s="161"/>
      <c r="CS81" s="161"/>
      <c r="CT81" s="161"/>
      <c r="CU81" s="136"/>
      <c r="CV81" s="136"/>
      <c r="CW81" s="161"/>
      <c r="CX81" s="161"/>
      <c r="CY81" s="161"/>
      <c r="CZ81" s="161"/>
      <c r="DA81" s="161"/>
      <c r="DB81" s="161"/>
      <c r="DC81" s="161"/>
      <c r="DD81" s="161"/>
      <c r="DE81" s="161"/>
      <c r="DF81" s="161"/>
      <c r="DG81" s="161"/>
      <c r="DH81" s="161"/>
      <c r="DI81" s="136"/>
      <c r="DJ81" s="136"/>
      <c r="DK81" s="161"/>
      <c r="DL81" s="161"/>
      <c r="DM81" s="161"/>
      <c r="DN81" s="161"/>
      <c r="DO81" s="161"/>
      <c r="DP81" s="161"/>
      <c r="DQ81" s="161"/>
      <c r="DR81" s="161"/>
      <c r="DS81" s="161"/>
      <c r="DT81" s="161"/>
      <c r="DU81" s="161"/>
      <c r="DV81" s="161"/>
      <c r="DW81" s="136"/>
      <c r="DX81" s="136"/>
      <c r="DY81" s="161"/>
      <c r="DZ81" s="161"/>
      <c r="EA81" s="161"/>
      <c r="EB81" s="161"/>
      <c r="EC81" s="161"/>
      <c r="ED81" s="161"/>
      <c r="EE81" s="161"/>
      <c r="EF81" s="161"/>
      <c r="EG81" s="161"/>
      <c r="EH81" s="161"/>
      <c r="EI81" s="161"/>
      <c r="EJ81" s="161"/>
      <c r="EK81" s="136"/>
      <c r="EL81" s="136"/>
      <c r="EM81" s="136"/>
      <c r="EN81" s="136"/>
      <c r="EO81" s="136"/>
      <c r="EP81" s="136"/>
      <c r="EQ81" s="136"/>
      <c r="ER81" s="136"/>
      <c r="ES81" s="161"/>
      <c r="ET81" s="161"/>
      <c r="EU81" s="161"/>
      <c r="EV81" s="161"/>
      <c r="EW81" s="161"/>
      <c r="EX81" s="161"/>
      <c r="EY81" s="136"/>
      <c r="EZ81" s="136"/>
      <c r="FA81" s="161"/>
      <c r="FB81" s="161"/>
      <c r="FC81" s="161"/>
      <c r="FD81" s="161"/>
      <c r="FE81" s="161"/>
      <c r="FF81" s="161"/>
      <c r="FG81" s="161"/>
      <c r="FH81" s="161"/>
      <c r="FI81" s="161"/>
      <c r="FJ81" s="161"/>
      <c r="FK81" s="161"/>
      <c r="FL81" s="161"/>
      <c r="FM81" s="136"/>
      <c r="FN81" s="136"/>
      <c r="FO81" s="161"/>
      <c r="FP81" s="161"/>
      <c r="FQ81" s="161"/>
      <c r="FR81" s="161"/>
      <c r="FS81" s="161"/>
      <c r="FT81" s="161"/>
      <c r="FU81" s="161"/>
      <c r="FV81" s="161"/>
      <c r="FW81" s="161"/>
      <c r="FX81" s="161"/>
      <c r="FY81" s="161"/>
      <c r="FZ81" s="161"/>
      <c r="GA81" s="136"/>
      <c r="GB81" s="136"/>
      <c r="GC81" s="161"/>
      <c r="GD81" s="161"/>
      <c r="GE81" s="161"/>
      <c r="GF81" s="161"/>
      <c r="GG81" s="161"/>
      <c r="GH81" s="161"/>
      <c r="GI81" s="161"/>
      <c r="GJ81" s="161"/>
      <c r="GK81" s="161"/>
      <c r="GL81" s="161"/>
      <c r="GM81" s="161"/>
      <c r="GN81" s="161"/>
    </row>
    <row r="82" spans="1:196" hidden="1">
      <c r="A82" s="118"/>
      <c r="B82" s="165" t="s">
        <v>1029</v>
      </c>
      <c r="C82" s="165" t="s">
        <v>753</v>
      </c>
      <c r="D82" s="138"/>
      <c r="E82" s="119"/>
      <c r="F82" s="166"/>
      <c r="G82" s="149">
        <v>10</v>
      </c>
      <c r="H82" s="129"/>
      <c r="I82" s="110">
        <v>46207</v>
      </c>
      <c r="J82" s="111">
        <f t="shared" si="183"/>
        <v>0</v>
      </c>
      <c r="K82" s="139" t="s">
        <v>971</v>
      </c>
      <c r="L82" s="161"/>
      <c r="M82" s="136"/>
      <c r="N82" s="136"/>
      <c r="O82" s="136"/>
      <c r="P82" s="136"/>
      <c r="Q82" s="136"/>
      <c r="R82" s="136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36"/>
      <c r="AD82" s="136"/>
      <c r="AE82" s="161"/>
      <c r="AF82" s="161"/>
      <c r="AG82" s="161"/>
      <c r="AH82" s="161"/>
      <c r="AI82" s="161"/>
      <c r="AJ82" s="161"/>
      <c r="AK82" s="161"/>
      <c r="AL82" s="161"/>
      <c r="AM82" s="161">
        <v>10</v>
      </c>
      <c r="AN82" s="161"/>
      <c r="AO82" s="161"/>
      <c r="AP82" s="161"/>
      <c r="AQ82" s="136"/>
      <c r="AR82" s="136"/>
      <c r="AS82" s="161"/>
      <c r="AT82" s="161"/>
      <c r="AU82" s="161"/>
      <c r="AV82" s="161"/>
      <c r="AW82" s="161"/>
      <c r="AX82" s="161"/>
      <c r="AY82" s="161"/>
      <c r="AZ82" s="161"/>
      <c r="BA82" s="161"/>
      <c r="BB82" s="161"/>
      <c r="BC82" s="161"/>
      <c r="BD82" s="161"/>
      <c r="BE82" s="136"/>
      <c r="BF82" s="136"/>
      <c r="BG82" s="161"/>
      <c r="BH82" s="161"/>
      <c r="BI82" s="161"/>
      <c r="BJ82" s="161"/>
      <c r="BK82" s="161"/>
      <c r="BL82" s="161"/>
      <c r="BM82" s="161"/>
      <c r="BN82" s="161"/>
      <c r="BO82" s="161"/>
      <c r="BP82" s="161"/>
      <c r="BQ82" s="161"/>
      <c r="BR82" s="161"/>
      <c r="BS82" s="136"/>
      <c r="BT82" s="136"/>
      <c r="BU82" s="161"/>
      <c r="BV82" s="161"/>
      <c r="BW82" s="161"/>
      <c r="BX82" s="161"/>
      <c r="BY82" s="161"/>
      <c r="BZ82" s="161"/>
      <c r="CA82" s="161"/>
      <c r="CB82" s="161"/>
      <c r="CC82" s="161"/>
      <c r="CD82" s="161"/>
      <c r="CE82" s="161"/>
      <c r="CF82" s="161"/>
      <c r="CG82" s="136"/>
      <c r="CH82" s="136"/>
      <c r="CI82" s="161"/>
      <c r="CJ82" s="161"/>
      <c r="CK82" s="161"/>
      <c r="CL82" s="161"/>
      <c r="CM82" s="161"/>
      <c r="CN82" s="161"/>
      <c r="CO82" s="161"/>
      <c r="CP82" s="161"/>
      <c r="CQ82" s="161"/>
      <c r="CR82" s="161"/>
      <c r="CS82" s="161"/>
      <c r="CT82" s="161"/>
      <c r="CU82" s="136"/>
      <c r="CV82" s="136"/>
      <c r="CW82" s="161"/>
      <c r="CX82" s="161"/>
      <c r="CY82" s="161"/>
      <c r="CZ82" s="161"/>
      <c r="DA82" s="161"/>
      <c r="DB82" s="161"/>
      <c r="DC82" s="161"/>
      <c r="DD82" s="161"/>
      <c r="DE82" s="161"/>
      <c r="DF82" s="161"/>
      <c r="DG82" s="161"/>
      <c r="DH82" s="161"/>
      <c r="DI82" s="136"/>
      <c r="DJ82" s="136"/>
      <c r="DK82" s="161"/>
      <c r="DL82" s="161"/>
      <c r="DM82" s="161"/>
      <c r="DN82" s="161"/>
      <c r="DO82" s="161"/>
      <c r="DP82" s="161"/>
      <c r="DQ82" s="161"/>
      <c r="DR82" s="161"/>
      <c r="DS82" s="161"/>
      <c r="DT82" s="161"/>
      <c r="DU82" s="161"/>
      <c r="DV82" s="161"/>
      <c r="DW82" s="136"/>
      <c r="DX82" s="136"/>
      <c r="DY82" s="161"/>
      <c r="DZ82" s="161"/>
      <c r="EA82" s="161"/>
      <c r="EB82" s="161"/>
      <c r="EC82" s="161"/>
      <c r="ED82" s="161"/>
      <c r="EE82" s="161"/>
      <c r="EF82" s="161"/>
      <c r="EG82" s="161"/>
      <c r="EH82" s="161"/>
      <c r="EI82" s="161"/>
      <c r="EJ82" s="161"/>
      <c r="EK82" s="136"/>
      <c r="EL82" s="136"/>
      <c r="EM82" s="136"/>
      <c r="EN82" s="136"/>
      <c r="EO82" s="136"/>
      <c r="EP82" s="136"/>
      <c r="EQ82" s="136"/>
      <c r="ER82" s="136"/>
      <c r="ES82" s="161"/>
      <c r="ET82" s="161"/>
      <c r="EU82" s="161"/>
      <c r="EV82" s="161"/>
      <c r="EW82" s="161"/>
      <c r="EX82" s="161"/>
      <c r="EY82" s="136"/>
      <c r="EZ82" s="136"/>
      <c r="FA82" s="161"/>
      <c r="FB82" s="161"/>
      <c r="FC82" s="161"/>
      <c r="FD82" s="161"/>
      <c r="FE82" s="161"/>
      <c r="FF82" s="161"/>
      <c r="FG82" s="161"/>
      <c r="FH82" s="161"/>
      <c r="FI82" s="161"/>
      <c r="FJ82" s="161"/>
      <c r="FK82" s="161"/>
      <c r="FL82" s="161"/>
      <c r="FM82" s="136"/>
      <c r="FN82" s="136"/>
      <c r="FO82" s="161"/>
      <c r="FP82" s="161"/>
      <c r="FQ82" s="161"/>
      <c r="FR82" s="161"/>
      <c r="FS82" s="161"/>
      <c r="FT82" s="161"/>
      <c r="FU82" s="161"/>
      <c r="FV82" s="161"/>
      <c r="FW82" s="161"/>
      <c r="FX82" s="161"/>
      <c r="FY82" s="161"/>
      <c r="FZ82" s="161"/>
      <c r="GA82" s="136"/>
      <c r="GB82" s="136"/>
      <c r="GC82" s="161"/>
      <c r="GD82" s="161"/>
      <c r="GE82" s="161"/>
      <c r="GF82" s="161"/>
      <c r="GG82" s="161"/>
      <c r="GH82" s="161"/>
      <c r="GI82" s="161"/>
      <c r="GJ82" s="161"/>
      <c r="GK82" s="161"/>
      <c r="GL82" s="161"/>
      <c r="GM82" s="161"/>
      <c r="GN82" s="161"/>
    </row>
    <row r="83" spans="1:196" hidden="1">
      <c r="A83" s="118"/>
      <c r="B83" s="165" t="s">
        <v>1038</v>
      </c>
      <c r="C83" s="165" t="s">
        <v>753</v>
      </c>
      <c r="D83" s="138"/>
      <c r="E83" s="119"/>
      <c r="F83" s="166"/>
      <c r="G83" s="149">
        <v>2</v>
      </c>
      <c r="H83" s="129"/>
      <c r="I83" s="110">
        <v>46207</v>
      </c>
      <c r="J83" s="111">
        <f t="shared" si="183"/>
        <v>0</v>
      </c>
      <c r="K83" s="139" t="s">
        <v>971</v>
      </c>
      <c r="L83" s="161"/>
      <c r="M83" s="136"/>
      <c r="N83" s="136"/>
      <c r="O83" s="136"/>
      <c r="P83" s="136"/>
      <c r="Q83" s="136"/>
      <c r="R83" s="136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36"/>
      <c r="AD83" s="136"/>
      <c r="AE83" s="161"/>
      <c r="AF83" s="161"/>
      <c r="AG83" s="161"/>
      <c r="AH83" s="161"/>
      <c r="AI83" s="161"/>
      <c r="AJ83" s="161"/>
      <c r="AK83" s="161"/>
      <c r="AL83" s="161"/>
      <c r="AM83" s="161">
        <v>2</v>
      </c>
      <c r="AN83" s="161"/>
      <c r="AO83" s="161"/>
      <c r="AP83" s="161"/>
      <c r="AQ83" s="136"/>
      <c r="AR83" s="136"/>
      <c r="AS83" s="161"/>
      <c r="AT83" s="161"/>
      <c r="AU83" s="161"/>
      <c r="AV83" s="161"/>
      <c r="AW83" s="161"/>
      <c r="AX83" s="161"/>
      <c r="AY83" s="161"/>
      <c r="AZ83" s="161"/>
      <c r="BA83" s="161"/>
      <c r="BB83" s="161"/>
      <c r="BC83" s="161"/>
      <c r="BD83" s="161"/>
      <c r="BE83" s="136"/>
      <c r="BF83" s="136"/>
      <c r="BG83" s="161"/>
      <c r="BH83" s="161"/>
      <c r="BI83" s="161"/>
      <c r="BJ83" s="161"/>
      <c r="BK83" s="161"/>
      <c r="BL83" s="161"/>
      <c r="BM83" s="161"/>
      <c r="BN83" s="161"/>
      <c r="BO83" s="161"/>
      <c r="BP83" s="161"/>
      <c r="BQ83" s="161"/>
      <c r="BR83" s="161"/>
      <c r="BS83" s="136"/>
      <c r="BT83" s="136"/>
      <c r="BU83" s="161"/>
      <c r="BV83" s="161"/>
      <c r="BW83" s="161"/>
      <c r="BX83" s="161"/>
      <c r="BY83" s="161"/>
      <c r="BZ83" s="161"/>
      <c r="CA83" s="161"/>
      <c r="CB83" s="161"/>
      <c r="CC83" s="161"/>
      <c r="CD83" s="161"/>
      <c r="CE83" s="161"/>
      <c r="CF83" s="161"/>
      <c r="CG83" s="136"/>
      <c r="CH83" s="136"/>
      <c r="CI83" s="161"/>
      <c r="CJ83" s="161"/>
      <c r="CK83" s="161"/>
      <c r="CL83" s="161"/>
      <c r="CM83" s="161"/>
      <c r="CN83" s="161"/>
      <c r="CO83" s="161"/>
      <c r="CP83" s="161"/>
      <c r="CQ83" s="161"/>
      <c r="CR83" s="161"/>
      <c r="CS83" s="161"/>
      <c r="CT83" s="161"/>
      <c r="CU83" s="136"/>
      <c r="CV83" s="136"/>
      <c r="CW83" s="161"/>
      <c r="CX83" s="161"/>
      <c r="CY83" s="161"/>
      <c r="CZ83" s="161"/>
      <c r="DA83" s="161"/>
      <c r="DB83" s="161"/>
      <c r="DC83" s="161"/>
      <c r="DD83" s="161"/>
      <c r="DE83" s="161"/>
      <c r="DF83" s="161"/>
      <c r="DG83" s="161"/>
      <c r="DH83" s="161"/>
      <c r="DI83" s="136"/>
      <c r="DJ83" s="136"/>
      <c r="DK83" s="161"/>
      <c r="DL83" s="161"/>
      <c r="DM83" s="161"/>
      <c r="DN83" s="161"/>
      <c r="DO83" s="161"/>
      <c r="DP83" s="161"/>
      <c r="DQ83" s="161"/>
      <c r="DR83" s="161"/>
      <c r="DS83" s="161"/>
      <c r="DT83" s="161"/>
      <c r="DU83" s="161"/>
      <c r="DV83" s="161"/>
      <c r="DW83" s="136"/>
      <c r="DX83" s="136"/>
      <c r="DY83" s="161"/>
      <c r="DZ83" s="161"/>
      <c r="EA83" s="161"/>
      <c r="EB83" s="161"/>
      <c r="EC83" s="161"/>
      <c r="ED83" s="161"/>
      <c r="EE83" s="161"/>
      <c r="EF83" s="161"/>
      <c r="EG83" s="161"/>
      <c r="EH83" s="161"/>
      <c r="EI83" s="161"/>
      <c r="EJ83" s="161"/>
      <c r="EK83" s="136"/>
      <c r="EL83" s="136"/>
      <c r="EM83" s="136"/>
      <c r="EN83" s="136"/>
      <c r="EO83" s="136"/>
      <c r="EP83" s="136"/>
      <c r="EQ83" s="136"/>
      <c r="ER83" s="136"/>
      <c r="ES83" s="161"/>
      <c r="ET83" s="161"/>
      <c r="EU83" s="161"/>
      <c r="EV83" s="161"/>
      <c r="EW83" s="161"/>
      <c r="EX83" s="161"/>
      <c r="EY83" s="136"/>
      <c r="EZ83" s="136"/>
      <c r="FA83" s="161"/>
      <c r="FB83" s="161"/>
      <c r="FC83" s="161"/>
      <c r="FD83" s="161"/>
      <c r="FE83" s="161"/>
      <c r="FF83" s="161"/>
      <c r="FG83" s="161"/>
      <c r="FH83" s="161"/>
      <c r="FI83" s="161"/>
      <c r="FJ83" s="161"/>
      <c r="FK83" s="161"/>
      <c r="FL83" s="161"/>
      <c r="FM83" s="136"/>
      <c r="FN83" s="136"/>
      <c r="FO83" s="161"/>
      <c r="FP83" s="161"/>
      <c r="FQ83" s="161"/>
      <c r="FR83" s="161"/>
      <c r="FS83" s="161"/>
      <c r="FT83" s="161"/>
      <c r="FU83" s="161"/>
      <c r="FV83" s="161"/>
      <c r="FW83" s="161"/>
      <c r="FX83" s="161"/>
      <c r="FY83" s="161"/>
      <c r="FZ83" s="161"/>
      <c r="GA83" s="136"/>
      <c r="GB83" s="136"/>
      <c r="GC83" s="161"/>
      <c r="GD83" s="161"/>
      <c r="GE83" s="161"/>
      <c r="GF83" s="161"/>
      <c r="GG83" s="161"/>
      <c r="GH83" s="161"/>
      <c r="GI83" s="161"/>
      <c r="GJ83" s="161"/>
      <c r="GK83" s="161"/>
      <c r="GL83" s="161"/>
      <c r="GM83" s="161"/>
      <c r="GN83" s="161"/>
    </row>
    <row r="84" spans="1:196" hidden="1">
      <c r="A84" s="118"/>
      <c r="B84" s="116" t="s">
        <v>890</v>
      </c>
      <c r="C84" s="116" t="s">
        <v>217</v>
      </c>
      <c r="D84" s="119"/>
      <c r="E84" s="119" t="e">
        <f>VLOOKUP(C84,#REF!,5,0)</f>
        <v>#REF!</v>
      </c>
      <c r="F84" s="107">
        <v>46210</v>
      </c>
      <c r="G84" s="117">
        <v>110</v>
      </c>
      <c r="H84" s="6"/>
      <c r="I84" s="125">
        <v>46207</v>
      </c>
      <c r="J84" s="13">
        <f t="shared" si="183"/>
        <v>0</v>
      </c>
      <c r="K84" s="153" t="s">
        <v>1094</v>
      </c>
      <c r="L84" s="161"/>
      <c r="M84" s="136"/>
      <c r="N84" s="136"/>
      <c r="O84" s="136"/>
      <c r="P84" s="136"/>
      <c r="Q84" s="136"/>
      <c r="R84" s="136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36"/>
      <c r="AD84" s="136"/>
      <c r="AE84" s="161"/>
      <c r="AF84" s="161"/>
      <c r="AG84" s="161"/>
      <c r="AH84" s="161"/>
      <c r="AI84" s="161">
        <v>18</v>
      </c>
      <c r="AJ84" s="161"/>
      <c r="AK84" s="161"/>
      <c r="AL84" s="161"/>
      <c r="AM84" s="161"/>
      <c r="AN84" s="161"/>
      <c r="AO84" s="161"/>
      <c r="AP84" s="161"/>
      <c r="AQ84" s="136"/>
      <c r="AR84" s="136"/>
      <c r="AS84" s="161"/>
      <c r="AT84" s="161"/>
      <c r="AU84" s="161">
        <v>92</v>
      </c>
      <c r="AV84" s="161"/>
      <c r="AW84" s="161"/>
      <c r="AX84" s="161"/>
      <c r="AY84" s="161"/>
      <c r="AZ84" s="161"/>
      <c r="BA84" s="161"/>
      <c r="BB84" s="161"/>
      <c r="BC84" s="161"/>
      <c r="BD84" s="161"/>
      <c r="BE84" s="136"/>
      <c r="BF84" s="136"/>
      <c r="BG84" s="161"/>
      <c r="BH84" s="161"/>
      <c r="BI84" s="161"/>
      <c r="BJ84" s="161"/>
      <c r="BK84" s="161"/>
      <c r="BL84" s="161"/>
      <c r="BM84" s="161"/>
      <c r="BN84" s="161"/>
      <c r="BO84" s="161"/>
      <c r="BP84" s="161"/>
      <c r="BQ84" s="161"/>
      <c r="BR84" s="161"/>
      <c r="BS84" s="136"/>
      <c r="BT84" s="136"/>
      <c r="BU84" s="161"/>
      <c r="BV84" s="161"/>
      <c r="BW84" s="161"/>
      <c r="BX84" s="161"/>
      <c r="BY84" s="161"/>
      <c r="BZ84" s="161"/>
      <c r="CA84" s="161"/>
      <c r="CB84" s="161"/>
      <c r="CC84" s="161"/>
      <c r="CD84" s="161"/>
      <c r="CE84" s="161"/>
      <c r="CF84" s="161"/>
      <c r="CG84" s="136"/>
      <c r="CH84" s="136"/>
      <c r="CI84" s="161"/>
      <c r="CJ84" s="161"/>
      <c r="CK84" s="161"/>
      <c r="CL84" s="161"/>
      <c r="CM84" s="161"/>
      <c r="CN84" s="161"/>
      <c r="CO84" s="161"/>
      <c r="CP84" s="161"/>
      <c r="CQ84" s="161"/>
      <c r="CR84" s="161"/>
      <c r="CS84" s="161"/>
      <c r="CT84" s="161"/>
      <c r="CU84" s="136"/>
      <c r="CV84" s="136"/>
      <c r="CW84" s="161"/>
      <c r="CX84" s="161"/>
      <c r="CY84" s="161"/>
      <c r="CZ84" s="161"/>
      <c r="DA84" s="161"/>
      <c r="DB84" s="161"/>
      <c r="DC84" s="161"/>
      <c r="DD84" s="161"/>
      <c r="DE84" s="161"/>
      <c r="DF84" s="161"/>
      <c r="DG84" s="161"/>
      <c r="DH84" s="161"/>
      <c r="DI84" s="136"/>
      <c r="DJ84" s="136"/>
      <c r="DK84" s="161"/>
      <c r="DL84" s="161"/>
      <c r="DM84" s="161"/>
      <c r="DN84" s="161"/>
      <c r="DO84" s="161"/>
      <c r="DP84" s="161"/>
      <c r="DQ84" s="161"/>
      <c r="DR84" s="161"/>
      <c r="DS84" s="161"/>
      <c r="DT84" s="161"/>
      <c r="DU84" s="161"/>
      <c r="DV84" s="161"/>
      <c r="DW84" s="136"/>
      <c r="DX84" s="136"/>
      <c r="DY84" s="161"/>
      <c r="DZ84" s="161"/>
      <c r="EA84" s="161"/>
      <c r="EB84" s="161"/>
      <c r="EC84" s="161"/>
      <c r="ED84" s="161"/>
      <c r="EE84" s="161"/>
      <c r="EF84" s="161"/>
      <c r="EG84" s="161"/>
      <c r="EH84" s="161"/>
      <c r="EI84" s="161"/>
      <c r="EJ84" s="161"/>
      <c r="EK84" s="136"/>
      <c r="EL84" s="136"/>
      <c r="EM84" s="136"/>
      <c r="EN84" s="136"/>
      <c r="EO84" s="136"/>
      <c r="EP84" s="136"/>
      <c r="EQ84" s="136"/>
      <c r="ER84" s="136"/>
      <c r="ES84" s="161"/>
      <c r="ET84" s="161"/>
      <c r="EU84" s="161"/>
      <c r="EV84" s="161"/>
      <c r="EW84" s="161"/>
      <c r="EX84" s="161"/>
      <c r="EY84" s="136"/>
      <c r="EZ84" s="136"/>
      <c r="FA84" s="161"/>
      <c r="FB84" s="161"/>
      <c r="FC84" s="161"/>
      <c r="FD84" s="161"/>
      <c r="FE84" s="161"/>
      <c r="FF84" s="161"/>
      <c r="FG84" s="161"/>
      <c r="FH84" s="161"/>
      <c r="FI84" s="161"/>
      <c r="FJ84" s="161"/>
      <c r="FK84" s="161"/>
      <c r="FL84" s="161"/>
      <c r="FM84" s="136"/>
      <c r="FN84" s="136"/>
      <c r="FO84" s="161"/>
      <c r="FP84" s="161"/>
      <c r="FQ84" s="161"/>
      <c r="FR84" s="161"/>
      <c r="FS84" s="161"/>
      <c r="FT84" s="161"/>
      <c r="FU84" s="161"/>
      <c r="FV84" s="161"/>
      <c r="FW84" s="161"/>
      <c r="FX84" s="161"/>
      <c r="FY84" s="161"/>
      <c r="FZ84" s="161"/>
      <c r="GA84" s="136"/>
      <c r="GB84" s="136"/>
      <c r="GC84" s="161"/>
      <c r="GD84" s="161"/>
      <c r="GE84" s="161"/>
      <c r="GF84" s="161"/>
      <c r="GG84" s="161"/>
      <c r="GH84" s="161"/>
      <c r="GI84" s="161"/>
      <c r="GJ84" s="161"/>
      <c r="GK84" s="161"/>
      <c r="GL84" s="161"/>
      <c r="GM84" s="161"/>
      <c r="GN84" s="161"/>
    </row>
    <row r="85" spans="1:196" hidden="1">
      <c r="A85" s="118"/>
      <c r="B85" s="116" t="s">
        <v>757</v>
      </c>
      <c r="C85" s="116" t="s">
        <v>216</v>
      </c>
      <c r="D85" s="119"/>
      <c r="E85" s="119" t="e">
        <f>VLOOKUP(C85,#REF!,5,0)</f>
        <v>#REF!</v>
      </c>
      <c r="F85" s="107">
        <v>46210</v>
      </c>
      <c r="G85" s="117">
        <v>280</v>
      </c>
      <c r="H85" s="6"/>
      <c r="I85" s="125">
        <v>46207</v>
      </c>
      <c r="J85" s="13">
        <f t="shared" si="183"/>
        <v>0</v>
      </c>
      <c r="K85" s="153" t="s">
        <v>1095</v>
      </c>
      <c r="L85" s="161"/>
      <c r="M85" s="136"/>
      <c r="N85" s="136"/>
      <c r="O85" s="136"/>
      <c r="P85" s="136"/>
      <c r="Q85" s="136"/>
      <c r="R85" s="136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36"/>
      <c r="AD85" s="136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36"/>
      <c r="AR85" s="136"/>
      <c r="AS85" s="161"/>
      <c r="AT85" s="161"/>
      <c r="AU85" s="161">
        <v>92</v>
      </c>
      <c r="AV85" s="161"/>
      <c r="AW85" s="161">
        <v>188</v>
      </c>
      <c r="AX85" s="161"/>
      <c r="AY85" s="161"/>
      <c r="AZ85" s="161"/>
      <c r="BA85" s="161"/>
      <c r="BB85" s="161"/>
      <c r="BC85" s="161"/>
      <c r="BD85" s="161"/>
      <c r="BE85" s="136"/>
      <c r="BF85" s="136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36"/>
      <c r="BT85" s="136"/>
      <c r="BU85" s="161"/>
      <c r="BV85" s="161"/>
      <c r="BW85" s="161"/>
      <c r="BX85" s="161"/>
      <c r="BY85" s="161"/>
      <c r="BZ85" s="161"/>
      <c r="CA85" s="161"/>
      <c r="CB85" s="161"/>
      <c r="CC85" s="161"/>
      <c r="CD85" s="161"/>
      <c r="CE85" s="161"/>
      <c r="CF85" s="161"/>
      <c r="CG85" s="136"/>
      <c r="CH85" s="136"/>
      <c r="CI85" s="161"/>
      <c r="CJ85" s="161"/>
      <c r="CK85" s="161"/>
      <c r="CL85" s="161"/>
      <c r="CM85" s="161"/>
      <c r="CN85" s="161"/>
      <c r="CO85" s="161"/>
      <c r="CP85" s="161"/>
      <c r="CQ85" s="161"/>
      <c r="CR85" s="161"/>
      <c r="CS85" s="161"/>
      <c r="CT85" s="161"/>
      <c r="CU85" s="136"/>
      <c r="CV85" s="136"/>
      <c r="CW85" s="161"/>
      <c r="CX85" s="161"/>
      <c r="CY85" s="161"/>
      <c r="CZ85" s="161"/>
      <c r="DA85" s="161"/>
      <c r="DB85" s="161"/>
      <c r="DC85" s="161"/>
      <c r="DD85" s="161"/>
      <c r="DE85" s="161"/>
      <c r="DF85" s="161"/>
      <c r="DG85" s="161"/>
      <c r="DH85" s="161"/>
      <c r="DI85" s="136"/>
      <c r="DJ85" s="136"/>
      <c r="DK85" s="161"/>
      <c r="DL85" s="161"/>
      <c r="DM85" s="161"/>
      <c r="DN85" s="161"/>
      <c r="DO85" s="161"/>
      <c r="DP85" s="161"/>
      <c r="DQ85" s="161"/>
      <c r="DR85" s="161"/>
      <c r="DS85" s="161"/>
      <c r="DT85" s="161"/>
      <c r="DU85" s="161"/>
      <c r="DV85" s="161"/>
      <c r="DW85" s="136"/>
      <c r="DX85" s="136"/>
      <c r="DY85" s="161"/>
      <c r="DZ85" s="161"/>
      <c r="EA85" s="161"/>
      <c r="EB85" s="161"/>
      <c r="EC85" s="161"/>
      <c r="ED85" s="161"/>
      <c r="EE85" s="161"/>
      <c r="EF85" s="161"/>
      <c r="EG85" s="161"/>
      <c r="EH85" s="161"/>
      <c r="EI85" s="161"/>
      <c r="EJ85" s="161"/>
      <c r="EK85" s="136"/>
      <c r="EL85" s="136"/>
      <c r="EM85" s="136"/>
      <c r="EN85" s="136"/>
      <c r="EO85" s="136"/>
      <c r="EP85" s="136"/>
      <c r="EQ85" s="136"/>
      <c r="ER85" s="136"/>
      <c r="ES85" s="161"/>
      <c r="ET85" s="161"/>
      <c r="EU85" s="161"/>
      <c r="EV85" s="161"/>
      <c r="EW85" s="161"/>
      <c r="EX85" s="161"/>
      <c r="EY85" s="136"/>
      <c r="EZ85" s="136"/>
      <c r="FA85" s="161"/>
      <c r="FB85" s="161"/>
      <c r="FC85" s="161"/>
      <c r="FD85" s="161"/>
      <c r="FE85" s="161"/>
      <c r="FF85" s="161"/>
      <c r="FG85" s="161"/>
      <c r="FH85" s="161"/>
      <c r="FI85" s="161"/>
      <c r="FJ85" s="161"/>
      <c r="FK85" s="161"/>
      <c r="FL85" s="161"/>
      <c r="FM85" s="136"/>
      <c r="FN85" s="136"/>
      <c r="FO85" s="161"/>
      <c r="FP85" s="161"/>
      <c r="FQ85" s="161"/>
      <c r="FR85" s="161"/>
      <c r="FS85" s="161"/>
      <c r="FT85" s="161"/>
      <c r="FU85" s="161"/>
      <c r="FV85" s="161"/>
      <c r="FW85" s="161"/>
      <c r="FX85" s="161"/>
      <c r="FY85" s="161"/>
      <c r="FZ85" s="161"/>
      <c r="GA85" s="136"/>
      <c r="GB85" s="136"/>
      <c r="GC85" s="161"/>
      <c r="GD85" s="161"/>
      <c r="GE85" s="161"/>
      <c r="GF85" s="161"/>
      <c r="GG85" s="161"/>
      <c r="GH85" s="161"/>
      <c r="GI85" s="161"/>
      <c r="GJ85" s="161"/>
      <c r="GK85" s="161"/>
      <c r="GL85" s="161"/>
      <c r="GM85" s="161"/>
      <c r="GN85" s="161"/>
    </row>
    <row r="86" spans="1:196" hidden="1">
      <c r="A86" s="118"/>
      <c r="B86" s="116" t="s">
        <v>1035</v>
      </c>
      <c r="C86" s="116" t="s">
        <v>216</v>
      </c>
      <c r="D86" s="119"/>
      <c r="E86" s="119" t="e">
        <f>VLOOKUP(C86,#REF!,5,0)</f>
        <v>#REF!</v>
      </c>
      <c r="F86" s="107">
        <v>46211</v>
      </c>
      <c r="G86" s="117">
        <v>56</v>
      </c>
      <c r="H86" s="6"/>
      <c r="I86" s="125">
        <v>46207</v>
      </c>
      <c r="J86" s="13">
        <f t="shared" si="183"/>
        <v>0</v>
      </c>
      <c r="K86" s="153" t="s">
        <v>1095</v>
      </c>
      <c r="L86" s="161"/>
      <c r="M86" s="136"/>
      <c r="N86" s="136"/>
      <c r="O86" s="136"/>
      <c r="P86" s="136"/>
      <c r="Q86" s="136"/>
      <c r="R86" s="136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36"/>
      <c r="AD86" s="136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36"/>
      <c r="AR86" s="136"/>
      <c r="AS86" s="161"/>
      <c r="AT86" s="161"/>
      <c r="AU86" s="161"/>
      <c r="AV86" s="161"/>
      <c r="AW86" s="161">
        <v>56</v>
      </c>
      <c r="AX86" s="161"/>
      <c r="AY86" s="161"/>
      <c r="AZ86" s="161"/>
      <c r="BA86" s="161"/>
      <c r="BB86" s="161"/>
      <c r="BC86" s="161"/>
      <c r="BD86" s="161"/>
      <c r="BE86" s="136"/>
      <c r="BF86" s="136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36"/>
      <c r="BT86" s="136"/>
      <c r="BU86" s="161"/>
      <c r="BV86" s="161"/>
      <c r="BW86" s="161"/>
      <c r="BX86" s="161"/>
      <c r="BY86" s="161"/>
      <c r="BZ86" s="161"/>
      <c r="CA86" s="161"/>
      <c r="CB86" s="161"/>
      <c r="CC86" s="161"/>
      <c r="CD86" s="161"/>
      <c r="CE86" s="161"/>
      <c r="CF86" s="161"/>
      <c r="CG86" s="136"/>
      <c r="CH86" s="136"/>
      <c r="CI86" s="161"/>
      <c r="CJ86" s="161"/>
      <c r="CK86" s="161"/>
      <c r="CL86" s="161"/>
      <c r="CM86" s="161"/>
      <c r="CN86" s="161"/>
      <c r="CO86" s="161"/>
      <c r="CP86" s="161"/>
      <c r="CQ86" s="161"/>
      <c r="CR86" s="161"/>
      <c r="CS86" s="161"/>
      <c r="CT86" s="161"/>
      <c r="CU86" s="136"/>
      <c r="CV86" s="136"/>
      <c r="CW86" s="161"/>
      <c r="CX86" s="161"/>
      <c r="CY86" s="161"/>
      <c r="CZ86" s="161"/>
      <c r="DA86" s="161"/>
      <c r="DB86" s="161"/>
      <c r="DC86" s="161"/>
      <c r="DD86" s="161"/>
      <c r="DE86" s="161"/>
      <c r="DF86" s="161"/>
      <c r="DG86" s="161"/>
      <c r="DH86" s="161"/>
      <c r="DI86" s="136"/>
      <c r="DJ86" s="136"/>
      <c r="DK86" s="161"/>
      <c r="DL86" s="161"/>
      <c r="DM86" s="161"/>
      <c r="DN86" s="161"/>
      <c r="DO86" s="161"/>
      <c r="DP86" s="161"/>
      <c r="DQ86" s="161"/>
      <c r="DR86" s="161"/>
      <c r="DS86" s="161"/>
      <c r="DT86" s="161"/>
      <c r="DU86" s="161"/>
      <c r="DV86" s="161"/>
      <c r="DW86" s="136"/>
      <c r="DX86" s="136"/>
      <c r="DY86" s="161"/>
      <c r="DZ86" s="161"/>
      <c r="EA86" s="161"/>
      <c r="EB86" s="161"/>
      <c r="EC86" s="161"/>
      <c r="ED86" s="161"/>
      <c r="EE86" s="161"/>
      <c r="EF86" s="161"/>
      <c r="EG86" s="161"/>
      <c r="EH86" s="161"/>
      <c r="EI86" s="161"/>
      <c r="EJ86" s="161"/>
      <c r="EK86" s="136"/>
      <c r="EL86" s="136"/>
      <c r="EM86" s="136"/>
      <c r="EN86" s="136"/>
      <c r="EO86" s="136"/>
      <c r="EP86" s="136"/>
      <c r="EQ86" s="136"/>
      <c r="ER86" s="136"/>
      <c r="ES86" s="161"/>
      <c r="ET86" s="161"/>
      <c r="EU86" s="161"/>
      <c r="EV86" s="161"/>
      <c r="EW86" s="161"/>
      <c r="EX86" s="161"/>
      <c r="EY86" s="136"/>
      <c r="EZ86" s="136"/>
      <c r="FA86" s="161"/>
      <c r="FB86" s="161"/>
      <c r="FC86" s="161"/>
      <c r="FD86" s="161"/>
      <c r="FE86" s="161"/>
      <c r="FF86" s="161"/>
      <c r="FG86" s="161"/>
      <c r="FH86" s="161"/>
      <c r="FI86" s="161"/>
      <c r="FJ86" s="161"/>
      <c r="FK86" s="161"/>
      <c r="FL86" s="161"/>
      <c r="FM86" s="136"/>
      <c r="FN86" s="136"/>
      <c r="FO86" s="161"/>
      <c r="FP86" s="161"/>
      <c r="FQ86" s="161"/>
      <c r="FR86" s="161"/>
      <c r="FS86" s="161"/>
      <c r="FT86" s="161"/>
      <c r="FU86" s="161"/>
      <c r="FV86" s="161"/>
      <c r="FW86" s="161"/>
      <c r="FX86" s="161"/>
      <c r="FY86" s="161"/>
      <c r="FZ86" s="161"/>
      <c r="GA86" s="136"/>
      <c r="GB86" s="136"/>
      <c r="GC86" s="161"/>
      <c r="GD86" s="161"/>
      <c r="GE86" s="161"/>
      <c r="GF86" s="161"/>
      <c r="GG86" s="161"/>
      <c r="GH86" s="161"/>
      <c r="GI86" s="161"/>
      <c r="GJ86" s="161"/>
      <c r="GK86" s="161"/>
      <c r="GL86" s="161"/>
      <c r="GM86" s="161"/>
      <c r="GN86" s="161"/>
    </row>
    <row r="87" spans="1:196" ht="29" hidden="1" customHeight="1">
      <c r="A87" s="118"/>
      <c r="B87" s="137" t="s">
        <v>1045</v>
      </c>
      <c r="C87" s="12" t="s">
        <v>983</v>
      </c>
      <c r="D87" s="119"/>
      <c r="E87" s="119"/>
      <c r="F87" s="133">
        <v>46216</v>
      </c>
      <c r="G87" s="95">
        <v>49</v>
      </c>
      <c r="H87" s="133"/>
      <c r="I87" s="108">
        <v>46217</v>
      </c>
      <c r="J87" s="134">
        <f t="shared" si="183"/>
        <v>0</v>
      </c>
      <c r="K87" s="175" t="s">
        <v>1100</v>
      </c>
      <c r="L87" s="161"/>
      <c r="M87" s="136"/>
      <c r="N87" s="136"/>
      <c r="O87" s="136"/>
      <c r="P87" s="136"/>
      <c r="Q87" s="136"/>
      <c r="R87" s="136"/>
      <c r="S87" s="161"/>
      <c r="T87" s="161"/>
      <c r="U87" s="161"/>
      <c r="V87" s="161"/>
      <c r="W87" s="135"/>
      <c r="X87" s="135"/>
      <c r="Y87" s="135"/>
      <c r="Z87" s="135"/>
      <c r="AA87" s="135"/>
      <c r="AB87" s="135"/>
      <c r="AC87" s="136"/>
      <c r="AD87" s="136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35"/>
      <c r="AQ87" s="136"/>
      <c r="AR87" s="136"/>
      <c r="AS87" s="135"/>
      <c r="AT87" s="135"/>
      <c r="AU87" s="161">
        <v>2</v>
      </c>
      <c r="AV87" s="161"/>
      <c r="AW87" s="161"/>
      <c r="AX87" s="161"/>
      <c r="AY87" s="161">
        <v>2</v>
      </c>
      <c r="AZ87" s="161"/>
      <c r="BA87" s="161">
        <v>8</v>
      </c>
      <c r="BB87" s="161"/>
      <c r="BC87" s="161"/>
      <c r="BD87" s="161"/>
      <c r="BE87" s="136"/>
      <c r="BF87" s="136"/>
      <c r="BG87" s="161"/>
      <c r="BH87" s="161"/>
      <c r="BI87" s="161">
        <v>37</v>
      </c>
      <c r="BJ87" s="161"/>
      <c r="BK87" s="161"/>
      <c r="BL87" s="161"/>
      <c r="BM87" s="161" t="s">
        <v>14</v>
      </c>
      <c r="BN87" s="135"/>
      <c r="BO87" s="161"/>
      <c r="BP87" s="135"/>
      <c r="BQ87" s="135"/>
      <c r="BR87" s="135"/>
      <c r="BS87" s="136"/>
      <c r="BT87" s="136"/>
      <c r="BU87" s="161"/>
      <c r="BV87" s="161"/>
      <c r="BW87" s="161"/>
      <c r="BX87" s="161"/>
      <c r="BY87" s="161"/>
      <c r="BZ87" s="161"/>
      <c r="CA87" s="135"/>
      <c r="CB87" s="135"/>
      <c r="CC87" s="135"/>
      <c r="CD87" s="135"/>
      <c r="CE87" s="135"/>
      <c r="CF87" s="135"/>
      <c r="CG87" s="136"/>
      <c r="CH87" s="136"/>
      <c r="CI87" s="161"/>
      <c r="CJ87" s="161"/>
      <c r="CK87" s="161"/>
      <c r="CL87" s="161"/>
      <c r="CM87" s="161"/>
      <c r="CN87" s="161"/>
      <c r="CO87" s="135"/>
      <c r="CP87" s="135"/>
      <c r="CQ87" s="135"/>
      <c r="CR87" s="135"/>
      <c r="CS87" s="135"/>
      <c r="CT87" s="135"/>
      <c r="CU87" s="136"/>
      <c r="CV87" s="136"/>
      <c r="CW87" s="161"/>
      <c r="CX87" s="161"/>
      <c r="CY87" s="161"/>
      <c r="CZ87" s="161"/>
      <c r="DA87" s="161"/>
      <c r="DB87" s="161"/>
      <c r="DC87" s="135"/>
      <c r="DD87" s="135"/>
      <c r="DE87" s="135"/>
      <c r="DF87" s="135"/>
      <c r="DG87" s="135"/>
      <c r="DH87" s="135"/>
      <c r="DI87" s="136"/>
      <c r="DJ87" s="136"/>
      <c r="DK87" s="161"/>
      <c r="DL87" s="161"/>
      <c r="DM87" s="161"/>
      <c r="DN87" s="161"/>
      <c r="DO87" s="161"/>
      <c r="DP87" s="161"/>
      <c r="DQ87" s="135"/>
      <c r="DR87" s="135"/>
      <c r="DS87" s="135"/>
      <c r="DT87" s="135"/>
      <c r="DU87" s="135"/>
      <c r="DV87" s="135"/>
      <c r="DW87" s="136"/>
      <c r="DX87" s="136"/>
      <c r="DY87" s="161"/>
      <c r="DZ87" s="161"/>
      <c r="EA87" s="161"/>
      <c r="EB87" s="161"/>
      <c r="EC87" s="161"/>
      <c r="ED87" s="161"/>
      <c r="EE87" s="135"/>
      <c r="EF87" s="135"/>
      <c r="EG87" s="135"/>
      <c r="EH87" s="135"/>
      <c r="EI87" s="135"/>
      <c r="EJ87" s="135"/>
      <c r="EK87" s="136"/>
      <c r="EL87" s="136"/>
      <c r="EM87" s="136"/>
      <c r="EN87" s="136"/>
      <c r="EO87" s="136"/>
      <c r="EP87" s="136"/>
      <c r="EQ87" s="136"/>
      <c r="ER87" s="136"/>
      <c r="ES87" s="135"/>
      <c r="ET87" s="135"/>
      <c r="EU87" s="135"/>
      <c r="EV87" s="135"/>
      <c r="EW87" s="135"/>
      <c r="EX87" s="135"/>
      <c r="EY87" s="136"/>
      <c r="EZ87" s="136"/>
      <c r="FA87" s="161"/>
      <c r="FB87" s="161"/>
      <c r="FC87" s="161"/>
      <c r="FD87" s="161"/>
      <c r="FE87" s="161"/>
      <c r="FF87" s="161"/>
      <c r="FG87" s="135"/>
      <c r="FH87" s="135"/>
      <c r="FI87" s="135"/>
      <c r="FJ87" s="135"/>
      <c r="FK87" s="135"/>
      <c r="FL87" s="135"/>
      <c r="FM87" s="136"/>
      <c r="FN87" s="136"/>
      <c r="FO87" s="161"/>
      <c r="FP87" s="161"/>
      <c r="FQ87" s="161"/>
      <c r="FR87" s="161"/>
      <c r="FS87" s="161"/>
      <c r="FT87" s="161"/>
      <c r="FU87" s="135"/>
      <c r="FV87" s="135"/>
      <c r="FW87" s="135"/>
      <c r="FX87" s="135"/>
      <c r="FY87" s="135"/>
      <c r="FZ87" s="135"/>
      <c r="GA87" s="136"/>
      <c r="GB87" s="136"/>
      <c r="GC87" s="161"/>
      <c r="GD87" s="161"/>
      <c r="GE87" s="161"/>
      <c r="GF87" s="161"/>
      <c r="GG87" s="161"/>
      <c r="GH87" s="161"/>
      <c r="GI87" s="135"/>
      <c r="GJ87" s="135"/>
      <c r="GK87" s="135"/>
      <c r="GL87" s="135"/>
      <c r="GM87" s="135"/>
      <c r="GN87" s="135"/>
    </row>
    <row r="88" spans="1:196" hidden="1">
      <c r="A88" s="118"/>
      <c r="B88" s="165" t="s">
        <v>1090</v>
      </c>
      <c r="C88" s="165" t="s">
        <v>1091</v>
      </c>
      <c r="D88" s="138"/>
      <c r="E88" s="119"/>
      <c r="F88" s="166"/>
      <c r="G88" s="149">
        <v>10</v>
      </c>
      <c r="H88" s="129"/>
      <c r="I88" s="110">
        <v>46207</v>
      </c>
      <c r="J88" s="111">
        <f t="shared" si="183"/>
        <v>0</v>
      </c>
      <c r="K88" s="139" t="s">
        <v>1092</v>
      </c>
      <c r="L88" s="161"/>
      <c r="M88" s="136"/>
      <c r="N88" s="136"/>
      <c r="O88" s="136"/>
      <c r="P88" s="136"/>
      <c r="Q88" s="136"/>
      <c r="R88" s="136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36"/>
      <c r="AD88" s="136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36"/>
      <c r="AR88" s="136"/>
      <c r="AS88" s="161"/>
      <c r="AT88" s="161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36"/>
      <c r="BF88" s="136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>
        <v>10</v>
      </c>
      <c r="BR88" s="161"/>
      <c r="BS88" s="136"/>
      <c r="BT88" s="136"/>
      <c r="BU88" s="161"/>
      <c r="BV88" s="161"/>
      <c r="BW88" s="161"/>
      <c r="BX88" s="161"/>
      <c r="BY88" s="161"/>
      <c r="BZ88" s="161"/>
      <c r="CA88" s="161"/>
      <c r="CB88" s="161"/>
      <c r="CC88" s="161"/>
      <c r="CD88" s="161"/>
      <c r="CE88" s="161"/>
      <c r="CF88" s="161"/>
      <c r="CG88" s="136"/>
      <c r="CH88" s="136"/>
      <c r="CI88" s="161"/>
      <c r="CJ88" s="161"/>
      <c r="CK88" s="161"/>
      <c r="CL88" s="161"/>
      <c r="CM88" s="161"/>
      <c r="CN88" s="161"/>
      <c r="CO88" s="161"/>
      <c r="CP88" s="161"/>
      <c r="CQ88" s="161"/>
      <c r="CR88" s="161"/>
      <c r="CS88" s="161"/>
      <c r="CT88" s="161"/>
      <c r="CU88" s="136"/>
      <c r="CV88" s="136"/>
      <c r="CW88" s="161"/>
      <c r="CX88" s="161"/>
      <c r="CY88" s="161"/>
      <c r="CZ88" s="161"/>
      <c r="DA88" s="161"/>
      <c r="DB88" s="161"/>
      <c r="DC88" s="161"/>
      <c r="DD88" s="161"/>
      <c r="DE88" s="161"/>
      <c r="DF88" s="161"/>
      <c r="DG88" s="161"/>
      <c r="DH88" s="161"/>
      <c r="DI88" s="136"/>
      <c r="DJ88" s="136"/>
      <c r="DK88" s="161"/>
      <c r="DL88" s="161"/>
      <c r="DM88" s="161"/>
      <c r="DN88" s="161"/>
      <c r="DO88" s="161"/>
      <c r="DP88" s="161"/>
      <c r="DQ88" s="161"/>
      <c r="DR88" s="161"/>
      <c r="DS88" s="161"/>
      <c r="DT88" s="161"/>
      <c r="DU88" s="161"/>
      <c r="DV88" s="161"/>
      <c r="DW88" s="136"/>
      <c r="DX88" s="136"/>
      <c r="DY88" s="161"/>
      <c r="DZ88" s="161"/>
      <c r="EA88" s="161"/>
      <c r="EB88" s="161"/>
      <c r="EC88" s="161"/>
      <c r="ED88" s="161"/>
      <c r="EE88" s="161"/>
      <c r="EF88" s="161"/>
      <c r="EG88" s="161"/>
      <c r="EH88" s="161"/>
      <c r="EI88" s="161"/>
      <c r="EJ88" s="161"/>
      <c r="EK88" s="136"/>
      <c r="EL88" s="136"/>
      <c r="EM88" s="136"/>
      <c r="EN88" s="136"/>
      <c r="EO88" s="136"/>
      <c r="EP88" s="136"/>
      <c r="EQ88" s="136"/>
      <c r="ER88" s="136"/>
      <c r="ES88" s="161"/>
      <c r="ET88" s="161"/>
      <c r="EU88" s="161"/>
      <c r="EV88" s="161"/>
      <c r="EW88" s="161"/>
      <c r="EX88" s="161"/>
      <c r="EY88" s="136"/>
      <c r="EZ88" s="136"/>
      <c r="FA88" s="161"/>
      <c r="FB88" s="161"/>
      <c r="FC88" s="161"/>
      <c r="FD88" s="161"/>
      <c r="FE88" s="161"/>
      <c r="FF88" s="161"/>
      <c r="FG88" s="161"/>
      <c r="FH88" s="161"/>
      <c r="FI88" s="161"/>
      <c r="FJ88" s="161"/>
      <c r="FK88" s="161"/>
      <c r="FL88" s="161"/>
      <c r="FM88" s="136"/>
      <c r="FN88" s="136"/>
      <c r="FO88" s="161"/>
      <c r="FP88" s="161"/>
      <c r="FQ88" s="161"/>
      <c r="FR88" s="161"/>
      <c r="FS88" s="161"/>
      <c r="FT88" s="161"/>
      <c r="FU88" s="161"/>
      <c r="FV88" s="161"/>
      <c r="FW88" s="161"/>
      <c r="FX88" s="161"/>
      <c r="FY88" s="161"/>
      <c r="FZ88" s="161"/>
      <c r="GA88" s="136"/>
      <c r="GB88" s="136"/>
      <c r="GC88" s="161"/>
      <c r="GD88" s="161"/>
      <c r="GE88" s="161"/>
      <c r="GF88" s="161"/>
      <c r="GG88" s="161"/>
      <c r="GH88" s="161"/>
      <c r="GI88" s="161"/>
      <c r="GJ88" s="161"/>
      <c r="GK88" s="161"/>
      <c r="GL88" s="161"/>
      <c r="GM88" s="161"/>
      <c r="GN88" s="161"/>
    </row>
    <row r="89" spans="1:196" ht="28.5" hidden="1" customHeight="1">
      <c r="A89" s="118"/>
      <c r="B89" s="142" t="s">
        <v>892</v>
      </c>
      <c r="C89" s="143" t="s">
        <v>613</v>
      </c>
      <c r="D89" s="119"/>
      <c r="E89" s="119"/>
      <c r="F89" s="168">
        <v>46230</v>
      </c>
      <c r="G89" s="144">
        <v>2</v>
      </c>
      <c r="H89" s="148"/>
      <c r="I89" s="145" t="s">
        <v>754</v>
      </c>
      <c r="J89" s="146">
        <f t="shared" ref="J89:J98" si="184">G89-SUM(L89:FL89)</f>
        <v>0</v>
      </c>
      <c r="K89" s="185" t="s">
        <v>1248</v>
      </c>
      <c r="L89" s="161"/>
      <c r="M89" s="136"/>
      <c r="N89" s="136"/>
      <c r="O89" s="136"/>
      <c r="P89" s="136"/>
      <c r="Q89" s="136"/>
      <c r="R89" s="136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36"/>
      <c r="AD89" s="136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36"/>
      <c r="AR89" s="136"/>
      <c r="AS89" s="161"/>
      <c r="AT89" s="161"/>
      <c r="AU89" s="161"/>
      <c r="AV89" s="161"/>
      <c r="AW89" s="161"/>
      <c r="AX89" s="161"/>
      <c r="AY89" s="161"/>
      <c r="AZ89" s="161"/>
      <c r="BA89" s="161"/>
      <c r="BB89" s="161"/>
      <c r="BC89" s="161"/>
      <c r="BD89" s="161"/>
      <c r="BE89" s="136"/>
      <c r="BF89" s="136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36"/>
      <c r="BT89" s="136"/>
      <c r="BU89" s="161"/>
      <c r="BV89" s="161"/>
      <c r="BW89" s="161">
        <v>2</v>
      </c>
      <c r="BX89" s="161"/>
      <c r="BY89" s="161"/>
      <c r="BZ89" s="161"/>
      <c r="CA89" s="161"/>
      <c r="CB89" s="161"/>
      <c r="CC89" s="161"/>
      <c r="CD89" s="161"/>
      <c r="CE89" s="161"/>
      <c r="CF89" s="161"/>
      <c r="CG89" s="136"/>
      <c r="CH89" s="136"/>
      <c r="CI89" s="161"/>
      <c r="CJ89" s="161"/>
      <c r="CK89" s="161"/>
      <c r="CL89" s="161"/>
      <c r="CM89" s="161"/>
      <c r="CN89" s="161"/>
      <c r="CO89" s="161"/>
      <c r="CP89" s="161"/>
      <c r="CQ89" s="161"/>
      <c r="CR89" s="161"/>
      <c r="CS89" s="161"/>
      <c r="CT89" s="161"/>
      <c r="CU89" s="136"/>
      <c r="CV89" s="136"/>
      <c r="CW89" s="161"/>
      <c r="CX89" s="161"/>
      <c r="CY89" s="161"/>
      <c r="CZ89" s="161"/>
      <c r="DA89" s="161"/>
      <c r="DB89" s="161"/>
      <c r="DC89" s="161"/>
      <c r="DD89" s="161"/>
      <c r="DE89" s="161"/>
      <c r="DF89" s="161"/>
      <c r="DG89" s="161"/>
      <c r="DH89" s="161"/>
      <c r="DI89" s="136"/>
      <c r="DJ89" s="136"/>
      <c r="DK89" s="161"/>
      <c r="DL89" s="161"/>
      <c r="DM89" s="161"/>
      <c r="DN89" s="161"/>
      <c r="DO89" s="161"/>
      <c r="DP89" s="161"/>
      <c r="DQ89" s="161"/>
      <c r="DR89" s="161"/>
      <c r="DS89" s="161"/>
      <c r="DT89" s="161"/>
      <c r="DU89" s="161"/>
      <c r="DV89" s="161"/>
      <c r="DW89" s="136"/>
      <c r="DX89" s="136"/>
      <c r="DY89" s="161"/>
      <c r="DZ89" s="161"/>
      <c r="EA89" s="161"/>
      <c r="EB89" s="161"/>
      <c r="EC89" s="161"/>
      <c r="ED89" s="161"/>
      <c r="EE89" s="161"/>
      <c r="EF89" s="161"/>
      <c r="EG89" s="161"/>
      <c r="EH89" s="161"/>
      <c r="EI89" s="161"/>
      <c r="EJ89" s="161"/>
      <c r="EK89" s="136"/>
      <c r="EL89" s="136"/>
      <c r="EM89" s="136"/>
      <c r="EN89" s="136"/>
      <c r="EO89" s="136"/>
      <c r="EP89" s="136"/>
      <c r="EQ89" s="136"/>
      <c r="ER89" s="136"/>
      <c r="ES89" s="161"/>
      <c r="ET89" s="161"/>
      <c r="EU89" s="161"/>
      <c r="EV89" s="161"/>
      <c r="EW89" s="161"/>
      <c r="EX89" s="161"/>
      <c r="EY89" s="136"/>
      <c r="EZ89" s="136"/>
      <c r="FA89" s="161"/>
      <c r="FB89" s="161"/>
      <c r="FC89" s="161"/>
      <c r="FD89" s="161"/>
      <c r="FE89" s="161"/>
      <c r="FF89" s="161"/>
      <c r="FG89" s="161"/>
      <c r="FH89" s="161"/>
      <c r="FI89" s="161"/>
      <c r="FJ89" s="161"/>
      <c r="FK89" s="161"/>
      <c r="FL89" s="161"/>
      <c r="FM89" s="136"/>
      <c r="FN89" s="136"/>
      <c r="FO89" s="161"/>
      <c r="FP89" s="161"/>
      <c r="FQ89" s="161"/>
      <c r="FR89" s="161"/>
      <c r="FS89" s="161"/>
      <c r="FT89" s="161"/>
      <c r="FU89" s="161"/>
      <c r="FV89" s="161"/>
      <c r="FW89" s="161"/>
      <c r="FX89" s="161"/>
      <c r="FY89" s="161"/>
      <c r="FZ89" s="161"/>
      <c r="GA89" s="136"/>
      <c r="GB89" s="136"/>
      <c r="GC89" s="161"/>
      <c r="GD89" s="161"/>
      <c r="GE89" s="161"/>
      <c r="GF89" s="161"/>
      <c r="GG89" s="161"/>
      <c r="GH89" s="161"/>
      <c r="GI89" s="161"/>
      <c r="GJ89" s="161"/>
      <c r="GK89" s="161"/>
      <c r="GL89" s="161"/>
      <c r="GM89" s="161"/>
      <c r="GN89" s="161"/>
    </row>
    <row r="90" spans="1:196" hidden="1">
      <c r="A90" s="118"/>
      <c r="B90" s="142" t="s">
        <v>893</v>
      </c>
      <c r="C90" s="143" t="s">
        <v>614</v>
      </c>
      <c r="D90" s="119"/>
      <c r="E90" s="119"/>
      <c r="F90" s="168">
        <v>46230</v>
      </c>
      <c r="G90" s="144">
        <v>2</v>
      </c>
      <c r="H90" s="148"/>
      <c r="I90" s="145" t="s">
        <v>754</v>
      </c>
      <c r="J90" s="146">
        <f t="shared" si="184"/>
        <v>0</v>
      </c>
      <c r="K90" s="185" t="s">
        <v>1249</v>
      </c>
      <c r="L90" s="161"/>
      <c r="M90" s="136"/>
      <c r="N90" s="136"/>
      <c r="O90" s="136"/>
      <c r="P90" s="136"/>
      <c r="Q90" s="136"/>
      <c r="R90" s="136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36"/>
      <c r="AD90" s="136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36"/>
      <c r="AR90" s="136"/>
      <c r="AS90" s="161"/>
      <c r="AT90" s="161"/>
      <c r="AU90" s="161"/>
      <c r="AV90" s="161"/>
      <c r="AW90" s="161"/>
      <c r="AX90" s="161"/>
      <c r="AY90" s="161"/>
      <c r="AZ90" s="161"/>
      <c r="BA90" s="161"/>
      <c r="BB90" s="161"/>
      <c r="BC90" s="161"/>
      <c r="BD90" s="161"/>
      <c r="BE90" s="136"/>
      <c r="BF90" s="136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36"/>
      <c r="BT90" s="136"/>
      <c r="BU90" s="161"/>
      <c r="BV90" s="161"/>
      <c r="BW90" s="161">
        <v>2</v>
      </c>
      <c r="BX90" s="161"/>
      <c r="BY90" s="161"/>
      <c r="BZ90" s="161"/>
      <c r="CA90" s="161"/>
      <c r="CB90" s="161"/>
      <c r="CC90" s="161"/>
      <c r="CD90" s="161"/>
      <c r="CE90" s="161"/>
      <c r="CF90" s="161"/>
      <c r="CG90" s="136"/>
      <c r="CH90" s="136"/>
      <c r="CI90" s="161"/>
      <c r="CJ90" s="161"/>
      <c r="CK90" s="161"/>
      <c r="CL90" s="161"/>
      <c r="CM90" s="161"/>
      <c r="CN90" s="161"/>
      <c r="CO90" s="161"/>
      <c r="CP90" s="161"/>
      <c r="CQ90" s="161"/>
      <c r="CR90" s="161"/>
      <c r="CS90" s="161"/>
      <c r="CT90" s="161"/>
      <c r="CU90" s="136"/>
      <c r="CV90" s="136"/>
      <c r="CW90" s="161"/>
      <c r="CX90" s="161"/>
      <c r="CY90" s="161"/>
      <c r="CZ90" s="161"/>
      <c r="DA90" s="161"/>
      <c r="DB90" s="161"/>
      <c r="DC90" s="161"/>
      <c r="DD90" s="161"/>
      <c r="DE90" s="161"/>
      <c r="DF90" s="161"/>
      <c r="DG90" s="161"/>
      <c r="DH90" s="161"/>
      <c r="DI90" s="136"/>
      <c r="DJ90" s="136"/>
      <c r="DK90" s="161"/>
      <c r="DL90" s="161"/>
      <c r="DM90" s="161"/>
      <c r="DN90" s="161"/>
      <c r="DO90" s="161"/>
      <c r="DP90" s="161"/>
      <c r="DQ90" s="161"/>
      <c r="DR90" s="161"/>
      <c r="DS90" s="161"/>
      <c r="DT90" s="161"/>
      <c r="DU90" s="161"/>
      <c r="DV90" s="161"/>
      <c r="DW90" s="136"/>
      <c r="DX90" s="136"/>
      <c r="DY90" s="161"/>
      <c r="DZ90" s="161"/>
      <c r="EA90" s="161"/>
      <c r="EB90" s="161"/>
      <c r="EC90" s="161"/>
      <c r="ED90" s="161"/>
      <c r="EE90" s="161"/>
      <c r="EF90" s="161"/>
      <c r="EG90" s="161"/>
      <c r="EH90" s="161"/>
      <c r="EI90" s="161"/>
      <c r="EJ90" s="161"/>
      <c r="EK90" s="136"/>
      <c r="EL90" s="136"/>
      <c r="EM90" s="136"/>
      <c r="EN90" s="136"/>
      <c r="EO90" s="136"/>
      <c r="EP90" s="136"/>
      <c r="EQ90" s="136"/>
      <c r="ER90" s="136"/>
      <c r="ES90" s="161"/>
      <c r="ET90" s="161"/>
      <c r="EU90" s="161"/>
      <c r="EV90" s="161"/>
      <c r="EW90" s="161"/>
      <c r="EX90" s="161"/>
      <c r="EY90" s="136"/>
      <c r="EZ90" s="136"/>
      <c r="FA90" s="161"/>
      <c r="FB90" s="161"/>
      <c r="FC90" s="161"/>
      <c r="FD90" s="161"/>
      <c r="FE90" s="161"/>
      <c r="FF90" s="161"/>
      <c r="FG90" s="161"/>
      <c r="FH90" s="161"/>
      <c r="FI90" s="161"/>
      <c r="FJ90" s="161"/>
      <c r="FK90" s="161"/>
      <c r="FL90" s="161"/>
      <c r="FM90" s="136"/>
      <c r="FN90" s="136"/>
      <c r="FO90" s="161"/>
      <c r="FP90" s="161"/>
      <c r="FQ90" s="161"/>
      <c r="FR90" s="161"/>
      <c r="FS90" s="161"/>
      <c r="FT90" s="161"/>
      <c r="FU90" s="161"/>
      <c r="FV90" s="161"/>
      <c r="FW90" s="161"/>
      <c r="FX90" s="161"/>
      <c r="FY90" s="161"/>
      <c r="FZ90" s="161"/>
      <c r="GA90" s="136"/>
      <c r="GB90" s="136"/>
      <c r="GC90" s="161"/>
      <c r="GD90" s="161"/>
      <c r="GE90" s="161"/>
      <c r="GF90" s="161"/>
      <c r="GG90" s="161"/>
      <c r="GH90" s="161"/>
      <c r="GI90" s="161"/>
      <c r="GJ90" s="161"/>
      <c r="GK90" s="161"/>
      <c r="GL90" s="161"/>
      <c r="GM90" s="161"/>
      <c r="GN90" s="161"/>
    </row>
    <row r="91" spans="1:196">
      <c r="A91" s="118"/>
      <c r="B91" s="116" t="s">
        <v>1063</v>
      </c>
      <c r="C91" s="116" t="s">
        <v>107</v>
      </c>
      <c r="D91" s="119"/>
      <c r="E91" s="119"/>
      <c r="F91" s="160"/>
      <c r="G91" s="117">
        <v>10</v>
      </c>
      <c r="H91" s="6"/>
      <c r="I91" s="125">
        <v>46228</v>
      </c>
      <c r="J91" s="13">
        <f t="shared" si="184"/>
        <v>0</v>
      </c>
      <c r="K91" s="139" t="s">
        <v>695</v>
      </c>
      <c r="L91" s="161"/>
      <c r="M91" s="136"/>
      <c r="N91" s="136"/>
      <c r="O91" s="136"/>
      <c r="P91" s="136"/>
      <c r="Q91" s="136"/>
      <c r="R91" s="136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36"/>
      <c r="AD91" s="136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36"/>
      <c r="AR91" s="136"/>
      <c r="AS91" s="161"/>
      <c r="AT91" s="161"/>
      <c r="AU91" s="161"/>
      <c r="AV91" s="161"/>
      <c r="AW91" s="161"/>
      <c r="AX91" s="161"/>
      <c r="AY91" s="161"/>
      <c r="AZ91" s="161"/>
      <c r="BA91" s="161"/>
      <c r="BB91" s="161"/>
      <c r="BC91" s="161"/>
      <c r="BD91" s="161"/>
      <c r="BE91" s="136"/>
      <c r="BF91" s="136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36"/>
      <c r="BT91" s="136"/>
      <c r="BU91" s="161"/>
      <c r="BV91" s="161"/>
      <c r="BW91" s="161"/>
      <c r="BX91" s="161"/>
      <c r="BY91" s="161"/>
      <c r="BZ91" s="161"/>
      <c r="CA91" s="161"/>
      <c r="CB91" s="161"/>
      <c r="CC91" s="161">
        <v>10</v>
      </c>
      <c r="CD91" s="161"/>
      <c r="CE91" s="161"/>
      <c r="CF91" s="161"/>
      <c r="CG91" s="136"/>
      <c r="CH91" s="136"/>
      <c r="CI91" s="161"/>
      <c r="CJ91" s="161"/>
      <c r="CK91" s="161"/>
      <c r="CL91" s="161"/>
      <c r="CM91" s="161"/>
      <c r="CN91" s="161"/>
      <c r="CO91" s="161"/>
      <c r="CP91" s="161"/>
      <c r="CQ91" s="161"/>
      <c r="CR91" s="161"/>
      <c r="CS91" s="161"/>
      <c r="CT91" s="161"/>
      <c r="CU91" s="136"/>
      <c r="CV91" s="136"/>
      <c r="CW91" s="161"/>
      <c r="CX91" s="161"/>
      <c r="CY91" s="161"/>
      <c r="CZ91" s="161"/>
      <c r="DA91" s="161"/>
      <c r="DB91" s="161"/>
      <c r="DC91" s="161"/>
      <c r="DD91" s="161"/>
      <c r="DE91" s="161"/>
      <c r="DF91" s="161"/>
      <c r="DG91" s="161"/>
      <c r="DH91" s="161"/>
      <c r="DI91" s="136"/>
      <c r="DJ91" s="136"/>
      <c r="DK91" s="161"/>
      <c r="DL91" s="161"/>
      <c r="DM91" s="161"/>
      <c r="DN91" s="161"/>
      <c r="DO91" s="161"/>
      <c r="DP91" s="161"/>
      <c r="DQ91" s="161"/>
      <c r="DR91" s="161"/>
      <c r="DS91" s="161"/>
      <c r="DT91" s="161"/>
      <c r="DU91" s="161"/>
      <c r="DV91" s="161"/>
      <c r="DW91" s="136"/>
      <c r="DX91" s="136"/>
      <c r="DY91" s="161"/>
      <c r="DZ91" s="161"/>
      <c r="EA91" s="161"/>
      <c r="EB91" s="161"/>
      <c r="EC91" s="161"/>
      <c r="ED91" s="161"/>
      <c r="EE91" s="161"/>
      <c r="EF91" s="161"/>
      <c r="EG91" s="161"/>
      <c r="EH91" s="161"/>
      <c r="EI91" s="161"/>
      <c r="EJ91" s="161"/>
      <c r="EK91" s="136"/>
      <c r="EL91" s="136"/>
      <c r="EM91" s="136"/>
      <c r="EN91" s="136"/>
      <c r="EO91" s="136"/>
      <c r="EP91" s="136"/>
      <c r="EQ91" s="136"/>
      <c r="ER91" s="136"/>
      <c r="ES91" s="161"/>
      <c r="ET91" s="161"/>
      <c r="EU91" s="161"/>
      <c r="EV91" s="161"/>
      <c r="EW91" s="161"/>
      <c r="EX91" s="161"/>
      <c r="EY91" s="136"/>
      <c r="EZ91" s="136"/>
      <c r="FA91" s="161"/>
      <c r="FB91" s="161"/>
      <c r="FC91" s="161"/>
      <c r="FD91" s="161"/>
      <c r="FE91" s="161"/>
      <c r="FF91" s="161"/>
      <c r="FG91" s="161"/>
      <c r="FH91" s="161"/>
      <c r="FI91" s="161"/>
      <c r="FJ91" s="161"/>
      <c r="FK91" s="161"/>
      <c r="FL91" s="161"/>
      <c r="FM91" s="136"/>
      <c r="FN91" s="136"/>
      <c r="FO91" s="161"/>
      <c r="FP91" s="161"/>
      <c r="FQ91" s="161"/>
      <c r="FR91" s="161"/>
      <c r="FS91" s="161"/>
      <c r="FT91" s="161"/>
      <c r="FU91" s="161"/>
      <c r="FV91" s="161"/>
      <c r="FW91" s="161"/>
      <c r="FX91" s="161"/>
      <c r="FY91" s="161"/>
      <c r="FZ91" s="161"/>
      <c r="GA91" s="136"/>
      <c r="GB91" s="136"/>
      <c r="GC91" s="161"/>
      <c r="GD91" s="161"/>
      <c r="GE91" s="161"/>
      <c r="GF91" s="161"/>
      <c r="GG91" s="161"/>
      <c r="GH91" s="161"/>
      <c r="GI91" s="161"/>
      <c r="GJ91" s="161"/>
      <c r="GK91" s="161"/>
      <c r="GL91" s="161"/>
      <c r="GM91" s="161"/>
      <c r="GN91" s="161"/>
    </row>
    <row r="92" spans="1:196">
      <c r="A92" s="118"/>
      <c r="B92" s="116" t="s">
        <v>1117</v>
      </c>
      <c r="C92" s="116" t="s">
        <v>107</v>
      </c>
      <c r="D92" s="119"/>
      <c r="E92" s="119"/>
      <c r="F92" s="160"/>
      <c r="G92" s="117">
        <v>10</v>
      </c>
      <c r="H92" s="6"/>
      <c r="I92" s="125">
        <v>46228</v>
      </c>
      <c r="J92" s="13">
        <f t="shared" si="184"/>
        <v>0</v>
      </c>
      <c r="K92" s="139" t="s">
        <v>695</v>
      </c>
      <c r="L92" s="161"/>
      <c r="M92" s="136"/>
      <c r="N92" s="136"/>
      <c r="O92" s="136"/>
      <c r="P92" s="136"/>
      <c r="Q92" s="136"/>
      <c r="R92" s="136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36"/>
      <c r="AD92" s="136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36"/>
      <c r="AR92" s="136"/>
      <c r="AS92" s="161"/>
      <c r="AT92" s="161"/>
      <c r="AU92" s="161"/>
      <c r="AV92" s="161"/>
      <c r="AW92" s="161"/>
      <c r="AX92" s="161"/>
      <c r="AY92" s="161"/>
      <c r="AZ92" s="161"/>
      <c r="BA92" s="161"/>
      <c r="BB92" s="161"/>
      <c r="BC92" s="161"/>
      <c r="BD92" s="161"/>
      <c r="BE92" s="136"/>
      <c r="BF92" s="136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36"/>
      <c r="BT92" s="136"/>
      <c r="BU92" s="161"/>
      <c r="BV92" s="161"/>
      <c r="BW92" s="161"/>
      <c r="BX92" s="161"/>
      <c r="BY92" s="161"/>
      <c r="BZ92" s="161"/>
      <c r="CA92" s="161"/>
      <c r="CB92" s="161"/>
      <c r="CC92" s="161">
        <v>10</v>
      </c>
      <c r="CD92" s="161"/>
      <c r="CE92" s="161"/>
      <c r="CF92" s="161"/>
      <c r="CG92" s="136"/>
      <c r="CH92" s="136"/>
      <c r="CI92" s="161"/>
      <c r="CJ92" s="161"/>
      <c r="CK92" s="161"/>
      <c r="CL92" s="161"/>
      <c r="CM92" s="161"/>
      <c r="CN92" s="161"/>
      <c r="CO92" s="161"/>
      <c r="CP92" s="161"/>
      <c r="CQ92" s="161"/>
      <c r="CR92" s="161"/>
      <c r="CS92" s="161"/>
      <c r="CT92" s="161"/>
      <c r="CU92" s="136"/>
      <c r="CV92" s="136"/>
      <c r="CW92" s="161"/>
      <c r="CX92" s="161"/>
      <c r="CY92" s="161"/>
      <c r="CZ92" s="161"/>
      <c r="DA92" s="161"/>
      <c r="DB92" s="161"/>
      <c r="DC92" s="161"/>
      <c r="DD92" s="161"/>
      <c r="DE92" s="161"/>
      <c r="DF92" s="161"/>
      <c r="DG92" s="161"/>
      <c r="DH92" s="161"/>
      <c r="DI92" s="136"/>
      <c r="DJ92" s="136"/>
      <c r="DK92" s="161"/>
      <c r="DL92" s="161"/>
      <c r="DM92" s="161"/>
      <c r="DN92" s="161"/>
      <c r="DO92" s="161"/>
      <c r="DP92" s="161"/>
      <c r="DQ92" s="161"/>
      <c r="DR92" s="161"/>
      <c r="DS92" s="161"/>
      <c r="DT92" s="161"/>
      <c r="DU92" s="161"/>
      <c r="DV92" s="161"/>
      <c r="DW92" s="136"/>
      <c r="DX92" s="136"/>
      <c r="DY92" s="161"/>
      <c r="DZ92" s="161"/>
      <c r="EA92" s="161"/>
      <c r="EB92" s="161"/>
      <c r="EC92" s="161"/>
      <c r="ED92" s="161"/>
      <c r="EE92" s="161"/>
      <c r="EF92" s="161"/>
      <c r="EG92" s="161"/>
      <c r="EH92" s="161"/>
      <c r="EI92" s="161"/>
      <c r="EJ92" s="161"/>
      <c r="EK92" s="136"/>
      <c r="EL92" s="136"/>
      <c r="EM92" s="136"/>
      <c r="EN92" s="136"/>
      <c r="EO92" s="136"/>
      <c r="EP92" s="136"/>
      <c r="EQ92" s="136"/>
      <c r="ER92" s="136"/>
      <c r="ES92" s="161"/>
      <c r="ET92" s="161"/>
      <c r="EU92" s="161"/>
      <c r="EV92" s="161"/>
      <c r="EW92" s="161"/>
      <c r="EX92" s="161"/>
      <c r="EY92" s="136"/>
      <c r="EZ92" s="136"/>
      <c r="FA92" s="161"/>
      <c r="FB92" s="161"/>
      <c r="FC92" s="161"/>
      <c r="FD92" s="161"/>
      <c r="FE92" s="161"/>
      <c r="FF92" s="161"/>
      <c r="FG92" s="161"/>
      <c r="FH92" s="161"/>
      <c r="FI92" s="161"/>
      <c r="FJ92" s="161"/>
      <c r="FK92" s="161"/>
      <c r="FL92" s="161"/>
      <c r="FM92" s="136"/>
      <c r="FN92" s="136"/>
      <c r="FO92" s="161"/>
      <c r="FP92" s="161"/>
      <c r="FQ92" s="161"/>
      <c r="FR92" s="161"/>
      <c r="FS92" s="161"/>
      <c r="FT92" s="161"/>
      <c r="FU92" s="161"/>
      <c r="FV92" s="161"/>
      <c r="FW92" s="161"/>
      <c r="FX92" s="161"/>
      <c r="FY92" s="161"/>
      <c r="FZ92" s="161"/>
      <c r="GA92" s="136"/>
      <c r="GB92" s="136"/>
      <c r="GC92" s="161"/>
      <c r="GD92" s="161"/>
      <c r="GE92" s="161"/>
      <c r="GF92" s="161"/>
      <c r="GG92" s="161"/>
      <c r="GH92" s="161"/>
      <c r="GI92" s="161"/>
      <c r="GJ92" s="161"/>
      <c r="GK92" s="161"/>
      <c r="GL92" s="161"/>
      <c r="GM92" s="161"/>
      <c r="GN92" s="161"/>
    </row>
    <row r="93" spans="1:196">
      <c r="A93" s="118"/>
      <c r="B93" s="165" t="s">
        <v>1284</v>
      </c>
      <c r="C93" s="165" t="s">
        <v>1286</v>
      </c>
      <c r="D93" s="138"/>
      <c r="E93" s="138"/>
      <c r="F93" s="166"/>
      <c r="G93" s="149">
        <v>1</v>
      </c>
      <c r="H93" s="129"/>
      <c r="I93" s="110">
        <v>46228</v>
      </c>
      <c r="J93" s="111">
        <f t="shared" ref="J93:J95" si="185">G93-SUM(L93:FL93)</f>
        <v>0</v>
      </c>
      <c r="K93" s="139"/>
      <c r="L93" s="161"/>
      <c r="M93" s="136"/>
      <c r="N93" s="136"/>
      <c r="O93" s="136"/>
      <c r="P93" s="136"/>
      <c r="Q93" s="136"/>
      <c r="R93" s="136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36"/>
      <c r="AD93" s="136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36"/>
      <c r="AR93" s="136"/>
      <c r="AS93" s="161"/>
      <c r="AT93" s="161"/>
      <c r="AU93" s="161"/>
      <c r="AV93" s="161"/>
      <c r="AW93" s="161"/>
      <c r="AX93" s="161"/>
      <c r="AY93" s="161"/>
      <c r="AZ93" s="161"/>
      <c r="BA93" s="161"/>
      <c r="BB93" s="161"/>
      <c r="BC93" s="161"/>
      <c r="BD93" s="161"/>
      <c r="BE93" s="136"/>
      <c r="BF93" s="136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36"/>
      <c r="BT93" s="136"/>
      <c r="BU93" s="161"/>
      <c r="BV93" s="161"/>
      <c r="BW93" s="161"/>
      <c r="BX93" s="161"/>
      <c r="BY93" s="161"/>
      <c r="BZ93" s="161"/>
      <c r="CA93" s="161"/>
      <c r="CB93" s="161"/>
      <c r="CC93" s="161">
        <v>1</v>
      </c>
      <c r="CD93" s="161"/>
      <c r="CE93" s="161"/>
      <c r="CF93" s="161"/>
      <c r="CG93" s="136"/>
      <c r="CH93" s="136"/>
      <c r="CI93" s="161"/>
      <c r="CJ93" s="161"/>
      <c r="CK93" s="161"/>
      <c r="CL93" s="161"/>
      <c r="CM93" s="161"/>
      <c r="CN93" s="161"/>
      <c r="CO93" s="161"/>
      <c r="CP93" s="161"/>
      <c r="CQ93" s="161"/>
      <c r="CR93" s="161"/>
      <c r="CS93" s="161"/>
      <c r="CT93" s="161"/>
      <c r="CU93" s="136"/>
      <c r="CV93" s="136"/>
      <c r="CW93" s="161"/>
      <c r="CX93" s="161"/>
      <c r="CY93" s="161"/>
      <c r="CZ93" s="161"/>
      <c r="DA93" s="161"/>
      <c r="DB93" s="161"/>
      <c r="DC93" s="161"/>
      <c r="DD93" s="161"/>
      <c r="DE93" s="161"/>
      <c r="DF93" s="161"/>
      <c r="DG93" s="161"/>
      <c r="DH93" s="161"/>
      <c r="DI93" s="136"/>
      <c r="DJ93" s="136"/>
      <c r="DK93" s="161"/>
      <c r="DL93" s="161"/>
      <c r="DM93" s="161"/>
      <c r="DN93" s="161"/>
      <c r="DO93" s="161"/>
      <c r="DP93" s="161"/>
      <c r="DQ93" s="161"/>
      <c r="DR93" s="161"/>
      <c r="DS93" s="161"/>
      <c r="DT93" s="161"/>
      <c r="DU93" s="161"/>
      <c r="DV93" s="161"/>
      <c r="DW93" s="136"/>
      <c r="DX93" s="136"/>
      <c r="DY93" s="161"/>
      <c r="DZ93" s="161"/>
      <c r="EA93" s="161"/>
      <c r="EB93" s="161"/>
      <c r="EC93" s="161"/>
      <c r="ED93" s="161"/>
      <c r="EE93" s="161"/>
      <c r="EF93" s="161"/>
      <c r="EG93" s="161"/>
      <c r="EH93" s="161"/>
      <c r="EI93" s="161"/>
      <c r="EJ93" s="161"/>
      <c r="EK93" s="136"/>
      <c r="EL93" s="136"/>
      <c r="EM93" s="136"/>
      <c r="EN93" s="136"/>
      <c r="EO93" s="136"/>
      <c r="EP93" s="136"/>
      <c r="EQ93" s="136"/>
      <c r="ER93" s="136"/>
      <c r="ES93" s="161"/>
      <c r="ET93" s="161"/>
      <c r="EU93" s="161"/>
      <c r="EV93" s="161"/>
      <c r="EW93" s="161"/>
      <c r="EX93" s="161"/>
      <c r="EY93" s="136"/>
      <c r="EZ93" s="136"/>
      <c r="FA93" s="161"/>
      <c r="FB93" s="161"/>
      <c r="FC93" s="161"/>
      <c r="FD93" s="161"/>
      <c r="FE93" s="161"/>
      <c r="FF93" s="161"/>
      <c r="FG93" s="161"/>
      <c r="FH93" s="161"/>
      <c r="FI93" s="161"/>
      <c r="FJ93" s="161"/>
      <c r="FK93" s="161"/>
      <c r="FL93" s="161"/>
      <c r="FM93" s="136"/>
      <c r="FN93" s="136"/>
      <c r="FO93" s="161"/>
      <c r="FP93" s="161"/>
      <c r="FQ93" s="161"/>
      <c r="FR93" s="161"/>
      <c r="FS93" s="161"/>
      <c r="FT93" s="161"/>
      <c r="FU93" s="161"/>
      <c r="FV93" s="161"/>
      <c r="FW93" s="161"/>
      <c r="FX93" s="161"/>
      <c r="FY93" s="161"/>
      <c r="FZ93" s="161"/>
      <c r="GA93" s="136"/>
      <c r="GB93" s="136"/>
      <c r="GC93" s="161"/>
      <c r="GD93" s="161"/>
      <c r="GE93" s="161"/>
      <c r="GF93" s="161"/>
      <c r="GG93" s="161"/>
      <c r="GH93" s="161"/>
      <c r="GI93" s="161"/>
      <c r="GJ93" s="161"/>
      <c r="GK93" s="161"/>
      <c r="GL93" s="161"/>
      <c r="GM93" s="161"/>
      <c r="GN93" s="161"/>
    </row>
    <row r="94" spans="1:196">
      <c r="A94" s="118"/>
      <c r="B94" s="165" t="s">
        <v>1090</v>
      </c>
      <c r="C94" s="165" t="s">
        <v>752</v>
      </c>
      <c r="D94" s="138"/>
      <c r="E94" s="138"/>
      <c r="F94" s="166"/>
      <c r="G94" s="149">
        <v>10</v>
      </c>
      <c r="H94" s="129"/>
      <c r="I94" s="110">
        <v>46228</v>
      </c>
      <c r="J94" s="111">
        <f t="shared" si="185"/>
        <v>0</v>
      </c>
      <c r="K94" s="139"/>
      <c r="L94" s="161"/>
      <c r="M94" s="136"/>
      <c r="N94" s="136"/>
      <c r="O94" s="136"/>
      <c r="P94" s="136"/>
      <c r="Q94" s="136"/>
      <c r="R94" s="136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36"/>
      <c r="AD94" s="136"/>
      <c r="AE94" s="161"/>
      <c r="AF94" s="161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36"/>
      <c r="AR94" s="136"/>
      <c r="AS94" s="161"/>
      <c r="AT94" s="161"/>
      <c r="AU94" s="161"/>
      <c r="AV94" s="161"/>
      <c r="AW94" s="161"/>
      <c r="AX94" s="161"/>
      <c r="AY94" s="161"/>
      <c r="AZ94" s="161"/>
      <c r="BA94" s="161"/>
      <c r="BB94" s="161"/>
      <c r="BC94" s="161"/>
      <c r="BD94" s="161"/>
      <c r="BE94" s="136"/>
      <c r="BF94" s="136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36"/>
      <c r="BT94" s="136"/>
      <c r="BU94" s="161"/>
      <c r="BV94" s="161"/>
      <c r="BW94" s="161"/>
      <c r="BX94" s="161"/>
      <c r="BY94" s="161"/>
      <c r="BZ94" s="161"/>
      <c r="CA94" s="161"/>
      <c r="CB94" s="161"/>
      <c r="CC94" s="161">
        <v>10</v>
      </c>
      <c r="CD94" s="161"/>
      <c r="CE94" s="161"/>
      <c r="CF94" s="161"/>
      <c r="CG94" s="136"/>
      <c r="CH94" s="136"/>
      <c r="CI94" s="161"/>
      <c r="CJ94" s="161"/>
      <c r="CK94" s="161"/>
      <c r="CL94" s="161"/>
      <c r="CM94" s="161"/>
      <c r="CN94" s="161"/>
      <c r="CO94" s="161"/>
      <c r="CP94" s="161"/>
      <c r="CQ94" s="161"/>
      <c r="CR94" s="161"/>
      <c r="CS94" s="161"/>
      <c r="CT94" s="161"/>
      <c r="CU94" s="136"/>
      <c r="CV94" s="136"/>
      <c r="CW94" s="161"/>
      <c r="CX94" s="161"/>
      <c r="CY94" s="161"/>
      <c r="CZ94" s="161"/>
      <c r="DA94" s="161"/>
      <c r="DB94" s="161"/>
      <c r="DC94" s="161"/>
      <c r="DD94" s="161"/>
      <c r="DE94" s="161"/>
      <c r="DF94" s="161"/>
      <c r="DG94" s="161"/>
      <c r="DH94" s="161"/>
      <c r="DI94" s="136"/>
      <c r="DJ94" s="136"/>
      <c r="DK94" s="161"/>
      <c r="DL94" s="161"/>
      <c r="DM94" s="161"/>
      <c r="DN94" s="161"/>
      <c r="DO94" s="161"/>
      <c r="DP94" s="161"/>
      <c r="DQ94" s="161"/>
      <c r="DR94" s="161"/>
      <c r="DS94" s="161"/>
      <c r="DT94" s="161"/>
      <c r="DU94" s="161"/>
      <c r="DV94" s="161"/>
      <c r="DW94" s="136"/>
      <c r="DX94" s="136"/>
      <c r="DY94" s="161"/>
      <c r="DZ94" s="161"/>
      <c r="EA94" s="161"/>
      <c r="EB94" s="161"/>
      <c r="EC94" s="161"/>
      <c r="ED94" s="161"/>
      <c r="EE94" s="161"/>
      <c r="EF94" s="161"/>
      <c r="EG94" s="161"/>
      <c r="EH94" s="161"/>
      <c r="EI94" s="161"/>
      <c r="EJ94" s="161"/>
      <c r="EK94" s="136"/>
      <c r="EL94" s="136"/>
      <c r="EM94" s="136"/>
      <c r="EN94" s="136"/>
      <c r="EO94" s="136"/>
      <c r="EP94" s="136"/>
      <c r="EQ94" s="136"/>
      <c r="ER94" s="136"/>
      <c r="ES94" s="161"/>
      <c r="ET94" s="161"/>
      <c r="EU94" s="161"/>
      <c r="EV94" s="161"/>
      <c r="EW94" s="161"/>
      <c r="EX94" s="161"/>
      <c r="EY94" s="136"/>
      <c r="EZ94" s="136"/>
      <c r="FA94" s="161"/>
      <c r="FB94" s="161"/>
      <c r="FC94" s="161"/>
      <c r="FD94" s="161"/>
      <c r="FE94" s="161"/>
      <c r="FF94" s="161"/>
      <c r="FG94" s="161"/>
      <c r="FH94" s="161"/>
      <c r="FI94" s="161"/>
      <c r="FJ94" s="161"/>
      <c r="FK94" s="161"/>
      <c r="FL94" s="161"/>
      <c r="FM94" s="136"/>
      <c r="FN94" s="136"/>
      <c r="FO94" s="161"/>
      <c r="FP94" s="161"/>
      <c r="FQ94" s="161"/>
      <c r="FR94" s="161"/>
      <c r="FS94" s="161"/>
      <c r="FT94" s="161"/>
      <c r="FU94" s="161"/>
      <c r="FV94" s="161"/>
      <c r="FW94" s="161"/>
      <c r="FX94" s="161"/>
      <c r="FY94" s="161"/>
      <c r="FZ94" s="161"/>
      <c r="GA94" s="136"/>
      <c r="GB94" s="136"/>
      <c r="GC94" s="161"/>
      <c r="GD94" s="161"/>
      <c r="GE94" s="161"/>
      <c r="GF94" s="161"/>
      <c r="GG94" s="161"/>
      <c r="GH94" s="161"/>
      <c r="GI94" s="161"/>
      <c r="GJ94" s="161"/>
      <c r="GK94" s="161"/>
      <c r="GL94" s="161"/>
      <c r="GM94" s="161"/>
      <c r="GN94" s="161"/>
    </row>
    <row r="95" spans="1:196">
      <c r="A95" s="118"/>
      <c r="B95" s="165" t="s">
        <v>1285</v>
      </c>
      <c r="C95" s="165" t="s">
        <v>752</v>
      </c>
      <c r="D95" s="138"/>
      <c r="E95" s="138"/>
      <c r="F95" s="166"/>
      <c r="G95" s="149">
        <v>5</v>
      </c>
      <c r="H95" s="129"/>
      <c r="I95" s="110">
        <v>46228</v>
      </c>
      <c r="J95" s="111">
        <f t="shared" si="185"/>
        <v>0</v>
      </c>
      <c r="K95" s="139"/>
      <c r="L95" s="161"/>
      <c r="M95" s="136"/>
      <c r="N95" s="136"/>
      <c r="O95" s="136"/>
      <c r="P95" s="136"/>
      <c r="Q95" s="136"/>
      <c r="R95" s="136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36"/>
      <c r="AD95" s="136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36"/>
      <c r="AR95" s="136"/>
      <c r="AS95" s="161"/>
      <c r="AT95" s="161"/>
      <c r="AU95" s="161"/>
      <c r="AV95" s="161"/>
      <c r="AW95" s="161"/>
      <c r="AX95" s="161"/>
      <c r="AY95" s="161"/>
      <c r="AZ95" s="161"/>
      <c r="BA95" s="161"/>
      <c r="BB95" s="161"/>
      <c r="BC95" s="161"/>
      <c r="BD95" s="161"/>
      <c r="BE95" s="136"/>
      <c r="BF95" s="136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36"/>
      <c r="BT95" s="136"/>
      <c r="BU95" s="161"/>
      <c r="BV95" s="161"/>
      <c r="BW95" s="161"/>
      <c r="BX95" s="161"/>
      <c r="BY95" s="161"/>
      <c r="BZ95" s="161"/>
      <c r="CA95" s="161"/>
      <c r="CB95" s="161"/>
      <c r="CC95" s="161">
        <v>5</v>
      </c>
      <c r="CD95" s="161"/>
      <c r="CE95" s="161"/>
      <c r="CF95" s="161"/>
      <c r="CG95" s="136"/>
      <c r="CH95" s="136"/>
      <c r="CI95" s="161"/>
      <c r="CJ95" s="161"/>
      <c r="CK95" s="161"/>
      <c r="CL95" s="161"/>
      <c r="CM95" s="161"/>
      <c r="CN95" s="161"/>
      <c r="CO95" s="161"/>
      <c r="CP95" s="161"/>
      <c r="CQ95" s="161"/>
      <c r="CR95" s="161"/>
      <c r="CS95" s="161"/>
      <c r="CT95" s="161"/>
      <c r="CU95" s="136"/>
      <c r="CV95" s="136"/>
      <c r="CW95" s="161"/>
      <c r="CX95" s="161"/>
      <c r="CY95" s="161"/>
      <c r="CZ95" s="161"/>
      <c r="DA95" s="161"/>
      <c r="DB95" s="161"/>
      <c r="DC95" s="161"/>
      <c r="DD95" s="161"/>
      <c r="DE95" s="161"/>
      <c r="DF95" s="161"/>
      <c r="DG95" s="161"/>
      <c r="DH95" s="161"/>
      <c r="DI95" s="136"/>
      <c r="DJ95" s="136"/>
      <c r="DK95" s="161"/>
      <c r="DL95" s="161"/>
      <c r="DM95" s="161"/>
      <c r="DN95" s="161"/>
      <c r="DO95" s="161"/>
      <c r="DP95" s="161"/>
      <c r="DQ95" s="161"/>
      <c r="DR95" s="161"/>
      <c r="DS95" s="161"/>
      <c r="DT95" s="161"/>
      <c r="DU95" s="161"/>
      <c r="DV95" s="161"/>
      <c r="DW95" s="136"/>
      <c r="DX95" s="136"/>
      <c r="DY95" s="161"/>
      <c r="DZ95" s="161"/>
      <c r="EA95" s="161"/>
      <c r="EB95" s="161"/>
      <c r="EC95" s="161"/>
      <c r="ED95" s="161"/>
      <c r="EE95" s="161"/>
      <c r="EF95" s="161"/>
      <c r="EG95" s="161"/>
      <c r="EH95" s="161"/>
      <c r="EI95" s="161"/>
      <c r="EJ95" s="161"/>
      <c r="EK95" s="136"/>
      <c r="EL95" s="136"/>
      <c r="EM95" s="136"/>
      <c r="EN95" s="136"/>
      <c r="EO95" s="136"/>
      <c r="EP95" s="136"/>
      <c r="EQ95" s="136"/>
      <c r="ER95" s="136"/>
      <c r="ES95" s="161"/>
      <c r="ET95" s="161"/>
      <c r="EU95" s="161"/>
      <c r="EV95" s="161"/>
      <c r="EW95" s="161"/>
      <c r="EX95" s="161"/>
      <c r="EY95" s="136"/>
      <c r="EZ95" s="136"/>
      <c r="FA95" s="161"/>
      <c r="FB95" s="161"/>
      <c r="FC95" s="161"/>
      <c r="FD95" s="161"/>
      <c r="FE95" s="161"/>
      <c r="FF95" s="161"/>
      <c r="FG95" s="161"/>
      <c r="FH95" s="161"/>
      <c r="FI95" s="161"/>
      <c r="FJ95" s="161"/>
      <c r="FK95" s="161"/>
      <c r="FL95" s="161"/>
      <c r="FM95" s="136"/>
      <c r="FN95" s="136"/>
      <c r="FO95" s="161"/>
      <c r="FP95" s="161"/>
      <c r="FQ95" s="161"/>
      <c r="FR95" s="161"/>
      <c r="FS95" s="161"/>
      <c r="FT95" s="161"/>
      <c r="FU95" s="161"/>
      <c r="FV95" s="161"/>
      <c r="FW95" s="161"/>
      <c r="FX95" s="161"/>
      <c r="FY95" s="161"/>
      <c r="FZ95" s="161"/>
      <c r="GA95" s="136"/>
      <c r="GB95" s="136"/>
      <c r="GC95" s="161"/>
      <c r="GD95" s="161"/>
      <c r="GE95" s="161"/>
      <c r="GF95" s="161"/>
      <c r="GG95" s="161"/>
      <c r="GH95" s="161"/>
      <c r="GI95" s="161"/>
      <c r="GJ95" s="161"/>
      <c r="GK95" s="161"/>
      <c r="GL95" s="161"/>
      <c r="GM95" s="161"/>
      <c r="GN95" s="161"/>
    </row>
    <row r="96" spans="1:196">
      <c r="A96" s="118"/>
      <c r="B96" s="165" t="s">
        <v>1242</v>
      </c>
      <c r="C96" s="165" t="s">
        <v>752</v>
      </c>
      <c r="D96" s="138"/>
      <c r="E96" s="138"/>
      <c r="F96" s="166"/>
      <c r="G96" s="149">
        <v>5</v>
      </c>
      <c r="H96" s="129"/>
      <c r="I96" s="110">
        <v>46228</v>
      </c>
      <c r="J96" s="111">
        <f t="shared" si="184"/>
        <v>0</v>
      </c>
      <c r="K96" s="139" t="s">
        <v>1246</v>
      </c>
      <c r="L96" s="161"/>
      <c r="M96" s="136"/>
      <c r="N96" s="136"/>
      <c r="O96" s="136"/>
      <c r="P96" s="136"/>
      <c r="Q96" s="136"/>
      <c r="R96" s="136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36"/>
      <c r="AD96" s="136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36"/>
      <c r="AR96" s="136"/>
      <c r="AS96" s="161"/>
      <c r="AT96" s="161"/>
      <c r="AU96" s="161"/>
      <c r="AV96" s="161"/>
      <c r="AW96" s="161"/>
      <c r="AX96" s="161"/>
      <c r="AY96" s="161"/>
      <c r="AZ96" s="161"/>
      <c r="BA96" s="161"/>
      <c r="BB96" s="161"/>
      <c r="BC96" s="161"/>
      <c r="BD96" s="161"/>
      <c r="BE96" s="136"/>
      <c r="BF96" s="136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36"/>
      <c r="BT96" s="136"/>
      <c r="BU96" s="161"/>
      <c r="BV96" s="161"/>
      <c r="BW96" s="161"/>
      <c r="BX96" s="161"/>
      <c r="BY96" s="161"/>
      <c r="BZ96" s="161"/>
      <c r="CA96" s="161"/>
      <c r="CB96" s="161"/>
      <c r="CC96" s="161">
        <v>5</v>
      </c>
      <c r="CD96" s="161"/>
      <c r="CE96" s="161"/>
      <c r="CF96" s="161"/>
      <c r="CG96" s="136"/>
      <c r="CH96" s="136"/>
      <c r="CI96" s="161"/>
      <c r="CJ96" s="161"/>
      <c r="CK96" s="161"/>
      <c r="CL96" s="161"/>
      <c r="CM96" s="161"/>
      <c r="CN96" s="161"/>
      <c r="CO96" s="161"/>
      <c r="CP96" s="161"/>
      <c r="CQ96" s="161"/>
      <c r="CR96" s="161"/>
      <c r="CS96" s="161"/>
      <c r="CT96" s="161"/>
      <c r="CU96" s="136"/>
      <c r="CV96" s="136"/>
      <c r="CW96" s="161"/>
      <c r="CX96" s="161"/>
      <c r="CY96" s="161"/>
      <c r="CZ96" s="161"/>
      <c r="DA96" s="161"/>
      <c r="DB96" s="161"/>
      <c r="DC96" s="161"/>
      <c r="DD96" s="161"/>
      <c r="DE96" s="161"/>
      <c r="DF96" s="161"/>
      <c r="DG96" s="161"/>
      <c r="DH96" s="161"/>
      <c r="DI96" s="136"/>
      <c r="DJ96" s="136"/>
      <c r="DK96" s="161"/>
      <c r="DL96" s="161"/>
      <c r="DM96" s="161"/>
      <c r="DN96" s="161"/>
      <c r="DO96" s="161"/>
      <c r="DP96" s="161"/>
      <c r="DQ96" s="161"/>
      <c r="DR96" s="161"/>
      <c r="DS96" s="161"/>
      <c r="DT96" s="161"/>
      <c r="DU96" s="161"/>
      <c r="DV96" s="161"/>
      <c r="DW96" s="136"/>
      <c r="DX96" s="136"/>
      <c r="DY96" s="161"/>
      <c r="DZ96" s="161"/>
      <c r="EA96" s="161"/>
      <c r="EB96" s="161"/>
      <c r="EC96" s="161"/>
      <c r="ED96" s="161"/>
      <c r="EE96" s="161"/>
      <c r="EF96" s="161"/>
      <c r="EG96" s="161"/>
      <c r="EH96" s="161"/>
      <c r="EI96" s="161"/>
      <c r="EJ96" s="161"/>
      <c r="EK96" s="136"/>
      <c r="EL96" s="136"/>
      <c r="EM96" s="136"/>
      <c r="EN96" s="136"/>
      <c r="EO96" s="136"/>
      <c r="EP96" s="136"/>
      <c r="EQ96" s="136"/>
      <c r="ER96" s="136"/>
      <c r="ES96" s="161"/>
      <c r="ET96" s="161"/>
      <c r="EU96" s="161"/>
      <c r="EV96" s="161"/>
      <c r="EW96" s="161"/>
      <c r="EX96" s="161"/>
      <c r="EY96" s="136"/>
      <c r="EZ96" s="136"/>
      <c r="FA96" s="161"/>
      <c r="FB96" s="161"/>
      <c r="FC96" s="161"/>
      <c r="FD96" s="161"/>
      <c r="FE96" s="161"/>
      <c r="FF96" s="161"/>
      <c r="FG96" s="161"/>
      <c r="FH96" s="161"/>
      <c r="FI96" s="161"/>
      <c r="FJ96" s="161"/>
      <c r="FK96" s="161"/>
      <c r="FL96" s="161"/>
      <c r="FM96" s="136"/>
      <c r="FN96" s="136"/>
      <c r="FO96" s="161"/>
      <c r="FP96" s="161"/>
      <c r="FQ96" s="161"/>
      <c r="FR96" s="161"/>
      <c r="FS96" s="161"/>
      <c r="FT96" s="161"/>
      <c r="FU96" s="161"/>
      <c r="FV96" s="161"/>
      <c r="FW96" s="161"/>
      <c r="FX96" s="161"/>
      <c r="FY96" s="161"/>
      <c r="FZ96" s="161"/>
      <c r="GA96" s="136"/>
      <c r="GB96" s="136"/>
      <c r="GC96" s="161"/>
      <c r="GD96" s="161"/>
      <c r="GE96" s="161"/>
      <c r="GF96" s="161"/>
      <c r="GG96" s="161"/>
      <c r="GH96" s="161"/>
      <c r="GI96" s="161"/>
      <c r="GJ96" s="161"/>
      <c r="GK96" s="161"/>
      <c r="GL96" s="161"/>
      <c r="GM96" s="161"/>
      <c r="GN96" s="161"/>
    </row>
    <row r="97" spans="1:196">
      <c r="A97" s="118"/>
      <c r="B97" s="165" t="s">
        <v>1243</v>
      </c>
      <c r="C97" s="165" t="s">
        <v>752</v>
      </c>
      <c r="D97" s="138"/>
      <c r="E97" s="138"/>
      <c r="F97" s="166"/>
      <c r="G97" s="149">
        <v>5</v>
      </c>
      <c r="H97" s="129"/>
      <c r="I97" s="110">
        <v>46228</v>
      </c>
      <c r="J97" s="111">
        <f t="shared" si="184"/>
        <v>0</v>
      </c>
      <c r="K97" s="139" t="s">
        <v>1247</v>
      </c>
      <c r="L97" s="161"/>
      <c r="M97" s="136"/>
      <c r="N97" s="136"/>
      <c r="O97" s="136"/>
      <c r="P97" s="136"/>
      <c r="Q97" s="136"/>
      <c r="R97" s="136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36"/>
      <c r="AD97" s="136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36"/>
      <c r="AR97" s="136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36"/>
      <c r="BF97" s="136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36"/>
      <c r="BT97" s="136"/>
      <c r="BU97" s="161"/>
      <c r="BV97" s="161"/>
      <c r="BW97" s="161"/>
      <c r="BX97" s="161"/>
      <c r="BY97" s="161"/>
      <c r="BZ97" s="161"/>
      <c r="CA97" s="161"/>
      <c r="CB97" s="161"/>
      <c r="CC97" s="161">
        <v>5</v>
      </c>
      <c r="CD97" s="161"/>
      <c r="CE97" s="161"/>
      <c r="CF97" s="161"/>
      <c r="CG97" s="136"/>
      <c r="CH97" s="136"/>
      <c r="CI97" s="161"/>
      <c r="CJ97" s="161"/>
      <c r="CK97" s="161"/>
      <c r="CL97" s="161"/>
      <c r="CM97" s="161"/>
      <c r="CN97" s="161"/>
      <c r="CO97" s="161"/>
      <c r="CP97" s="161"/>
      <c r="CQ97" s="161"/>
      <c r="CR97" s="161"/>
      <c r="CS97" s="161"/>
      <c r="CT97" s="161"/>
      <c r="CU97" s="136"/>
      <c r="CV97" s="136"/>
      <c r="CW97" s="161"/>
      <c r="CX97" s="161"/>
      <c r="CY97" s="161"/>
      <c r="CZ97" s="161"/>
      <c r="DA97" s="161"/>
      <c r="DB97" s="161"/>
      <c r="DC97" s="161"/>
      <c r="DD97" s="161"/>
      <c r="DE97" s="161"/>
      <c r="DF97" s="161"/>
      <c r="DG97" s="161"/>
      <c r="DH97" s="161"/>
      <c r="DI97" s="136"/>
      <c r="DJ97" s="136"/>
      <c r="DK97" s="161"/>
      <c r="DL97" s="161"/>
      <c r="DM97" s="161"/>
      <c r="DN97" s="161"/>
      <c r="DO97" s="161"/>
      <c r="DP97" s="161"/>
      <c r="DQ97" s="161"/>
      <c r="DR97" s="161"/>
      <c r="DS97" s="161"/>
      <c r="DT97" s="161"/>
      <c r="DU97" s="161"/>
      <c r="DV97" s="161"/>
      <c r="DW97" s="136"/>
      <c r="DX97" s="136"/>
      <c r="DY97" s="161"/>
      <c r="DZ97" s="161"/>
      <c r="EA97" s="161"/>
      <c r="EB97" s="161"/>
      <c r="EC97" s="161"/>
      <c r="ED97" s="161"/>
      <c r="EE97" s="161"/>
      <c r="EF97" s="161"/>
      <c r="EG97" s="161"/>
      <c r="EH97" s="161"/>
      <c r="EI97" s="161"/>
      <c r="EJ97" s="161"/>
      <c r="EK97" s="136"/>
      <c r="EL97" s="136"/>
      <c r="EM97" s="136"/>
      <c r="EN97" s="136"/>
      <c r="EO97" s="136"/>
      <c r="EP97" s="136"/>
      <c r="EQ97" s="136"/>
      <c r="ER97" s="136"/>
      <c r="ES97" s="161"/>
      <c r="ET97" s="161"/>
      <c r="EU97" s="161"/>
      <c r="EV97" s="161"/>
      <c r="EW97" s="161"/>
      <c r="EX97" s="161"/>
      <c r="EY97" s="136"/>
      <c r="EZ97" s="136"/>
      <c r="FA97" s="161"/>
      <c r="FB97" s="161"/>
      <c r="FC97" s="161"/>
      <c r="FD97" s="161"/>
      <c r="FE97" s="161"/>
      <c r="FF97" s="161"/>
      <c r="FG97" s="161"/>
      <c r="FH97" s="161"/>
      <c r="FI97" s="161"/>
      <c r="FJ97" s="161"/>
      <c r="FK97" s="161"/>
      <c r="FL97" s="161"/>
      <c r="FM97" s="136"/>
      <c r="FN97" s="136"/>
      <c r="FO97" s="161"/>
      <c r="FP97" s="161"/>
      <c r="FQ97" s="161"/>
      <c r="FR97" s="161"/>
      <c r="FS97" s="161"/>
      <c r="FT97" s="161"/>
      <c r="FU97" s="161"/>
      <c r="FV97" s="161"/>
      <c r="FW97" s="161"/>
      <c r="FX97" s="161"/>
      <c r="FY97" s="161"/>
      <c r="FZ97" s="161"/>
      <c r="GA97" s="136"/>
      <c r="GB97" s="136"/>
      <c r="GC97" s="161"/>
      <c r="GD97" s="161"/>
      <c r="GE97" s="161"/>
      <c r="GF97" s="161"/>
      <c r="GG97" s="161"/>
      <c r="GH97" s="161"/>
      <c r="GI97" s="161"/>
      <c r="GJ97" s="161"/>
      <c r="GK97" s="161"/>
      <c r="GL97" s="161"/>
      <c r="GM97" s="161"/>
      <c r="GN97" s="161"/>
    </row>
    <row r="98" spans="1:196">
      <c r="A98" s="118"/>
      <c r="B98" s="165" t="s">
        <v>1244</v>
      </c>
      <c r="C98" s="165" t="s">
        <v>753</v>
      </c>
      <c r="D98" s="138"/>
      <c r="E98" s="138"/>
      <c r="F98" s="166"/>
      <c r="G98" s="149">
        <v>5</v>
      </c>
      <c r="H98" s="129"/>
      <c r="I98" s="110">
        <v>46228</v>
      </c>
      <c r="J98" s="111">
        <f t="shared" si="184"/>
        <v>0</v>
      </c>
      <c r="K98" s="139" t="s">
        <v>1245</v>
      </c>
      <c r="L98" s="161"/>
      <c r="M98" s="136"/>
      <c r="N98" s="136"/>
      <c r="O98" s="136"/>
      <c r="P98" s="136"/>
      <c r="Q98" s="136"/>
      <c r="R98" s="136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36"/>
      <c r="AD98" s="136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36"/>
      <c r="AR98" s="136"/>
      <c r="AS98" s="161"/>
      <c r="AT98" s="161"/>
      <c r="AU98" s="161"/>
      <c r="AV98" s="161"/>
      <c r="AW98" s="161"/>
      <c r="AX98" s="161"/>
      <c r="AY98" s="161"/>
      <c r="AZ98" s="161"/>
      <c r="BA98" s="161"/>
      <c r="BB98" s="161"/>
      <c r="BC98" s="161"/>
      <c r="BD98" s="161"/>
      <c r="BE98" s="136"/>
      <c r="BF98" s="136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36"/>
      <c r="BT98" s="136"/>
      <c r="BU98" s="161"/>
      <c r="BV98" s="161"/>
      <c r="BW98" s="161"/>
      <c r="BX98" s="161"/>
      <c r="BY98" s="161"/>
      <c r="BZ98" s="161"/>
      <c r="CA98" s="161"/>
      <c r="CB98" s="161"/>
      <c r="CC98" s="161">
        <v>5</v>
      </c>
      <c r="CD98" s="161"/>
      <c r="CE98" s="161"/>
      <c r="CF98" s="161"/>
      <c r="CG98" s="136"/>
      <c r="CH98" s="136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36"/>
      <c r="CV98" s="136"/>
      <c r="CW98" s="161"/>
      <c r="CX98" s="161"/>
      <c r="CY98" s="161"/>
      <c r="CZ98" s="161"/>
      <c r="DA98" s="161"/>
      <c r="DB98" s="161"/>
      <c r="DC98" s="161"/>
      <c r="DD98" s="161"/>
      <c r="DE98" s="161"/>
      <c r="DF98" s="161"/>
      <c r="DG98" s="161"/>
      <c r="DH98" s="161"/>
      <c r="DI98" s="136"/>
      <c r="DJ98" s="136"/>
      <c r="DK98" s="161"/>
      <c r="DL98" s="161"/>
      <c r="DM98" s="161"/>
      <c r="DN98" s="161"/>
      <c r="DO98" s="161"/>
      <c r="DP98" s="161"/>
      <c r="DQ98" s="161"/>
      <c r="DR98" s="161"/>
      <c r="DS98" s="161"/>
      <c r="DT98" s="161"/>
      <c r="DU98" s="161"/>
      <c r="DV98" s="161"/>
      <c r="DW98" s="136"/>
      <c r="DX98" s="136"/>
      <c r="DY98" s="161"/>
      <c r="DZ98" s="161"/>
      <c r="EA98" s="161"/>
      <c r="EB98" s="161"/>
      <c r="EC98" s="161"/>
      <c r="ED98" s="161"/>
      <c r="EE98" s="161"/>
      <c r="EF98" s="161"/>
      <c r="EG98" s="161"/>
      <c r="EH98" s="161"/>
      <c r="EI98" s="161"/>
      <c r="EJ98" s="161"/>
      <c r="EK98" s="136"/>
      <c r="EL98" s="136"/>
      <c r="EM98" s="136"/>
      <c r="EN98" s="136"/>
      <c r="EO98" s="136"/>
      <c r="EP98" s="136"/>
      <c r="EQ98" s="136"/>
      <c r="ER98" s="136"/>
      <c r="ES98" s="161"/>
      <c r="ET98" s="161"/>
      <c r="EU98" s="161"/>
      <c r="EV98" s="161"/>
      <c r="EW98" s="161"/>
      <c r="EX98" s="161"/>
      <c r="EY98" s="136"/>
      <c r="EZ98" s="136"/>
      <c r="FA98" s="161"/>
      <c r="FB98" s="161"/>
      <c r="FC98" s="161"/>
      <c r="FD98" s="161"/>
      <c r="FE98" s="161"/>
      <c r="FF98" s="161"/>
      <c r="FG98" s="161"/>
      <c r="FH98" s="161"/>
      <c r="FI98" s="161"/>
      <c r="FJ98" s="161"/>
      <c r="FK98" s="161"/>
      <c r="FL98" s="161"/>
      <c r="FM98" s="136"/>
      <c r="FN98" s="136"/>
      <c r="FO98" s="161"/>
      <c r="FP98" s="161"/>
      <c r="FQ98" s="161"/>
      <c r="FR98" s="161"/>
      <c r="FS98" s="161"/>
      <c r="FT98" s="161"/>
      <c r="FU98" s="161"/>
      <c r="FV98" s="161"/>
      <c r="FW98" s="161"/>
      <c r="FX98" s="161"/>
      <c r="FY98" s="161"/>
      <c r="FZ98" s="161"/>
      <c r="GA98" s="136"/>
      <c r="GB98" s="136"/>
      <c r="GC98" s="161"/>
      <c r="GD98" s="161"/>
      <c r="GE98" s="161"/>
      <c r="GF98" s="161"/>
      <c r="GG98" s="161"/>
      <c r="GH98" s="161"/>
      <c r="GI98" s="161"/>
      <c r="GJ98" s="161"/>
      <c r="GK98" s="161"/>
      <c r="GL98" s="161"/>
      <c r="GM98" s="161"/>
      <c r="GN98" s="161"/>
    </row>
    <row r="99" spans="1:196">
      <c r="A99" s="118" t="s">
        <v>9</v>
      </c>
      <c r="B99" s="116" t="s">
        <v>1140</v>
      </c>
      <c r="C99" s="116" t="s">
        <v>644</v>
      </c>
      <c r="D99" s="119"/>
      <c r="E99" s="119" t="e">
        <f>VLOOKUP(C99,#REF!,5,0)</f>
        <v>#REF!</v>
      </c>
      <c r="F99" s="107">
        <v>46233</v>
      </c>
      <c r="G99" s="117">
        <v>280</v>
      </c>
      <c r="H99" s="6"/>
      <c r="I99" s="125">
        <v>46242</v>
      </c>
      <c r="J99" s="13">
        <f t="shared" si="183"/>
        <v>0</v>
      </c>
      <c r="K99" s="153" t="s">
        <v>822</v>
      </c>
      <c r="L99" s="161"/>
      <c r="M99" s="136"/>
      <c r="N99" s="136"/>
      <c r="O99" s="136"/>
      <c r="P99" s="136"/>
      <c r="Q99" s="136"/>
      <c r="R99" s="136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36"/>
      <c r="AD99" s="136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36"/>
      <c r="AR99" s="136"/>
      <c r="AS99" s="161"/>
      <c r="AT99" s="161"/>
      <c r="AU99" s="161"/>
      <c r="AV99" s="161"/>
      <c r="AW99" s="161"/>
      <c r="AX99" s="161"/>
      <c r="AY99" s="161"/>
      <c r="AZ99" s="161"/>
      <c r="BA99" s="161"/>
      <c r="BB99" s="161"/>
      <c r="BC99" s="161"/>
      <c r="BD99" s="161"/>
      <c r="BE99" s="136"/>
      <c r="BF99" s="136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36"/>
      <c r="BT99" s="136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>
        <v>100</v>
      </c>
      <c r="CF99" s="161"/>
      <c r="CG99" s="136"/>
      <c r="CH99" s="136"/>
      <c r="CI99" s="161">
        <v>180</v>
      </c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36"/>
      <c r="CV99" s="136"/>
      <c r="CW99" s="161"/>
      <c r="CX99" s="161"/>
      <c r="CY99" s="161"/>
      <c r="CZ99" s="161"/>
      <c r="DA99" s="161"/>
      <c r="DB99" s="161"/>
      <c r="DC99" s="161"/>
      <c r="DD99" s="161"/>
      <c r="DE99" s="161"/>
      <c r="DF99" s="161"/>
      <c r="DG99" s="161"/>
      <c r="DH99" s="161"/>
      <c r="DI99" s="136"/>
      <c r="DJ99" s="136"/>
      <c r="DK99" s="161"/>
      <c r="DL99" s="161"/>
      <c r="DM99" s="161"/>
      <c r="DN99" s="161"/>
      <c r="DO99" s="161"/>
      <c r="DP99" s="161"/>
      <c r="DQ99" s="161"/>
      <c r="DR99" s="161"/>
      <c r="DS99" s="161"/>
      <c r="DT99" s="161"/>
      <c r="DU99" s="161"/>
      <c r="DV99" s="161"/>
      <c r="DW99" s="136"/>
      <c r="DX99" s="136"/>
      <c r="DY99" s="161"/>
      <c r="DZ99" s="161"/>
      <c r="EA99" s="161"/>
      <c r="EB99" s="161"/>
      <c r="EC99" s="161"/>
      <c r="ED99" s="161"/>
      <c r="EE99" s="161"/>
      <c r="EF99" s="161"/>
      <c r="EG99" s="161"/>
      <c r="EH99" s="161"/>
      <c r="EI99" s="161"/>
      <c r="EJ99" s="161"/>
      <c r="EK99" s="136"/>
      <c r="EL99" s="136"/>
      <c r="EM99" s="136"/>
      <c r="EN99" s="136"/>
      <c r="EO99" s="136"/>
      <c r="EP99" s="136"/>
      <c r="EQ99" s="136"/>
      <c r="ER99" s="136"/>
      <c r="ES99" s="161"/>
      <c r="ET99" s="161"/>
      <c r="EU99" s="161"/>
      <c r="EV99" s="161"/>
      <c r="EW99" s="161"/>
      <c r="EX99" s="161"/>
      <c r="EY99" s="136"/>
      <c r="EZ99" s="136"/>
      <c r="FA99" s="161"/>
      <c r="FB99" s="161"/>
      <c r="FC99" s="161"/>
      <c r="FD99" s="161"/>
      <c r="FE99" s="161"/>
      <c r="FF99" s="161"/>
      <c r="FG99" s="161"/>
      <c r="FH99" s="161"/>
      <c r="FI99" s="161"/>
      <c r="FJ99" s="161"/>
      <c r="FK99" s="161"/>
      <c r="FL99" s="161"/>
      <c r="FM99" s="136"/>
      <c r="FN99" s="136"/>
      <c r="FO99" s="161"/>
      <c r="FP99" s="161"/>
      <c r="FQ99" s="161"/>
      <c r="FR99" s="161"/>
      <c r="FS99" s="161"/>
      <c r="FT99" s="161"/>
      <c r="FU99" s="161"/>
      <c r="FV99" s="161"/>
      <c r="FW99" s="161"/>
      <c r="FX99" s="161"/>
      <c r="FY99" s="161"/>
      <c r="FZ99" s="161"/>
      <c r="GA99" s="136"/>
      <c r="GB99" s="136"/>
      <c r="GC99" s="161"/>
      <c r="GD99" s="161"/>
      <c r="GE99" s="161"/>
      <c r="GF99" s="161"/>
      <c r="GG99" s="161"/>
      <c r="GH99" s="161"/>
      <c r="GI99" s="161"/>
      <c r="GJ99" s="161"/>
      <c r="GK99" s="161"/>
      <c r="GL99" s="161"/>
      <c r="GM99" s="161"/>
      <c r="GN99" s="161"/>
    </row>
    <row r="100" spans="1:196">
      <c r="A100" s="118"/>
      <c r="B100" s="116" t="s">
        <v>1039</v>
      </c>
      <c r="C100" s="116" t="s">
        <v>644</v>
      </c>
      <c r="D100" s="119"/>
      <c r="E100" s="119" t="e">
        <f>VLOOKUP(C100,#REF!,5,0)</f>
        <v>#REF!</v>
      </c>
      <c r="F100" s="107">
        <v>46233</v>
      </c>
      <c r="G100" s="117">
        <v>280</v>
      </c>
      <c r="H100" s="6"/>
      <c r="I100" s="125">
        <v>46242</v>
      </c>
      <c r="J100" s="13">
        <f t="shared" si="183"/>
        <v>0</v>
      </c>
      <c r="K100" s="153" t="s">
        <v>822</v>
      </c>
      <c r="L100" s="161"/>
      <c r="M100" s="136"/>
      <c r="N100" s="136"/>
      <c r="O100" s="136"/>
      <c r="P100" s="136"/>
      <c r="Q100" s="136"/>
      <c r="R100" s="136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36"/>
      <c r="AD100" s="136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36"/>
      <c r="AR100" s="136"/>
      <c r="AS100" s="161"/>
      <c r="AT100" s="161"/>
      <c r="AU100" s="161"/>
      <c r="AV100" s="161"/>
      <c r="AW100" s="161"/>
      <c r="AX100" s="161"/>
      <c r="AY100" s="161"/>
      <c r="AZ100" s="161"/>
      <c r="BA100" s="161"/>
      <c r="BB100" s="161"/>
      <c r="BC100" s="161"/>
      <c r="BD100" s="161"/>
      <c r="BE100" s="136"/>
      <c r="BF100" s="136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36"/>
      <c r="BT100" s="136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61"/>
      <c r="CE100" s="161"/>
      <c r="CF100" s="161"/>
      <c r="CG100" s="136"/>
      <c r="CH100" s="136"/>
      <c r="CI100" s="161">
        <v>40</v>
      </c>
      <c r="CJ100" s="161"/>
      <c r="CK100" s="161">
        <v>240</v>
      </c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36"/>
      <c r="CV100" s="136"/>
      <c r="CW100" s="161"/>
      <c r="CX100" s="161"/>
      <c r="CY100" s="161"/>
      <c r="CZ100" s="161"/>
      <c r="DA100" s="161"/>
      <c r="DB100" s="161"/>
      <c r="DC100" s="161"/>
      <c r="DD100" s="161"/>
      <c r="DE100" s="161"/>
      <c r="DF100" s="161"/>
      <c r="DG100" s="161"/>
      <c r="DH100" s="161"/>
      <c r="DI100" s="136"/>
      <c r="DJ100" s="136"/>
      <c r="DK100" s="161"/>
      <c r="DL100" s="161"/>
      <c r="DM100" s="161"/>
      <c r="DN100" s="161"/>
      <c r="DO100" s="161"/>
      <c r="DP100" s="161"/>
      <c r="DQ100" s="161"/>
      <c r="DR100" s="161"/>
      <c r="DS100" s="161"/>
      <c r="DT100" s="161"/>
      <c r="DU100" s="161"/>
      <c r="DV100" s="161"/>
      <c r="DW100" s="136"/>
      <c r="DX100" s="136"/>
      <c r="DY100" s="161"/>
      <c r="DZ100" s="161"/>
      <c r="EA100" s="161"/>
      <c r="EB100" s="161"/>
      <c r="EC100" s="161"/>
      <c r="ED100" s="161"/>
      <c r="EE100" s="161"/>
      <c r="EF100" s="161"/>
      <c r="EG100" s="161"/>
      <c r="EH100" s="161"/>
      <c r="EI100" s="161"/>
      <c r="EJ100" s="161"/>
      <c r="EK100" s="136"/>
      <c r="EL100" s="136"/>
      <c r="EM100" s="136"/>
      <c r="EN100" s="136"/>
      <c r="EO100" s="136"/>
      <c r="EP100" s="136"/>
      <c r="EQ100" s="136"/>
      <c r="ER100" s="136"/>
      <c r="ES100" s="161"/>
      <c r="ET100" s="161"/>
      <c r="EU100" s="161"/>
      <c r="EV100" s="161"/>
      <c r="EW100" s="161"/>
      <c r="EX100" s="161"/>
      <c r="EY100" s="136"/>
      <c r="EZ100" s="136"/>
      <c r="FA100" s="161"/>
      <c r="FB100" s="161"/>
      <c r="FC100" s="161"/>
      <c r="FD100" s="161"/>
      <c r="FE100" s="161"/>
      <c r="FF100" s="161"/>
      <c r="FG100" s="161"/>
      <c r="FH100" s="161"/>
      <c r="FI100" s="161"/>
      <c r="FJ100" s="161"/>
      <c r="FK100" s="161"/>
      <c r="FL100" s="161"/>
      <c r="FM100" s="136"/>
      <c r="FN100" s="136"/>
      <c r="FO100" s="161"/>
      <c r="FP100" s="161"/>
      <c r="FQ100" s="161"/>
      <c r="FR100" s="161"/>
      <c r="FS100" s="161"/>
      <c r="FT100" s="161"/>
      <c r="FU100" s="161"/>
      <c r="FV100" s="161"/>
      <c r="FW100" s="161"/>
      <c r="FX100" s="161"/>
      <c r="FY100" s="161"/>
      <c r="FZ100" s="161"/>
      <c r="GA100" s="136"/>
      <c r="GB100" s="136"/>
      <c r="GC100" s="161"/>
      <c r="GD100" s="161"/>
      <c r="GE100" s="161"/>
      <c r="GF100" s="161"/>
      <c r="GG100" s="161"/>
      <c r="GH100" s="161"/>
      <c r="GI100" s="161"/>
      <c r="GJ100" s="161"/>
      <c r="GK100" s="161"/>
      <c r="GL100" s="161"/>
      <c r="GM100" s="161"/>
      <c r="GN100" s="161"/>
    </row>
    <row r="101" spans="1:196">
      <c r="A101" s="118"/>
      <c r="B101" s="116" t="s">
        <v>1040</v>
      </c>
      <c r="C101" s="116" t="s">
        <v>644</v>
      </c>
      <c r="D101" s="119"/>
      <c r="E101" s="119"/>
      <c r="F101" s="160"/>
      <c r="G101" s="117">
        <v>280</v>
      </c>
      <c r="H101" s="6"/>
      <c r="I101" s="125">
        <v>46242</v>
      </c>
      <c r="J101" s="13">
        <f t="shared" si="183"/>
        <v>0</v>
      </c>
      <c r="K101" s="153" t="s">
        <v>822</v>
      </c>
      <c r="L101" s="161"/>
      <c r="M101" s="136"/>
      <c r="N101" s="136"/>
      <c r="O101" s="136"/>
      <c r="P101" s="136"/>
      <c r="Q101" s="136"/>
      <c r="R101" s="136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36"/>
      <c r="AD101" s="136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36"/>
      <c r="AR101" s="136"/>
      <c r="AS101" s="161"/>
      <c r="AT101" s="161"/>
      <c r="AU101" s="161"/>
      <c r="AV101" s="161"/>
      <c r="AW101" s="161"/>
      <c r="AX101" s="161"/>
      <c r="AY101" s="161"/>
      <c r="AZ101" s="161"/>
      <c r="BA101" s="161"/>
      <c r="BB101" s="161"/>
      <c r="BC101" s="161"/>
      <c r="BD101" s="161"/>
      <c r="BE101" s="136"/>
      <c r="BF101" s="136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36"/>
      <c r="BT101" s="136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36"/>
      <c r="CH101" s="136"/>
      <c r="CI101" s="161"/>
      <c r="CJ101" s="161"/>
      <c r="CK101" s="161">
        <v>20</v>
      </c>
      <c r="CL101" s="161"/>
      <c r="CM101" s="161">
        <v>260</v>
      </c>
      <c r="CN101" s="161"/>
      <c r="CO101" s="161"/>
      <c r="CP101" s="161"/>
      <c r="CQ101" s="161"/>
      <c r="CR101" s="161"/>
      <c r="CS101" s="161"/>
      <c r="CT101" s="161"/>
      <c r="CU101" s="136"/>
      <c r="CV101" s="136"/>
      <c r="CW101" s="161"/>
      <c r="CX101" s="161"/>
      <c r="CY101" s="161"/>
      <c r="CZ101" s="161"/>
      <c r="DA101" s="161"/>
      <c r="DB101" s="161"/>
      <c r="DC101" s="161"/>
      <c r="DD101" s="161"/>
      <c r="DE101" s="161"/>
      <c r="DF101" s="161"/>
      <c r="DG101" s="161"/>
      <c r="DH101" s="161"/>
      <c r="DI101" s="136"/>
      <c r="DJ101" s="136"/>
      <c r="DK101" s="161"/>
      <c r="DL101" s="161"/>
      <c r="DM101" s="161"/>
      <c r="DN101" s="161"/>
      <c r="DO101" s="161"/>
      <c r="DP101" s="161"/>
      <c r="DQ101" s="161"/>
      <c r="DR101" s="161"/>
      <c r="DS101" s="161"/>
      <c r="DT101" s="161"/>
      <c r="DU101" s="161"/>
      <c r="DV101" s="161"/>
      <c r="DW101" s="136"/>
      <c r="DX101" s="136"/>
      <c r="DY101" s="161"/>
      <c r="DZ101" s="161"/>
      <c r="EA101" s="161"/>
      <c r="EB101" s="161"/>
      <c r="EC101" s="161"/>
      <c r="ED101" s="161"/>
      <c r="EE101" s="161"/>
      <c r="EF101" s="161"/>
      <c r="EG101" s="161"/>
      <c r="EH101" s="161"/>
      <c r="EI101" s="161"/>
      <c r="EJ101" s="161"/>
      <c r="EK101" s="136"/>
      <c r="EL101" s="136"/>
      <c r="EM101" s="136"/>
      <c r="EN101" s="136"/>
      <c r="EO101" s="136"/>
      <c r="EP101" s="136"/>
      <c r="EQ101" s="136"/>
      <c r="ER101" s="136"/>
      <c r="ES101" s="161"/>
      <c r="ET101" s="161"/>
      <c r="EU101" s="161"/>
      <c r="EV101" s="161"/>
      <c r="EW101" s="161"/>
      <c r="EX101" s="161"/>
      <c r="EY101" s="136"/>
      <c r="EZ101" s="136"/>
      <c r="FA101" s="161"/>
      <c r="FB101" s="161"/>
      <c r="FC101" s="161"/>
      <c r="FD101" s="161"/>
      <c r="FE101" s="161"/>
      <c r="FF101" s="161"/>
      <c r="FG101" s="161"/>
      <c r="FH101" s="161"/>
      <c r="FI101" s="161"/>
      <c r="FJ101" s="161"/>
      <c r="FK101" s="161"/>
      <c r="FL101" s="161"/>
      <c r="FM101" s="136"/>
      <c r="FN101" s="136"/>
      <c r="FO101" s="161"/>
      <c r="FP101" s="161"/>
      <c r="FQ101" s="161"/>
      <c r="FR101" s="161"/>
      <c r="FS101" s="161"/>
      <c r="FT101" s="161"/>
      <c r="FU101" s="161"/>
      <c r="FV101" s="161"/>
      <c r="FW101" s="161"/>
      <c r="FX101" s="161"/>
      <c r="FY101" s="161"/>
      <c r="FZ101" s="161"/>
      <c r="GA101" s="136"/>
      <c r="GB101" s="136"/>
      <c r="GC101" s="161"/>
      <c r="GD101" s="161"/>
      <c r="GE101" s="161"/>
      <c r="GF101" s="161"/>
      <c r="GG101" s="161"/>
      <c r="GH101" s="161"/>
      <c r="GI101" s="161"/>
      <c r="GJ101" s="161"/>
      <c r="GK101" s="161"/>
      <c r="GL101" s="161"/>
      <c r="GM101" s="161"/>
      <c r="GN101" s="161"/>
    </row>
    <row r="102" spans="1:196">
      <c r="A102" s="118"/>
      <c r="B102" s="116" t="s">
        <v>1041</v>
      </c>
      <c r="C102" s="116" t="s">
        <v>644</v>
      </c>
      <c r="D102" s="119"/>
      <c r="E102" s="119"/>
      <c r="F102" s="160"/>
      <c r="G102" s="117">
        <v>280</v>
      </c>
      <c r="H102" s="6"/>
      <c r="I102" s="125">
        <v>46242</v>
      </c>
      <c r="J102" s="13">
        <f t="shared" si="183"/>
        <v>0</v>
      </c>
      <c r="K102" s="153" t="s">
        <v>822</v>
      </c>
      <c r="L102" s="161"/>
      <c r="M102" s="136"/>
      <c r="N102" s="136"/>
      <c r="O102" s="136"/>
      <c r="P102" s="136"/>
      <c r="Q102" s="136"/>
      <c r="R102" s="136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36"/>
      <c r="AD102" s="136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36"/>
      <c r="AR102" s="136"/>
      <c r="AS102" s="161"/>
      <c r="AT102" s="161"/>
      <c r="AU102" s="161"/>
      <c r="AV102" s="161"/>
      <c r="AW102" s="161"/>
      <c r="AX102" s="161"/>
      <c r="AY102" s="161"/>
      <c r="AZ102" s="161"/>
      <c r="BA102" s="161"/>
      <c r="BB102" s="161"/>
      <c r="BC102" s="161"/>
      <c r="BD102" s="161"/>
      <c r="BE102" s="136"/>
      <c r="BF102" s="136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36"/>
      <c r="BT102" s="136"/>
      <c r="BU102" s="161"/>
      <c r="BV102" s="161"/>
      <c r="BW102" s="161"/>
      <c r="BX102" s="161"/>
      <c r="BY102" s="161"/>
      <c r="BZ102" s="161"/>
      <c r="CA102" s="161"/>
      <c r="CB102" s="161"/>
      <c r="CC102" s="161"/>
      <c r="CD102" s="161"/>
      <c r="CE102" s="161"/>
      <c r="CF102" s="161"/>
      <c r="CG102" s="136"/>
      <c r="CH102" s="136"/>
      <c r="CI102" s="161"/>
      <c r="CJ102" s="161"/>
      <c r="CK102" s="161"/>
      <c r="CL102" s="161"/>
      <c r="CM102" s="161">
        <v>40</v>
      </c>
      <c r="CN102" s="161"/>
      <c r="CO102" s="161">
        <v>240</v>
      </c>
      <c r="CP102" s="161"/>
      <c r="CQ102" s="161"/>
      <c r="CR102" s="161"/>
      <c r="CS102" s="161"/>
      <c r="CT102" s="161"/>
      <c r="CU102" s="136"/>
      <c r="CV102" s="136"/>
      <c r="CW102" s="161"/>
      <c r="CX102" s="161"/>
      <c r="CY102" s="161"/>
      <c r="CZ102" s="161"/>
      <c r="DA102" s="161"/>
      <c r="DB102" s="161"/>
      <c r="DC102" s="161"/>
      <c r="DD102" s="161"/>
      <c r="DE102" s="161"/>
      <c r="DF102" s="161"/>
      <c r="DG102" s="161"/>
      <c r="DH102" s="161"/>
      <c r="DI102" s="136"/>
      <c r="DJ102" s="136"/>
      <c r="DK102" s="161"/>
      <c r="DL102" s="161"/>
      <c r="DM102" s="161"/>
      <c r="DN102" s="161"/>
      <c r="DO102" s="161"/>
      <c r="DP102" s="161"/>
      <c r="DQ102" s="161"/>
      <c r="DR102" s="161"/>
      <c r="DS102" s="161"/>
      <c r="DT102" s="161"/>
      <c r="DU102" s="161"/>
      <c r="DV102" s="161"/>
      <c r="DW102" s="136"/>
      <c r="DX102" s="136"/>
      <c r="DY102" s="161"/>
      <c r="DZ102" s="161"/>
      <c r="EA102" s="161"/>
      <c r="EB102" s="161"/>
      <c r="EC102" s="161"/>
      <c r="ED102" s="161"/>
      <c r="EE102" s="161"/>
      <c r="EF102" s="161"/>
      <c r="EG102" s="161"/>
      <c r="EH102" s="161"/>
      <c r="EI102" s="161"/>
      <c r="EJ102" s="161"/>
      <c r="EK102" s="136"/>
      <c r="EL102" s="136"/>
      <c r="EM102" s="136"/>
      <c r="EN102" s="136"/>
      <c r="EO102" s="136"/>
      <c r="EP102" s="136"/>
      <c r="EQ102" s="136"/>
      <c r="ER102" s="136"/>
      <c r="ES102" s="161"/>
      <c r="ET102" s="161"/>
      <c r="EU102" s="161"/>
      <c r="EV102" s="161"/>
      <c r="EW102" s="161"/>
      <c r="EX102" s="161"/>
      <c r="EY102" s="136"/>
      <c r="EZ102" s="136"/>
      <c r="FA102" s="161"/>
      <c r="FB102" s="161"/>
      <c r="FC102" s="161"/>
      <c r="FD102" s="161"/>
      <c r="FE102" s="161"/>
      <c r="FF102" s="161"/>
      <c r="FG102" s="161"/>
      <c r="FH102" s="161"/>
      <c r="FI102" s="161"/>
      <c r="FJ102" s="161"/>
      <c r="FK102" s="161"/>
      <c r="FL102" s="161"/>
      <c r="FM102" s="136"/>
      <c r="FN102" s="136"/>
      <c r="FO102" s="161"/>
      <c r="FP102" s="161"/>
      <c r="FQ102" s="161"/>
      <c r="FR102" s="161"/>
      <c r="FS102" s="161"/>
      <c r="FT102" s="161"/>
      <c r="FU102" s="161"/>
      <c r="FV102" s="161"/>
      <c r="FW102" s="161"/>
      <c r="FX102" s="161"/>
      <c r="FY102" s="161"/>
      <c r="FZ102" s="161"/>
      <c r="GA102" s="136"/>
      <c r="GB102" s="136"/>
      <c r="GC102" s="161"/>
      <c r="GD102" s="161"/>
      <c r="GE102" s="161"/>
      <c r="GF102" s="161"/>
      <c r="GG102" s="161"/>
      <c r="GH102" s="161"/>
      <c r="GI102" s="161"/>
      <c r="GJ102" s="161"/>
      <c r="GK102" s="161"/>
      <c r="GL102" s="161"/>
      <c r="GM102" s="161"/>
      <c r="GN102" s="161"/>
    </row>
    <row r="103" spans="1:196">
      <c r="A103" s="118"/>
      <c r="B103" s="116" t="s">
        <v>1042</v>
      </c>
      <c r="C103" s="116" t="s">
        <v>644</v>
      </c>
      <c r="D103" s="119"/>
      <c r="E103" s="119"/>
      <c r="F103" s="160"/>
      <c r="G103" s="117">
        <v>121</v>
      </c>
      <c r="H103" s="6"/>
      <c r="I103" s="125">
        <v>46242</v>
      </c>
      <c r="J103" s="13">
        <f t="shared" si="183"/>
        <v>0</v>
      </c>
      <c r="K103" s="153" t="s">
        <v>822</v>
      </c>
      <c r="L103" s="161"/>
      <c r="M103" s="136"/>
      <c r="N103" s="136"/>
      <c r="O103" s="136"/>
      <c r="P103" s="136"/>
      <c r="Q103" s="136"/>
      <c r="R103" s="136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36"/>
      <c r="AD103" s="136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36"/>
      <c r="AR103" s="136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36"/>
      <c r="BF103" s="136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36"/>
      <c r="BT103" s="136"/>
      <c r="BU103" s="161"/>
      <c r="BV103" s="161"/>
      <c r="BW103" s="161"/>
      <c r="BX103" s="161"/>
      <c r="BY103" s="161"/>
      <c r="BZ103" s="161"/>
      <c r="CA103" s="161"/>
      <c r="CB103" s="161"/>
      <c r="CC103" s="161"/>
      <c r="CD103" s="161"/>
      <c r="CE103" s="161"/>
      <c r="CF103" s="161"/>
      <c r="CG103" s="136"/>
      <c r="CH103" s="136"/>
      <c r="CI103" s="161"/>
      <c r="CJ103" s="161"/>
      <c r="CK103" s="161"/>
      <c r="CL103" s="161"/>
      <c r="CM103" s="161"/>
      <c r="CN103" s="161"/>
      <c r="CO103" s="161">
        <v>70</v>
      </c>
      <c r="CP103" s="161"/>
      <c r="CQ103" s="161">
        <v>51</v>
      </c>
      <c r="CR103" s="161"/>
      <c r="CS103" s="161"/>
      <c r="CT103" s="161"/>
      <c r="CU103" s="136"/>
      <c r="CV103" s="136"/>
      <c r="CW103" s="161"/>
      <c r="CX103" s="161"/>
      <c r="CY103" s="161"/>
      <c r="CZ103" s="161"/>
      <c r="DA103" s="161"/>
      <c r="DB103" s="161"/>
      <c r="DC103" s="161"/>
      <c r="DD103" s="161"/>
      <c r="DE103" s="161"/>
      <c r="DF103" s="161"/>
      <c r="DG103" s="161"/>
      <c r="DH103" s="161"/>
      <c r="DI103" s="136"/>
      <c r="DJ103" s="136"/>
      <c r="DK103" s="161"/>
      <c r="DL103" s="161"/>
      <c r="DM103" s="161"/>
      <c r="DN103" s="161"/>
      <c r="DO103" s="161"/>
      <c r="DP103" s="161"/>
      <c r="DQ103" s="161"/>
      <c r="DR103" s="161"/>
      <c r="DS103" s="161"/>
      <c r="DT103" s="161"/>
      <c r="DU103" s="161"/>
      <c r="DV103" s="161"/>
      <c r="DW103" s="136"/>
      <c r="DX103" s="136"/>
      <c r="DY103" s="161"/>
      <c r="DZ103" s="161"/>
      <c r="EA103" s="161"/>
      <c r="EB103" s="161"/>
      <c r="EC103" s="161"/>
      <c r="ED103" s="161"/>
      <c r="EE103" s="161"/>
      <c r="EF103" s="161"/>
      <c r="EG103" s="161"/>
      <c r="EH103" s="161"/>
      <c r="EI103" s="161"/>
      <c r="EJ103" s="161"/>
      <c r="EK103" s="136"/>
      <c r="EL103" s="136"/>
      <c r="EM103" s="136"/>
      <c r="EN103" s="136"/>
      <c r="EO103" s="136"/>
      <c r="EP103" s="136"/>
      <c r="EQ103" s="136"/>
      <c r="ER103" s="136"/>
      <c r="ES103" s="161"/>
      <c r="ET103" s="161"/>
      <c r="EU103" s="161"/>
      <c r="EV103" s="161"/>
      <c r="EW103" s="161"/>
      <c r="EX103" s="161"/>
      <c r="EY103" s="136"/>
      <c r="EZ103" s="136"/>
      <c r="FA103" s="161"/>
      <c r="FB103" s="161"/>
      <c r="FC103" s="161"/>
      <c r="FD103" s="161"/>
      <c r="FE103" s="161"/>
      <c r="FF103" s="161"/>
      <c r="FG103" s="161"/>
      <c r="FH103" s="161"/>
      <c r="FI103" s="161"/>
      <c r="FJ103" s="161"/>
      <c r="FK103" s="161"/>
      <c r="FL103" s="161"/>
      <c r="FM103" s="136"/>
      <c r="FN103" s="136"/>
      <c r="FO103" s="161"/>
      <c r="FP103" s="161"/>
      <c r="FQ103" s="161"/>
      <c r="FR103" s="161"/>
      <c r="FS103" s="161"/>
      <c r="FT103" s="161"/>
      <c r="FU103" s="161"/>
      <c r="FV103" s="161"/>
      <c r="FW103" s="161"/>
      <c r="FX103" s="161"/>
      <c r="FY103" s="161"/>
      <c r="FZ103" s="161"/>
      <c r="GA103" s="136"/>
      <c r="GB103" s="136"/>
      <c r="GC103" s="161"/>
      <c r="GD103" s="161"/>
      <c r="GE103" s="161"/>
      <c r="GF103" s="161"/>
      <c r="GG103" s="161"/>
      <c r="GH103" s="161"/>
      <c r="GI103" s="161"/>
      <c r="GJ103" s="161"/>
      <c r="GK103" s="161"/>
      <c r="GL103" s="161"/>
      <c r="GM103" s="161"/>
      <c r="GN103" s="161"/>
    </row>
    <row r="104" spans="1:196">
      <c r="A104" s="118"/>
      <c r="B104" s="116" t="s">
        <v>997</v>
      </c>
      <c r="C104" s="116" t="s">
        <v>105</v>
      </c>
      <c r="D104" s="119"/>
      <c r="E104" s="119"/>
      <c r="F104" s="160"/>
      <c r="G104" s="117">
        <v>20</v>
      </c>
      <c r="H104" s="6"/>
      <c r="I104" s="125">
        <v>46235</v>
      </c>
      <c r="J104" s="13">
        <f t="shared" ref="J104:J113" si="186">G104-SUM(L104:FL104)</f>
        <v>0</v>
      </c>
      <c r="K104" s="139" t="s">
        <v>695</v>
      </c>
      <c r="L104" s="161"/>
      <c r="M104" s="136"/>
      <c r="N104" s="136"/>
      <c r="O104" s="136"/>
      <c r="P104" s="136"/>
      <c r="Q104" s="136"/>
      <c r="R104" s="136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36"/>
      <c r="AD104" s="136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36"/>
      <c r="AR104" s="136"/>
      <c r="AS104" s="161"/>
      <c r="AT104" s="161"/>
      <c r="AU104" s="161"/>
      <c r="AV104" s="161"/>
      <c r="AW104" s="161"/>
      <c r="AX104" s="161"/>
      <c r="AY104" s="161"/>
      <c r="AZ104" s="161"/>
      <c r="BA104" s="161"/>
      <c r="BB104" s="161"/>
      <c r="BC104" s="161"/>
      <c r="BD104" s="161"/>
      <c r="BE104" s="136"/>
      <c r="BF104" s="136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36"/>
      <c r="BT104" s="136"/>
      <c r="BU104" s="161"/>
      <c r="BV104" s="161"/>
      <c r="BW104" s="161"/>
      <c r="BX104" s="161"/>
      <c r="BY104" s="161"/>
      <c r="BZ104" s="161"/>
      <c r="CA104" s="161"/>
      <c r="CB104" s="161"/>
      <c r="CC104" s="161"/>
      <c r="CD104" s="161"/>
      <c r="CE104" s="161"/>
      <c r="CF104" s="161"/>
      <c r="CG104" s="136"/>
      <c r="CH104" s="136"/>
      <c r="CI104" s="161"/>
      <c r="CJ104" s="161"/>
      <c r="CK104" s="161"/>
      <c r="CL104" s="161"/>
      <c r="CM104" s="161"/>
      <c r="CN104" s="161"/>
      <c r="CO104" s="161">
        <v>20</v>
      </c>
      <c r="CP104" s="161"/>
      <c r="CQ104" s="161"/>
      <c r="CR104" s="161"/>
      <c r="CS104" s="161"/>
      <c r="CT104" s="161"/>
      <c r="CU104" s="136"/>
      <c r="CV104" s="136"/>
      <c r="CW104" s="161"/>
      <c r="CX104" s="161"/>
      <c r="CY104" s="161"/>
      <c r="CZ104" s="161"/>
      <c r="DA104" s="161"/>
      <c r="DB104" s="161"/>
      <c r="DC104" s="161"/>
      <c r="DD104" s="161"/>
      <c r="DE104" s="161"/>
      <c r="DF104" s="161"/>
      <c r="DG104" s="161"/>
      <c r="DH104" s="161"/>
      <c r="DI104" s="136"/>
      <c r="DJ104" s="136"/>
      <c r="DK104" s="161"/>
      <c r="DL104" s="161"/>
      <c r="DM104" s="161"/>
      <c r="DN104" s="161"/>
      <c r="DO104" s="161"/>
      <c r="DP104" s="161"/>
      <c r="DQ104" s="161"/>
      <c r="DR104" s="161"/>
      <c r="DS104" s="161"/>
      <c r="DT104" s="161"/>
      <c r="DU104" s="161"/>
      <c r="DV104" s="161"/>
      <c r="DW104" s="136"/>
      <c r="DX104" s="136"/>
      <c r="DY104" s="161"/>
      <c r="DZ104" s="161"/>
      <c r="EA104" s="161"/>
      <c r="EB104" s="161"/>
      <c r="EC104" s="161"/>
      <c r="ED104" s="161"/>
      <c r="EE104" s="161"/>
      <c r="EF104" s="161"/>
      <c r="EG104" s="161"/>
      <c r="EH104" s="161"/>
      <c r="EI104" s="161"/>
      <c r="EJ104" s="161"/>
      <c r="EK104" s="136"/>
      <c r="EL104" s="136"/>
      <c r="EM104" s="136"/>
      <c r="EN104" s="136"/>
      <c r="EO104" s="136"/>
      <c r="EP104" s="136"/>
      <c r="EQ104" s="136"/>
      <c r="ER104" s="136"/>
      <c r="ES104" s="161"/>
      <c r="ET104" s="161"/>
      <c r="EU104" s="161"/>
      <c r="EV104" s="161"/>
      <c r="EW104" s="161"/>
      <c r="EX104" s="161"/>
      <c r="EY104" s="136"/>
      <c r="EZ104" s="136"/>
      <c r="FA104" s="161"/>
      <c r="FB104" s="161"/>
      <c r="FC104" s="161"/>
      <c r="FD104" s="161"/>
      <c r="FE104" s="161"/>
      <c r="FF104" s="161"/>
      <c r="FG104" s="161"/>
      <c r="FH104" s="161"/>
      <c r="FI104" s="161"/>
      <c r="FJ104" s="161"/>
      <c r="FK104" s="161"/>
      <c r="FL104" s="161"/>
      <c r="FM104" s="136"/>
      <c r="FN104" s="136"/>
      <c r="FO104" s="161"/>
      <c r="FP104" s="161"/>
      <c r="FQ104" s="161"/>
      <c r="FR104" s="161"/>
      <c r="FS104" s="161"/>
      <c r="FT104" s="161"/>
      <c r="FU104" s="161"/>
      <c r="FV104" s="161"/>
      <c r="FW104" s="161"/>
      <c r="FX104" s="161"/>
      <c r="FY104" s="161"/>
      <c r="FZ104" s="161"/>
      <c r="GA104" s="136"/>
      <c r="GB104" s="136"/>
      <c r="GC104" s="161"/>
      <c r="GD104" s="161"/>
      <c r="GE104" s="161"/>
      <c r="GF104" s="161"/>
      <c r="GG104" s="161"/>
      <c r="GH104" s="161"/>
      <c r="GI104" s="161"/>
      <c r="GJ104" s="161"/>
      <c r="GK104" s="161"/>
      <c r="GL104" s="161"/>
      <c r="GM104" s="161"/>
      <c r="GN104" s="161"/>
    </row>
    <row r="105" spans="1:196">
      <c r="A105" s="118"/>
      <c r="B105" s="116" t="s">
        <v>1172</v>
      </c>
      <c r="C105" s="116" t="s">
        <v>110</v>
      </c>
      <c r="D105" s="119"/>
      <c r="E105" s="119"/>
      <c r="F105" s="160"/>
      <c r="G105" s="117">
        <v>5</v>
      </c>
      <c r="H105" s="6"/>
      <c r="I105" s="125">
        <v>46235</v>
      </c>
      <c r="J105" s="13">
        <f t="shared" si="186"/>
        <v>0</v>
      </c>
      <c r="K105" s="139" t="s">
        <v>695</v>
      </c>
      <c r="L105" s="161"/>
      <c r="M105" s="136"/>
      <c r="N105" s="136"/>
      <c r="O105" s="136"/>
      <c r="P105" s="136"/>
      <c r="Q105" s="136"/>
      <c r="R105" s="136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36"/>
      <c r="AD105" s="136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36"/>
      <c r="AR105" s="136"/>
      <c r="AS105" s="161"/>
      <c r="AT105" s="161"/>
      <c r="AU105" s="161"/>
      <c r="AV105" s="161"/>
      <c r="AW105" s="161"/>
      <c r="AX105" s="161"/>
      <c r="AY105" s="161"/>
      <c r="AZ105" s="161"/>
      <c r="BA105" s="161"/>
      <c r="BB105" s="161"/>
      <c r="BC105" s="161"/>
      <c r="BD105" s="161"/>
      <c r="BE105" s="136"/>
      <c r="BF105" s="136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36"/>
      <c r="BT105" s="136"/>
      <c r="BU105" s="161"/>
      <c r="BV105" s="161"/>
      <c r="BW105" s="161"/>
      <c r="BX105" s="161"/>
      <c r="BY105" s="161"/>
      <c r="BZ105" s="161"/>
      <c r="CA105" s="161"/>
      <c r="CB105" s="161"/>
      <c r="CC105" s="161"/>
      <c r="CD105" s="161"/>
      <c r="CE105" s="161"/>
      <c r="CF105" s="161"/>
      <c r="CG105" s="136"/>
      <c r="CH105" s="136"/>
      <c r="CI105" s="161"/>
      <c r="CJ105" s="161"/>
      <c r="CK105" s="161"/>
      <c r="CL105" s="161"/>
      <c r="CM105" s="161"/>
      <c r="CN105" s="161"/>
      <c r="CO105" s="161">
        <v>5</v>
      </c>
      <c r="CP105" s="161"/>
      <c r="CQ105" s="161"/>
      <c r="CR105" s="161"/>
      <c r="CS105" s="161"/>
      <c r="CT105" s="161"/>
      <c r="CU105" s="136"/>
      <c r="CV105" s="136"/>
      <c r="CW105" s="161"/>
      <c r="CX105" s="161"/>
      <c r="CY105" s="161"/>
      <c r="CZ105" s="161"/>
      <c r="DA105" s="161"/>
      <c r="DB105" s="161"/>
      <c r="DC105" s="161"/>
      <c r="DD105" s="161"/>
      <c r="DE105" s="161"/>
      <c r="DF105" s="161"/>
      <c r="DG105" s="161"/>
      <c r="DH105" s="161"/>
      <c r="DI105" s="136"/>
      <c r="DJ105" s="136"/>
      <c r="DK105" s="161"/>
      <c r="DL105" s="161"/>
      <c r="DM105" s="161"/>
      <c r="DN105" s="161"/>
      <c r="DO105" s="161"/>
      <c r="DP105" s="161"/>
      <c r="DQ105" s="161"/>
      <c r="DR105" s="161"/>
      <c r="DS105" s="161"/>
      <c r="DT105" s="161"/>
      <c r="DU105" s="161"/>
      <c r="DV105" s="161"/>
      <c r="DW105" s="136"/>
      <c r="DX105" s="136"/>
      <c r="DY105" s="161"/>
      <c r="DZ105" s="161"/>
      <c r="EA105" s="161"/>
      <c r="EB105" s="161"/>
      <c r="EC105" s="161"/>
      <c r="ED105" s="161"/>
      <c r="EE105" s="161"/>
      <c r="EF105" s="161"/>
      <c r="EG105" s="161"/>
      <c r="EH105" s="161"/>
      <c r="EI105" s="161"/>
      <c r="EJ105" s="161"/>
      <c r="EK105" s="136"/>
      <c r="EL105" s="136"/>
      <c r="EM105" s="136"/>
      <c r="EN105" s="136"/>
      <c r="EO105" s="136"/>
      <c r="EP105" s="136"/>
      <c r="EQ105" s="136"/>
      <c r="ER105" s="136"/>
      <c r="ES105" s="161"/>
      <c r="ET105" s="161"/>
      <c r="EU105" s="161"/>
      <c r="EV105" s="161"/>
      <c r="EW105" s="161"/>
      <c r="EX105" s="161"/>
      <c r="EY105" s="136"/>
      <c r="EZ105" s="136"/>
      <c r="FA105" s="161"/>
      <c r="FB105" s="161"/>
      <c r="FC105" s="161"/>
      <c r="FD105" s="161"/>
      <c r="FE105" s="161"/>
      <c r="FF105" s="161"/>
      <c r="FG105" s="161"/>
      <c r="FH105" s="161"/>
      <c r="FI105" s="161"/>
      <c r="FJ105" s="161"/>
      <c r="FK105" s="161"/>
      <c r="FL105" s="161"/>
      <c r="FM105" s="136"/>
      <c r="FN105" s="136"/>
      <c r="FO105" s="161"/>
      <c r="FP105" s="161"/>
      <c r="FQ105" s="161"/>
      <c r="FR105" s="161"/>
      <c r="FS105" s="161"/>
      <c r="FT105" s="161"/>
      <c r="FU105" s="161"/>
      <c r="FV105" s="161"/>
      <c r="FW105" s="161"/>
      <c r="FX105" s="161"/>
      <c r="FY105" s="161"/>
      <c r="FZ105" s="161"/>
      <c r="GA105" s="136"/>
      <c r="GB105" s="136"/>
      <c r="GC105" s="161"/>
      <c r="GD105" s="161"/>
      <c r="GE105" s="161"/>
      <c r="GF105" s="161"/>
      <c r="GG105" s="161"/>
      <c r="GH105" s="161"/>
      <c r="GI105" s="161"/>
      <c r="GJ105" s="161"/>
      <c r="GK105" s="161"/>
      <c r="GL105" s="161"/>
      <c r="GM105" s="161"/>
      <c r="GN105" s="161"/>
    </row>
    <row r="106" spans="1:196">
      <c r="A106" s="118"/>
      <c r="B106" s="116" t="s">
        <v>1118</v>
      </c>
      <c r="C106" s="116" t="s">
        <v>105</v>
      </c>
      <c r="D106" s="119"/>
      <c r="E106" s="119"/>
      <c r="F106" s="160"/>
      <c r="G106" s="117">
        <v>15</v>
      </c>
      <c r="H106" s="6"/>
      <c r="I106" s="125">
        <v>46242</v>
      </c>
      <c r="J106" s="13">
        <f t="shared" si="186"/>
        <v>0</v>
      </c>
      <c r="K106" s="139"/>
      <c r="L106" s="161"/>
      <c r="M106" s="136"/>
      <c r="N106" s="136"/>
      <c r="O106" s="136"/>
      <c r="P106" s="136"/>
      <c r="Q106" s="136"/>
      <c r="R106" s="136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36"/>
      <c r="AD106" s="136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36"/>
      <c r="AR106" s="136"/>
      <c r="AS106" s="161"/>
      <c r="AT106" s="161"/>
      <c r="AU106" s="161"/>
      <c r="AV106" s="161"/>
      <c r="AW106" s="161"/>
      <c r="AX106" s="161"/>
      <c r="AY106" s="161"/>
      <c r="AZ106" s="161"/>
      <c r="BA106" s="161"/>
      <c r="BB106" s="161"/>
      <c r="BC106" s="161"/>
      <c r="BD106" s="161"/>
      <c r="BE106" s="136"/>
      <c r="BF106" s="136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36"/>
      <c r="BT106" s="136"/>
      <c r="BU106" s="161"/>
      <c r="BV106" s="161"/>
      <c r="BW106" s="161"/>
      <c r="BX106" s="161"/>
      <c r="BY106" s="161"/>
      <c r="BZ106" s="161"/>
      <c r="CA106" s="161"/>
      <c r="CB106" s="161"/>
      <c r="CC106" s="161"/>
      <c r="CD106" s="161"/>
      <c r="CE106" s="161"/>
      <c r="CF106" s="161"/>
      <c r="CG106" s="136"/>
      <c r="CH106" s="136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>
        <v>15</v>
      </c>
      <c r="CT106" s="161"/>
      <c r="CU106" s="136"/>
      <c r="CV106" s="136"/>
      <c r="CW106" s="161"/>
      <c r="CX106" s="161"/>
      <c r="CY106" s="161"/>
      <c r="CZ106" s="161"/>
      <c r="DA106" s="161"/>
      <c r="DB106" s="161"/>
      <c r="DC106" s="161"/>
      <c r="DD106" s="161"/>
      <c r="DE106" s="161"/>
      <c r="DF106" s="161"/>
      <c r="DG106" s="161"/>
      <c r="DH106" s="161"/>
      <c r="DI106" s="136"/>
      <c r="DJ106" s="136"/>
      <c r="DK106" s="161"/>
      <c r="DL106" s="161"/>
      <c r="DM106" s="161"/>
      <c r="DN106" s="161"/>
      <c r="DO106" s="161"/>
      <c r="DP106" s="161"/>
      <c r="DQ106" s="161"/>
      <c r="DR106" s="161"/>
      <c r="DS106" s="161"/>
      <c r="DT106" s="161"/>
      <c r="DU106" s="161"/>
      <c r="DV106" s="161"/>
      <c r="DW106" s="136"/>
      <c r="DX106" s="136"/>
      <c r="DY106" s="161"/>
      <c r="DZ106" s="161"/>
      <c r="EA106" s="161"/>
      <c r="EB106" s="161"/>
      <c r="EC106" s="161"/>
      <c r="ED106" s="161"/>
      <c r="EE106" s="161"/>
      <c r="EF106" s="161"/>
      <c r="EG106" s="161"/>
      <c r="EH106" s="161"/>
      <c r="EI106" s="161"/>
      <c r="EJ106" s="161"/>
      <c r="EK106" s="136"/>
      <c r="EL106" s="136"/>
      <c r="EM106" s="136"/>
      <c r="EN106" s="136"/>
      <c r="EO106" s="136"/>
      <c r="EP106" s="136"/>
      <c r="EQ106" s="136"/>
      <c r="ER106" s="136"/>
      <c r="ES106" s="161"/>
      <c r="ET106" s="161"/>
      <c r="EU106" s="161"/>
      <c r="EV106" s="161"/>
      <c r="EW106" s="161"/>
      <c r="EX106" s="161"/>
      <c r="EY106" s="136"/>
      <c r="EZ106" s="136"/>
      <c r="FA106" s="161"/>
      <c r="FB106" s="161"/>
      <c r="FC106" s="161"/>
      <c r="FD106" s="161"/>
      <c r="FE106" s="161"/>
      <c r="FF106" s="161"/>
      <c r="FG106" s="161"/>
      <c r="FH106" s="161"/>
      <c r="FI106" s="161"/>
      <c r="FJ106" s="161"/>
      <c r="FK106" s="161"/>
      <c r="FL106" s="161"/>
      <c r="FM106" s="136"/>
      <c r="FN106" s="136"/>
      <c r="FO106" s="161"/>
      <c r="FP106" s="161"/>
      <c r="FQ106" s="161"/>
      <c r="FR106" s="161"/>
      <c r="FS106" s="161"/>
      <c r="FT106" s="161"/>
      <c r="FU106" s="161"/>
      <c r="FV106" s="161"/>
      <c r="FW106" s="161"/>
      <c r="FX106" s="161"/>
      <c r="FY106" s="161"/>
      <c r="FZ106" s="161"/>
      <c r="GA106" s="136"/>
      <c r="GB106" s="136"/>
      <c r="GC106" s="161"/>
      <c r="GD106" s="161"/>
      <c r="GE106" s="161"/>
      <c r="GF106" s="161"/>
      <c r="GG106" s="161"/>
      <c r="GH106" s="161"/>
      <c r="GI106" s="161"/>
      <c r="GJ106" s="161"/>
      <c r="GK106" s="161"/>
      <c r="GL106" s="161"/>
      <c r="GM106" s="161"/>
      <c r="GN106" s="161"/>
    </row>
    <row r="107" spans="1:196">
      <c r="A107" s="118"/>
      <c r="B107" s="116" t="s">
        <v>836</v>
      </c>
      <c r="C107" s="116" t="s">
        <v>108</v>
      </c>
      <c r="D107" s="119"/>
      <c r="E107" s="119"/>
      <c r="F107" s="160"/>
      <c r="G107" s="117">
        <v>25</v>
      </c>
      <c r="H107" s="6"/>
      <c r="I107" s="125">
        <v>46242</v>
      </c>
      <c r="J107" s="13">
        <f t="shared" si="186"/>
        <v>0</v>
      </c>
      <c r="K107" s="139" t="s">
        <v>695</v>
      </c>
      <c r="L107" s="161"/>
      <c r="M107" s="136"/>
      <c r="N107" s="136"/>
      <c r="O107" s="136"/>
      <c r="P107" s="136"/>
      <c r="Q107" s="136"/>
      <c r="R107" s="136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36"/>
      <c r="AD107" s="136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36"/>
      <c r="AR107" s="136"/>
      <c r="AS107" s="161"/>
      <c r="AT107" s="161"/>
      <c r="AU107" s="161"/>
      <c r="AV107" s="161"/>
      <c r="AW107" s="161"/>
      <c r="AX107" s="161"/>
      <c r="AY107" s="161"/>
      <c r="AZ107" s="161"/>
      <c r="BA107" s="161"/>
      <c r="BB107" s="161"/>
      <c r="BC107" s="161"/>
      <c r="BD107" s="161"/>
      <c r="BE107" s="136"/>
      <c r="BF107" s="136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36"/>
      <c r="BT107" s="136"/>
      <c r="BU107" s="161"/>
      <c r="BV107" s="161"/>
      <c r="BW107" s="161"/>
      <c r="BX107" s="161"/>
      <c r="BY107" s="161"/>
      <c r="BZ107" s="161"/>
      <c r="CA107" s="161"/>
      <c r="CB107" s="161"/>
      <c r="CC107" s="161"/>
      <c r="CD107" s="161"/>
      <c r="CE107" s="161"/>
      <c r="CF107" s="161"/>
      <c r="CG107" s="136"/>
      <c r="CH107" s="136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>
        <v>25</v>
      </c>
      <c r="CT107" s="161"/>
      <c r="CU107" s="136"/>
      <c r="CV107" s="136"/>
      <c r="CW107" s="161"/>
      <c r="CX107" s="161"/>
      <c r="CY107" s="161"/>
      <c r="CZ107" s="161"/>
      <c r="DA107" s="161"/>
      <c r="DB107" s="161"/>
      <c r="DC107" s="161"/>
      <c r="DD107" s="161"/>
      <c r="DE107" s="161"/>
      <c r="DF107" s="161"/>
      <c r="DG107" s="161"/>
      <c r="DH107" s="161"/>
      <c r="DI107" s="136"/>
      <c r="DJ107" s="136"/>
      <c r="DK107" s="161"/>
      <c r="DL107" s="161"/>
      <c r="DM107" s="161"/>
      <c r="DN107" s="161"/>
      <c r="DO107" s="161"/>
      <c r="DP107" s="161"/>
      <c r="DQ107" s="161"/>
      <c r="DR107" s="161"/>
      <c r="DS107" s="161"/>
      <c r="DT107" s="161"/>
      <c r="DU107" s="161"/>
      <c r="DV107" s="161"/>
      <c r="DW107" s="136"/>
      <c r="DX107" s="136"/>
      <c r="DY107" s="161"/>
      <c r="DZ107" s="161"/>
      <c r="EA107" s="161"/>
      <c r="EB107" s="161"/>
      <c r="EC107" s="161"/>
      <c r="ED107" s="161"/>
      <c r="EE107" s="161"/>
      <c r="EF107" s="161"/>
      <c r="EG107" s="161"/>
      <c r="EH107" s="161"/>
      <c r="EI107" s="161"/>
      <c r="EJ107" s="161"/>
      <c r="EK107" s="136"/>
      <c r="EL107" s="136"/>
      <c r="EM107" s="136"/>
      <c r="EN107" s="136"/>
      <c r="EO107" s="136"/>
      <c r="EP107" s="136"/>
      <c r="EQ107" s="136"/>
      <c r="ER107" s="136"/>
      <c r="ES107" s="161"/>
      <c r="ET107" s="161"/>
      <c r="EU107" s="161"/>
      <c r="EV107" s="161"/>
      <c r="EW107" s="161"/>
      <c r="EX107" s="161"/>
      <c r="EY107" s="136"/>
      <c r="EZ107" s="136"/>
      <c r="FA107" s="161"/>
      <c r="FB107" s="161"/>
      <c r="FC107" s="161"/>
      <c r="FD107" s="161"/>
      <c r="FE107" s="161"/>
      <c r="FF107" s="161"/>
      <c r="FG107" s="161"/>
      <c r="FH107" s="161"/>
      <c r="FI107" s="161"/>
      <c r="FJ107" s="161"/>
      <c r="FK107" s="161"/>
      <c r="FL107" s="161"/>
      <c r="FM107" s="136"/>
      <c r="FN107" s="136"/>
      <c r="FO107" s="161"/>
      <c r="FP107" s="161"/>
      <c r="FQ107" s="161"/>
      <c r="FR107" s="161"/>
      <c r="FS107" s="161"/>
      <c r="FT107" s="161"/>
      <c r="FU107" s="161"/>
      <c r="FV107" s="161"/>
      <c r="FW107" s="161"/>
      <c r="FX107" s="161"/>
      <c r="FY107" s="161"/>
      <c r="FZ107" s="161"/>
      <c r="GA107" s="136"/>
      <c r="GB107" s="136"/>
      <c r="GC107" s="161"/>
      <c r="GD107" s="161"/>
      <c r="GE107" s="161"/>
      <c r="GF107" s="161"/>
      <c r="GG107" s="161"/>
      <c r="GH107" s="161"/>
      <c r="GI107" s="161"/>
      <c r="GJ107" s="161"/>
      <c r="GK107" s="161"/>
      <c r="GL107" s="161"/>
      <c r="GM107" s="161"/>
      <c r="GN107" s="161"/>
    </row>
    <row r="108" spans="1:196">
      <c r="A108" s="118"/>
      <c r="B108" s="116" t="s">
        <v>1293</v>
      </c>
      <c r="C108" s="116" t="s">
        <v>105</v>
      </c>
      <c r="D108" s="119"/>
      <c r="E108" s="119"/>
      <c r="F108" s="160"/>
      <c r="G108" s="117">
        <v>20</v>
      </c>
      <c r="H108" s="6"/>
      <c r="I108" s="125">
        <v>46249</v>
      </c>
      <c r="J108" s="13">
        <f t="shared" si="186"/>
        <v>0</v>
      </c>
      <c r="K108" s="139"/>
      <c r="L108" s="161"/>
      <c r="M108" s="136"/>
      <c r="N108" s="136"/>
      <c r="O108" s="136"/>
      <c r="P108" s="136"/>
      <c r="Q108" s="136"/>
      <c r="R108" s="136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36"/>
      <c r="AD108" s="136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36"/>
      <c r="AR108" s="136"/>
      <c r="AS108" s="161"/>
      <c r="AT108" s="161"/>
      <c r="AU108" s="161"/>
      <c r="AV108" s="161"/>
      <c r="AW108" s="161"/>
      <c r="AX108" s="161"/>
      <c r="AY108" s="161"/>
      <c r="AZ108" s="161"/>
      <c r="BA108" s="161"/>
      <c r="BB108" s="161"/>
      <c r="BC108" s="161"/>
      <c r="BD108" s="161"/>
      <c r="BE108" s="136"/>
      <c r="BF108" s="136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36"/>
      <c r="BT108" s="136"/>
      <c r="BU108" s="161"/>
      <c r="BV108" s="161"/>
      <c r="BW108" s="161"/>
      <c r="BX108" s="161"/>
      <c r="BY108" s="161"/>
      <c r="BZ108" s="161"/>
      <c r="CA108" s="161"/>
      <c r="CB108" s="161"/>
      <c r="CC108" s="161"/>
      <c r="CD108" s="161"/>
      <c r="CE108" s="161"/>
      <c r="CF108" s="161"/>
      <c r="CG108" s="136"/>
      <c r="CH108" s="136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36"/>
      <c r="CV108" s="136"/>
      <c r="CW108" s="161"/>
      <c r="CX108" s="161"/>
      <c r="CY108" s="161"/>
      <c r="CZ108" s="161"/>
      <c r="DA108" s="161"/>
      <c r="DB108" s="161"/>
      <c r="DC108" s="161"/>
      <c r="DD108" s="161"/>
      <c r="DE108" s="161"/>
      <c r="DF108" s="161"/>
      <c r="DG108" s="161">
        <v>20</v>
      </c>
      <c r="DH108" s="161"/>
      <c r="DI108" s="136"/>
      <c r="DJ108" s="136"/>
      <c r="DK108" s="161"/>
      <c r="DL108" s="161"/>
      <c r="DM108" s="161"/>
      <c r="DN108" s="161"/>
      <c r="DO108" s="161"/>
      <c r="DP108" s="161"/>
      <c r="DQ108" s="161"/>
      <c r="DR108" s="161"/>
      <c r="DS108" s="161"/>
      <c r="DT108" s="161"/>
      <c r="DU108" s="161"/>
      <c r="DV108" s="161"/>
      <c r="DW108" s="136"/>
      <c r="DX108" s="136"/>
      <c r="DY108" s="161"/>
      <c r="DZ108" s="161"/>
      <c r="EA108" s="161"/>
      <c r="EB108" s="161"/>
      <c r="EC108" s="161"/>
      <c r="ED108" s="161"/>
      <c r="EE108" s="161"/>
      <c r="EF108" s="161"/>
      <c r="EG108" s="161"/>
      <c r="EH108" s="161"/>
      <c r="EI108" s="161"/>
      <c r="EJ108" s="161"/>
      <c r="EK108" s="136"/>
      <c r="EL108" s="136"/>
      <c r="EM108" s="136"/>
      <c r="EN108" s="136"/>
      <c r="EO108" s="136"/>
      <c r="EP108" s="136"/>
      <c r="EQ108" s="136"/>
      <c r="ER108" s="136"/>
      <c r="ES108" s="161"/>
      <c r="ET108" s="161"/>
      <c r="EU108" s="161"/>
      <c r="EV108" s="161"/>
      <c r="EW108" s="161"/>
      <c r="EX108" s="161"/>
      <c r="EY108" s="136"/>
      <c r="EZ108" s="136"/>
      <c r="FA108" s="161"/>
      <c r="FB108" s="161"/>
      <c r="FC108" s="161"/>
      <c r="FD108" s="161"/>
      <c r="FE108" s="161"/>
      <c r="FF108" s="161"/>
      <c r="FG108" s="161"/>
      <c r="FH108" s="161"/>
      <c r="FI108" s="161"/>
      <c r="FJ108" s="161"/>
      <c r="FK108" s="161"/>
      <c r="FL108" s="161"/>
      <c r="FM108" s="136"/>
      <c r="FN108" s="136"/>
      <c r="FO108" s="161"/>
      <c r="FP108" s="161"/>
      <c r="FQ108" s="161"/>
      <c r="FR108" s="161"/>
      <c r="FS108" s="161"/>
      <c r="FT108" s="161"/>
      <c r="FU108" s="161"/>
      <c r="FV108" s="161"/>
      <c r="FW108" s="161"/>
      <c r="FX108" s="161"/>
      <c r="FY108" s="161"/>
      <c r="FZ108" s="161"/>
      <c r="GA108" s="136"/>
      <c r="GB108" s="136"/>
      <c r="GC108" s="161"/>
      <c r="GD108" s="161"/>
      <c r="GE108" s="161"/>
      <c r="GF108" s="161"/>
      <c r="GG108" s="161"/>
      <c r="GH108" s="161"/>
      <c r="GI108" s="161"/>
      <c r="GJ108" s="161"/>
      <c r="GK108" s="161"/>
      <c r="GL108" s="161"/>
      <c r="GM108" s="161"/>
      <c r="GN108" s="161"/>
    </row>
    <row r="109" spans="1:196">
      <c r="A109" s="118"/>
      <c r="B109" s="116" t="s">
        <v>1294</v>
      </c>
      <c r="C109" s="116" t="s">
        <v>110</v>
      </c>
      <c r="D109" s="119"/>
      <c r="E109" s="119"/>
      <c r="F109" s="160"/>
      <c r="G109" s="117">
        <v>5</v>
      </c>
      <c r="H109" s="6"/>
      <c r="I109" s="125">
        <v>46249</v>
      </c>
      <c r="J109" s="13">
        <f t="shared" si="186"/>
        <v>0</v>
      </c>
      <c r="K109" s="139"/>
      <c r="L109" s="161"/>
      <c r="M109" s="136"/>
      <c r="N109" s="136"/>
      <c r="O109" s="136"/>
      <c r="P109" s="136"/>
      <c r="Q109" s="136"/>
      <c r="R109" s="136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36"/>
      <c r="AD109" s="136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36"/>
      <c r="AR109" s="136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36"/>
      <c r="BF109" s="136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36"/>
      <c r="BT109" s="136"/>
      <c r="BU109" s="161"/>
      <c r="BV109" s="161"/>
      <c r="BW109" s="161"/>
      <c r="BX109" s="161"/>
      <c r="BY109" s="161"/>
      <c r="BZ109" s="161"/>
      <c r="CA109" s="161"/>
      <c r="CB109" s="161"/>
      <c r="CC109" s="161"/>
      <c r="CD109" s="161"/>
      <c r="CE109" s="161"/>
      <c r="CF109" s="161"/>
      <c r="CG109" s="136"/>
      <c r="CH109" s="136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36"/>
      <c r="CV109" s="136"/>
      <c r="CW109" s="161"/>
      <c r="CX109" s="161"/>
      <c r="CY109" s="161"/>
      <c r="CZ109" s="161"/>
      <c r="DA109" s="161"/>
      <c r="DB109" s="161"/>
      <c r="DC109" s="161"/>
      <c r="DD109" s="161"/>
      <c r="DE109" s="161"/>
      <c r="DF109" s="161"/>
      <c r="DG109" s="161">
        <v>5</v>
      </c>
      <c r="DH109" s="161"/>
      <c r="DI109" s="136"/>
      <c r="DJ109" s="136"/>
      <c r="DK109" s="161"/>
      <c r="DL109" s="161"/>
      <c r="DM109" s="161"/>
      <c r="DN109" s="161"/>
      <c r="DO109" s="161"/>
      <c r="DP109" s="161"/>
      <c r="DQ109" s="161"/>
      <c r="DR109" s="161"/>
      <c r="DS109" s="161"/>
      <c r="DT109" s="161"/>
      <c r="DU109" s="161"/>
      <c r="DV109" s="161"/>
      <c r="DW109" s="136"/>
      <c r="DX109" s="136"/>
      <c r="DY109" s="161"/>
      <c r="DZ109" s="161"/>
      <c r="EA109" s="161"/>
      <c r="EB109" s="161"/>
      <c r="EC109" s="161"/>
      <c r="ED109" s="161"/>
      <c r="EE109" s="161"/>
      <c r="EF109" s="161"/>
      <c r="EG109" s="161"/>
      <c r="EH109" s="161"/>
      <c r="EI109" s="161"/>
      <c r="EJ109" s="161"/>
      <c r="EK109" s="136"/>
      <c r="EL109" s="136"/>
      <c r="EM109" s="136"/>
      <c r="EN109" s="136"/>
      <c r="EO109" s="136"/>
      <c r="EP109" s="136"/>
      <c r="EQ109" s="136"/>
      <c r="ER109" s="136"/>
      <c r="ES109" s="161"/>
      <c r="ET109" s="161"/>
      <c r="EU109" s="161"/>
      <c r="EV109" s="161"/>
      <c r="EW109" s="161"/>
      <c r="EX109" s="161"/>
      <c r="EY109" s="136"/>
      <c r="EZ109" s="136"/>
      <c r="FA109" s="161"/>
      <c r="FB109" s="161"/>
      <c r="FC109" s="161"/>
      <c r="FD109" s="161"/>
      <c r="FE109" s="161"/>
      <c r="FF109" s="161"/>
      <c r="FG109" s="161"/>
      <c r="FH109" s="161"/>
      <c r="FI109" s="161"/>
      <c r="FJ109" s="161"/>
      <c r="FK109" s="161"/>
      <c r="FL109" s="161"/>
      <c r="FM109" s="136"/>
      <c r="FN109" s="136"/>
      <c r="FO109" s="161"/>
      <c r="FP109" s="161"/>
      <c r="FQ109" s="161"/>
      <c r="FR109" s="161"/>
      <c r="FS109" s="161"/>
      <c r="FT109" s="161"/>
      <c r="FU109" s="161"/>
      <c r="FV109" s="161"/>
      <c r="FW109" s="161"/>
      <c r="FX109" s="161"/>
      <c r="FY109" s="161"/>
      <c r="FZ109" s="161"/>
      <c r="GA109" s="136"/>
      <c r="GB109" s="136"/>
      <c r="GC109" s="161"/>
      <c r="GD109" s="161"/>
      <c r="GE109" s="161"/>
      <c r="GF109" s="161"/>
      <c r="GG109" s="161"/>
      <c r="GH109" s="161"/>
      <c r="GI109" s="161"/>
      <c r="GJ109" s="161"/>
      <c r="GK109" s="161"/>
      <c r="GL109" s="161"/>
      <c r="GM109" s="161"/>
      <c r="GN109" s="161"/>
    </row>
    <row r="110" spans="1:196">
      <c r="A110" s="118"/>
      <c r="B110" s="173" t="s">
        <v>673</v>
      </c>
      <c r="C110" s="116" t="s">
        <v>94</v>
      </c>
      <c r="D110" s="119"/>
      <c r="E110" s="119" t="e">
        <f>VLOOKUP(C110,#REF!,5,0)</f>
        <v>#REF!</v>
      </c>
      <c r="F110" s="160"/>
      <c r="G110" s="117">
        <v>100</v>
      </c>
      <c r="H110" s="6"/>
      <c r="I110" s="125">
        <v>46249</v>
      </c>
      <c r="J110" s="13">
        <f t="shared" si="186"/>
        <v>0</v>
      </c>
      <c r="K110" s="139" t="s">
        <v>694</v>
      </c>
      <c r="L110" s="161"/>
      <c r="M110" s="136"/>
      <c r="N110" s="136"/>
      <c r="O110" s="136"/>
      <c r="P110" s="136"/>
      <c r="Q110" s="136"/>
      <c r="R110" s="136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36"/>
      <c r="AD110" s="136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36"/>
      <c r="AR110" s="136"/>
      <c r="AS110" s="161"/>
      <c r="AT110" s="161"/>
      <c r="AU110" s="161"/>
      <c r="AV110" s="161"/>
      <c r="AW110" s="161"/>
      <c r="AX110" s="161"/>
      <c r="AY110" s="161"/>
      <c r="AZ110" s="161"/>
      <c r="BA110" s="161"/>
      <c r="BB110" s="161"/>
      <c r="BC110" s="161"/>
      <c r="BD110" s="161"/>
      <c r="BE110" s="136"/>
      <c r="BF110" s="136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36"/>
      <c r="BT110" s="136"/>
      <c r="BU110" s="161"/>
      <c r="BV110" s="161"/>
      <c r="BW110" s="161"/>
      <c r="BX110" s="161"/>
      <c r="BY110" s="161"/>
      <c r="BZ110" s="161"/>
      <c r="CA110" s="161"/>
      <c r="CB110" s="161"/>
      <c r="CC110" s="161"/>
      <c r="CD110" s="161"/>
      <c r="CE110" s="161"/>
      <c r="CF110" s="161"/>
      <c r="CG110" s="136"/>
      <c r="CH110" s="136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36"/>
      <c r="CV110" s="136"/>
      <c r="CW110" s="161"/>
      <c r="CX110" s="161"/>
      <c r="CY110" s="161"/>
      <c r="CZ110" s="161"/>
      <c r="DA110" s="161"/>
      <c r="DB110" s="161"/>
      <c r="DC110" s="161"/>
      <c r="DD110" s="161"/>
      <c r="DE110" s="161"/>
      <c r="DF110" s="161"/>
      <c r="DG110" s="161">
        <v>100</v>
      </c>
      <c r="DH110" s="161"/>
      <c r="DI110" s="136"/>
      <c r="DJ110" s="136"/>
      <c r="DK110" s="161"/>
      <c r="DL110" s="161"/>
      <c r="DM110" s="161"/>
      <c r="DN110" s="161"/>
      <c r="DO110" s="161"/>
      <c r="DP110" s="161"/>
      <c r="DQ110" s="161"/>
      <c r="DR110" s="161"/>
      <c r="DS110" s="161"/>
      <c r="DT110" s="161"/>
      <c r="DU110" s="161"/>
      <c r="DV110" s="161"/>
      <c r="DW110" s="136"/>
      <c r="DX110" s="136"/>
      <c r="DY110" s="161"/>
      <c r="DZ110" s="161"/>
      <c r="EA110" s="161"/>
      <c r="EB110" s="161"/>
      <c r="EC110" s="161"/>
      <c r="ED110" s="161"/>
      <c r="EE110" s="161"/>
      <c r="EF110" s="161"/>
      <c r="EG110" s="161"/>
      <c r="EH110" s="161"/>
      <c r="EI110" s="161"/>
      <c r="EJ110" s="161"/>
      <c r="EK110" s="136"/>
      <c r="EL110" s="136"/>
      <c r="EM110" s="136"/>
      <c r="EN110" s="136"/>
      <c r="EO110" s="136"/>
      <c r="EP110" s="136"/>
      <c r="EQ110" s="136"/>
      <c r="ER110" s="136"/>
      <c r="ES110" s="161"/>
      <c r="ET110" s="161"/>
      <c r="EU110" s="161"/>
      <c r="EV110" s="161"/>
      <c r="EW110" s="161"/>
      <c r="EX110" s="161"/>
      <c r="EY110" s="136"/>
      <c r="EZ110" s="136"/>
      <c r="FA110" s="161"/>
      <c r="FB110" s="161"/>
      <c r="FC110" s="161"/>
      <c r="FD110" s="161"/>
      <c r="FE110" s="161"/>
      <c r="FF110" s="161"/>
      <c r="FG110" s="161"/>
      <c r="FH110" s="161"/>
      <c r="FI110" s="161"/>
      <c r="FJ110" s="161"/>
      <c r="FK110" s="161"/>
      <c r="FL110" s="161"/>
      <c r="FM110" s="136"/>
      <c r="FN110" s="136"/>
      <c r="FO110" s="161"/>
      <c r="FP110" s="161"/>
      <c r="FQ110" s="161"/>
      <c r="FR110" s="161"/>
      <c r="FS110" s="161"/>
      <c r="FT110" s="161"/>
      <c r="FU110" s="161"/>
      <c r="FV110" s="161"/>
      <c r="FW110" s="161"/>
      <c r="FX110" s="161"/>
      <c r="FY110" s="161"/>
      <c r="FZ110" s="161"/>
      <c r="GA110" s="136"/>
      <c r="GB110" s="136"/>
      <c r="GC110" s="161"/>
      <c r="GD110" s="161"/>
      <c r="GE110" s="161"/>
      <c r="GF110" s="161"/>
      <c r="GG110" s="161"/>
      <c r="GH110" s="161"/>
      <c r="GI110" s="161"/>
      <c r="GJ110" s="161"/>
      <c r="GK110" s="161"/>
      <c r="GL110" s="161"/>
      <c r="GM110" s="161"/>
      <c r="GN110" s="161"/>
    </row>
    <row r="111" spans="1:196">
      <c r="A111" s="118"/>
      <c r="B111" s="137" t="s">
        <v>1272</v>
      </c>
      <c r="C111" s="12" t="s">
        <v>825</v>
      </c>
      <c r="D111" s="119"/>
      <c r="E111" s="119"/>
      <c r="F111" s="133"/>
      <c r="G111" s="95">
        <v>24</v>
      </c>
      <c r="H111" s="133"/>
      <c r="I111" s="108">
        <v>46252</v>
      </c>
      <c r="J111" s="134">
        <f t="shared" si="186"/>
        <v>0</v>
      </c>
      <c r="K111" s="175" t="s">
        <v>1271</v>
      </c>
      <c r="L111" s="161"/>
      <c r="M111" s="136"/>
      <c r="N111" s="136"/>
      <c r="O111" s="136"/>
      <c r="P111" s="136"/>
      <c r="Q111" s="136"/>
      <c r="R111" s="136"/>
      <c r="S111" s="161"/>
      <c r="T111" s="161"/>
      <c r="U111" s="161"/>
      <c r="V111" s="161"/>
      <c r="W111" s="135"/>
      <c r="X111" s="135"/>
      <c r="Y111" s="135"/>
      <c r="Z111" s="135"/>
      <c r="AA111" s="135"/>
      <c r="AB111" s="135"/>
      <c r="AC111" s="136"/>
      <c r="AD111" s="136"/>
      <c r="AE111" s="161"/>
      <c r="AF111" s="161"/>
      <c r="AG111" s="161"/>
      <c r="AH111" s="161"/>
      <c r="AI111" s="161"/>
      <c r="AJ111" s="161"/>
      <c r="AK111" s="135"/>
      <c r="AL111" s="135"/>
      <c r="AM111" s="135"/>
      <c r="AN111" s="135"/>
      <c r="AO111" s="135"/>
      <c r="AP111" s="135"/>
      <c r="AQ111" s="136"/>
      <c r="AR111" s="136"/>
      <c r="AS111" s="161"/>
      <c r="AT111" s="161"/>
      <c r="AU111" s="161"/>
      <c r="AV111" s="161"/>
      <c r="AW111" s="161"/>
      <c r="AX111" s="161"/>
      <c r="AY111" s="135"/>
      <c r="AZ111" s="135"/>
      <c r="BA111" s="135"/>
      <c r="BB111" s="135"/>
      <c r="BC111" s="135"/>
      <c r="BD111" s="135"/>
      <c r="BE111" s="136"/>
      <c r="BF111" s="136"/>
      <c r="BG111" s="161"/>
      <c r="BH111" s="161"/>
      <c r="BI111" s="161"/>
      <c r="BJ111" s="161"/>
      <c r="BK111" s="161"/>
      <c r="BL111" s="161"/>
      <c r="BM111" s="135"/>
      <c r="BN111" s="135"/>
      <c r="BO111" s="135"/>
      <c r="BP111" s="135"/>
      <c r="BQ111" s="135"/>
      <c r="BR111" s="135"/>
      <c r="BS111" s="136"/>
      <c r="BT111" s="136"/>
      <c r="BU111" s="161"/>
      <c r="BV111" s="161"/>
      <c r="BW111" s="161"/>
      <c r="BX111" s="161"/>
      <c r="BY111" s="161"/>
      <c r="BZ111" s="161"/>
      <c r="CA111" s="135"/>
      <c r="CB111" s="135"/>
      <c r="CC111" s="135"/>
      <c r="CD111" s="135"/>
      <c r="CE111" s="135"/>
      <c r="CF111" s="135"/>
      <c r="CG111" s="136"/>
      <c r="CH111" s="136"/>
      <c r="CI111" s="161"/>
      <c r="CJ111" s="161"/>
      <c r="CK111" s="161"/>
      <c r="CL111" s="161"/>
      <c r="CM111" s="161"/>
      <c r="CN111" s="161"/>
      <c r="CO111" s="135"/>
      <c r="CP111" s="135"/>
      <c r="CQ111" s="135"/>
      <c r="CR111" s="135"/>
      <c r="CS111" s="135"/>
      <c r="CT111" s="135"/>
      <c r="CU111" s="136"/>
      <c r="CV111" s="136"/>
      <c r="CW111" s="135"/>
      <c r="CX111" s="161"/>
      <c r="CY111" s="135"/>
      <c r="CZ111" s="161"/>
      <c r="DA111" s="135"/>
      <c r="DB111" s="161"/>
      <c r="DC111" s="135"/>
      <c r="DD111" s="135"/>
      <c r="DE111" s="135"/>
      <c r="DF111" s="135"/>
      <c r="DG111" s="135"/>
      <c r="DH111" s="135"/>
      <c r="DI111" s="136"/>
      <c r="DJ111" s="136"/>
      <c r="DK111" s="161"/>
      <c r="DL111" s="161"/>
      <c r="DM111" s="161">
        <v>24</v>
      </c>
      <c r="DN111" s="161"/>
      <c r="DO111" s="135"/>
      <c r="DP111" s="135"/>
      <c r="DQ111" s="135"/>
      <c r="DR111" s="161"/>
      <c r="DS111" s="135"/>
      <c r="DT111" s="161"/>
      <c r="DU111" s="135"/>
      <c r="DV111" s="161"/>
      <c r="DW111" s="136"/>
      <c r="DX111" s="136"/>
      <c r="DY111" s="161"/>
      <c r="DZ111" s="161"/>
      <c r="EA111" s="161"/>
      <c r="EB111" s="161"/>
      <c r="EC111" s="161"/>
      <c r="ED111" s="161"/>
      <c r="EE111" s="135"/>
      <c r="EF111" s="135"/>
      <c r="EG111" s="135"/>
      <c r="EH111" s="135"/>
      <c r="EI111" s="135"/>
      <c r="EJ111" s="135"/>
      <c r="EK111" s="136"/>
      <c r="EL111" s="136"/>
      <c r="EM111" s="136"/>
      <c r="EN111" s="136"/>
      <c r="EO111" s="136"/>
      <c r="EP111" s="136"/>
      <c r="EQ111" s="136"/>
      <c r="ER111" s="136"/>
      <c r="ES111" s="135"/>
      <c r="ET111" s="135"/>
      <c r="EU111" s="135"/>
      <c r="EV111" s="135"/>
      <c r="EW111" s="135"/>
      <c r="EX111" s="135"/>
      <c r="EY111" s="136"/>
      <c r="EZ111" s="136"/>
      <c r="FA111" s="161"/>
      <c r="FB111" s="161"/>
      <c r="FC111" s="161"/>
      <c r="FD111" s="161"/>
      <c r="FE111" s="161"/>
      <c r="FF111" s="161"/>
      <c r="FG111" s="135"/>
      <c r="FH111" s="135"/>
      <c r="FI111" s="135"/>
      <c r="FJ111" s="135"/>
      <c r="FK111" s="135"/>
      <c r="FL111" s="135"/>
      <c r="FM111" s="136"/>
      <c r="FN111" s="136"/>
      <c r="FO111" s="161"/>
      <c r="FP111" s="161"/>
      <c r="FQ111" s="161"/>
      <c r="FR111" s="161"/>
      <c r="FS111" s="161"/>
      <c r="FT111" s="161"/>
      <c r="FU111" s="135"/>
      <c r="FV111" s="135"/>
      <c r="FW111" s="135"/>
      <c r="FX111" s="135"/>
      <c r="FY111" s="135"/>
      <c r="FZ111" s="135"/>
      <c r="GA111" s="136"/>
      <c r="GB111" s="136"/>
      <c r="GC111" s="161"/>
      <c r="GD111" s="161"/>
      <c r="GE111" s="161"/>
      <c r="GF111" s="161"/>
      <c r="GG111" s="161"/>
      <c r="GH111" s="161"/>
      <c r="GI111" s="135"/>
      <c r="GJ111" s="135"/>
      <c r="GK111" s="135"/>
      <c r="GL111" s="135"/>
      <c r="GM111" s="135"/>
      <c r="GN111" s="135"/>
    </row>
    <row r="112" spans="1:196">
      <c r="A112" s="118"/>
      <c r="B112" s="116" t="s">
        <v>998</v>
      </c>
      <c r="C112" s="116" t="s">
        <v>114</v>
      </c>
      <c r="D112" s="119"/>
      <c r="E112" s="119"/>
      <c r="F112" s="160"/>
      <c r="G112" s="117">
        <v>10</v>
      </c>
      <c r="H112" s="6"/>
      <c r="I112" s="125">
        <v>46256</v>
      </c>
      <c r="J112" s="13">
        <f t="shared" si="186"/>
        <v>0</v>
      </c>
      <c r="K112" s="139" t="s">
        <v>695</v>
      </c>
      <c r="L112" s="161"/>
      <c r="M112" s="136"/>
      <c r="N112" s="136"/>
      <c r="O112" s="136"/>
      <c r="P112" s="136"/>
      <c r="Q112" s="136"/>
      <c r="R112" s="136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36"/>
      <c r="AD112" s="136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36"/>
      <c r="AR112" s="136"/>
      <c r="AS112" s="161"/>
      <c r="AT112" s="161"/>
      <c r="AU112" s="161"/>
      <c r="AV112" s="161"/>
      <c r="AW112" s="161"/>
      <c r="AX112" s="161"/>
      <c r="AY112" s="161"/>
      <c r="AZ112" s="161"/>
      <c r="BA112" s="161"/>
      <c r="BB112" s="161"/>
      <c r="BC112" s="161"/>
      <c r="BD112" s="161"/>
      <c r="BE112" s="136"/>
      <c r="BF112" s="136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36"/>
      <c r="BT112" s="136"/>
      <c r="BU112" s="161"/>
      <c r="BV112" s="161"/>
      <c r="BW112" s="161"/>
      <c r="BX112" s="161"/>
      <c r="BY112" s="161"/>
      <c r="BZ112" s="161"/>
      <c r="CA112" s="161"/>
      <c r="CB112" s="161"/>
      <c r="CC112" s="161"/>
      <c r="CD112" s="161"/>
      <c r="CE112" s="161"/>
      <c r="CF112" s="161"/>
      <c r="CG112" s="136"/>
      <c r="CH112" s="136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36"/>
      <c r="CV112" s="136"/>
      <c r="CW112" s="161"/>
      <c r="CX112" s="161"/>
      <c r="CY112" s="161"/>
      <c r="CZ112" s="161"/>
      <c r="DA112" s="161"/>
      <c r="DB112" s="161"/>
      <c r="DC112" s="161"/>
      <c r="DD112" s="161"/>
      <c r="DE112" s="161"/>
      <c r="DF112" s="161"/>
      <c r="DG112" s="161"/>
      <c r="DH112" s="161"/>
      <c r="DI112" s="136"/>
      <c r="DJ112" s="136"/>
      <c r="DK112" s="161"/>
      <c r="DL112" s="161"/>
      <c r="DM112" s="161"/>
      <c r="DN112" s="161"/>
      <c r="DO112" s="161"/>
      <c r="DP112" s="161"/>
      <c r="DQ112" s="161"/>
      <c r="DR112" s="161"/>
      <c r="DS112" s="161"/>
      <c r="DT112" s="161"/>
      <c r="DU112" s="161">
        <v>10</v>
      </c>
      <c r="DV112" s="161"/>
      <c r="DW112" s="136"/>
      <c r="DX112" s="136"/>
      <c r="DY112" s="161"/>
      <c r="DZ112" s="161"/>
      <c r="EA112" s="161"/>
      <c r="EB112" s="161"/>
      <c r="EC112" s="161"/>
      <c r="ED112" s="161"/>
      <c r="EE112" s="161"/>
      <c r="EF112" s="161"/>
      <c r="EG112" s="161"/>
      <c r="EH112" s="161"/>
      <c r="EI112" s="161"/>
      <c r="EJ112" s="161"/>
      <c r="EK112" s="136"/>
      <c r="EL112" s="136"/>
      <c r="EM112" s="136"/>
      <c r="EN112" s="136"/>
      <c r="EO112" s="136"/>
      <c r="EP112" s="136"/>
      <c r="EQ112" s="136"/>
      <c r="ER112" s="136"/>
      <c r="ES112" s="161"/>
      <c r="ET112" s="161"/>
      <c r="EU112" s="161"/>
      <c r="EV112" s="161"/>
      <c r="EW112" s="161"/>
      <c r="EX112" s="161"/>
      <c r="EY112" s="136"/>
      <c r="EZ112" s="136"/>
      <c r="FA112" s="161"/>
      <c r="FB112" s="161"/>
      <c r="FC112" s="161"/>
      <c r="FD112" s="161"/>
      <c r="FE112" s="161"/>
      <c r="FF112" s="161"/>
      <c r="FG112" s="161"/>
      <c r="FH112" s="161"/>
      <c r="FI112" s="161"/>
      <c r="FJ112" s="161"/>
      <c r="FK112" s="161"/>
      <c r="FL112" s="161"/>
      <c r="FM112" s="136"/>
      <c r="FN112" s="136"/>
      <c r="FO112" s="161"/>
      <c r="FP112" s="161"/>
      <c r="FQ112" s="161"/>
      <c r="FR112" s="161"/>
      <c r="FS112" s="161"/>
      <c r="FT112" s="161"/>
      <c r="FU112" s="161"/>
      <c r="FV112" s="161"/>
      <c r="FW112" s="161"/>
      <c r="FX112" s="161"/>
      <c r="FY112" s="161"/>
      <c r="FZ112" s="161"/>
      <c r="GA112" s="136"/>
      <c r="GB112" s="136"/>
      <c r="GC112" s="161"/>
      <c r="GD112" s="161"/>
      <c r="GE112" s="161"/>
      <c r="GF112" s="161"/>
      <c r="GG112" s="161"/>
      <c r="GH112" s="161"/>
      <c r="GI112" s="161"/>
      <c r="GJ112" s="161"/>
      <c r="GK112" s="161"/>
      <c r="GL112" s="161"/>
      <c r="GM112" s="161"/>
      <c r="GN112" s="161"/>
    </row>
    <row r="113" spans="1:196">
      <c r="A113" s="118"/>
      <c r="B113" s="116" t="s">
        <v>1119</v>
      </c>
      <c r="C113" s="116" t="s">
        <v>108</v>
      </c>
      <c r="D113" s="119"/>
      <c r="E113" s="119"/>
      <c r="F113" s="160"/>
      <c r="G113" s="117">
        <v>10</v>
      </c>
      <c r="H113" s="6"/>
      <c r="I113" s="125">
        <v>46256</v>
      </c>
      <c r="J113" s="13">
        <f t="shared" si="186"/>
        <v>0</v>
      </c>
      <c r="K113" s="139"/>
      <c r="L113" s="161"/>
      <c r="M113" s="136"/>
      <c r="N113" s="136"/>
      <c r="O113" s="136"/>
      <c r="P113" s="136"/>
      <c r="Q113" s="136"/>
      <c r="R113" s="136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36"/>
      <c r="AD113" s="136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36"/>
      <c r="AR113" s="136"/>
      <c r="AS113" s="161"/>
      <c r="AT113" s="161"/>
      <c r="AU113" s="161"/>
      <c r="AV113" s="161"/>
      <c r="AW113" s="161"/>
      <c r="AX113" s="161"/>
      <c r="AY113" s="161"/>
      <c r="AZ113" s="161"/>
      <c r="BA113" s="161"/>
      <c r="BB113" s="161"/>
      <c r="BC113" s="161"/>
      <c r="BD113" s="161"/>
      <c r="BE113" s="136"/>
      <c r="BF113" s="136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36"/>
      <c r="BT113" s="136"/>
      <c r="BU113" s="161"/>
      <c r="BV113" s="161"/>
      <c r="BW113" s="161"/>
      <c r="BX113" s="161"/>
      <c r="BY113" s="161"/>
      <c r="BZ113" s="161"/>
      <c r="CA113" s="161"/>
      <c r="CB113" s="161"/>
      <c r="CC113" s="161"/>
      <c r="CD113" s="161"/>
      <c r="CE113" s="161"/>
      <c r="CF113" s="161"/>
      <c r="CG113" s="136"/>
      <c r="CH113" s="136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36"/>
      <c r="CV113" s="136"/>
      <c r="CW113" s="161"/>
      <c r="CX113" s="161"/>
      <c r="CY113" s="161"/>
      <c r="CZ113" s="161"/>
      <c r="DA113" s="161"/>
      <c r="DB113" s="161"/>
      <c r="DC113" s="161"/>
      <c r="DD113" s="161"/>
      <c r="DE113" s="161"/>
      <c r="DF113" s="161"/>
      <c r="DG113" s="161"/>
      <c r="DH113" s="161"/>
      <c r="DI113" s="136"/>
      <c r="DJ113" s="136"/>
      <c r="DK113" s="161"/>
      <c r="DL113" s="161"/>
      <c r="DM113" s="161"/>
      <c r="DN113" s="161"/>
      <c r="DO113" s="161"/>
      <c r="DP113" s="161"/>
      <c r="DQ113" s="161"/>
      <c r="DR113" s="161"/>
      <c r="DS113" s="161"/>
      <c r="DT113" s="161"/>
      <c r="DU113" s="161">
        <v>10</v>
      </c>
      <c r="DV113" s="161"/>
      <c r="DW113" s="136"/>
      <c r="DX113" s="136"/>
      <c r="DY113" s="161"/>
      <c r="DZ113" s="161"/>
      <c r="EA113" s="161"/>
      <c r="EB113" s="161"/>
      <c r="EC113" s="161"/>
      <c r="ED113" s="161"/>
      <c r="EE113" s="161"/>
      <c r="EF113" s="161"/>
      <c r="EG113" s="161"/>
      <c r="EH113" s="161"/>
      <c r="EI113" s="161"/>
      <c r="EJ113" s="161"/>
      <c r="EK113" s="136"/>
      <c r="EL113" s="136"/>
      <c r="EM113" s="136"/>
      <c r="EN113" s="136"/>
      <c r="EO113" s="136"/>
      <c r="EP113" s="136"/>
      <c r="EQ113" s="136"/>
      <c r="ER113" s="136"/>
      <c r="ES113" s="161"/>
      <c r="ET113" s="161"/>
      <c r="EU113" s="161"/>
      <c r="EV113" s="161"/>
      <c r="EW113" s="161"/>
      <c r="EX113" s="161"/>
      <c r="EY113" s="136"/>
      <c r="EZ113" s="136"/>
      <c r="FA113" s="161"/>
      <c r="FB113" s="161"/>
      <c r="FC113" s="161"/>
      <c r="FD113" s="161"/>
      <c r="FE113" s="161"/>
      <c r="FF113" s="161"/>
      <c r="FG113" s="161"/>
      <c r="FH113" s="161"/>
      <c r="FI113" s="161"/>
      <c r="FJ113" s="161"/>
      <c r="FK113" s="161"/>
      <c r="FL113" s="161"/>
      <c r="FM113" s="136"/>
      <c r="FN113" s="136"/>
      <c r="FO113" s="161"/>
      <c r="FP113" s="161"/>
      <c r="FQ113" s="161"/>
      <c r="FR113" s="161"/>
      <c r="FS113" s="161"/>
      <c r="FT113" s="161"/>
      <c r="FU113" s="161"/>
      <c r="FV113" s="161"/>
      <c r="FW113" s="161"/>
      <c r="FX113" s="161"/>
      <c r="FY113" s="161"/>
      <c r="FZ113" s="161"/>
      <c r="GA113" s="136"/>
      <c r="GB113" s="136"/>
      <c r="GC113" s="161"/>
      <c r="GD113" s="161"/>
      <c r="GE113" s="161"/>
      <c r="GF113" s="161"/>
      <c r="GG113" s="161"/>
      <c r="GH113" s="161"/>
      <c r="GI113" s="161"/>
      <c r="GJ113" s="161"/>
      <c r="GK113" s="161"/>
      <c r="GL113" s="161"/>
      <c r="GM113" s="161"/>
      <c r="GN113" s="161"/>
    </row>
    <row r="114" spans="1:196">
      <c r="A114" s="118"/>
      <c r="B114" s="173" t="s">
        <v>685</v>
      </c>
      <c r="C114" s="116" t="s">
        <v>95</v>
      </c>
      <c r="D114" s="119"/>
      <c r="E114" s="119" t="e">
        <f>VLOOKUP(C114,#REF!,5,0)</f>
        <v>#REF!</v>
      </c>
      <c r="F114" s="160"/>
      <c r="G114" s="117">
        <v>100</v>
      </c>
      <c r="H114" s="6"/>
      <c r="I114" s="125">
        <v>46256</v>
      </c>
      <c r="J114" s="13">
        <f t="shared" si="183"/>
        <v>0</v>
      </c>
      <c r="K114" s="139" t="s">
        <v>694</v>
      </c>
      <c r="L114" s="161"/>
      <c r="M114" s="136"/>
      <c r="N114" s="136"/>
      <c r="O114" s="136"/>
      <c r="P114" s="136"/>
      <c r="Q114" s="136"/>
      <c r="R114" s="136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36"/>
      <c r="AD114" s="136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36"/>
      <c r="AR114" s="136"/>
      <c r="AS114" s="161"/>
      <c r="AT114" s="161"/>
      <c r="AU114" s="161"/>
      <c r="AV114" s="161"/>
      <c r="AW114" s="161"/>
      <c r="AX114" s="161"/>
      <c r="AY114" s="161"/>
      <c r="AZ114" s="161"/>
      <c r="BA114" s="161"/>
      <c r="BB114" s="161"/>
      <c r="BC114" s="161"/>
      <c r="BD114" s="161"/>
      <c r="BE114" s="136"/>
      <c r="BF114" s="136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36"/>
      <c r="BT114" s="136"/>
      <c r="BU114" s="161"/>
      <c r="BV114" s="161"/>
      <c r="BW114" s="161"/>
      <c r="BX114" s="161"/>
      <c r="BY114" s="161"/>
      <c r="BZ114" s="161"/>
      <c r="CA114" s="161"/>
      <c r="CB114" s="161"/>
      <c r="CC114" s="161"/>
      <c r="CD114" s="161"/>
      <c r="CE114" s="161"/>
      <c r="CF114" s="161"/>
      <c r="CG114" s="136"/>
      <c r="CH114" s="136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36"/>
      <c r="CV114" s="136"/>
      <c r="CW114" s="161"/>
      <c r="CX114" s="161"/>
      <c r="CY114" s="161"/>
      <c r="CZ114" s="161"/>
      <c r="DA114" s="161"/>
      <c r="DB114" s="161"/>
      <c r="DC114" s="161"/>
      <c r="DD114" s="161"/>
      <c r="DE114" s="161"/>
      <c r="DF114" s="161"/>
      <c r="DG114" s="161"/>
      <c r="DH114" s="161"/>
      <c r="DI114" s="136"/>
      <c r="DJ114" s="136"/>
      <c r="DK114" s="161"/>
      <c r="DL114" s="161"/>
      <c r="DM114" s="161"/>
      <c r="DN114" s="161"/>
      <c r="DO114" s="161"/>
      <c r="DP114" s="161"/>
      <c r="DQ114" s="161"/>
      <c r="DR114" s="161"/>
      <c r="DS114" s="161"/>
      <c r="DT114" s="161"/>
      <c r="DU114" s="161">
        <v>100</v>
      </c>
      <c r="DV114" s="161"/>
      <c r="DW114" s="136"/>
      <c r="DX114" s="136"/>
      <c r="DY114" s="161"/>
      <c r="DZ114" s="161"/>
      <c r="EA114" s="161"/>
      <c r="EB114" s="161"/>
      <c r="EC114" s="161"/>
      <c r="ED114" s="161"/>
      <c r="EE114" s="161"/>
      <c r="EF114" s="161"/>
      <c r="EG114" s="161"/>
      <c r="EH114" s="161"/>
      <c r="EI114" s="161"/>
      <c r="EJ114" s="161"/>
      <c r="EK114" s="136"/>
      <c r="EL114" s="136"/>
      <c r="EM114" s="136"/>
      <c r="EN114" s="136"/>
      <c r="EO114" s="136"/>
      <c r="EP114" s="136"/>
      <c r="EQ114" s="136"/>
      <c r="ER114" s="136"/>
      <c r="ES114" s="161"/>
      <c r="ET114" s="161"/>
      <c r="EU114" s="161"/>
      <c r="EV114" s="161"/>
      <c r="EW114" s="161"/>
      <c r="EX114" s="161"/>
      <c r="EY114" s="136"/>
      <c r="EZ114" s="136"/>
      <c r="FA114" s="161"/>
      <c r="FB114" s="161"/>
      <c r="FC114" s="161"/>
      <c r="FD114" s="161"/>
      <c r="FE114" s="161"/>
      <c r="FF114" s="161"/>
      <c r="FG114" s="161"/>
      <c r="FH114" s="161"/>
      <c r="FI114" s="161"/>
      <c r="FJ114" s="161"/>
      <c r="FK114" s="161"/>
      <c r="FL114" s="161"/>
      <c r="FM114" s="136"/>
      <c r="FN114" s="136"/>
      <c r="FO114" s="161"/>
      <c r="FP114" s="161"/>
      <c r="FQ114" s="161"/>
      <c r="FR114" s="161"/>
      <c r="FS114" s="161"/>
      <c r="FT114" s="161"/>
      <c r="FU114" s="161"/>
      <c r="FV114" s="161"/>
      <c r="FW114" s="161"/>
      <c r="FX114" s="161"/>
      <c r="FY114" s="161"/>
      <c r="FZ114" s="161"/>
      <c r="GA114" s="136"/>
      <c r="GB114" s="136"/>
      <c r="GC114" s="161"/>
      <c r="GD114" s="161"/>
      <c r="GE114" s="161"/>
      <c r="GF114" s="161"/>
      <c r="GG114" s="161"/>
      <c r="GH114" s="161"/>
      <c r="GI114" s="161"/>
      <c r="GJ114" s="161"/>
      <c r="GK114" s="161"/>
      <c r="GL114" s="161"/>
      <c r="GM114" s="161"/>
      <c r="GN114" s="161"/>
    </row>
    <row r="115" spans="1:196">
      <c r="A115" s="118"/>
      <c r="B115" s="173" t="s">
        <v>682</v>
      </c>
      <c r="C115" s="116" t="s">
        <v>94</v>
      </c>
      <c r="D115" s="119"/>
      <c r="E115" s="119" t="e">
        <f>VLOOKUP(C115,#REF!,5,0)</f>
        <v>#REF!</v>
      </c>
      <c r="F115" s="160"/>
      <c r="G115" s="117">
        <v>100</v>
      </c>
      <c r="H115" s="6"/>
      <c r="I115" s="125">
        <v>46256</v>
      </c>
      <c r="J115" s="13">
        <f>G115-SUM(L115:FL115)</f>
        <v>0</v>
      </c>
      <c r="K115" s="139" t="s">
        <v>694</v>
      </c>
      <c r="L115" s="161"/>
      <c r="M115" s="136"/>
      <c r="N115" s="136"/>
      <c r="O115" s="136"/>
      <c r="P115" s="136"/>
      <c r="Q115" s="136"/>
      <c r="R115" s="136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36"/>
      <c r="AD115" s="136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36"/>
      <c r="AR115" s="136"/>
      <c r="AS115" s="161"/>
      <c r="AT115" s="161"/>
      <c r="AU115" s="161"/>
      <c r="AV115" s="161"/>
      <c r="AW115" s="161"/>
      <c r="AX115" s="161"/>
      <c r="AY115" s="161"/>
      <c r="AZ115" s="161"/>
      <c r="BA115" s="161"/>
      <c r="BB115" s="161"/>
      <c r="BC115" s="161"/>
      <c r="BD115" s="161"/>
      <c r="BE115" s="136"/>
      <c r="BF115" s="136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36"/>
      <c r="BT115" s="136"/>
      <c r="BU115" s="161"/>
      <c r="BV115" s="161"/>
      <c r="BW115" s="161"/>
      <c r="BX115" s="161"/>
      <c r="BY115" s="161"/>
      <c r="BZ115" s="161"/>
      <c r="CA115" s="161"/>
      <c r="CB115" s="161"/>
      <c r="CC115" s="161"/>
      <c r="CD115" s="161"/>
      <c r="CE115" s="161"/>
      <c r="CF115" s="161"/>
      <c r="CG115" s="136"/>
      <c r="CH115" s="136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36"/>
      <c r="CV115" s="136"/>
      <c r="CW115" s="161"/>
      <c r="CX115" s="161"/>
      <c r="CY115" s="161"/>
      <c r="CZ115" s="161"/>
      <c r="DA115" s="161"/>
      <c r="DB115" s="161"/>
      <c r="DC115" s="161"/>
      <c r="DD115" s="161"/>
      <c r="DE115" s="161"/>
      <c r="DF115" s="161"/>
      <c r="DG115" s="161"/>
      <c r="DH115" s="161"/>
      <c r="DI115" s="136"/>
      <c r="DJ115" s="136"/>
      <c r="DK115" s="161"/>
      <c r="DL115" s="161"/>
      <c r="DM115" s="161"/>
      <c r="DN115" s="161"/>
      <c r="DO115" s="161"/>
      <c r="DP115" s="161"/>
      <c r="DQ115" s="161"/>
      <c r="DR115" s="161"/>
      <c r="DS115" s="161"/>
      <c r="DT115" s="161"/>
      <c r="DU115" s="161">
        <v>100</v>
      </c>
      <c r="DV115" s="161"/>
      <c r="DW115" s="136"/>
      <c r="DX115" s="136"/>
      <c r="DY115" s="161"/>
      <c r="DZ115" s="161"/>
      <c r="EA115" s="161"/>
      <c r="EB115" s="161"/>
      <c r="EC115" s="161"/>
      <c r="ED115" s="161"/>
      <c r="EE115" s="161"/>
      <c r="EF115" s="161"/>
      <c r="EG115" s="161"/>
      <c r="EH115" s="161"/>
      <c r="EI115" s="161"/>
      <c r="EJ115" s="161"/>
      <c r="EK115" s="136"/>
      <c r="EL115" s="136"/>
      <c r="EM115" s="136"/>
      <c r="EN115" s="136"/>
      <c r="EO115" s="136"/>
      <c r="EP115" s="136"/>
      <c r="EQ115" s="136"/>
      <c r="ER115" s="136"/>
      <c r="ES115" s="161"/>
      <c r="ET115" s="161"/>
      <c r="EU115" s="161"/>
      <c r="EV115" s="161"/>
      <c r="EW115" s="161"/>
      <c r="EX115" s="161"/>
      <c r="EY115" s="136"/>
      <c r="EZ115" s="136"/>
      <c r="FA115" s="161"/>
      <c r="FB115" s="161"/>
      <c r="FC115" s="161"/>
      <c r="FD115" s="161"/>
      <c r="FE115" s="161"/>
      <c r="FF115" s="161"/>
      <c r="FG115" s="161"/>
      <c r="FH115" s="161"/>
      <c r="FI115" s="161"/>
      <c r="FJ115" s="161"/>
      <c r="FK115" s="161"/>
      <c r="FL115" s="161"/>
      <c r="FM115" s="136"/>
      <c r="FN115" s="136"/>
      <c r="FO115" s="161"/>
      <c r="FP115" s="161"/>
      <c r="FQ115" s="161"/>
      <c r="FR115" s="161"/>
      <c r="FS115" s="161"/>
      <c r="FT115" s="161"/>
      <c r="FU115" s="161"/>
      <c r="FV115" s="161"/>
      <c r="FW115" s="161"/>
      <c r="FX115" s="161"/>
      <c r="FY115" s="161"/>
      <c r="FZ115" s="161"/>
      <c r="GA115" s="136"/>
      <c r="GB115" s="136"/>
      <c r="GC115" s="161"/>
      <c r="GD115" s="161"/>
      <c r="GE115" s="161"/>
      <c r="GF115" s="161"/>
      <c r="GG115" s="161"/>
      <c r="GH115" s="161"/>
      <c r="GI115" s="161"/>
      <c r="GJ115" s="161"/>
      <c r="GK115" s="161"/>
      <c r="GL115" s="161"/>
      <c r="GM115" s="161"/>
      <c r="GN115" s="161"/>
    </row>
    <row r="116" spans="1:196">
      <c r="A116" s="118"/>
      <c r="B116" s="173" t="s">
        <v>693</v>
      </c>
      <c r="C116" s="116" t="s">
        <v>95</v>
      </c>
      <c r="D116" s="119"/>
      <c r="E116" s="119" t="e">
        <f>VLOOKUP(C116,#REF!,5,0)</f>
        <v>#REF!</v>
      </c>
      <c r="F116" s="160"/>
      <c r="G116" s="117">
        <v>73</v>
      </c>
      <c r="H116" s="6"/>
      <c r="I116" s="125">
        <v>46256</v>
      </c>
      <c r="J116" s="13">
        <f t="shared" si="183"/>
        <v>0</v>
      </c>
      <c r="K116" s="139" t="s">
        <v>694</v>
      </c>
      <c r="L116" s="161"/>
      <c r="M116" s="136"/>
      <c r="N116" s="136"/>
      <c r="O116" s="136"/>
      <c r="P116" s="136"/>
      <c r="Q116" s="136"/>
      <c r="R116" s="136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36"/>
      <c r="AD116" s="136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36"/>
      <c r="AR116" s="136"/>
      <c r="AS116" s="161"/>
      <c r="AT116" s="161"/>
      <c r="AU116" s="161"/>
      <c r="AV116" s="161"/>
      <c r="AW116" s="161"/>
      <c r="AX116" s="161"/>
      <c r="AY116" s="161"/>
      <c r="AZ116" s="161"/>
      <c r="BA116" s="161"/>
      <c r="BB116" s="161"/>
      <c r="BC116" s="161"/>
      <c r="BD116" s="161"/>
      <c r="BE116" s="136"/>
      <c r="BF116" s="136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36"/>
      <c r="BT116" s="136"/>
      <c r="BU116" s="161"/>
      <c r="BV116" s="161"/>
      <c r="BW116" s="161"/>
      <c r="BX116" s="161"/>
      <c r="BY116" s="161"/>
      <c r="BZ116" s="161"/>
      <c r="CA116" s="161"/>
      <c r="CB116" s="161"/>
      <c r="CC116" s="161"/>
      <c r="CD116" s="161"/>
      <c r="CE116" s="161"/>
      <c r="CF116" s="161"/>
      <c r="CG116" s="136"/>
      <c r="CH116" s="136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36"/>
      <c r="CV116" s="136"/>
      <c r="CW116" s="161"/>
      <c r="CX116" s="161"/>
      <c r="CY116" s="161"/>
      <c r="CZ116" s="161"/>
      <c r="DA116" s="161"/>
      <c r="DB116" s="161"/>
      <c r="DC116" s="161"/>
      <c r="DD116" s="161"/>
      <c r="DE116" s="161"/>
      <c r="DF116" s="161"/>
      <c r="DG116" s="161"/>
      <c r="DH116" s="161"/>
      <c r="DI116" s="136"/>
      <c r="DJ116" s="136"/>
      <c r="DK116" s="161"/>
      <c r="DL116" s="161"/>
      <c r="DM116" s="161"/>
      <c r="DN116" s="161"/>
      <c r="DO116" s="161"/>
      <c r="DP116" s="161"/>
      <c r="DQ116" s="161"/>
      <c r="DR116" s="161"/>
      <c r="DS116" s="161"/>
      <c r="DT116" s="161"/>
      <c r="DU116" s="161">
        <v>73</v>
      </c>
      <c r="DV116" s="161"/>
      <c r="DW116" s="136"/>
      <c r="DX116" s="136"/>
      <c r="DY116" s="161"/>
      <c r="DZ116" s="161"/>
      <c r="EA116" s="161"/>
      <c r="EB116" s="161"/>
      <c r="EC116" s="161"/>
      <c r="ED116" s="161"/>
      <c r="EE116" s="161"/>
      <c r="EF116" s="161"/>
      <c r="EG116" s="161"/>
      <c r="EH116" s="161"/>
      <c r="EI116" s="161"/>
      <c r="EJ116" s="161"/>
      <c r="EK116" s="136"/>
      <c r="EL116" s="136"/>
      <c r="EM116" s="136"/>
      <c r="EN116" s="136"/>
      <c r="EO116" s="136"/>
      <c r="EP116" s="136"/>
      <c r="EQ116" s="136"/>
      <c r="ER116" s="136"/>
      <c r="ES116" s="161"/>
      <c r="ET116" s="161"/>
      <c r="EU116" s="161"/>
      <c r="EV116" s="161"/>
      <c r="EW116" s="161"/>
      <c r="EX116" s="161"/>
      <c r="EY116" s="136"/>
      <c r="EZ116" s="136"/>
      <c r="FA116" s="161"/>
      <c r="FB116" s="161"/>
      <c r="FC116" s="161"/>
      <c r="FD116" s="161"/>
      <c r="FE116" s="161"/>
      <c r="FF116" s="161"/>
      <c r="FG116" s="161"/>
      <c r="FH116" s="161"/>
      <c r="FI116" s="161"/>
      <c r="FJ116" s="161"/>
      <c r="FK116" s="161"/>
      <c r="FL116" s="161"/>
      <c r="FM116" s="136"/>
      <c r="FN116" s="136"/>
      <c r="FO116" s="161"/>
      <c r="FP116" s="161"/>
      <c r="FQ116" s="161"/>
      <c r="FR116" s="161"/>
      <c r="FS116" s="161"/>
      <c r="FT116" s="161"/>
      <c r="FU116" s="161"/>
      <c r="FV116" s="161"/>
      <c r="FW116" s="161"/>
      <c r="FX116" s="161"/>
      <c r="FY116" s="161"/>
      <c r="FZ116" s="161"/>
      <c r="GA116" s="136"/>
      <c r="GB116" s="136"/>
      <c r="GC116" s="161"/>
      <c r="GD116" s="161"/>
      <c r="GE116" s="161"/>
      <c r="GF116" s="161"/>
      <c r="GG116" s="161"/>
      <c r="GH116" s="161"/>
      <c r="GI116" s="161"/>
      <c r="GJ116" s="161"/>
      <c r="GK116" s="161"/>
      <c r="GL116" s="161"/>
      <c r="GM116" s="161"/>
      <c r="GN116" s="161"/>
    </row>
    <row r="117" spans="1:196">
      <c r="A117" s="118"/>
      <c r="B117" s="173" t="s">
        <v>683</v>
      </c>
      <c r="C117" s="116" t="s">
        <v>94</v>
      </c>
      <c r="D117" s="119"/>
      <c r="E117" s="119" t="e">
        <f>VLOOKUP(C117,#REF!,5,0)</f>
        <v>#REF!</v>
      </c>
      <c r="F117" s="160"/>
      <c r="G117" s="117">
        <v>100</v>
      </c>
      <c r="H117" s="6"/>
      <c r="I117" s="125">
        <v>46256</v>
      </c>
      <c r="J117" s="13">
        <f>G117-SUM(L117:FL117)</f>
        <v>0</v>
      </c>
      <c r="K117" s="139" t="s">
        <v>694</v>
      </c>
      <c r="L117" s="161"/>
      <c r="M117" s="136"/>
      <c r="N117" s="136"/>
      <c r="O117" s="136"/>
      <c r="P117" s="136"/>
      <c r="Q117" s="136"/>
      <c r="R117" s="136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36"/>
      <c r="AD117" s="136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36"/>
      <c r="AR117" s="136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1"/>
      <c r="BC117" s="161"/>
      <c r="BD117" s="161"/>
      <c r="BE117" s="136"/>
      <c r="BF117" s="136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36"/>
      <c r="BT117" s="136"/>
      <c r="BU117" s="161"/>
      <c r="BV117" s="161"/>
      <c r="BW117" s="161"/>
      <c r="BX117" s="161"/>
      <c r="BY117" s="161"/>
      <c r="BZ117" s="161"/>
      <c r="CA117" s="161"/>
      <c r="CB117" s="161"/>
      <c r="CC117" s="161"/>
      <c r="CD117" s="161"/>
      <c r="CE117" s="161"/>
      <c r="CF117" s="161"/>
      <c r="CG117" s="136"/>
      <c r="CH117" s="136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36"/>
      <c r="CV117" s="136"/>
      <c r="CW117" s="161"/>
      <c r="CX117" s="161"/>
      <c r="CY117" s="161"/>
      <c r="CZ117" s="161"/>
      <c r="DA117" s="161"/>
      <c r="DB117" s="161"/>
      <c r="DC117" s="161"/>
      <c r="DD117" s="161"/>
      <c r="DE117" s="161"/>
      <c r="DF117" s="161"/>
      <c r="DG117" s="161"/>
      <c r="DH117" s="161"/>
      <c r="DI117" s="136"/>
      <c r="DJ117" s="136"/>
      <c r="DK117" s="161"/>
      <c r="DL117" s="161"/>
      <c r="DM117" s="161"/>
      <c r="DN117" s="161"/>
      <c r="DO117" s="161"/>
      <c r="DP117" s="161"/>
      <c r="DQ117" s="161"/>
      <c r="DR117" s="161"/>
      <c r="DS117" s="161"/>
      <c r="DT117" s="161"/>
      <c r="DU117" s="161">
        <v>100</v>
      </c>
      <c r="DV117" s="161"/>
      <c r="DW117" s="136"/>
      <c r="DX117" s="136"/>
      <c r="DY117" s="161"/>
      <c r="DZ117" s="161"/>
      <c r="EA117" s="161"/>
      <c r="EB117" s="161"/>
      <c r="EC117" s="161"/>
      <c r="ED117" s="161"/>
      <c r="EE117" s="161"/>
      <c r="EF117" s="161"/>
      <c r="EG117" s="161"/>
      <c r="EH117" s="161"/>
      <c r="EI117" s="161"/>
      <c r="EJ117" s="161"/>
      <c r="EK117" s="136"/>
      <c r="EL117" s="136"/>
      <c r="EM117" s="136"/>
      <c r="EN117" s="136"/>
      <c r="EO117" s="136"/>
      <c r="EP117" s="136"/>
      <c r="EQ117" s="136"/>
      <c r="ER117" s="136"/>
      <c r="ES117" s="161"/>
      <c r="ET117" s="161"/>
      <c r="EU117" s="161"/>
      <c r="EV117" s="161"/>
      <c r="EW117" s="161"/>
      <c r="EX117" s="161"/>
      <c r="EY117" s="136"/>
      <c r="EZ117" s="136"/>
      <c r="FA117" s="161"/>
      <c r="FB117" s="161"/>
      <c r="FC117" s="161"/>
      <c r="FD117" s="161"/>
      <c r="FE117" s="161"/>
      <c r="FF117" s="161"/>
      <c r="FG117" s="161"/>
      <c r="FH117" s="161"/>
      <c r="FI117" s="161"/>
      <c r="FJ117" s="161"/>
      <c r="FK117" s="161"/>
      <c r="FL117" s="161"/>
      <c r="FM117" s="136"/>
      <c r="FN117" s="136"/>
      <c r="FO117" s="161"/>
      <c r="FP117" s="161"/>
      <c r="FQ117" s="161"/>
      <c r="FR117" s="161"/>
      <c r="FS117" s="161"/>
      <c r="FT117" s="161"/>
      <c r="FU117" s="161"/>
      <c r="FV117" s="161"/>
      <c r="FW117" s="161"/>
      <c r="FX117" s="161"/>
      <c r="FY117" s="161"/>
      <c r="FZ117" s="161"/>
      <c r="GA117" s="136"/>
      <c r="GB117" s="136"/>
      <c r="GC117" s="161"/>
      <c r="GD117" s="161"/>
      <c r="GE117" s="161"/>
      <c r="GF117" s="161"/>
      <c r="GG117" s="161"/>
      <c r="GH117" s="161"/>
      <c r="GI117" s="161"/>
      <c r="GJ117" s="161"/>
      <c r="GK117" s="161"/>
      <c r="GL117" s="161"/>
      <c r="GM117" s="161"/>
      <c r="GN117" s="161"/>
    </row>
    <row r="118" spans="1:196">
      <c r="A118" s="118"/>
      <c r="B118" s="116" t="s">
        <v>1295</v>
      </c>
      <c r="C118" s="116" t="s">
        <v>105</v>
      </c>
      <c r="D118" s="119"/>
      <c r="E118" s="119"/>
      <c r="F118" s="160"/>
      <c r="G118" s="117">
        <v>5</v>
      </c>
      <c r="H118" s="6"/>
      <c r="I118" s="125">
        <v>46263</v>
      </c>
      <c r="J118" s="13">
        <f t="shared" si="183"/>
        <v>0</v>
      </c>
      <c r="K118" s="139"/>
      <c r="L118" s="161"/>
      <c r="M118" s="136"/>
      <c r="N118" s="136"/>
      <c r="O118" s="136"/>
      <c r="P118" s="136"/>
      <c r="Q118" s="136"/>
      <c r="R118" s="136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36"/>
      <c r="AD118" s="136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36"/>
      <c r="AR118" s="136"/>
      <c r="AS118" s="161"/>
      <c r="AT118" s="161"/>
      <c r="AU118" s="161"/>
      <c r="AV118" s="161"/>
      <c r="AW118" s="161"/>
      <c r="AX118" s="161"/>
      <c r="AY118" s="161"/>
      <c r="AZ118" s="161"/>
      <c r="BA118" s="161"/>
      <c r="BB118" s="161"/>
      <c r="BC118" s="161"/>
      <c r="BD118" s="161"/>
      <c r="BE118" s="136"/>
      <c r="BF118" s="136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36"/>
      <c r="BT118" s="136"/>
      <c r="BU118" s="161"/>
      <c r="BV118" s="161"/>
      <c r="BW118" s="161"/>
      <c r="BX118" s="161"/>
      <c r="BY118" s="161"/>
      <c r="BZ118" s="161"/>
      <c r="CA118" s="161"/>
      <c r="CB118" s="161"/>
      <c r="CC118" s="161"/>
      <c r="CD118" s="161"/>
      <c r="CE118" s="161"/>
      <c r="CF118" s="161"/>
      <c r="CG118" s="136"/>
      <c r="CH118" s="136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36"/>
      <c r="CV118" s="136"/>
      <c r="CW118" s="161"/>
      <c r="CX118" s="161"/>
      <c r="CY118" s="161"/>
      <c r="CZ118" s="161"/>
      <c r="DA118" s="161"/>
      <c r="DB118" s="161"/>
      <c r="DC118" s="161"/>
      <c r="DD118" s="161"/>
      <c r="DE118" s="161"/>
      <c r="DF118" s="161"/>
      <c r="DG118" s="161"/>
      <c r="DH118" s="161"/>
      <c r="DI118" s="136"/>
      <c r="DJ118" s="136"/>
      <c r="DK118" s="161"/>
      <c r="DL118" s="161"/>
      <c r="DM118" s="161"/>
      <c r="DN118" s="161"/>
      <c r="DO118" s="161"/>
      <c r="DP118" s="161"/>
      <c r="DQ118" s="161"/>
      <c r="DR118" s="161"/>
      <c r="DS118" s="161"/>
      <c r="DT118" s="161"/>
      <c r="DU118" s="161"/>
      <c r="DV118" s="161"/>
      <c r="DW118" s="136"/>
      <c r="DX118" s="136"/>
      <c r="DY118" s="161"/>
      <c r="DZ118" s="161"/>
      <c r="EA118" s="161"/>
      <c r="EB118" s="161"/>
      <c r="EC118" s="161"/>
      <c r="ED118" s="161"/>
      <c r="EE118" s="161"/>
      <c r="EF118" s="161"/>
      <c r="EG118" s="161"/>
      <c r="EH118" s="161"/>
      <c r="EI118" s="161">
        <v>5</v>
      </c>
      <c r="EJ118" s="161"/>
      <c r="EK118" s="136"/>
      <c r="EL118" s="136"/>
      <c r="EM118" s="136"/>
      <c r="EN118" s="136"/>
      <c r="EO118" s="136"/>
      <c r="EP118" s="136"/>
      <c r="EQ118" s="136"/>
      <c r="ER118" s="136"/>
      <c r="ES118" s="161"/>
      <c r="ET118" s="161"/>
      <c r="EU118" s="161"/>
      <c r="EV118" s="161"/>
      <c r="EW118" s="161"/>
      <c r="EX118" s="161"/>
      <c r="EY118" s="136"/>
      <c r="EZ118" s="136"/>
      <c r="FA118" s="161"/>
      <c r="FB118" s="161"/>
      <c r="FC118" s="161"/>
      <c r="FD118" s="161"/>
      <c r="FE118" s="161"/>
      <c r="FF118" s="161"/>
      <c r="FG118" s="161"/>
      <c r="FH118" s="161"/>
      <c r="FI118" s="161"/>
      <c r="FJ118" s="161"/>
      <c r="FK118" s="161"/>
      <c r="FL118" s="161"/>
      <c r="FM118" s="136"/>
      <c r="FN118" s="136"/>
      <c r="FO118" s="161"/>
      <c r="FP118" s="161"/>
      <c r="FQ118" s="161"/>
      <c r="FR118" s="161"/>
      <c r="FS118" s="161"/>
      <c r="FT118" s="161"/>
      <c r="FU118" s="161"/>
      <c r="FV118" s="161"/>
      <c r="FW118" s="161"/>
      <c r="FX118" s="161"/>
      <c r="FY118" s="161"/>
      <c r="FZ118" s="161"/>
      <c r="GA118" s="136"/>
      <c r="GB118" s="136"/>
      <c r="GC118" s="161"/>
      <c r="GD118" s="161"/>
      <c r="GE118" s="161"/>
      <c r="GF118" s="161"/>
      <c r="GG118" s="161"/>
      <c r="GH118" s="161"/>
      <c r="GI118" s="161"/>
      <c r="GJ118" s="161"/>
      <c r="GK118" s="161"/>
      <c r="GL118" s="161"/>
      <c r="GM118" s="161"/>
      <c r="GN118" s="161"/>
    </row>
    <row r="119" spans="1:196">
      <c r="A119" s="118"/>
      <c r="B119" s="116" t="s">
        <v>1296</v>
      </c>
      <c r="C119" s="116" t="s">
        <v>108</v>
      </c>
      <c r="D119" s="119"/>
      <c r="E119" s="119"/>
      <c r="F119" s="160"/>
      <c r="G119" s="117">
        <v>15</v>
      </c>
      <c r="H119" s="6"/>
      <c r="I119" s="125">
        <v>46263</v>
      </c>
      <c r="J119" s="13">
        <f t="shared" si="183"/>
        <v>0</v>
      </c>
      <c r="K119" s="139"/>
      <c r="L119" s="161"/>
      <c r="M119" s="136"/>
      <c r="N119" s="136"/>
      <c r="O119" s="136"/>
      <c r="P119" s="136"/>
      <c r="Q119" s="136"/>
      <c r="R119" s="136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36"/>
      <c r="AD119" s="136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36"/>
      <c r="AR119" s="136"/>
      <c r="AS119" s="161"/>
      <c r="AT119" s="161"/>
      <c r="AU119" s="161"/>
      <c r="AV119" s="161"/>
      <c r="AW119" s="161"/>
      <c r="AX119" s="161"/>
      <c r="AY119" s="161"/>
      <c r="AZ119" s="161"/>
      <c r="BA119" s="161"/>
      <c r="BB119" s="161"/>
      <c r="BC119" s="161"/>
      <c r="BD119" s="161"/>
      <c r="BE119" s="136"/>
      <c r="BF119" s="136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36"/>
      <c r="BT119" s="136"/>
      <c r="BU119" s="161"/>
      <c r="BV119" s="161"/>
      <c r="BW119" s="161"/>
      <c r="BX119" s="161"/>
      <c r="BY119" s="161"/>
      <c r="BZ119" s="161"/>
      <c r="CA119" s="161"/>
      <c r="CB119" s="161"/>
      <c r="CC119" s="161"/>
      <c r="CD119" s="161"/>
      <c r="CE119" s="161"/>
      <c r="CF119" s="161"/>
      <c r="CG119" s="136"/>
      <c r="CH119" s="136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36"/>
      <c r="CV119" s="136"/>
      <c r="CW119" s="161"/>
      <c r="CX119" s="161"/>
      <c r="CY119" s="161"/>
      <c r="CZ119" s="161"/>
      <c r="DA119" s="161"/>
      <c r="DB119" s="161"/>
      <c r="DC119" s="161"/>
      <c r="DD119" s="161"/>
      <c r="DE119" s="161"/>
      <c r="DF119" s="161"/>
      <c r="DG119" s="161"/>
      <c r="DH119" s="161"/>
      <c r="DI119" s="136"/>
      <c r="DJ119" s="136"/>
      <c r="DK119" s="161"/>
      <c r="DL119" s="161"/>
      <c r="DM119" s="161"/>
      <c r="DN119" s="161"/>
      <c r="DO119" s="161"/>
      <c r="DP119" s="161"/>
      <c r="DQ119" s="161"/>
      <c r="DR119" s="161"/>
      <c r="DS119" s="161"/>
      <c r="DT119" s="161"/>
      <c r="DU119" s="161"/>
      <c r="DV119" s="161"/>
      <c r="DW119" s="136"/>
      <c r="DX119" s="136"/>
      <c r="DY119" s="161"/>
      <c r="DZ119" s="161"/>
      <c r="EA119" s="161"/>
      <c r="EB119" s="161"/>
      <c r="EC119" s="161"/>
      <c r="ED119" s="161"/>
      <c r="EE119" s="161"/>
      <c r="EF119" s="161"/>
      <c r="EG119" s="161"/>
      <c r="EH119" s="161"/>
      <c r="EI119" s="161">
        <v>15</v>
      </c>
      <c r="EJ119" s="161"/>
      <c r="EK119" s="136"/>
      <c r="EL119" s="136"/>
      <c r="EM119" s="136"/>
      <c r="EN119" s="136"/>
      <c r="EO119" s="136"/>
      <c r="EP119" s="136"/>
      <c r="EQ119" s="136"/>
      <c r="ER119" s="136"/>
      <c r="ES119" s="161"/>
      <c r="ET119" s="161"/>
      <c r="EU119" s="161"/>
      <c r="EV119" s="161"/>
      <c r="EW119" s="161"/>
      <c r="EX119" s="161"/>
      <c r="EY119" s="136"/>
      <c r="EZ119" s="136"/>
      <c r="FA119" s="161"/>
      <c r="FB119" s="161"/>
      <c r="FC119" s="161"/>
      <c r="FD119" s="161"/>
      <c r="FE119" s="161"/>
      <c r="FF119" s="161"/>
      <c r="FG119" s="161"/>
      <c r="FH119" s="161"/>
      <c r="FI119" s="161"/>
      <c r="FJ119" s="161"/>
      <c r="FK119" s="161"/>
      <c r="FL119" s="161"/>
      <c r="FM119" s="136"/>
      <c r="FN119" s="136"/>
      <c r="FO119" s="161"/>
      <c r="FP119" s="161"/>
      <c r="FQ119" s="161"/>
      <c r="FR119" s="161"/>
      <c r="FS119" s="161"/>
      <c r="FT119" s="161"/>
      <c r="FU119" s="161"/>
      <c r="FV119" s="161"/>
      <c r="FW119" s="161"/>
      <c r="FX119" s="161"/>
      <c r="FY119" s="161"/>
      <c r="FZ119" s="161"/>
      <c r="GA119" s="136"/>
      <c r="GB119" s="136"/>
      <c r="GC119" s="161"/>
      <c r="GD119" s="161"/>
      <c r="GE119" s="161"/>
      <c r="GF119" s="161"/>
      <c r="GG119" s="161"/>
      <c r="GH119" s="161"/>
      <c r="GI119" s="161"/>
      <c r="GJ119" s="161"/>
      <c r="GK119" s="161"/>
      <c r="GL119" s="161"/>
      <c r="GM119" s="161"/>
      <c r="GN119" s="161"/>
    </row>
    <row r="120" spans="1:196">
      <c r="A120" s="118"/>
      <c r="B120" s="116" t="s">
        <v>1297</v>
      </c>
      <c r="C120" s="116" t="s">
        <v>114</v>
      </c>
      <c r="D120" s="119"/>
      <c r="E120" s="119"/>
      <c r="F120" s="160"/>
      <c r="G120" s="117">
        <v>5</v>
      </c>
      <c r="H120" s="6"/>
      <c r="I120" s="125">
        <v>46263</v>
      </c>
      <c r="J120" s="13">
        <f t="shared" si="183"/>
        <v>0</v>
      </c>
      <c r="K120" s="139"/>
      <c r="L120" s="161"/>
      <c r="M120" s="136"/>
      <c r="N120" s="136"/>
      <c r="O120" s="136"/>
      <c r="P120" s="136"/>
      <c r="Q120" s="136"/>
      <c r="R120" s="136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36"/>
      <c r="AD120" s="136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36"/>
      <c r="AR120" s="136"/>
      <c r="AS120" s="161"/>
      <c r="AT120" s="161"/>
      <c r="AU120" s="161"/>
      <c r="AV120" s="161"/>
      <c r="AW120" s="161"/>
      <c r="AX120" s="161"/>
      <c r="AY120" s="161"/>
      <c r="AZ120" s="161"/>
      <c r="BA120" s="161"/>
      <c r="BB120" s="161"/>
      <c r="BC120" s="161"/>
      <c r="BD120" s="161"/>
      <c r="BE120" s="136"/>
      <c r="BF120" s="136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36"/>
      <c r="BT120" s="136"/>
      <c r="BU120" s="161"/>
      <c r="BV120" s="161"/>
      <c r="BW120" s="161"/>
      <c r="BX120" s="161"/>
      <c r="BY120" s="161"/>
      <c r="BZ120" s="161"/>
      <c r="CA120" s="161"/>
      <c r="CB120" s="161"/>
      <c r="CC120" s="161"/>
      <c r="CD120" s="161"/>
      <c r="CE120" s="161"/>
      <c r="CF120" s="161"/>
      <c r="CG120" s="136"/>
      <c r="CH120" s="136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36"/>
      <c r="CV120" s="136"/>
      <c r="CW120" s="161"/>
      <c r="CX120" s="161"/>
      <c r="CY120" s="161"/>
      <c r="CZ120" s="161"/>
      <c r="DA120" s="161"/>
      <c r="DB120" s="161"/>
      <c r="DC120" s="161"/>
      <c r="DD120" s="161"/>
      <c r="DE120" s="161"/>
      <c r="DF120" s="161"/>
      <c r="DG120" s="161"/>
      <c r="DH120" s="161"/>
      <c r="DI120" s="136"/>
      <c r="DJ120" s="136"/>
      <c r="DK120" s="161"/>
      <c r="DL120" s="161"/>
      <c r="DM120" s="161"/>
      <c r="DN120" s="161"/>
      <c r="DO120" s="161"/>
      <c r="DP120" s="161"/>
      <c r="DQ120" s="161"/>
      <c r="DR120" s="161"/>
      <c r="DS120" s="161"/>
      <c r="DT120" s="161"/>
      <c r="DU120" s="161"/>
      <c r="DV120" s="161"/>
      <c r="DW120" s="136"/>
      <c r="DX120" s="136"/>
      <c r="DY120" s="161"/>
      <c r="DZ120" s="161"/>
      <c r="EA120" s="161"/>
      <c r="EB120" s="161"/>
      <c r="EC120" s="161"/>
      <c r="ED120" s="161"/>
      <c r="EE120" s="161"/>
      <c r="EF120" s="161"/>
      <c r="EG120" s="161"/>
      <c r="EH120" s="161"/>
      <c r="EI120" s="161">
        <v>5</v>
      </c>
      <c r="EJ120" s="161"/>
      <c r="EK120" s="136"/>
      <c r="EL120" s="136"/>
      <c r="EM120" s="136"/>
      <c r="EN120" s="136"/>
      <c r="EO120" s="136"/>
      <c r="EP120" s="136"/>
      <c r="EQ120" s="136"/>
      <c r="ER120" s="136"/>
      <c r="ES120" s="161"/>
      <c r="ET120" s="161"/>
      <c r="EU120" s="161"/>
      <c r="EV120" s="161"/>
      <c r="EW120" s="161"/>
      <c r="EX120" s="161"/>
      <c r="EY120" s="136"/>
      <c r="EZ120" s="136"/>
      <c r="FA120" s="161"/>
      <c r="FB120" s="161"/>
      <c r="FC120" s="161"/>
      <c r="FD120" s="161"/>
      <c r="FE120" s="161"/>
      <c r="FF120" s="161"/>
      <c r="FG120" s="161"/>
      <c r="FH120" s="161"/>
      <c r="FI120" s="161"/>
      <c r="FJ120" s="161"/>
      <c r="FK120" s="161"/>
      <c r="FL120" s="161"/>
      <c r="FM120" s="136"/>
      <c r="FN120" s="136"/>
      <c r="FO120" s="161"/>
      <c r="FP120" s="161"/>
      <c r="FQ120" s="161"/>
      <c r="FR120" s="161"/>
      <c r="FS120" s="161"/>
      <c r="FT120" s="161"/>
      <c r="FU120" s="161"/>
      <c r="FV120" s="161"/>
      <c r="FW120" s="161"/>
      <c r="FX120" s="161"/>
      <c r="FY120" s="161"/>
      <c r="FZ120" s="161"/>
      <c r="GA120" s="136"/>
      <c r="GB120" s="136"/>
      <c r="GC120" s="161"/>
      <c r="GD120" s="161"/>
      <c r="GE120" s="161"/>
      <c r="GF120" s="161"/>
      <c r="GG120" s="161"/>
      <c r="GH120" s="161"/>
      <c r="GI120" s="161"/>
      <c r="GJ120" s="161"/>
      <c r="GK120" s="161"/>
      <c r="GL120" s="161"/>
      <c r="GM120" s="161"/>
      <c r="GN120" s="161"/>
    </row>
    <row r="121" spans="1:196">
      <c r="A121" s="118"/>
      <c r="B121" s="116" t="s">
        <v>1298</v>
      </c>
      <c r="C121" s="116" t="s">
        <v>117</v>
      </c>
      <c r="D121" s="119"/>
      <c r="E121" s="119"/>
      <c r="F121" s="160"/>
      <c r="G121" s="117">
        <v>5</v>
      </c>
      <c r="H121" s="6"/>
      <c r="I121" s="125">
        <v>46263</v>
      </c>
      <c r="J121" s="13">
        <f t="shared" si="183"/>
        <v>0</v>
      </c>
      <c r="K121" s="139"/>
      <c r="L121" s="161"/>
      <c r="M121" s="136"/>
      <c r="N121" s="136"/>
      <c r="O121" s="136"/>
      <c r="P121" s="136"/>
      <c r="Q121" s="136"/>
      <c r="R121" s="136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36"/>
      <c r="AD121" s="136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36"/>
      <c r="AR121" s="136"/>
      <c r="AS121" s="161"/>
      <c r="AT121" s="161"/>
      <c r="AU121" s="161"/>
      <c r="AV121" s="161"/>
      <c r="AW121" s="161"/>
      <c r="AX121" s="161"/>
      <c r="AY121" s="161"/>
      <c r="AZ121" s="161"/>
      <c r="BA121" s="161"/>
      <c r="BB121" s="161"/>
      <c r="BC121" s="161"/>
      <c r="BD121" s="161"/>
      <c r="BE121" s="136"/>
      <c r="BF121" s="136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36"/>
      <c r="BT121" s="136"/>
      <c r="BU121" s="161"/>
      <c r="BV121" s="161"/>
      <c r="BW121" s="161"/>
      <c r="BX121" s="161"/>
      <c r="BY121" s="161"/>
      <c r="BZ121" s="161"/>
      <c r="CA121" s="161"/>
      <c r="CB121" s="161"/>
      <c r="CC121" s="161"/>
      <c r="CD121" s="161"/>
      <c r="CE121" s="161"/>
      <c r="CF121" s="161"/>
      <c r="CG121" s="136"/>
      <c r="CH121" s="136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36"/>
      <c r="CV121" s="136"/>
      <c r="CW121" s="161"/>
      <c r="CX121" s="161"/>
      <c r="CY121" s="161"/>
      <c r="CZ121" s="161"/>
      <c r="DA121" s="161"/>
      <c r="DB121" s="161"/>
      <c r="DC121" s="161"/>
      <c r="DD121" s="161"/>
      <c r="DE121" s="161"/>
      <c r="DF121" s="161"/>
      <c r="DG121" s="161"/>
      <c r="DH121" s="161"/>
      <c r="DI121" s="136"/>
      <c r="DJ121" s="136"/>
      <c r="DK121" s="161"/>
      <c r="DL121" s="161"/>
      <c r="DM121" s="161"/>
      <c r="DN121" s="161"/>
      <c r="DO121" s="161"/>
      <c r="DP121" s="161"/>
      <c r="DQ121" s="161"/>
      <c r="DR121" s="161"/>
      <c r="DS121" s="161"/>
      <c r="DT121" s="161"/>
      <c r="DU121" s="161"/>
      <c r="DV121" s="161"/>
      <c r="DW121" s="136"/>
      <c r="DX121" s="136"/>
      <c r="DY121" s="161"/>
      <c r="DZ121" s="161"/>
      <c r="EA121" s="161"/>
      <c r="EB121" s="161"/>
      <c r="EC121" s="161"/>
      <c r="ED121" s="161"/>
      <c r="EE121" s="161"/>
      <c r="EF121" s="161"/>
      <c r="EG121" s="161"/>
      <c r="EH121" s="161"/>
      <c r="EI121" s="161">
        <v>5</v>
      </c>
      <c r="EJ121" s="161"/>
      <c r="EK121" s="136"/>
      <c r="EL121" s="136"/>
      <c r="EM121" s="136"/>
      <c r="EN121" s="136"/>
      <c r="EO121" s="136"/>
      <c r="EP121" s="136"/>
      <c r="EQ121" s="136"/>
      <c r="ER121" s="136"/>
      <c r="ES121" s="161"/>
      <c r="ET121" s="161"/>
      <c r="EU121" s="161"/>
      <c r="EV121" s="161"/>
      <c r="EW121" s="161"/>
      <c r="EX121" s="161"/>
      <c r="EY121" s="136"/>
      <c r="EZ121" s="136"/>
      <c r="FA121" s="161"/>
      <c r="FB121" s="161"/>
      <c r="FC121" s="161"/>
      <c r="FD121" s="161"/>
      <c r="FE121" s="161"/>
      <c r="FF121" s="161"/>
      <c r="FG121" s="161"/>
      <c r="FH121" s="161"/>
      <c r="FI121" s="161"/>
      <c r="FJ121" s="161"/>
      <c r="FK121" s="161"/>
      <c r="FL121" s="161"/>
      <c r="FM121" s="136"/>
      <c r="FN121" s="136"/>
      <c r="FO121" s="161"/>
      <c r="FP121" s="161"/>
      <c r="FQ121" s="161"/>
      <c r="FR121" s="161"/>
      <c r="FS121" s="161"/>
      <c r="FT121" s="161"/>
      <c r="FU121" s="161"/>
      <c r="FV121" s="161"/>
      <c r="FW121" s="161"/>
      <c r="FX121" s="161"/>
      <c r="FY121" s="161"/>
      <c r="FZ121" s="161"/>
      <c r="GA121" s="136"/>
      <c r="GB121" s="136"/>
      <c r="GC121" s="161"/>
      <c r="GD121" s="161"/>
      <c r="GE121" s="161"/>
      <c r="GF121" s="161"/>
      <c r="GG121" s="161"/>
      <c r="GH121" s="161"/>
      <c r="GI121" s="161"/>
      <c r="GJ121" s="161"/>
      <c r="GK121" s="161"/>
      <c r="GL121" s="161"/>
      <c r="GM121" s="161"/>
      <c r="GN121" s="161"/>
    </row>
    <row r="122" spans="1:196">
      <c r="A122" s="118"/>
      <c r="B122" s="116"/>
      <c r="C122" s="116"/>
      <c r="D122" s="119"/>
      <c r="E122" s="119"/>
      <c r="F122" s="160"/>
      <c r="G122" s="117"/>
      <c r="H122" s="121"/>
      <c r="I122" s="125"/>
      <c r="J122" s="13"/>
      <c r="K122" s="139"/>
      <c r="L122" s="161"/>
      <c r="M122" s="136"/>
      <c r="N122" s="136"/>
      <c r="O122" s="136"/>
      <c r="P122" s="136"/>
      <c r="Q122" s="136"/>
      <c r="R122" s="136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36"/>
      <c r="AD122" s="136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36"/>
      <c r="AR122" s="136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36"/>
      <c r="BF122" s="136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36"/>
      <c r="BT122" s="136"/>
      <c r="BU122" s="161"/>
      <c r="BV122" s="16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36"/>
      <c r="CH122" s="136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36"/>
      <c r="CV122" s="136"/>
      <c r="CW122" s="161"/>
      <c r="CX122" s="161"/>
      <c r="CY122" s="161"/>
      <c r="CZ122" s="161"/>
      <c r="DA122" s="161"/>
      <c r="DB122" s="161"/>
      <c r="DC122" s="161"/>
      <c r="DD122" s="161"/>
      <c r="DE122" s="161"/>
      <c r="DF122" s="161"/>
      <c r="DG122" s="161"/>
      <c r="DH122" s="161"/>
      <c r="DI122" s="136"/>
      <c r="DJ122" s="136"/>
      <c r="DK122" s="161"/>
      <c r="DL122" s="161"/>
      <c r="DM122" s="161"/>
      <c r="DN122" s="161"/>
      <c r="DO122" s="161"/>
      <c r="DP122" s="161"/>
      <c r="DQ122" s="161"/>
      <c r="DR122" s="161"/>
      <c r="DS122" s="161"/>
      <c r="DT122" s="161"/>
      <c r="DU122" s="161"/>
      <c r="DV122" s="161"/>
      <c r="DW122" s="136"/>
      <c r="DX122" s="136"/>
      <c r="DY122" s="161"/>
      <c r="DZ122" s="161"/>
      <c r="EA122" s="161"/>
      <c r="EB122" s="161"/>
      <c r="EC122" s="161"/>
      <c r="ED122" s="161"/>
      <c r="EE122" s="161"/>
      <c r="EF122" s="161"/>
      <c r="EG122" s="161"/>
      <c r="EH122" s="161"/>
      <c r="EI122" s="161"/>
      <c r="EJ122" s="161"/>
      <c r="EK122" s="136"/>
      <c r="EL122" s="136"/>
      <c r="EM122" s="136"/>
      <c r="EN122" s="136"/>
      <c r="EO122" s="136"/>
      <c r="EP122" s="136"/>
      <c r="EQ122" s="136"/>
      <c r="ER122" s="136"/>
      <c r="ES122" s="161"/>
      <c r="ET122" s="161"/>
      <c r="EU122" s="161"/>
      <c r="EV122" s="161"/>
      <c r="EW122" s="161"/>
      <c r="EX122" s="161"/>
      <c r="EY122" s="136"/>
      <c r="EZ122" s="136"/>
      <c r="FA122" s="161"/>
      <c r="FB122" s="161"/>
      <c r="FC122" s="161"/>
      <c r="FD122" s="161"/>
      <c r="FE122" s="161"/>
      <c r="FF122" s="161"/>
      <c r="FG122" s="161"/>
      <c r="FH122" s="161"/>
      <c r="FI122" s="161"/>
      <c r="FJ122" s="161"/>
      <c r="FK122" s="161"/>
      <c r="FL122" s="161"/>
      <c r="FM122" s="136"/>
      <c r="FN122" s="136"/>
      <c r="FO122" s="161"/>
      <c r="FP122" s="161"/>
      <c r="FQ122" s="161"/>
      <c r="FR122" s="161"/>
      <c r="FS122" s="161"/>
      <c r="FT122" s="161"/>
      <c r="FU122" s="161"/>
      <c r="FV122" s="161"/>
      <c r="FW122" s="161"/>
      <c r="FX122" s="161"/>
      <c r="FY122" s="161"/>
      <c r="FZ122" s="161"/>
      <c r="GA122" s="136"/>
      <c r="GB122" s="136"/>
      <c r="GC122" s="161"/>
      <c r="GD122" s="161"/>
      <c r="GE122" s="161"/>
      <c r="GF122" s="161"/>
      <c r="GG122" s="161"/>
      <c r="GH122" s="161"/>
      <c r="GI122" s="161"/>
      <c r="GJ122" s="161"/>
      <c r="GK122" s="161"/>
      <c r="GL122" s="161"/>
      <c r="GM122" s="161"/>
      <c r="GN122" s="161"/>
    </row>
    <row r="123" spans="1:196">
      <c r="A123" s="118"/>
      <c r="B123" s="116"/>
      <c r="C123" s="116"/>
      <c r="D123" s="119"/>
      <c r="E123" s="119"/>
      <c r="F123" s="160"/>
      <c r="G123" s="117"/>
      <c r="H123" s="121"/>
      <c r="I123" s="125"/>
      <c r="J123" s="13"/>
      <c r="K123" s="153"/>
      <c r="L123" s="161"/>
      <c r="M123" s="136"/>
      <c r="N123" s="136"/>
      <c r="O123" s="136"/>
      <c r="P123" s="136"/>
      <c r="Q123" s="136"/>
      <c r="R123" s="136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36"/>
      <c r="AD123" s="136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36"/>
      <c r="AR123" s="136"/>
      <c r="AS123" s="161"/>
      <c r="AT123" s="161"/>
      <c r="AU123" s="161"/>
      <c r="AV123" s="161"/>
      <c r="AW123" s="161"/>
      <c r="AX123" s="161"/>
      <c r="AY123" s="161"/>
      <c r="AZ123" s="161"/>
      <c r="BA123" s="161"/>
      <c r="BB123" s="161"/>
      <c r="BC123" s="161"/>
      <c r="BD123" s="161"/>
      <c r="BE123" s="136"/>
      <c r="BF123" s="136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36"/>
      <c r="BT123" s="136"/>
      <c r="BU123" s="161"/>
      <c r="BV123" s="161"/>
      <c r="BW123" s="161"/>
      <c r="BX123" s="161"/>
      <c r="BY123" s="161"/>
      <c r="BZ123" s="161"/>
      <c r="CA123" s="161"/>
      <c r="CB123" s="161"/>
      <c r="CC123" s="161"/>
      <c r="CD123" s="161"/>
      <c r="CE123" s="161"/>
      <c r="CF123" s="161"/>
      <c r="CG123" s="136"/>
      <c r="CH123" s="136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36"/>
      <c r="CV123" s="136"/>
      <c r="CW123" s="161"/>
      <c r="CX123" s="161"/>
      <c r="CY123" s="161"/>
      <c r="CZ123" s="161"/>
      <c r="DA123" s="161"/>
      <c r="DB123" s="161"/>
      <c r="DC123" s="161"/>
      <c r="DD123" s="161"/>
      <c r="DE123" s="161"/>
      <c r="DF123" s="161"/>
      <c r="DG123" s="161"/>
      <c r="DH123" s="161"/>
      <c r="DI123" s="136"/>
      <c r="DJ123" s="136"/>
      <c r="DK123" s="161"/>
      <c r="DL123" s="161"/>
      <c r="DM123" s="161"/>
      <c r="DN123" s="161"/>
      <c r="DO123" s="161"/>
      <c r="DP123" s="161"/>
      <c r="DQ123" s="161"/>
      <c r="DR123" s="161"/>
      <c r="DS123" s="161"/>
      <c r="DT123" s="161"/>
      <c r="DU123" s="161"/>
      <c r="DV123" s="161"/>
      <c r="DW123" s="136"/>
      <c r="DX123" s="136"/>
      <c r="DY123" s="161"/>
      <c r="DZ123" s="161"/>
      <c r="EA123" s="161"/>
      <c r="EB123" s="161"/>
      <c r="EC123" s="161"/>
      <c r="ED123" s="161"/>
      <c r="EE123" s="161"/>
      <c r="EF123" s="161"/>
      <c r="EG123" s="161"/>
      <c r="EH123" s="161"/>
      <c r="EI123" s="161"/>
      <c r="EJ123" s="161"/>
      <c r="EK123" s="136"/>
      <c r="EL123" s="136"/>
      <c r="EM123" s="136"/>
      <c r="EN123" s="136"/>
      <c r="EO123" s="136"/>
      <c r="EP123" s="136"/>
      <c r="EQ123" s="136"/>
      <c r="ER123" s="136"/>
      <c r="ES123" s="161"/>
      <c r="ET123" s="161"/>
      <c r="EU123" s="161"/>
      <c r="EV123" s="161"/>
      <c r="EW123" s="161"/>
      <c r="EX123" s="161"/>
      <c r="EY123" s="136"/>
      <c r="EZ123" s="136"/>
      <c r="FA123" s="161"/>
      <c r="FB123" s="161"/>
      <c r="FC123" s="161"/>
      <c r="FD123" s="161"/>
      <c r="FE123" s="161"/>
      <c r="FF123" s="161"/>
      <c r="FG123" s="161"/>
      <c r="FH123" s="161"/>
      <c r="FI123" s="161"/>
      <c r="FJ123" s="161"/>
      <c r="FK123" s="161"/>
      <c r="FL123" s="161"/>
      <c r="FM123" s="136"/>
      <c r="FN123" s="136"/>
      <c r="FO123" s="161"/>
      <c r="FP123" s="161"/>
      <c r="FQ123" s="161"/>
      <c r="FR123" s="161"/>
      <c r="FS123" s="161"/>
      <c r="FT123" s="161"/>
      <c r="FU123" s="161"/>
      <c r="FV123" s="161"/>
      <c r="FW123" s="161"/>
      <c r="FX123" s="161"/>
      <c r="FY123" s="161"/>
      <c r="FZ123" s="161"/>
      <c r="GA123" s="136"/>
      <c r="GB123" s="136"/>
      <c r="GC123" s="161"/>
      <c r="GD123" s="161"/>
      <c r="GE123" s="161"/>
      <c r="GF123" s="161"/>
      <c r="GG123" s="161"/>
      <c r="GH123" s="161"/>
      <c r="GI123" s="161"/>
      <c r="GJ123" s="161"/>
      <c r="GK123" s="161"/>
      <c r="GL123" s="161"/>
      <c r="GM123" s="161"/>
      <c r="GN123" s="161"/>
    </row>
    <row r="124" spans="1:196">
      <c r="A124" s="118"/>
      <c r="B124" s="116"/>
      <c r="C124" s="116"/>
      <c r="D124" s="119"/>
      <c r="E124" s="119"/>
      <c r="F124" s="160"/>
      <c r="G124" s="117"/>
      <c r="H124" s="121"/>
      <c r="I124" s="125"/>
      <c r="J124" s="13"/>
      <c r="K124" s="139"/>
      <c r="L124" s="161"/>
      <c r="M124" s="136"/>
      <c r="N124" s="136"/>
      <c r="O124" s="136"/>
      <c r="P124" s="136"/>
      <c r="Q124" s="136"/>
      <c r="R124" s="136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36"/>
      <c r="AD124" s="136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36"/>
      <c r="AR124" s="136"/>
      <c r="AS124" s="161"/>
      <c r="AT124" s="161"/>
      <c r="AU124" s="161"/>
      <c r="AV124" s="161"/>
      <c r="AW124" s="161"/>
      <c r="AX124" s="161"/>
      <c r="AY124" s="161"/>
      <c r="AZ124" s="161"/>
      <c r="BA124" s="161"/>
      <c r="BB124" s="161"/>
      <c r="BC124" s="161"/>
      <c r="BD124" s="161"/>
      <c r="BE124" s="136"/>
      <c r="BF124" s="136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36"/>
      <c r="BT124" s="136"/>
      <c r="BU124" s="161"/>
      <c r="BV124" s="161"/>
      <c r="BW124" s="161"/>
      <c r="BX124" s="161"/>
      <c r="BY124" s="161"/>
      <c r="BZ124" s="161"/>
      <c r="CA124" s="161"/>
      <c r="CB124" s="161"/>
      <c r="CC124" s="161"/>
      <c r="CD124" s="161"/>
      <c r="CE124" s="161"/>
      <c r="CF124" s="161"/>
      <c r="CG124" s="136"/>
      <c r="CH124" s="136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36"/>
      <c r="CV124" s="136"/>
      <c r="CW124" s="161"/>
      <c r="CX124" s="161"/>
      <c r="CY124" s="161"/>
      <c r="CZ124" s="161"/>
      <c r="DA124" s="161"/>
      <c r="DB124" s="161"/>
      <c r="DC124" s="161"/>
      <c r="DD124" s="161"/>
      <c r="DE124" s="161"/>
      <c r="DF124" s="161"/>
      <c r="DG124" s="161"/>
      <c r="DH124" s="161"/>
      <c r="DI124" s="136"/>
      <c r="DJ124" s="136"/>
      <c r="DK124" s="161"/>
      <c r="DL124" s="161"/>
      <c r="DM124" s="161"/>
      <c r="DN124" s="161"/>
      <c r="DO124" s="161"/>
      <c r="DP124" s="161"/>
      <c r="DQ124" s="161"/>
      <c r="DR124" s="161"/>
      <c r="DS124" s="161"/>
      <c r="DT124" s="161"/>
      <c r="DU124" s="161"/>
      <c r="DV124" s="161"/>
      <c r="DW124" s="136"/>
      <c r="DX124" s="136"/>
      <c r="DY124" s="161"/>
      <c r="DZ124" s="161"/>
      <c r="EA124" s="161"/>
      <c r="EB124" s="161"/>
      <c r="EC124" s="161"/>
      <c r="ED124" s="161"/>
      <c r="EE124" s="161"/>
      <c r="EF124" s="161"/>
      <c r="EG124" s="161"/>
      <c r="EH124" s="161"/>
      <c r="EI124" s="161"/>
      <c r="EJ124" s="161"/>
      <c r="EK124" s="136"/>
      <c r="EL124" s="136"/>
      <c r="EM124" s="136"/>
      <c r="EN124" s="136"/>
      <c r="EO124" s="136"/>
      <c r="EP124" s="136"/>
      <c r="EQ124" s="136"/>
      <c r="ER124" s="136"/>
      <c r="ES124" s="161"/>
      <c r="ET124" s="161"/>
      <c r="EU124" s="161"/>
      <c r="EV124" s="161"/>
      <c r="EW124" s="161"/>
      <c r="EX124" s="161"/>
      <c r="EY124" s="136"/>
      <c r="EZ124" s="136"/>
      <c r="FA124" s="161"/>
      <c r="FB124" s="161"/>
      <c r="FC124" s="161"/>
      <c r="FD124" s="161"/>
      <c r="FE124" s="161"/>
      <c r="FF124" s="161"/>
      <c r="FG124" s="161"/>
      <c r="FH124" s="161"/>
      <c r="FI124" s="161"/>
      <c r="FJ124" s="161"/>
      <c r="FK124" s="161"/>
      <c r="FL124" s="161"/>
      <c r="FM124" s="136"/>
      <c r="FN124" s="136"/>
      <c r="FO124" s="161"/>
      <c r="FP124" s="161"/>
      <c r="FQ124" s="161"/>
      <c r="FR124" s="161"/>
      <c r="FS124" s="161"/>
      <c r="FT124" s="161"/>
      <c r="FU124" s="161"/>
      <c r="FV124" s="161"/>
      <c r="FW124" s="161"/>
      <c r="FX124" s="161"/>
      <c r="FY124" s="161"/>
      <c r="FZ124" s="161"/>
      <c r="GA124" s="136"/>
      <c r="GB124" s="136"/>
      <c r="GC124" s="161"/>
      <c r="GD124" s="161"/>
      <c r="GE124" s="161"/>
      <c r="GF124" s="161"/>
      <c r="GG124" s="161"/>
      <c r="GH124" s="161"/>
      <c r="GI124" s="161"/>
      <c r="GJ124" s="161"/>
      <c r="GK124" s="161"/>
      <c r="GL124" s="161"/>
      <c r="GM124" s="161"/>
      <c r="GN124" s="161"/>
    </row>
    <row r="125" spans="1:196" ht="16" customHeight="1">
      <c r="A125" s="7"/>
      <c r="B125" s="16"/>
      <c r="C125" s="16"/>
      <c r="D125" s="16"/>
      <c r="E125" s="150"/>
      <c r="F125" s="16"/>
      <c r="G125" s="93"/>
      <c r="H125" s="17"/>
      <c r="I125" s="23"/>
      <c r="J125" s="16"/>
      <c r="K125" s="1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</row>
    <row r="126" spans="1:196" ht="15" hidden="1" customHeight="1">
      <c r="A126" s="140"/>
      <c r="B126" s="126" t="s">
        <v>742</v>
      </c>
      <c r="C126" s="126" t="s">
        <v>178</v>
      </c>
      <c r="D126" s="119"/>
      <c r="E126" s="119" t="e">
        <f>VLOOKUP(C126,#REF!,5,0)</f>
        <v>#REF!</v>
      </c>
      <c r="F126" s="107">
        <v>46202</v>
      </c>
      <c r="G126" s="127">
        <v>896</v>
      </c>
      <c r="H126" s="6" t="s">
        <v>881</v>
      </c>
      <c r="I126" s="125">
        <v>46200</v>
      </c>
      <c r="J126" s="13">
        <f t="shared" ref="J126:J190" si="187">G126-SUM(L126:FL126)</f>
        <v>0</v>
      </c>
      <c r="K126" s="163"/>
      <c r="L126" s="161"/>
      <c r="M126" s="136"/>
      <c r="N126" s="136"/>
      <c r="O126" s="136"/>
      <c r="P126" s="136"/>
      <c r="Q126" s="136"/>
      <c r="R126" s="136"/>
      <c r="S126" s="161">
        <v>896</v>
      </c>
      <c r="T126" s="161"/>
      <c r="U126" s="161"/>
      <c r="V126" s="161"/>
      <c r="W126" s="135"/>
      <c r="X126" s="135"/>
      <c r="Y126" s="135"/>
      <c r="Z126" s="135"/>
      <c r="AA126" s="135"/>
      <c r="AB126" s="135"/>
      <c r="AC126" s="136"/>
      <c r="AD126" s="136"/>
      <c r="AE126" s="161"/>
      <c r="AF126" s="161"/>
      <c r="AG126" s="161"/>
      <c r="AH126" s="161"/>
      <c r="AI126" s="161"/>
      <c r="AJ126" s="161"/>
      <c r="AK126" s="135"/>
      <c r="AL126" s="135"/>
      <c r="AM126" s="135"/>
      <c r="AN126" s="135"/>
      <c r="AO126" s="135"/>
      <c r="AP126" s="135"/>
      <c r="AQ126" s="136"/>
      <c r="AR126" s="136"/>
      <c r="AS126" s="161"/>
      <c r="AT126" s="161"/>
      <c r="AU126" s="161"/>
      <c r="AV126" s="161"/>
      <c r="AW126" s="161"/>
      <c r="AX126" s="161"/>
      <c r="AY126" s="135"/>
      <c r="AZ126" s="135"/>
      <c r="BA126" s="135"/>
      <c r="BB126" s="135"/>
      <c r="BC126" s="135"/>
      <c r="BD126" s="135"/>
      <c r="BE126" s="136"/>
      <c r="BF126" s="136"/>
      <c r="BG126" s="161"/>
      <c r="BH126" s="161"/>
      <c r="BI126" s="161"/>
      <c r="BJ126" s="161"/>
      <c r="BK126" s="161"/>
      <c r="BL126" s="161"/>
      <c r="BM126" s="135"/>
      <c r="BN126" s="135"/>
      <c r="BO126" s="135"/>
      <c r="BP126" s="135"/>
      <c r="BQ126" s="135"/>
      <c r="BR126" s="135"/>
      <c r="BS126" s="136"/>
      <c r="BT126" s="136"/>
      <c r="BU126" s="161"/>
      <c r="BV126" s="161"/>
      <c r="BW126" s="161"/>
      <c r="BX126" s="161"/>
      <c r="BY126" s="161"/>
      <c r="BZ126" s="161"/>
      <c r="CA126" s="135"/>
      <c r="CB126" s="135"/>
      <c r="CC126" s="135"/>
      <c r="CD126" s="135"/>
      <c r="CE126" s="135"/>
      <c r="CF126" s="135"/>
      <c r="CG126" s="136"/>
      <c r="CH126" s="136"/>
      <c r="CI126" s="161"/>
      <c r="CJ126" s="161"/>
      <c r="CK126" s="161"/>
      <c r="CL126" s="161"/>
      <c r="CM126" s="161"/>
      <c r="CN126" s="161"/>
      <c r="CO126" s="135"/>
      <c r="CP126" s="135"/>
      <c r="CQ126" s="135"/>
      <c r="CR126" s="135"/>
      <c r="CS126" s="135"/>
      <c r="CT126" s="135"/>
      <c r="CU126" s="136"/>
      <c r="CV126" s="136"/>
      <c r="CW126" s="161"/>
      <c r="CX126" s="161"/>
      <c r="CY126" s="161"/>
      <c r="CZ126" s="161"/>
      <c r="DA126" s="161"/>
      <c r="DB126" s="161"/>
      <c r="DC126" s="135"/>
      <c r="DD126" s="135"/>
      <c r="DE126" s="135"/>
      <c r="DF126" s="135"/>
      <c r="DG126" s="135"/>
      <c r="DH126" s="135"/>
      <c r="DI126" s="136"/>
      <c r="DJ126" s="136"/>
      <c r="DK126" s="161"/>
      <c r="DL126" s="161"/>
      <c r="DM126" s="161"/>
      <c r="DN126" s="161"/>
      <c r="DO126" s="161"/>
      <c r="DP126" s="161"/>
      <c r="DQ126" s="135"/>
      <c r="DR126" s="135"/>
      <c r="DS126" s="135"/>
      <c r="DT126" s="135"/>
      <c r="DU126" s="135"/>
      <c r="DV126" s="135"/>
      <c r="DW126" s="136"/>
      <c r="DX126" s="136"/>
      <c r="DY126" s="161"/>
      <c r="DZ126" s="161"/>
      <c r="EA126" s="161"/>
      <c r="EB126" s="161"/>
      <c r="EC126" s="161"/>
      <c r="ED126" s="161"/>
      <c r="EE126" s="135"/>
      <c r="EF126" s="135"/>
      <c r="EG126" s="135"/>
      <c r="EH126" s="135"/>
      <c r="EI126" s="135"/>
      <c r="EJ126" s="135"/>
      <c r="EK126" s="136"/>
      <c r="EL126" s="136"/>
      <c r="EM126" s="136"/>
      <c r="EN126" s="136"/>
      <c r="EO126" s="136"/>
      <c r="EP126" s="136"/>
      <c r="EQ126" s="136"/>
      <c r="ER126" s="136"/>
      <c r="ES126" s="135"/>
      <c r="ET126" s="135"/>
      <c r="EU126" s="135"/>
      <c r="EV126" s="135"/>
      <c r="EW126" s="135"/>
      <c r="EX126" s="135"/>
      <c r="EY126" s="136"/>
      <c r="EZ126" s="136"/>
      <c r="FA126" s="161"/>
      <c r="FB126" s="161"/>
      <c r="FC126" s="161"/>
      <c r="FD126" s="161"/>
      <c r="FE126" s="161"/>
      <c r="FF126" s="161"/>
      <c r="FG126" s="135"/>
      <c r="FH126" s="135"/>
      <c r="FI126" s="135"/>
      <c r="FJ126" s="135"/>
      <c r="FK126" s="135"/>
      <c r="FL126" s="135"/>
      <c r="FM126" s="136"/>
      <c r="FN126" s="136"/>
      <c r="FO126" s="161"/>
      <c r="FP126" s="161"/>
      <c r="FQ126" s="161"/>
      <c r="FR126" s="161"/>
      <c r="FS126" s="161"/>
      <c r="FT126" s="161"/>
      <c r="FU126" s="135"/>
      <c r="FV126" s="135"/>
      <c r="FW126" s="135"/>
      <c r="FX126" s="135"/>
      <c r="FY126" s="135"/>
      <c r="FZ126" s="135"/>
      <c r="GA126" s="136"/>
      <c r="GB126" s="136"/>
      <c r="GC126" s="161"/>
      <c r="GD126" s="161"/>
      <c r="GE126" s="161"/>
      <c r="GF126" s="161"/>
      <c r="GG126" s="161"/>
      <c r="GH126" s="161"/>
      <c r="GI126" s="135"/>
      <c r="GJ126" s="135"/>
      <c r="GK126" s="135"/>
      <c r="GL126" s="135"/>
      <c r="GM126" s="135"/>
      <c r="GN126" s="135"/>
    </row>
    <row r="127" spans="1:196" ht="15" hidden="1" customHeight="1">
      <c r="A127" s="140"/>
      <c r="B127" s="126" t="s">
        <v>961</v>
      </c>
      <c r="C127" s="126" t="s">
        <v>619</v>
      </c>
      <c r="D127" s="119"/>
      <c r="E127" s="119" t="e">
        <f>VLOOKUP(C127,#REF!,5,0)</f>
        <v>#REF!</v>
      </c>
      <c r="F127" s="107">
        <v>46202</v>
      </c>
      <c r="G127" s="127">
        <v>200</v>
      </c>
      <c r="H127" s="6">
        <v>46207</v>
      </c>
      <c r="I127" s="125">
        <v>46200</v>
      </c>
      <c r="J127" s="13">
        <f t="shared" si="187"/>
        <v>0</v>
      </c>
      <c r="K127" s="124"/>
      <c r="L127" s="135"/>
      <c r="M127" s="136"/>
      <c r="N127" s="136"/>
      <c r="O127" s="136"/>
      <c r="P127" s="136"/>
      <c r="Q127" s="136"/>
      <c r="R127" s="136"/>
      <c r="S127" s="135">
        <v>200</v>
      </c>
      <c r="T127" s="161"/>
      <c r="U127" s="161"/>
      <c r="V127" s="161"/>
      <c r="W127" s="135"/>
      <c r="X127" s="135"/>
      <c r="Y127" s="135"/>
      <c r="Z127" s="135"/>
      <c r="AA127" s="135"/>
      <c r="AB127" s="135"/>
      <c r="AC127" s="136"/>
      <c r="AD127" s="136"/>
      <c r="AE127" s="161"/>
      <c r="AF127" s="161"/>
      <c r="AG127" s="161"/>
      <c r="AH127" s="161"/>
      <c r="AI127" s="161"/>
      <c r="AJ127" s="161"/>
      <c r="AK127" s="135"/>
      <c r="AL127" s="135"/>
      <c r="AM127" s="135"/>
      <c r="AN127" s="135"/>
      <c r="AO127" s="135"/>
      <c r="AP127" s="135"/>
      <c r="AQ127" s="136"/>
      <c r="AR127" s="136"/>
      <c r="AS127" s="161"/>
      <c r="AT127" s="161"/>
      <c r="AU127" s="161"/>
      <c r="AV127" s="161"/>
      <c r="AW127" s="161"/>
      <c r="AX127" s="161"/>
      <c r="AY127" s="135"/>
      <c r="AZ127" s="135"/>
      <c r="BA127" s="135"/>
      <c r="BB127" s="135"/>
      <c r="BC127" s="135"/>
      <c r="BD127" s="135"/>
      <c r="BE127" s="136"/>
      <c r="BF127" s="136"/>
      <c r="BG127" s="161"/>
      <c r="BH127" s="161"/>
      <c r="BI127" s="161"/>
      <c r="BJ127" s="161"/>
      <c r="BK127" s="161"/>
      <c r="BL127" s="161"/>
      <c r="BM127" s="135"/>
      <c r="BN127" s="135"/>
      <c r="BO127" s="135"/>
      <c r="BP127" s="135"/>
      <c r="BQ127" s="135"/>
      <c r="BR127" s="135"/>
      <c r="BS127" s="136"/>
      <c r="BT127" s="136"/>
      <c r="BU127" s="161"/>
      <c r="BV127" s="161"/>
      <c r="BW127" s="161"/>
      <c r="BX127" s="161"/>
      <c r="BY127" s="161"/>
      <c r="BZ127" s="161"/>
      <c r="CA127" s="135"/>
      <c r="CB127" s="135"/>
      <c r="CC127" s="135"/>
      <c r="CD127" s="135"/>
      <c r="CE127" s="135"/>
      <c r="CF127" s="135"/>
      <c r="CG127" s="136"/>
      <c r="CH127" s="136"/>
      <c r="CI127" s="161"/>
      <c r="CJ127" s="161"/>
      <c r="CK127" s="161"/>
      <c r="CL127" s="161"/>
      <c r="CM127" s="161"/>
      <c r="CN127" s="161"/>
      <c r="CO127" s="135"/>
      <c r="CP127" s="135"/>
      <c r="CQ127" s="135"/>
      <c r="CR127" s="135"/>
      <c r="CS127" s="135"/>
      <c r="CT127" s="135"/>
      <c r="CU127" s="136"/>
      <c r="CV127" s="136"/>
      <c r="CW127" s="161"/>
      <c r="CX127" s="161"/>
      <c r="CY127" s="161"/>
      <c r="CZ127" s="161"/>
      <c r="DA127" s="161"/>
      <c r="DB127" s="161"/>
      <c r="DC127" s="135"/>
      <c r="DD127" s="135"/>
      <c r="DE127" s="135"/>
      <c r="DF127" s="135"/>
      <c r="DG127" s="135"/>
      <c r="DH127" s="135"/>
      <c r="DI127" s="136"/>
      <c r="DJ127" s="136"/>
      <c r="DK127" s="161"/>
      <c r="DL127" s="161"/>
      <c r="DM127" s="161"/>
      <c r="DN127" s="161"/>
      <c r="DO127" s="161"/>
      <c r="DP127" s="161"/>
      <c r="DQ127" s="135"/>
      <c r="DR127" s="135"/>
      <c r="DS127" s="135"/>
      <c r="DT127" s="135"/>
      <c r="DU127" s="135"/>
      <c r="DV127" s="135"/>
      <c r="DW127" s="136"/>
      <c r="DX127" s="136"/>
      <c r="DY127" s="161"/>
      <c r="DZ127" s="161"/>
      <c r="EA127" s="161"/>
      <c r="EB127" s="161"/>
      <c r="EC127" s="161"/>
      <c r="ED127" s="161"/>
      <c r="EE127" s="135"/>
      <c r="EF127" s="135"/>
      <c r="EG127" s="135"/>
      <c r="EH127" s="135"/>
      <c r="EI127" s="135"/>
      <c r="EJ127" s="135"/>
      <c r="EK127" s="136"/>
      <c r="EL127" s="136"/>
      <c r="EM127" s="136"/>
      <c r="EN127" s="136"/>
      <c r="EO127" s="136"/>
      <c r="EP127" s="136"/>
      <c r="EQ127" s="136"/>
      <c r="ER127" s="136"/>
      <c r="ES127" s="135"/>
      <c r="ET127" s="135"/>
      <c r="EU127" s="135"/>
      <c r="EV127" s="135"/>
      <c r="EW127" s="135"/>
      <c r="EX127" s="135"/>
      <c r="EY127" s="136"/>
      <c r="EZ127" s="136"/>
      <c r="FA127" s="161"/>
      <c r="FB127" s="161"/>
      <c r="FC127" s="161"/>
      <c r="FD127" s="161"/>
      <c r="FE127" s="161"/>
      <c r="FF127" s="161"/>
      <c r="FG127" s="135"/>
      <c r="FH127" s="135"/>
      <c r="FI127" s="135"/>
      <c r="FJ127" s="135"/>
      <c r="FK127" s="135"/>
      <c r="FL127" s="135"/>
      <c r="FM127" s="136"/>
      <c r="FN127" s="136"/>
      <c r="FO127" s="161"/>
      <c r="FP127" s="161"/>
      <c r="FQ127" s="161"/>
      <c r="FR127" s="161"/>
      <c r="FS127" s="161"/>
      <c r="FT127" s="161"/>
      <c r="FU127" s="135"/>
      <c r="FV127" s="135"/>
      <c r="FW127" s="135"/>
      <c r="FX127" s="135"/>
      <c r="FY127" s="135"/>
      <c r="FZ127" s="135"/>
      <c r="GA127" s="136"/>
      <c r="GB127" s="136"/>
      <c r="GC127" s="161"/>
      <c r="GD127" s="161"/>
      <c r="GE127" s="161"/>
      <c r="GF127" s="161"/>
      <c r="GG127" s="161"/>
      <c r="GH127" s="161"/>
      <c r="GI127" s="135"/>
      <c r="GJ127" s="135"/>
      <c r="GK127" s="135"/>
      <c r="GL127" s="135"/>
      <c r="GM127" s="135"/>
      <c r="GN127" s="135"/>
    </row>
    <row r="128" spans="1:196" ht="16" hidden="1" customHeight="1">
      <c r="A128" s="140"/>
      <c r="B128" s="126" t="s">
        <v>758</v>
      </c>
      <c r="C128" s="126" t="s">
        <v>620</v>
      </c>
      <c r="D128" s="119"/>
      <c r="E128" s="119" t="e">
        <f>VLOOKUP(C128,#REF!,5,0)</f>
        <v>#REF!</v>
      </c>
      <c r="F128" s="107">
        <v>46202</v>
      </c>
      <c r="G128" s="127">
        <v>341</v>
      </c>
      <c r="H128" s="6">
        <v>46207</v>
      </c>
      <c r="I128" s="125">
        <v>46200</v>
      </c>
      <c r="J128" s="13">
        <f t="shared" si="187"/>
        <v>0</v>
      </c>
      <c r="K128" s="124"/>
      <c r="L128" s="161"/>
      <c r="M128" s="136"/>
      <c r="N128" s="136"/>
      <c r="O128" s="136"/>
      <c r="P128" s="136"/>
      <c r="Q128" s="136"/>
      <c r="R128" s="136"/>
      <c r="S128" s="161">
        <v>341</v>
      </c>
      <c r="T128" s="161"/>
      <c r="U128" s="161"/>
      <c r="V128" s="161"/>
      <c r="W128" s="135"/>
      <c r="X128" s="135"/>
      <c r="Y128" s="135"/>
      <c r="Z128" s="135"/>
      <c r="AA128" s="135"/>
      <c r="AB128" s="135"/>
      <c r="AC128" s="136"/>
      <c r="AD128" s="136"/>
      <c r="AE128" s="161"/>
      <c r="AF128" s="161"/>
      <c r="AG128" s="161"/>
      <c r="AH128" s="161"/>
      <c r="AI128" s="161"/>
      <c r="AJ128" s="161"/>
      <c r="AK128" s="135"/>
      <c r="AL128" s="135"/>
      <c r="AM128" s="135"/>
      <c r="AN128" s="135"/>
      <c r="AO128" s="135"/>
      <c r="AP128" s="135"/>
      <c r="AQ128" s="136"/>
      <c r="AR128" s="136"/>
      <c r="AS128" s="161"/>
      <c r="AT128" s="161"/>
      <c r="AU128" s="161"/>
      <c r="AV128" s="161"/>
      <c r="AW128" s="161"/>
      <c r="AX128" s="161"/>
      <c r="AY128" s="135"/>
      <c r="AZ128" s="135"/>
      <c r="BA128" s="135"/>
      <c r="BB128" s="135"/>
      <c r="BC128" s="135"/>
      <c r="BD128" s="135"/>
      <c r="BE128" s="136"/>
      <c r="BF128" s="136"/>
      <c r="BG128" s="161"/>
      <c r="BH128" s="161"/>
      <c r="BI128" s="161"/>
      <c r="BJ128" s="161"/>
      <c r="BK128" s="161"/>
      <c r="BL128" s="161"/>
      <c r="BM128" s="135"/>
      <c r="BN128" s="135"/>
      <c r="BO128" s="135"/>
      <c r="BP128" s="135"/>
      <c r="BQ128" s="135"/>
      <c r="BR128" s="135"/>
      <c r="BS128" s="136"/>
      <c r="BT128" s="136"/>
      <c r="BU128" s="161"/>
      <c r="BV128" s="161"/>
      <c r="BW128" s="161"/>
      <c r="BX128" s="161"/>
      <c r="BY128" s="161"/>
      <c r="BZ128" s="161"/>
      <c r="CA128" s="135"/>
      <c r="CB128" s="135"/>
      <c r="CC128" s="135"/>
      <c r="CD128" s="135"/>
      <c r="CE128" s="135"/>
      <c r="CF128" s="135"/>
      <c r="CG128" s="136"/>
      <c r="CH128" s="136"/>
      <c r="CI128" s="161"/>
      <c r="CJ128" s="161"/>
      <c r="CK128" s="161"/>
      <c r="CL128" s="161"/>
      <c r="CM128" s="161"/>
      <c r="CN128" s="161"/>
      <c r="CO128" s="135"/>
      <c r="CP128" s="135"/>
      <c r="CQ128" s="135"/>
      <c r="CR128" s="135"/>
      <c r="CS128" s="135"/>
      <c r="CT128" s="135"/>
      <c r="CU128" s="136"/>
      <c r="CV128" s="136"/>
      <c r="CW128" s="161"/>
      <c r="CX128" s="161"/>
      <c r="CY128" s="161"/>
      <c r="CZ128" s="161"/>
      <c r="DA128" s="161"/>
      <c r="DB128" s="161"/>
      <c r="DC128" s="135"/>
      <c r="DD128" s="135"/>
      <c r="DE128" s="135"/>
      <c r="DF128" s="135"/>
      <c r="DG128" s="135"/>
      <c r="DH128" s="135"/>
      <c r="DI128" s="136"/>
      <c r="DJ128" s="136"/>
      <c r="DK128" s="161"/>
      <c r="DL128" s="161"/>
      <c r="DM128" s="161"/>
      <c r="DN128" s="161"/>
      <c r="DO128" s="161"/>
      <c r="DP128" s="161"/>
      <c r="DQ128" s="135"/>
      <c r="DR128" s="135"/>
      <c r="DS128" s="135"/>
      <c r="DT128" s="135"/>
      <c r="DU128" s="135"/>
      <c r="DV128" s="135"/>
      <c r="DW128" s="136"/>
      <c r="DX128" s="136"/>
      <c r="DY128" s="161"/>
      <c r="DZ128" s="161"/>
      <c r="EA128" s="161"/>
      <c r="EB128" s="161"/>
      <c r="EC128" s="161"/>
      <c r="ED128" s="161"/>
      <c r="EE128" s="135"/>
      <c r="EF128" s="135"/>
      <c r="EG128" s="135"/>
      <c r="EH128" s="135"/>
      <c r="EI128" s="135"/>
      <c r="EJ128" s="135"/>
      <c r="EK128" s="136"/>
      <c r="EL128" s="136"/>
      <c r="EM128" s="136"/>
      <c r="EN128" s="136"/>
      <c r="EO128" s="136"/>
      <c r="EP128" s="136"/>
      <c r="EQ128" s="136"/>
      <c r="ER128" s="136"/>
      <c r="ES128" s="135"/>
      <c r="ET128" s="135"/>
      <c r="EU128" s="135"/>
      <c r="EV128" s="135"/>
      <c r="EW128" s="135"/>
      <c r="EX128" s="135"/>
      <c r="EY128" s="136"/>
      <c r="EZ128" s="136"/>
      <c r="FA128" s="161"/>
      <c r="FB128" s="161"/>
      <c r="FC128" s="161"/>
      <c r="FD128" s="161"/>
      <c r="FE128" s="161"/>
      <c r="FF128" s="161"/>
      <c r="FG128" s="135"/>
      <c r="FH128" s="135"/>
      <c r="FI128" s="135"/>
      <c r="FJ128" s="135"/>
      <c r="FK128" s="135"/>
      <c r="FL128" s="135"/>
      <c r="FM128" s="136"/>
      <c r="FN128" s="136"/>
      <c r="FO128" s="161"/>
      <c r="FP128" s="161"/>
      <c r="FQ128" s="161"/>
      <c r="FR128" s="161"/>
      <c r="FS128" s="161"/>
      <c r="FT128" s="161"/>
      <c r="FU128" s="135"/>
      <c r="FV128" s="135"/>
      <c r="FW128" s="135"/>
      <c r="FX128" s="135"/>
      <c r="FY128" s="135"/>
      <c r="FZ128" s="135"/>
      <c r="GA128" s="136"/>
      <c r="GB128" s="136"/>
      <c r="GC128" s="161"/>
      <c r="GD128" s="161"/>
      <c r="GE128" s="161"/>
      <c r="GF128" s="161"/>
      <c r="GG128" s="161"/>
      <c r="GH128" s="161"/>
      <c r="GI128" s="135"/>
      <c r="GJ128" s="135"/>
      <c r="GK128" s="135"/>
      <c r="GL128" s="135"/>
      <c r="GM128" s="135"/>
      <c r="GN128" s="135"/>
    </row>
    <row r="129" spans="1:196" ht="15" hidden="1" customHeight="1">
      <c r="A129" s="140"/>
      <c r="B129" s="126" t="s">
        <v>780</v>
      </c>
      <c r="C129" s="126" t="s">
        <v>237</v>
      </c>
      <c r="D129" s="119"/>
      <c r="E129" s="119"/>
      <c r="F129" s="107">
        <v>46202</v>
      </c>
      <c r="G129" s="127">
        <v>3500</v>
      </c>
      <c r="H129" s="6"/>
      <c r="I129" s="125">
        <v>46200</v>
      </c>
      <c r="J129" s="13">
        <f t="shared" si="187"/>
        <v>0</v>
      </c>
      <c r="K129" s="163"/>
      <c r="L129" s="135"/>
      <c r="M129" s="136"/>
      <c r="N129" s="136"/>
      <c r="O129" s="136"/>
      <c r="P129" s="136"/>
      <c r="Q129" s="136"/>
      <c r="R129" s="136"/>
      <c r="S129" s="135">
        <v>252</v>
      </c>
      <c r="T129" s="135"/>
      <c r="U129" s="135">
        <v>2891</v>
      </c>
      <c r="V129" s="135"/>
      <c r="W129" s="135">
        <v>357</v>
      </c>
      <c r="X129" s="135"/>
      <c r="Y129" s="135"/>
      <c r="Z129" s="135"/>
      <c r="AA129" s="135"/>
      <c r="AB129" s="135"/>
      <c r="AC129" s="136"/>
      <c r="AD129" s="136"/>
      <c r="AE129" s="161"/>
      <c r="AF129" s="161"/>
      <c r="AG129" s="161"/>
      <c r="AH129" s="161"/>
      <c r="AI129" s="161"/>
      <c r="AJ129" s="161"/>
      <c r="AK129" s="135"/>
      <c r="AL129" s="135"/>
      <c r="AM129" s="135"/>
      <c r="AN129" s="135"/>
      <c r="AO129" s="135"/>
      <c r="AP129" s="135"/>
      <c r="AQ129" s="136"/>
      <c r="AR129" s="136"/>
      <c r="AS129" s="161"/>
      <c r="AT129" s="161"/>
      <c r="AU129" s="161"/>
      <c r="AV129" s="161"/>
      <c r="AW129" s="161"/>
      <c r="AX129" s="161"/>
      <c r="AY129" s="135"/>
      <c r="AZ129" s="135"/>
      <c r="BA129" s="135"/>
      <c r="BB129" s="135"/>
      <c r="BC129" s="135"/>
      <c r="BD129" s="135"/>
      <c r="BE129" s="136"/>
      <c r="BF129" s="136"/>
      <c r="BG129" s="161"/>
      <c r="BH129" s="161"/>
      <c r="BI129" s="161"/>
      <c r="BJ129" s="161"/>
      <c r="BK129" s="161"/>
      <c r="BL129" s="161"/>
      <c r="BM129" s="135"/>
      <c r="BN129" s="135"/>
      <c r="BO129" s="135"/>
      <c r="BP129" s="135"/>
      <c r="BQ129" s="135"/>
      <c r="BR129" s="135"/>
      <c r="BS129" s="136"/>
      <c r="BT129" s="136"/>
      <c r="BU129" s="161"/>
      <c r="BV129" s="161"/>
      <c r="BW129" s="161"/>
      <c r="BX129" s="161"/>
      <c r="BY129" s="161"/>
      <c r="BZ129" s="161"/>
      <c r="CA129" s="135"/>
      <c r="CB129" s="135"/>
      <c r="CC129" s="135"/>
      <c r="CD129" s="135"/>
      <c r="CE129" s="135"/>
      <c r="CF129" s="135"/>
      <c r="CG129" s="136"/>
      <c r="CH129" s="136"/>
      <c r="CI129" s="161"/>
      <c r="CJ129" s="161"/>
      <c r="CK129" s="161"/>
      <c r="CL129" s="161"/>
      <c r="CM129" s="161"/>
      <c r="CN129" s="161"/>
      <c r="CO129" s="135"/>
      <c r="CP129" s="135"/>
      <c r="CQ129" s="135"/>
      <c r="CR129" s="135"/>
      <c r="CS129" s="135"/>
      <c r="CT129" s="135"/>
      <c r="CU129" s="136"/>
      <c r="CV129" s="136"/>
      <c r="CW129" s="161"/>
      <c r="CX129" s="161"/>
      <c r="CY129" s="161"/>
      <c r="CZ129" s="161"/>
      <c r="DA129" s="161"/>
      <c r="DB129" s="161"/>
      <c r="DC129" s="135"/>
      <c r="DD129" s="135"/>
      <c r="DE129" s="135"/>
      <c r="DF129" s="135"/>
      <c r="DG129" s="135"/>
      <c r="DH129" s="135"/>
      <c r="DI129" s="136"/>
      <c r="DJ129" s="136"/>
      <c r="DK129" s="161"/>
      <c r="DL129" s="161"/>
      <c r="DM129" s="161"/>
      <c r="DN129" s="161"/>
      <c r="DO129" s="161"/>
      <c r="DP129" s="161"/>
      <c r="DQ129" s="135"/>
      <c r="DR129" s="135"/>
      <c r="DS129" s="135"/>
      <c r="DT129" s="135"/>
      <c r="DU129" s="135"/>
      <c r="DV129" s="135"/>
      <c r="DW129" s="136"/>
      <c r="DX129" s="136"/>
      <c r="DY129" s="161"/>
      <c r="DZ129" s="161"/>
      <c r="EA129" s="161"/>
      <c r="EB129" s="161"/>
      <c r="EC129" s="161"/>
      <c r="ED129" s="161"/>
      <c r="EE129" s="135"/>
      <c r="EF129" s="135"/>
      <c r="EG129" s="135"/>
      <c r="EH129" s="135"/>
      <c r="EI129" s="135"/>
      <c r="EJ129" s="135"/>
      <c r="EK129" s="136"/>
      <c r="EL129" s="136"/>
      <c r="EM129" s="136"/>
      <c r="EN129" s="136"/>
      <c r="EO129" s="136"/>
      <c r="EP129" s="136"/>
      <c r="EQ129" s="136"/>
      <c r="ER129" s="136"/>
      <c r="ES129" s="135"/>
      <c r="ET129" s="135"/>
      <c r="EU129" s="135"/>
      <c r="EV129" s="135"/>
      <c r="EW129" s="135"/>
      <c r="EX129" s="135"/>
      <c r="EY129" s="136"/>
      <c r="EZ129" s="136"/>
      <c r="FA129" s="161"/>
      <c r="FB129" s="161"/>
      <c r="FC129" s="161"/>
      <c r="FD129" s="161"/>
      <c r="FE129" s="161"/>
      <c r="FF129" s="161"/>
      <c r="FG129" s="135"/>
      <c r="FH129" s="135"/>
      <c r="FI129" s="135"/>
      <c r="FJ129" s="135"/>
      <c r="FK129" s="135"/>
      <c r="FL129" s="135"/>
      <c r="FM129" s="136"/>
      <c r="FN129" s="136"/>
      <c r="FO129" s="161"/>
      <c r="FP129" s="161"/>
      <c r="FQ129" s="161"/>
      <c r="FR129" s="161"/>
      <c r="FS129" s="161"/>
      <c r="FT129" s="161"/>
      <c r="FU129" s="135"/>
      <c r="FV129" s="135"/>
      <c r="FW129" s="135"/>
      <c r="FX129" s="135"/>
      <c r="FY129" s="135"/>
      <c r="FZ129" s="135"/>
      <c r="GA129" s="136"/>
      <c r="GB129" s="136"/>
      <c r="GC129" s="161"/>
      <c r="GD129" s="161"/>
      <c r="GE129" s="161"/>
      <c r="GF129" s="161"/>
      <c r="GG129" s="161"/>
      <c r="GH129" s="161"/>
      <c r="GI129" s="135"/>
      <c r="GJ129" s="135"/>
      <c r="GK129" s="135"/>
      <c r="GL129" s="135"/>
      <c r="GM129" s="135"/>
      <c r="GN129" s="135"/>
    </row>
    <row r="130" spans="1:196" ht="18" hidden="1" customHeight="1">
      <c r="A130" s="140"/>
      <c r="B130" s="126" t="s">
        <v>781</v>
      </c>
      <c r="C130" s="126" t="s">
        <v>186</v>
      </c>
      <c r="D130" s="119"/>
      <c r="E130" s="119"/>
      <c r="F130" s="107">
        <v>46203</v>
      </c>
      <c r="G130" s="127">
        <v>2000</v>
      </c>
      <c r="H130" s="6"/>
      <c r="I130" s="125">
        <v>46200</v>
      </c>
      <c r="J130" s="13">
        <f t="shared" si="187"/>
        <v>0</v>
      </c>
      <c r="K130" s="163"/>
      <c r="L130" s="135"/>
      <c r="M130" s="136"/>
      <c r="N130" s="136"/>
      <c r="O130" s="136"/>
      <c r="P130" s="136"/>
      <c r="Q130" s="136"/>
      <c r="R130" s="136"/>
      <c r="S130" s="135"/>
      <c r="T130" s="135"/>
      <c r="U130" s="135"/>
      <c r="V130" s="135"/>
      <c r="W130" s="135">
        <v>2000</v>
      </c>
      <c r="X130" s="135"/>
      <c r="Y130" s="135"/>
      <c r="Z130" s="135"/>
      <c r="AA130" s="135"/>
      <c r="AB130" s="135"/>
      <c r="AC130" s="136"/>
      <c r="AD130" s="136"/>
      <c r="AE130" s="161"/>
      <c r="AF130" s="161"/>
      <c r="AG130" s="161"/>
      <c r="AH130" s="161"/>
      <c r="AI130" s="161"/>
      <c r="AJ130" s="161"/>
      <c r="AK130" s="135"/>
      <c r="AL130" s="135"/>
      <c r="AM130" s="135"/>
      <c r="AN130" s="135"/>
      <c r="AO130" s="135"/>
      <c r="AP130" s="135"/>
      <c r="AQ130" s="136"/>
      <c r="AR130" s="136"/>
      <c r="AS130" s="161"/>
      <c r="AT130" s="161"/>
      <c r="AU130" s="161"/>
      <c r="AV130" s="161"/>
      <c r="AW130" s="161"/>
      <c r="AX130" s="161"/>
      <c r="AY130" s="135"/>
      <c r="AZ130" s="135"/>
      <c r="BA130" s="135"/>
      <c r="BB130" s="135"/>
      <c r="BC130" s="135"/>
      <c r="BD130" s="135"/>
      <c r="BE130" s="136"/>
      <c r="BF130" s="136"/>
      <c r="BG130" s="161"/>
      <c r="BH130" s="161"/>
      <c r="BI130" s="161"/>
      <c r="BJ130" s="161"/>
      <c r="BK130" s="161"/>
      <c r="BL130" s="161"/>
      <c r="BM130" s="135"/>
      <c r="BN130" s="135"/>
      <c r="BO130" s="135"/>
      <c r="BP130" s="135"/>
      <c r="BQ130" s="135"/>
      <c r="BR130" s="135"/>
      <c r="BS130" s="136"/>
      <c r="BT130" s="136"/>
      <c r="BU130" s="161"/>
      <c r="BV130" s="161"/>
      <c r="BW130" s="161"/>
      <c r="BX130" s="161"/>
      <c r="BY130" s="161"/>
      <c r="BZ130" s="161"/>
      <c r="CA130" s="135"/>
      <c r="CB130" s="135"/>
      <c r="CC130" s="135"/>
      <c r="CD130" s="135"/>
      <c r="CE130" s="135"/>
      <c r="CF130" s="135"/>
      <c r="CG130" s="136"/>
      <c r="CH130" s="136"/>
      <c r="CI130" s="161"/>
      <c r="CJ130" s="161"/>
      <c r="CK130" s="161"/>
      <c r="CL130" s="161"/>
      <c r="CM130" s="161"/>
      <c r="CN130" s="161"/>
      <c r="CO130" s="135"/>
      <c r="CP130" s="135"/>
      <c r="CQ130" s="135"/>
      <c r="CR130" s="135"/>
      <c r="CS130" s="135"/>
      <c r="CT130" s="135"/>
      <c r="CU130" s="136"/>
      <c r="CV130" s="136"/>
      <c r="CW130" s="161"/>
      <c r="CX130" s="161"/>
      <c r="CY130" s="161"/>
      <c r="CZ130" s="161"/>
      <c r="DA130" s="161"/>
      <c r="DB130" s="161"/>
      <c r="DC130" s="135"/>
      <c r="DD130" s="135"/>
      <c r="DE130" s="135"/>
      <c r="DF130" s="135"/>
      <c r="DG130" s="135"/>
      <c r="DH130" s="135"/>
      <c r="DI130" s="136"/>
      <c r="DJ130" s="136"/>
      <c r="DK130" s="161"/>
      <c r="DL130" s="161"/>
      <c r="DM130" s="161"/>
      <c r="DN130" s="161"/>
      <c r="DO130" s="161"/>
      <c r="DP130" s="161"/>
      <c r="DQ130" s="135"/>
      <c r="DR130" s="135"/>
      <c r="DS130" s="135"/>
      <c r="DT130" s="135"/>
      <c r="DU130" s="135"/>
      <c r="DV130" s="135"/>
      <c r="DW130" s="136"/>
      <c r="DX130" s="136"/>
      <c r="DY130" s="161"/>
      <c r="DZ130" s="161"/>
      <c r="EA130" s="161"/>
      <c r="EB130" s="161"/>
      <c r="EC130" s="161"/>
      <c r="ED130" s="161"/>
      <c r="EE130" s="135"/>
      <c r="EF130" s="135"/>
      <c r="EG130" s="135"/>
      <c r="EH130" s="135"/>
      <c r="EI130" s="135"/>
      <c r="EJ130" s="135"/>
      <c r="EK130" s="136"/>
      <c r="EL130" s="136"/>
      <c r="EM130" s="136"/>
      <c r="EN130" s="136"/>
      <c r="EO130" s="136"/>
      <c r="EP130" s="136"/>
      <c r="EQ130" s="136"/>
      <c r="ER130" s="136"/>
      <c r="ES130" s="135"/>
      <c r="ET130" s="135"/>
      <c r="EU130" s="135"/>
      <c r="EV130" s="135"/>
      <c r="EW130" s="135"/>
      <c r="EX130" s="135"/>
      <c r="EY130" s="136"/>
      <c r="EZ130" s="136"/>
      <c r="FA130" s="161"/>
      <c r="FB130" s="161"/>
      <c r="FC130" s="161"/>
      <c r="FD130" s="161"/>
      <c r="FE130" s="161"/>
      <c r="FF130" s="161"/>
      <c r="FG130" s="135"/>
      <c r="FH130" s="135"/>
      <c r="FI130" s="135"/>
      <c r="FJ130" s="135"/>
      <c r="FK130" s="135"/>
      <c r="FL130" s="135"/>
      <c r="FM130" s="136"/>
      <c r="FN130" s="136"/>
      <c r="FO130" s="161"/>
      <c r="FP130" s="161"/>
      <c r="FQ130" s="161"/>
      <c r="FR130" s="161"/>
      <c r="FS130" s="161"/>
      <c r="FT130" s="161"/>
      <c r="FU130" s="135"/>
      <c r="FV130" s="135"/>
      <c r="FW130" s="135"/>
      <c r="FX130" s="135"/>
      <c r="FY130" s="135"/>
      <c r="FZ130" s="135"/>
      <c r="GA130" s="136"/>
      <c r="GB130" s="136"/>
      <c r="GC130" s="161"/>
      <c r="GD130" s="161"/>
      <c r="GE130" s="161"/>
      <c r="GF130" s="161"/>
      <c r="GG130" s="161"/>
      <c r="GH130" s="161"/>
      <c r="GI130" s="135"/>
      <c r="GJ130" s="135"/>
      <c r="GK130" s="135"/>
      <c r="GL130" s="135"/>
      <c r="GM130" s="135"/>
      <c r="GN130" s="135"/>
    </row>
    <row r="131" spans="1:196" ht="15" hidden="1" customHeight="1">
      <c r="A131" s="140"/>
      <c r="B131" s="126" t="s">
        <v>949</v>
      </c>
      <c r="C131" s="126" t="s">
        <v>707</v>
      </c>
      <c r="D131" s="119"/>
      <c r="E131" s="119"/>
      <c r="F131" s="107">
        <v>46203</v>
      </c>
      <c r="G131" s="127">
        <v>40</v>
      </c>
      <c r="H131" s="107">
        <v>46210</v>
      </c>
      <c r="I131" s="125">
        <v>46200</v>
      </c>
      <c r="J131" s="13">
        <f t="shared" si="187"/>
        <v>0</v>
      </c>
      <c r="K131" s="163"/>
      <c r="L131" s="161"/>
      <c r="M131" s="136"/>
      <c r="N131" s="136"/>
      <c r="O131" s="136"/>
      <c r="P131" s="136"/>
      <c r="Q131" s="136"/>
      <c r="R131" s="136"/>
      <c r="S131" s="161"/>
      <c r="T131" s="161"/>
      <c r="U131" s="161"/>
      <c r="V131" s="161"/>
      <c r="W131" s="135">
        <v>40</v>
      </c>
      <c r="X131" s="135"/>
      <c r="Y131" s="161"/>
      <c r="Z131" s="161"/>
      <c r="AA131" s="161"/>
      <c r="AB131" s="161"/>
      <c r="AC131" s="136"/>
      <c r="AD131" s="136"/>
      <c r="AE131" s="135"/>
      <c r="AF131" s="135"/>
      <c r="AG131" s="135"/>
      <c r="AH131" s="135"/>
      <c r="AI131" s="161"/>
      <c r="AJ131" s="135"/>
      <c r="AK131" s="161"/>
      <c r="AL131" s="135"/>
      <c r="AM131" s="135"/>
      <c r="AN131" s="135"/>
      <c r="AO131" s="135"/>
      <c r="AP131" s="135"/>
      <c r="AQ131" s="136"/>
      <c r="AR131" s="136"/>
      <c r="AS131" s="161"/>
      <c r="AT131" s="161"/>
      <c r="AU131" s="161"/>
      <c r="AV131" s="161"/>
      <c r="AW131" s="161"/>
      <c r="AX131" s="161"/>
      <c r="AY131" s="161"/>
      <c r="AZ131" s="135"/>
      <c r="BA131" s="161"/>
      <c r="BB131" s="135"/>
      <c r="BC131" s="161"/>
      <c r="BD131" s="135"/>
      <c r="BE131" s="136"/>
      <c r="BF131" s="136"/>
      <c r="BG131" s="161"/>
      <c r="BH131" s="161"/>
      <c r="BI131" s="161"/>
      <c r="BJ131" s="161"/>
      <c r="BK131" s="161"/>
      <c r="BL131" s="161"/>
      <c r="BM131" s="135"/>
      <c r="BN131" s="135"/>
      <c r="BO131" s="135"/>
      <c r="BP131" s="135"/>
      <c r="BQ131" s="135"/>
      <c r="BR131" s="135"/>
      <c r="BS131" s="136"/>
      <c r="BT131" s="136"/>
      <c r="BU131" s="161"/>
      <c r="BV131" s="161"/>
      <c r="BW131" s="161"/>
      <c r="BX131" s="161"/>
      <c r="BY131" s="161"/>
      <c r="BZ131" s="161"/>
      <c r="CA131" s="135"/>
      <c r="CB131" s="135"/>
      <c r="CC131" s="135"/>
      <c r="CD131" s="135"/>
      <c r="CE131" s="135"/>
      <c r="CF131" s="135"/>
      <c r="CG131" s="136"/>
      <c r="CH131" s="136"/>
      <c r="CI131" s="161"/>
      <c r="CJ131" s="161"/>
      <c r="CK131" s="161"/>
      <c r="CL131" s="161"/>
      <c r="CM131" s="161"/>
      <c r="CN131" s="161"/>
      <c r="CO131" s="135"/>
      <c r="CP131" s="135"/>
      <c r="CQ131" s="135"/>
      <c r="CR131" s="135"/>
      <c r="CS131" s="135"/>
      <c r="CT131" s="135"/>
      <c r="CU131" s="136"/>
      <c r="CV131" s="136"/>
      <c r="CW131" s="161"/>
      <c r="CX131" s="161"/>
      <c r="CY131" s="161"/>
      <c r="CZ131" s="161"/>
      <c r="DA131" s="161"/>
      <c r="DB131" s="161"/>
      <c r="DC131" s="135"/>
      <c r="DD131" s="135"/>
      <c r="DE131" s="135"/>
      <c r="DF131" s="135"/>
      <c r="DG131" s="135"/>
      <c r="DH131" s="135"/>
      <c r="DI131" s="136"/>
      <c r="DJ131" s="136"/>
      <c r="DK131" s="161"/>
      <c r="DL131" s="161"/>
      <c r="DM131" s="161"/>
      <c r="DN131" s="161"/>
      <c r="DO131" s="161"/>
      <c r="DP131" s="161"/>
      <c r="DQ131" s="135"/>
      <c r="DR131" s="135"/>
      <c r="DS131" s="135"/>
      <c r="DT131" s="135"/>
      <c r="DU131" s="135"/>
      <c r="DV131" s="135"/>
      <c r="DW131" s="136"/>
      <c r="DX131" s="136"/>
      <c r="DY131" s="161"/>
      <c r="DZ131" s="161"/>
      <c r="EA131" s="161"/>
      <c r="EB131" s="161"/>
      <c r="EC131" s="161"/>
      <c r="ED131" s="161"/>
      <c r="EE131" s="135"/>
      <c r="EF131" s="135"/>
      <c r="EG131" s="135"/>
      <c r="EH131" s="135"/>
      <c r="EI131" s="135"/>
      <c r="EJ131" s="135"/>
      <c r="EK131" s="136"/>
      <c r="EL131" s="136"/>
      <c r="EM131" s="136"/>
      <c r="EN131" s="136"/>
      <c r="EO131" s="136"/>
      <c r="EP131" s="136"/>
      <c r="EQ131" s="136"/>
      <c r="ER131" s="136"/>
      <c r="ES131" s="135"/>
      <c r="ET131" s="135"/>
      <c r="EU131" s="135"/>
      <c r="EV131" s="135"/>
      <c r="EW131" s="135"/>
      <c r="EX131" s="135"/>
      <c r="EY131" s="136"/>
      <c r="EZ131" s="136"/>
      <c r="FA131" s="161"/>
      <c r="FB131" s="161"/>
      <c r="FC131" s="161"/>
      <c r="FD131" s="161"/>
      <c r="FE131" s="161"/>
      <c r="FF131" s="161"/>
      <c r="FG131" s="135"/>
      <c r="FH131" s="135"/>
      <c r="FI131" s="135"/>
      <c r="FJ131" s="135"/>
      <c r="FK131" s="135"/>
      <c r="FL131" s="135"/>
      <c r="FM131" s="136"/>
      <c r="FN131" s="136"/>
      <c r="FO131" s="161"/>
      <c r="FP131" s="161"/>
      <c r="FQ131" s="161"/>
      <c r="FR131" s="161"/>
      <c r="FS131" s="161"/>
      <c r="FT131" s="161"/>
      <c r="FU131" s="135"/>
      <c r="FV131" s="135"/>
      <c r="FW131" s="135"/>
      <c r="FX131" s="135"/>
      <c r="FY131" s="135"/>
      <c r="FZ131" s="135"/>
      <c r="GA131" s="136"/>
      <c r="GB131" s="136"/>
      <c r="GC131" s="161"/>
      <c r="GD131" s="161"/>
      <c r="GE131" s="161"/>
      <c r="GF131" s="161"/>
      <c r="GG131" s="161"/>
      <c r="GH131" s="161"/>
      <c r="GI131" s="135"/>
      <c r="GJ131" s="135"/>
      <c r="GK131" s="135"/>
      <c r="GL131" s="135"/>
      <c r="GM131" s="135"/>
      <c r="GN131" s="135"/>
    </row>
    <row r="132" spans="1:196" hidden="1">
      <c r="A132" s="140"/>
      <c r="B132" s="126" t="s">
        <v>779</v>
      </c>
      <c r="C132" s="126" t="s">
        <v>170</v>
      </c>
      <c r="D132" s="119"/>
      <c r="E132" s="119"/>
      <c r="F132" s="107">
        <v>46203</v>
      </c>
      <c r="G132" s="127">
        <v>770</v>
      </c>
      <c r="H132" s="6" t="s">
        <v>754</v>
      </c>
      <c r="I132" s="125">
        <v>46200</v>
      </c>
      <c r="J132" s="13">
        <f t="shared" si="187"/>
        <v>0</v>
      </c>
      <c r="K132" s="163"/>
      <c r="L132" s="161"/>
      <c r="M132" s="136"/>
      <c r="N132" s="136"/>
      <c r="O132" s="136"/>
      <c r="P132" s="136"/>
      <c r="Q132" s="136"/>
      <c r="R132" s="136"/>
      <c r="S132" s="161"/>
      <c r="T132" s="161"/>
      <c r="U132" s="161"/>
      <c r="V132" s="161"/>
      <c r="W132" s="135">
        <v>293</v>
      </c>
      <c r="X132" s="135"/>
      <c r="Y132" s="161">
        <v>477</v>
      </c>
      <c r="Z132" s="135"/>
      <c r="AA132" s="135"/>
      <c r="AB132" s="135"/>
      <c r="AC132" s="136"/>
      <c r="AD132" s="136"/>
      <c r="AE132" s="161"/>
      <c r="AF132" s="161"/>
      <c r="AG132" s="161"/>
      <c r="AH132" s="161"/>
      <c r="AI132" s="161"/>
      <c r="AJ132" s="161"/>
      <c r="AK132" s="135"/>
      <c r="AL132" s="135"/>
      <c r="AM132" s="135"/>
      <c r="AN132" s="135"/>
      <c r="AO132" s="135"/>
      <c r="AP132" s="135"/>
      <c r="AQ132" s="136"/>
      <c r="AR132" s="136"/>
      <c r="AS132" s="161"/>
      <c r="AT132" s="161"/>
      <c r="AU132" s="161"/>
      <c r="AV132" s="161"/>
      <c r="AW132" s="161"/>
      <c r="AX132" s="161"/>
      <c r="AY132" s="135"/>
      <c r="AZ132" s="135"/>
      <c r="BA132" s="135"/>
      <c r="BB132" s="135"/>
      <c r="BC132" s="135"/>
      <c r="BD132" s="135"/>
      <c r="BE132" s="136"/>
      <c r="BF132" s="136"/>
      <c r="BG132" s="161"/>
      <c r="BH132" s="161"/>
      <c r="BI132" s="161"/>
      <c r="BJ132" s="161"/>
      <c r="BK132" s="161"/>
      <c r="BL132" s="161"/>
      <c r="BM132" s="135"/>
      <c r="BN132" s="135"/>
      <c r="BO132" s="135"/>
      <c r="BP132" s="135"/>
      <c r="BQ132" s="135"/>
      <c r="BR132" s="135"/>
      <c r="BS132" s="136"/>
      <c r="BT132" s="136"/>
      <c r="BU132" s="161"/>
      <c r="BV132" s="161"/>
      <c r="BW132" s="161"/>
      <c r="BX132" s="161"/>
      <c r="BY132" s="161"/>
      <c r="BZ132" s="161"/>
      <c r="CA132" s="135"/>
      <c r="CB132" s="135"/>
      <c r="CC132" s="135"/>
      <c r="CD132" s="135"/>
      <c r="CE132" s="135"/>
      <c r="CF132" s="135"/>
      <c r="CG132" s="136"/>
      <c r="CH132" s="136"/>
      <c r="CI132" s="161"/>
      <c r="CJ132" s="161"/>
      <c r="CK132" s="161"/>
      <c r="CL132" s="161"/>
      <c r="CM132" s="161"/>
      <c r="CN132" s="161"/>
      <c r="CO132" s="135"/>
      <c r="CP132" s="135"/>
      <c r="CQ132" s="135"/>
      <c r="CR132" s="135"/>
      <c r="CS132" s="135"/>
      <c r="CT132" s="135"/>
      <c r="CU132" s="136"/>
      <c r="CV132" s="136"/>
      <c r="CW132" s="161"/>
      <c r="CX132" s="161"/>
      <c r="CY132" s="161"/>
      <c r="CZ132" s="161"/>
      <c r="DA132" s="161"/>
      <c r="DB132" s="161"/>
      <c r="DC132" s="135"/>
      <c r="DD132" s="135"/>
      <c r="DE132" s="135"/>
      <c r="DF132" s="135"/>
      <c r="DG132" s="135"/>
      <c r="DH132" s="135"/>
      <c r="DI132" s="136"/>
      <c r="DJ132" s="136"/>
      <c r="DK132" s="161"/>
      <c r="DL132" s="161"/>
      <c r="DM132" s="161"/>
      <c r="DN132" s="161"/>
      <c r="DO132" s="161"/>
      <c r="DP132" s="161"/>
      <c r="DQ132" s="135"/>
      <c r="DR132" s="135"/>
      <c r="DS132" s="135"/>
      <c r="DT132" s="135"/>
      <c r="DU132" s="135"/>
      <c r="DV132" s="135"/>
      <c r="DW132" s="136"/>
      <c r="DX132" s="136"/>
      <c r="DY132" s="161"/>
      <c r="DZ132" s="161"/>
      <c r="EA132" s="161"/>
      <c r="EB132" s="161"/>
      <c r="EC132" s="161"/>
      <c r="ED132" s="161"/>
      <c r="EE132" s="135"/>
      <c r="EF132" s="135"/>
      <c r="EG132" s="135"/>
      <c r="EH132" s="135"/>
      <c r="EI132" s="135"/>
      <c r="EJ132" s="135"/>
      <c r="EK132" s="136"/>
      <c r="EL132" s="136"/>
      <c r="EM132" s="136"/>
      <c r="EN132" s="136"/>
      <c r="EO132" s="136"/>
      <c r="EP132" s="136"/>
      <c r="EQ132" s="136"/>
      <c r="ER132" s="136"/>
      <c r="ES132" s="135"/>
      <c r="ET132" s="135"/>
      <c r="EU132" s="135"/>
      <c r="EV132" s="135"/>
      <c r="EW132" s="135"/>
      <c r="EX132" s="135"/>
      <c r="EY132" s="136"/>
      <c r="EZ132" s="136"/>
      <c r="FA132" s="161"/>
      <c r="FB132" s="161"/>
      <c r="FC132" s="161"/>
      <c r="FD132" s="161"/>
      <c r="FE132" s="161"/>
      <c r="FF132" s="161"/>
      <c r="FG132" s="135"/>
      <c r="FH132" s="135"/>
      <c r="FI132" s="135"/>
      <c r="FJ132" s="135"/>
      <c r="FK132" s="135"/>
      <c r="FL132" s="135"/>
      <c r="FM132" s="136"/>
      <c r="FN132" s="136"/>
      <c r="FO132" s="161"/>
      <c r="FP132" s="161"/>
      <c r="FQ132" s="161"/>
      <c r="FR132" s="161"/>
      <c r="FS132" s="161"/>
      <c r="FT132" s="161"/>
      <c r="FU132" s="135"/>
      <c r="FV132" s="135"/>
      <c r="FW132" s="135"/>
      <c r="FX132" s="135"/>
      <c r="FY132" s="135"/>
      <c r="FZ132" s="135"/>
      <c r="GA132" s="136"/>
      <c r="GB132" s="136"/>
      <c r="GC132" s="161"/>
      <c r="GD132" s="161"/>
      <c r="GE132" s="161"/>
      <c r="GF132" s="161"/>
      <c r="GG132" s="161"/>
      <c r="GH132" s="161"/>
      <c r="GI132" s="135"/>
      <c r="GJ132" s="135"/>
      <c r="GK132" s="135"/>
      <c r="GL132" s="135"/>
      <c r="GM132" s="135"/>
      <c r="GN132" s="135"/>
    </row>
    <row r="133" spans="1:196" hidden="1">
      <c r="A133" s="140"/>
      <c r="B133" s="126" t="s">
        <v>763</v>
      </c>
      <c r="C133" s="126" t="s">
        <v>747</v>
      </c>
      <c r="D133" s="119"/>
      <c r="E133" s="119" t="e">
        <f>VLOOKUP(C133,#REF!,5,0)</f>
        <v>#REF!</v>
      </c>
      <c r="F133" s="107">
        <v>46204</v>
      </c>
      <c r="G133" s="127">
        <v>150</v>
      </c>
      <c r="H133" s="6" t="s">
        <v>754</v>
      </c>
      <c r="I133" s="125">
        <v>46200</v>
      </c>
      <c r="J133" s="13">
        <f t="shared" si="187"/>
        <v>0</v>
      </c>
      <c r="K133" s="163"/>
      <c r="L133" s="135"/>
      <c r="M133" s="136"/>
      <c r="N133" s="136"/>
      <c r="O133" s="136"/>
      <c r="P133" s="136"/>
      <c r="Q133" s="136"/>
      <c r="R133" s="136"/>
      <c r="S133" s="135"/>
      <c r="T133" s="135"/>
      <c r="U133" s="135"/>
      <c r="V133" s="135"/>
      <c r="W133" s="135"/>
      <c r="X133" s="135"/>
      <c r="Y133" s="135">
        <v>150</v>
      </c>
      <c r="Z133" s="135"/>
      <c r="AA133" s="135"/>
      <c r="AB133" s="135"/>
      <c r="AC133" s="136"/>
      <c r="AD133" s="136"/>
      <c r="AE133" s="161"/>
      <c r="AF133" s="161"/>
      <c r="AG133" s="161"/>
      <c r="AH133" s="161"/>
      <c r="AI133" s="161"/>
      <c r="AJ133" s="161"/>
      <c r="AK133" s="135"/>
      <c r="AL133" s="135"/>
      <c r="AM133" s="135"/>
      <c r="AN133" s="135"/>
      <c r="AO133" s="135"/>
      <c r="AP133" s="135"/>
      <c r="AQ133" s="136"/>
      <c r="AR133" s="136"/>
      <c r="AS133" s="161"/>
      <c r="AT133" s="161"/>
      <c r="AU133" s="161"/>
      <c r="AV133" s="161"/>
      <c r="AW133" s="161"/>
      <c r="AX133" s="161"/>
      <c r="AY133" s="135"/>
      <c r="AZ133" s="135"/>
      <c r="BA133" s="135"/>
      <c r="BB133" s="135"/>
      <c r="BC133" s="135"/>
      <c r="BD133" s="135"/>
      <c r="BE133" s="136"/>
      <c r="BF133" s="136"/>
      <c r="BG133" s="161"/>
      <c r="BH133" s="161"/>
      <c r="BI133" s="161"/>
      <c r="BJ133" s="161"/>
      <c r="BK133" s="161"/>
      <c r="BL133" s="161"/>
      <c r="BM133" s="135"/>
      <c r="BN133" s="135"/>
      <c r="BO133" s="135"/>
      <c r="BP133" s="135"/>
      <c r="BQ133" s="135"/>
      <c r="BR133" s="135"/>
      <c r="BS133" s="136"/>
      <c r="BT133" s="136"/>
      <c r="BU133" s="161"/>
      <c r="BV133" s="161"/>
      <c r="BW133" s="161"/>
      <c r="BX133" s="161"/>
      <c r="BY133" s="161"/>
      <c r="BZ133" s="161"/>
      <c r="CA133" s="135"/>
      <c r="CB133" s="135"/>
      <c r="CC133" s="135"/>
      <c r="CD133" s="135"/>
      <c r="CE133" s="135"/>
      <c r="CF133" s="135"/>
      <c r="CG133" s="136"/>
      <c r="CH133" s="136"/>
      <c r="CI133" s="161"/>
      <c r="CJ133" s="161"/>
      <c r="CK133" s="161"/>
      <c r="CL133" s="161"/>
      <c r="CM133" s="161"/>
      <c r="CN133" s="161"/>
      <c r="CO133" s="135"/>
      <c r="CP133" s="135"/>
      <c r="CQ133" s="135"/>
      <c r="CR133" s="135"/>
      <c r="CS133" s="135"/>
      <c r="CT133" s="135"/>
      <c r="CU133" s="136"/>
      <c r="CV133" s="136"/>
      <c r="CW133" s="161"/>
      <c r="CX133" s="161"/>
      <c r="CY133" s="161"/>
      <c r="CZ133" s="161"/>
      <c r="DA133" s="161"/>
      <c r="DB133" s="161"/>
      <c r="DC133" s="135"/>
      <c r="DD133" s="135"/>
      <c r="DE133" s="135"/>
      <c r="DF133" s="135"/>
      <c r="DG133" s="135"/>
      <c r="DH133" s="135"/>
      <c r="DI133" s="136"/>
      <c r="DJ133" s="136"/>
      <c r="DK133" s="161"/>
      <c r="DL133" s="161"/>
      <c r="DM133" s="161"/>
      <c r="DN133" s="161"/>
      <c r="DO133" s="161"/>
      <c r="DP133" s="161"/>
      <c r="DQ133" s="135"/>
      <c r="DR133" s="135"/>
      <c r="DS133" s="135"/>
      <c r="DT133" s="135"/>
      <c r="DU133" s="135"/>
      <c r="DV133" s="135"/>
      <c r="DW133" s="136"/>
      <c r="DX133" s="136"/>
      <c r="DY133" s="161"/>
      <c r="DZ133" s="161"/>
      <c r="EA133" s="161"/>
      <c r="EB133" s="161"/>
      <c r="EC133" s="161"/>
      <c r="ED133" s="161"/>
      <c r="EE133" s="135"/>
      <c r="EF133" s="135"/>
      <c r="EG133" s="135"/>
      <c r="EH133" s="135"/>
      <c r="EI133" s="135"/>
      <c r="EJ133" s="135"/>
      <c r="EK133" s="136"/>
      <c r="EL133" s="136"/>
      <c r="EM133" s="136"/>
      <c r="EN133" s="136"/>
      <c r="EO133" s="136"/>
      <c r="EP133" s="136"/>
      <c r="EQ133" s="136"/>
      <c r="ER133" s="136"/>
      <c r="ES133" s="135"/>
      <c r="ET133" s="135"/>
      <c r="EU133" s="135"/>
      <c r="EV133" s="135"/>
      <c r="EW133" s="135"/>
      <c r="EX133" s="135"/>
      <c r="EY133" s="136"/>
      <c r="EZ133" s="136"/>
      <c r="FA133" s="161"/>
      <c r="FB133" s="161"/>
      <c r="FC133" s="161"/>
      <c r="FD133" s="161"/>
      <c r="FE133" s="161"/>
      <c r="FF133" s="161"/>
      <c r="FG133" s="135"/>
      <c r="FH133" s="135"/>
      <c r="FI133" s="135"/>
      <c r="FJ133" s="135"/>
      <c r="FK133" s="135"/>
      <c r="FL133" s="135"/>
      <c r="FM133" s="136"/>
      <c r="FN133" s="136"/>
      <c r="FO133" s="161"/>
      <c r="FP133" s="161"/>
      <c r="FQ133" s="161"/>
      <c r="FR133" s="161"/>
      <c r="FS133" s="161"/>
      <c r="FT133" s="161"/>
      <c r="FU133" s="135"/>
      <c r="FV133" s="135"/>
      <c r="FW133" s="135"/>
      <c r="FX133" s="135"/>
      <c r="FY133" s="135"/>
      <c r="FZ133" s="135"/>
      <c r="GA133" s="136"/>
      <c r="GB133" s="136"/>
      <c r="GC133" s="161"/>
      <c r="GD133" s="161"/>
      <c r="GE133" s="161"/>
      <c r="GF133" s="161"/>
      <c r="GG133" s="161"/>
      <c r="GH133" s="161"/>
      <c r="GI133" s="135"/>
      <c r="GJ133" s="135"/>
      <c r="GK133" s="135"/>
      <c r="GL133" s="135"/>
      <c r="GM133" s="135"/>
      <c r="GN133" s="135"/>
    </row>
    <row r="134" spans="1:196" hidden="1">
      <c r="A134" s="140"/>
      <c r="B134" s="137" t="s">
        <v>802</v>
      </c>
      <c r="C134" s="12" t="s">
        <v>178</v>
      </c>
      <c r="D134" s="119"/>
      <c r="E134" s="119" t="e">
        <f>VLOOKUP(C134,#REF!,5,0)</f>
        <v>#REF!</v>
      </c>
      <c r="F134" s="182">
        <v>46205</v>
      </c>
      <c r="G134" s="95">
        <v>20</v>
      </c>
      <c r="H134" s="133"/>
      <c r="I134" s="108">
        <v>46193</v>
      </c>
      <c r="J134" s="134">
        <f t="shared" si="187"/>
        <v>0</v>
      </c>
      <c r="K134" s="175" t="s">
        <v>800</v>
      </c>
      <c r="L134" s="161"/>
      <c r="M134" s="136"/>
      <c r="N134" s="136"/>
      <c r="O134" s="136"/>
      <c r="P134" s="136"/>
      <c r="Q134" s="136"/>
      <c r="R134" s="136"/>
      <c r="S134" s="161"/>
      <c r="T134" s="161"/>
      <c r="U134" s="161"/>
      <c r="V134" s="161"/>
      <c r="W134" s="135"/>
      <c r="X134" s="135"/>
      <c r="Y134" s="161">
        <v>20</v>
      </c>
      <c r="Z134" s="135"/>
      <c r="AA134" s="161"/>
      <c r="AB134" s="135"/>
      <c r="AC134" s="136"/>
      <c r="AD134" s="136"/>
      <c r="AE134" s="161"/>
      <c r="AF134" s="161"/>
      <c r="AG134" s="161"/>
      <c r="AH134" s="161"/>
      <c r="AI134" s="161"/>
      <c r="AJ134" s="161"/>
      <c r="AK134" s="135"/>
      <c r="AL134" s="135"/>
      <c r="AM134" s="135"/>
      <c r="AN134" s="135"/>
      <c r="AO134" s="135"/>
      <c r="AP134" s="135"/>
      <c r="AQ134" s="136"/>
      <c r="AR134" s="136"/>
      <c r="AS134" s="161"/>
      <c r="AT134" s="161"/>
      <c r="AU134" s="161"/>
      <c r="AV134" s="161"/>
      <c r="AW134" s="161"/>
      <c r="AX134" s="161"/>
      <c r="AY134" s="135"/>
      <c r="AZ134" s="135"/>
      <c r="BA134" s="135"/>
      <c r="BB134" s="135"/>
      <c r="BC134" s="135"/>
      <c r="BD134" s="135"/>
      <c r="BE134" s="136"/>
      <c r="BF134" s="136"/>
      <c r="BG134" s="161"/>
      <c r="BH134" s="161"/>
      <c r="BI134" s="161"/>
      <c r="BJ134" s="161"/>
      <c r="BK134" s="161"/>
      <c r="BL134" s="161"/>
      <c r="BM134" s="135"/>
      <c r="BN134" s="135"/>
      <c r="BO134" s="135"/>
      <c r="BP134" s="135"/>
      <c r="BQ134" s="135"/>
      <c r="BR134" s="135"/>
      <c r="BS134" s="136"/>
      <c r="BT134" s="136"/>
      <c r="BU134" s="161"/>
      <c r="BV134" s="161"/>
      <c r="BW134" s="161"/>
      <c r="BX134" s="161"/>
      <c r="BY134" s="161"/>
      <c r="BZ134" s="161"/>
      <c r="CA134" s="135"/>
      <c r="CB134" s="135"/>
      <c r="CC134" s="135"/>
      <c r="CD134" s="135"/>
      <c r="CE134" s="135"/>
      <c r="CF134" s="135"/>
      <c r="CG134" s="136"/>
      <c r="CH134" s="136"/>
      <c r="CI134" s="161"/>
      <c r="CJ134" s="161"/>
      <c r="CK134" s="161"/>
      <c r="CL134" s="161"/>
      <c r="CM134" s="161"/>
      <c r="CN134" s="161"/>
      <c r="CO134" s="135"/>
      <c r="CP134" s="135"/>
      <c r="CQ134" s="135"/>
      <c r="CR134" s="135"/>
      <c r="CS134" s="135"/>
      <c r="CT134" s="135"/>
      <c r="CU134" s="136"/>
      <c r="CV134" s="136"/>
      <c r="CW134" s="161"/>
      <c r="CX134" s="161"/>
      <c r="CY134" s="161"/>
      <c r="CZ134" s="161"/>
      <c r="DA134" s="161"/>
      <c r="DB134" s="161"/>
      <c r="DC134" s="135"/>
      <c r="DD134" s="135"/>
      <c r="DE134" s="135"/>
      <c r="DF134" s="135"/>
      <c r="DG134" s="135"/>
      <c r="DH134" s="135"/>
      <c r="DI134" s="136"/>
      <c r="DJ134" s="136"/>
      <c r="DK134" s="161"/>
      <c r="DL134" s="161"/>
      <c r="DM134" s="161"/>
      <c r="DN134" s="161"/>
      <c r="DO134" s="161"/>
      <c r="DP134" s="161"/>
      <c r="DQ134" s="135"/>
      <c r="DR134" s="135"/>
      <c r="DS134" s="135"/>
      <c r="DT134" s="135"/>
      <c r="DU134" s="135"/>
      <c r="DV134" s="135"/>
      <c r="DW134" s="136"/>
      <c r="DX134" s="136"/>
      <c r="DY134" s="161"/>
      <c r="DZ134" s="161"/>
      <c r="EA134" s="161"/>
      <c r="EB134" s="161"/>
      <c r="EC134" s="161"/>
      <c r="ED134" s="161"/>
      <c r="EE134" s="135"/>
      <c r="EF134" s="135"/>
      <c r="EG134" s="135"/>
      <c r="EH134" s="135"/>
      <c r="EI134" s="135"/>
      <c r="EJ134" s="135"/>
      <c r="EK134" s="136"/>
      <c r="EL134" s="136"/>
      <c r="EM134" s="136"/>
      <c r="EN134" s="136"/>
      <c r="EO134" s="136"/>
      <c r="EP134" s="136"/>
      <c r="EQ134" s="136"/>
      <c r="ER134" s="136"/>
      <c r="ES134" s="135"/>
      <c r="ET134" s="135"/>
      <c r="EU134" s="135"/>
      <c r="EV134" s="135"/>
      <c r="EW134" s="135"/>
      <c r="EX134" s="135"/>
      <c r="EY134" s="136"/>
      <c r="EZ134" s="136"/>
      <c r="FA134" s="161"/>
      <c r="FB134" s="161"/>
      <c r="FC134" s="161"/>
      <c r="FD134" s="161"/>
      <c r="FE134" s="161"/>
      <c r="FF134" s="161"/>
      <c r="FG134" s="135"/>
      <c r="FH134" s="135"/>
      <c r="FI134" s="135"/>
      <c r="FJ134" s="135"/>
      <c r="FK134" s="135"/>
      <c r="FL134" s="135"/>
      <c r="FM134" s="136"/>
      <c r="FN134" s="136"/>
      <c r="FO134" s="161"/>
      <c r="FP134" s="161"/>
      <c r="FQ134" s="161"/>
      <c r="FR134" s="161"/>
      <c r="FS134" s="161"/>
      <c r="FT134" s="161"/>
      <c r="FU134" s="135"/>
      <c r="FV134" s="135"/>
      <c r="FW134" s="135"/>
      <c r="FX134" s="135"/>
      <c r="FY134" s="135"/>
      <c r="FZ134" s="135"/>
      <c r="GA134" s="136"/>
      <c r="GB134" s="136"/>
      <c r="GC134" s="161"/>
      <c r="GD134" s="161"/>
      <c r="GE134" s="161"/>
      <c r="GF134" s="161"/>
      <c r="GG134" s="161"/>
      <c r="GH134" s="161"/>
      <c r="GI134" s="135"/>
      <c r="GJ134" s="135"/>
      <c r="GK134" s="135"/>
      <c r="GL134" s="135"/>
      <c r="GM134" s="135"/>
      <c r="GN134" s="135"/>
    </row>
    <row r="135" spans="1:196" hidden="1">
      <c r="A135" s="140"/>
      <c r="B135" s="137" t="s">
        <v>801</v>
      </c>
      <c r="C135" s="12" t="s">
        <v>133</v>
      </c>
      <c r="D135" s="119"/>
      <c r="E135" s="119" t="e">
        <f>VLOOKUP(C135,#REF!,5,0)</f>
        <v>#REF!</v>
      </c>
      <c r="F135" s="182">
        <v>46205</v>
      </c>
      <c r="G135" s="95">
        <v>20</v>
      </c>
      <c r="H135" s="133"/>
      <c r="I135" s="108">
        <v>46200</v>
      </c>
      <c r="J135" s="134">
        <f t="shared" si="187"/>
        <v>0</v>
      </c>
      <c r="K135" s="175" t="s">
        <v>800</v>
      </c>
      <c r="L135" s="161"/>
      <c r="M135" s="136"/>
      <c r="N135" s="136"/>
      <c r="O135" s="136"/>
      <c r="P135" s="136"/>
      <c r="Q135" s="136"/>
      <c r="R135" s="136"/>
      <c r="S135" s="161"/>
      <c r="T135" s="161"/>
      <c r="U135" s="161"/>
      <c r="V135" s="161"/>
      <c r="W135" s="135"/>
      <c r="X135" s="135"/>
      <c r="Y135" s="161">
        <v>20</v>
      </c>
      <c r="Z135" s="135"/>
      <c r="AA135" s="161"/>
      <c r="AB135" s="135"/>
      <c r="AC135" s="136"/>
      <c r="AD135" s="136"/>
      <c r="AE135" s="161"/>
      <c r="AF135" s="161"/>
      <c r="AG135" s="161"/>
      <c r="AH135" s="161"/>
      <c r="AI135" s="161"/>
      <c r="AJ135" s="161"/>
      <c r="AK135" s="135"/>
      <c r="AL135" s="135"/>
      <c r="AM135" s="135"/>
      <c r="AN135" s="135"/>
      <c r="AO135" s="135"/>
      <c r="AP135" s="135"/>
      <c r="AQ135" s="136"/>
      <c r="AR135" s="136"/>
      <c r="AS135" s="161"/>
      <c r="AT135" s="161"/>
      <c r="AU135" s="161"/>
      <c r="AV135" s="161"/>
      <c r="AW135" s="161"/>
      <c r="AX135" s="161"/>
      <c r="AY135" s="135"/>
      <c r="AZ135" s="135"/>
      <c r="BA135" s="135"/>
      <c r="BB135" s="135"/>
      <c r="BC135" s="135"/>
      <c r="BD135" s="135"/>
      <c r="BE135" s="136"/>
      <c r="BF135" s="136"/>
      <c r="BG135" s="161"/>
      <c r="BH135" s="161"/>
      <c r="BI135" s="161"/>
      <c r="BJ135" s="161"/>
      <c r="BK135" s="161"/>
      <c r="BL135" s="161"/>
      <c r="BM135" s="135"/>
      <c r="BN135" s="135"/>
      <c r="BO135" s="135"/>
      <c r="BP135" s="135"/>
      <c r="BQ135" s="135"/>
      <c r="BR135" s="135"/>
      <c r="BS135" s="136"/>
      <c r="BT135" s="136"/>
      <c r="BU135" s="161"/>
      <c r="BV135" s="161"/>
      <c r="BW135" s="161"/>
      <c r="BX135" s="161"/>
      <c r="BY135" s="161"/>
      <c r="BZ135" s="161"/>
      <c r="CA135" s="135"/>
      <c r="CB135" s="135"/>
      <c r="CC135" s="135"/>
      <c r="CD135" s="135"/>
      <c r="CE135" s="135"/>
      <c r="CF135" s="135"/>
      <c r="CG135" s="136"/>
      <c r="CH135" s="136"/>
      <c r="CI135" s="161"/>
      <c r="CJ135" s="161"/>
      <c r="CK135" s="161"/>
      <c r="CL135" s="161"/>
      <c r="CM135" s="161"/>
      <c r="CN135" s="161"/>
      <c r="CO135" s="135"/>
      <c r="CP135" s="135"/>
      <c r="CQ135" s="135"/>
      <c r="CR135" s="135"/>
      <c r="CS135" s="135"/>
      <c r="CT135" s="135"/>
      <c r="CU135" s="136"/>
      <c r="CV135" s="136"/>
      <c r="CW135" s="161"/>
      <c r="CX135" s="161"/>
      <c r="CY135" s="161"/>
      <c r="CZ135" s="161"/>
      <c r="DA135" s="161"/>
      <c r="DB135" s="161"/>
      <c r="DC135" s="135"/>
      <c r="DD135" s="135"/>
      <c r="DE135" s="135"/>
      <c r="DF135" s="135"/>
      <c r="DG135" s="135"/>
      <c r="DH135" s="135"/>
      <c r="DI135" s="136"/>
      <c r="DJ135" s="136"/>
      <c r="DK135" s="161"/>
      <c r="DL135" s="161"/>
      <c r="DM135" s="161"/>
      <c r="DN135" s="161"/>
      <c r="DO135" s="161"/>
      <c r="DP135" s="161"/>
      <c r="DQ135" s="135"/>
      <c r="DR135" s="135"/>
      <c r="DS135" s="135"/>
      <c r="DT135" s="135"/>
      <c r="DU135" s="135"/>
      <c r="DV135" s="135"/>
      <c r="DW135" s="136"/>
      <c r="DX135" s="136"/>
      <c r="DY135" s="161"/>
      <c r="DZ135" s="161"/>
      <c r="EA135" s="161"/>
      <c r="EB135" s="161"/>
      <c r="EC135" s="161"/>
      <c r="ED135" s="161"/>
      <c r="EE135" s="135"/>
      <c r="EF135" s="135"/>
      <c r="EG135" s="135"/>
      <c r="EH135" s="135"/>
      <c r="EI135" s="135"/>
      <c r="EJ135" s="135"/>
      <c r="EK135" s="136"/>
      <c r="EL135" s="136"/>
      <c r="EM135" s="136"/>
      <c r="EN135" s="136"/>
      <c r="EO135" s="136"/>
      <c r="EP135" s="136"/>
      <c r="EQ135" s="136"/>
      <c r="ER135" s="136"/>
      <c r="ES135" s="135"/>
      <c r="ET135" s="135"/>
      <c r="EU135" s="135"/>
      <c r="EV135" s="135"/>
      <c r="EW135" s="135"/>
      <c r="EX135" s="135"/>
      <c r="EY135" s="136"/>
      <c r="EZ135" s="136"/>
      <c r="FA135" s="161"/>
      <c r="FB135" s="161"/>
      <c r="FC135" s="161"/>
      <c r="FD135" s="161"/>
      <c r="FE135" s="161"/>
      <c r="FF135" s="161"/>
      <c r="FG135" s="135"/>
      <c r="FH135" s="135"/>
      <c r="FI135" s="135"/>
      <c r="FJ135" s="135"/>
      <c r="FK135" s="135"/>
      <c r="FL135" s="135"/>
      <c r="FM135" s="136"/>
      <c r="FN135" s="136"/>
      <c r="FO135" s="161"/>
      <c r="FP135" s="161"/>
      <c r="FQ135" s="161"/>
      <c r="FR135" s="161"/>
      <c r="FS135" s="161"/>
      <c r="FT135" s="161"/>
      <c r="FU135" s="135"/>
      <c r="FV135" s="135"/>
      <c r="FW135" s="135"/>
      <c r="FX135" s="135"/>
      <c r="FY135" s="135"/>
      <c r="FZ135" s="135"/>
      <c r="GA135" s="136"/>
      <c r="GB135" s="136"/>
      <c r="GC135" s="161"/>
      <c r="GD135" s="161"/>
      <c r="GE135" s="161"/>
      <c r="GF135" s="161"/>
      <c r="GG135" s="161"/>
      <c r="GH135" s="161"/>
      <c r="GI135" s="135"/>
      <c r="GJ135" s="135"/>
      <c r="GK135" s="135"/>
      <c r="GL135" s="135"/>
      <c r="GM135" s="135"/>
      <c r="GN135" s="135"/>
    </row>
    <row r="136" spans="1:196" hidden="1">
      <c r="A136" s="140"/>
      <c r="B136" s="126" t="s">
        <v>705</v>
      </c>
      <c r="C136" s="126" t="s">
        <v>133</v>
      </c>
      <c r="D136" s="119"/>
      <c r="E136" s="119" t="e">
        <f>VLOOKUP(C136,#REF!,5,0)</f>
        <v>#REF!</v>
      </c>
      <c r="F136" s="107">
        <v>46205</v>
      </c>
      <c r="G136" s="127">
        <v>1730</v>
      </c>
      <c r="H136" s="6"/>
      <c r="I136" s="125">
        <v>46200</v>
      </c>
      <c r="J136" s="13">
        <f t="shared" si="187"/>
        <v>0</v>
      </c>
      <c r="K136" s="124" t="s">
        <v>854</v>
      </c>
      <c r="L136" s="161"/>
      <c r="M136" s="136"/>
      <c r="N136" s="136"/>
      <c r="O136" s="136"/>
      <c r="P136" s="136"/>
      <c r="Q136" s="136"/>
      <c r="R136" s="136"/>
      <c r="S136" s="161"/>
      <c r="T136" s="161"/>
      <c r="U136" s="161"/>
      <c r="V136" s="161"/>
      <c r="W136" s="135"/>
      <c r="X136" s="135"/>
      <c r="Y136" s="161">
        <v>413</v>
      </c>
      <c r="Z136" s="135"/>
      <c r="AA136" s="161">
        <v>1317</v>
      </c>
      <c r="AB136" s="135"/>
      <c r="AC136" s="136"/>
      <c r="AD136" s="136"/>
      <c r="AE136" s="161"/>
      <c r="AF136" s="161"/>
      <c r="AG136" s="161"/>
      <c r="AH136" s="161"/>
      <c r="AI136" s="161"/>
      <c r="AJ136" s="161"/>
      <c r="AK136" s="135"/>
      <c r="AL136" s="135"/>
      <c r="AM136" s="135"/>
      <c r="AN136" s="135"/>
      <c r="AO136" s="135"/>
      <c r="AP136" s="135"/>
      <c r="AQ136" s="136"/>
      <c r="AR136" s="136"/>
      <c r="AS136" s="161"/>
      <c r="AT136" s="161"/>
      <c r="AU136" s="161"/>
      <c r="AV136" s="161"/>
      <c r="AW136" s="161"/>
      <c r="AX136" s="161"/>
      <c r="AY136" s="135"/>
      <c r="AZ136" s="135"/>
      <c r="BA136" s="135"/>
      <c r="BB136" s="135"/>
      <c r="BC136" s="135"/>
      <c r="BD136" s="135"/>
      <c r="BE136" s="136"/>
      <c r="BF136" s="136"/>
      <c r="BG136" s="161"/>
      <c r="BH136" s="161"/>
      <c r="BI136" s="161"/>
      <c r="BJ136" s="161"/>
      <c r="BK136" s="161"/>
      <c r="BL136" s="161"/>
      <c r="BM136" s="135"/>
      <c r="BN136" s="135"/>
      <c r="BO136" s="135"/>
      <c r="BP136" s="135"/>
      <c r="BQ136" s="135"/>
      <c r="BR136" s="135"/>
      <c r="BS136" s="136"/>
      <c r="BT136" s="136"/>
      <c r="BU136" s="161"/>
      <c r="BV136" s="161"/>
      <c r="BW136" s="161"/>
      <c r="BX136" s="161"/>
      <c r="BY136" s="161"/>
      <c r="BZ136" s="161"/>
      <c r="CA136" s="135"/>
      <c r="CB136" s="135"/>
      <c r="CC136" s="135"/>
      <c r="CD136" s="135"/>
      <c r="CE136" s="135"/>
      <c r="CF136" s="135"/>
      <c r="CG136" s="136"/>
      <c r="CH136" s="136"/>
      <c r="CI136" s="161"/>
      <c r="CJ136" s="161"/>
      <c r="CK136" s="161"/>
      <c r="CL136" s="161"/>
      <c r="CM136" s="161"/>
      <c r="CN136" s="161"/>
      <c r="CO136" s="135"/>
      <c r="CP136" s="135"/>
      <c r="CQ136" s="135"/>
      <c r="CR136" s="135"/>
      <c r="CS136" s="135"/>
      <c r="CT136" s="135"/>
      <c r="CU136" s="136"/>
      <c r="CV136" s="136"/>
      <c r="CW136" s="161"/>
      <c r="CX136" s="161"/>
      <c r="CY136" s="161"/>
      <c r="CZ136" s="161"/>
      <c r="DA136" s="161"/>
      <c r="DB136" s="161"/>
      <c r="DC136" s="135"/>
      <c r="DD136" s="135"/>
      <c r="DE136" s="135"/>
      <c r="DF136" s="135"/>
      <c r="DG136" s="135"/>
      <c r="DH136" s="135"/>
      <c r="DI136" s="136"/>
      <c r="DJ136" s="136"/>
      <c r="DK136" s="161"/>
      <c r="DL136" s="161"/>
      <c r="DM136" s="161"/>
      <c r="DN136" s="161"/>
      <c r="DO136" s="161"/>
      <c r="DP136" s="161"/>
      <c r="DQ136" s="135"/>
      <c r="DR136" s="135"/>
      <c r="DS136" s="135"/>
      <c r="DT136" s="135"/>
      <c r="DU136" s="135"/>
      <c r="DV136" s="135"/>
      <c r="DW136" s="136"/>
      <c r="DX136" s="136"/>
      <c r="DY136" s="161"/>
      <c r="DZ136" s="161"/>
      <c r="EA136" s="161"/>
      <c r="EB136" s="161"/>
      <c r="EC136" s="161"/>
      <c r="ED136" s="161"/>
      <c r="EE136" s="135"/>
      <c r="EF136" s="135"/>
      <c r="EG136" s="135"/>
      <c r="EH136" s="135"/>
      <c r="EI136" s="135"/>
      <c r="EJ136" s="135"/>
      <c r="EK136" s="136"/>
      <c r="EL136" s="136"/>
      <c r="EM136" s="136"/>
      <c r="EN136" s="136"/>
      <c r="EO136" s="136"/>
      <c r="EP136" s="136"/>
      <c r="EQ136" s="136"/>
      <c r="ER136" s="136"/>
      <c r="ES136" s="135"/>
      <c r="ET136" s="135"/>
      <c r="EU136" s="135"/>
      <c r="EV136" s="135"/>
      <c r="EW136" s="135"/>
      <c r="EX136" s="135"/>
      <c r="EY136" s="136"/>
      <c r="EZ136" s="136"/>
      <c r="FA136" s="161"/>
      <c r="FB136" s="161"/>
      <c r="FC136" s="161"/>
      <c r="FD136" s="161"/>
      <c r="FE136" s="161"/>
      <c r="FF136" s="161"/>
      <c r="FG136" s="135"/>
      <c r="FH136" s="135"/>
      <c r="FI136" s="135"/>
      <c r="FJ136" s="135"/>
      <c r="FK136" s="135"/>
      <c r="FL136" s="135"/>
      <c r="FM136" s="136"/>
      <c r="FN136" s="136"/>
      <c r="FO136" s="161"/>
      <c r="FP136" s="161"/>
      <c r="FQ136" s="161"/>
      <c r="FR136" s="161"/>
      <c r="FS136" s="161"/>
      <c r="FT136" s="161"/>
      <c r="FU136" s="135"/>
      <c r="FV136" s="135"/>
      <c r="FW136" s="135"/>
      <c r="FX136" s="135"/>
      <c r="FY136" s="135"/>
      <c r="FZ136" s="135"/>
      <c r="GA136" s="136"/>
      <c r="GB136" s="136"/>
      <c r="GC136" s="161"/>
      <c r="GD136" s="161"/>
      <c r="GE136" s="161"/>
      <c r="GF136" s="161"/>
      <c r="GG136" s="161"/>
      <c r="GH136" s="161"/>
      <c r="GI136" s="135"/>
      <c r="GJ136" s="135"/>
      <c r="GK136" s="135"/>
      <c r="GL136" s="135"/>
      <c r="GM136" s="135"/>
      <c r="GN136" s="135"/>
    </row>
    <row r="137" spans="1:196" hidden="1">
      <c r="A137" s="140"/>
      <c r="B137" s="126" t="s">
        <v>787</v>
      </c>
      <c r="C137" s="126" t="s">
        <v>671</v>
      </c>
      <c r="D137" s="119"/>
      <c r="E137" s="119" t="e">
        <f>VLOOKUP(C137,#REF!,5,0)</f>
        <v>#REF!</v>
      </c>
      <c r="F137" s="107">
        <v>46206</v>
      </c>
      <c r="G137" s="127">
        <v>740</v>
      </c>
      <c r="H137" s="6"/>
      <c r="I137" s="125">
        <v>46207</v>
      </c>
      <c r="J137" s="13">
        <f t="shared" si="187"/>
        <v>0</v>
      </c>
      <c r="K137" s="163"/>
      <c r="L137" s="135"/>
      <c r="M137" s="136"/>
      <c r="N137" s="136"/>
      <c r="O137" s="136"/>
      <c r="P137" s="136"/>
      <c r="Q137" s="136"/>
      <c r="R137" s="136"/>
      <c r="S137" s="135"/>
      <c r="T137" s="135"/>
      <c r="U137" s="135"/>
      <c r="V137" s="135"/>
      <c r="W137" s="135"/>
      <c r="X137" s="135"/>
      <c r="Y137" s="135"/>
      <c r="Z137" s="135"/>
      <c r="AA137" s="161">
        <v>230</v>
      </c>
      <c r="AB137" s="135"/>
      <c r="AC137" s="136"/>
      <c r="AD137" s="136"/>
      <c r="AE137" s="161">
        <v>400</v>
      </c>
      <c r="AF137" s="161"/>
      <c r="AG137" s="161">
        <v>110</v>
      </c>
      <c r="AH137" s="161"/>
      <c r="AI137" s="161"/>
      <c r="AJ137" s="161"/>
      <c r="AK137" s="135"/>
      <c r="AL137" s="135"/>
      <c r="AM137" s="135"/>
      <c r="AN137" s="135"/>
      <c r="AO137" s="135"/>
      <c r="AP137" s="135"/>
      <c r="AQ137" s="136"/>
      <c r="AR137" s="136"/>
      <c r="AS137" s="161"/>
      <c r="AT137" s="161"/>
      <c r="AU137" s="161"/>
      <c r="AV137" s="161"/>
      <c r="AW137" s="161"/>
      <c r="AX137" s="161"/>
      <c r="AY137" s="135"/>
      <c r="AZ137" s="135"/>
      <c r="BA137" s="135"/>
      <c r="BB137" s="135"/>
      <c r="BC137" s="135"/>
      <c r="BD137" s="135"/>
      <c r="BE137" s="136"/>
      <c r="BF137" s="136"/>
      <c r="BG137" s="161"/>
      <c r="BH137" s="161"/>
      <c r="BI137" s="161"/>
      <c r="BJ137" s="161"/>
      <c r="BK137" s="161"/>
      <c r="BL137" s="161"/>
      <c r="BM137" s="135"/>
      <c r="BN137" s="135"/>
      <c r="BO137" s="135"/>
      <c r="BP137" s="135"/>
      <c r="BQ137" s="135"/>
      <c r="BR137" s="135"/>
      <c r="BS137" s="136"/>
      <c r="BT137" s="136"/>
      <c r="BU137" s="161"/>
      <c r="BV137" s="161"/>
      <c r="BW137" s="161"/>
      <c r="BX137" s="161"/>
      <c r="BY137" s="161"/>
      <c r="BZ137" s="161"/>
      <c r="CA137" s="135"/>
      <c r="CB137" s="135"/>
      <c r="CC137" s="135"/>
      <c r="CD137" s="135"/>
      <c r="CE137" s="135"/>
      <c r="CF137" s="135"/>
      <c r="CG137" s="136"/>
      <c r="CH137" s="136"/>
      <c r="CI137" s="161"/>
      <c r="CJ137" s="161"/>
      <c r="CK137" s="161"/>
      <c r="CL137" s="161"/>
      <c r="CM137" s="161"/>
      <c r="CN137" s="161"/>
      <c r="CO137" s="135"/>
      <c r="CP137" s="135"/>
      <c r="CQ137" s="135"/>
      <c r="CR137" s="135"/>
      <c r="CS137" s="135"/>
      <c r="CT137" s="135"/>
      <c r="CU137" s="136"/>
      <c r="CV137" s="136"/>
      <c r="CW137" s="161"/>
      <c r="CX137" s="161"/>
      <c r="CY137" s="161"/>
      <c r="CZ137" s="161"/>
      <c r="DA137" s="161"/>
      <c r="DB137" s="161"/>
      <c r="DC137" s="135"/>
      <c r="DD137" s="135"/>
      <c r="DE137" s="135"/>
      <c r="DF137" s="135"/>
      <c r="DG137" s="135"/>
      <c r="DH137" s="135"/>
      <c r="DI137" s="136"/>
      <c r="DJ137" s="136"/>
      <c r="DK137" s="161"/>
      <c r="DL137" s="161"/>
      <c r="DM137" s="161"/>
      <c r="DN137" s="161"/>
      <c r="DO137" s="161"/>
      <c r="DP137" s="161"/>
      <c r="DQ137" s="135"/>
      <c r="DR137" s="135"/>
      <c r="DS137" s="135"/>
      <c r="DT137" s="135"/>
      <c r="DU137" s="135"/>
      <c r="DV137" s="135"/>
      <c r="DW137" s="136"/>
      <c r="DX137" s="136"/>
      <c r="DY137" s="161"/>
      <c r="DZ137" s="161"/>
      <c r="EA137" s="161"/>
      <c r="EB137" s="161"/>
      <c r="EC137" s="161"/>
      <c r="ED137" s="161"/>
      <c r="EE137" s="135"/>
      <c r="EF137" s="135"/>
      <c r="EG137" s="135"/>
      <c r="EH137" s="135"/>
      <c r="EI137" s="135"/>
      <c r="EJ137" s="135"/>
      <c r="EK137" s="136"/>
      <c r="EL137" s="136"/>
      <c r="EM137" s="136"/>
      <c r="EN137" s="136"/>
      <c r="EO137" s="136"/>
      <c r="EP137" s="136"/>
      <c r="EQ137" s="136"/>
      <c r="ER137" s="136"/>
      <c r="ES137" s="135"/>
      <c r="ET137" s="135"/>
      <c r="EU137" s="135"/>
      <c r="EV137" s="135"/>
      <c r="EW137" s="135"/>
      <c r="EX137" s="135"/>
      <c r="EY137" s="136"/>
      <c r="EZ137" s="136"/>
      <c r="FA137" s="161"/>
      <c r="FB137" s="161"/>
      <c r="FC137" s="161"/>
      <c r="FD137" s="161"/>
      <c r="FE137" s="161"/>
      <c r="FF137" s="161"/>
      <c r="FG137" s="135"/>
      <c r="FH137" s="135"/>
      <c r="FI137" s="135"/>
      <c r="FJ137" s="135"/>
      <c r="FK137" s="135"/>
      <c r="FL137" s="135"/>
      <c r="FM137" s="136"/>
      <c r="FN137" s="136"/>
      <c r="FO137" s="161"/>
      <c r="FP137" s="161"/>
      <c r="FQ137" s="161"/>
      <c r="FR137" s="161"/>
      <c r="FS137" s="161"/>
      <c r="FT137" s="161"/>
      <c r="FU137" s="135"/>
      <c r="FV137" s="135"/>
      <c r="FW137" s="135"/>
      <c r="FX137" s="135"/>
      <c r="FY137" s="135"/>
      <c r="FZ137" s="135"/>
      <c r="GA137" s="136"/>
      <c r="GB137" s="136"/>
      <c r="GC137" s="161"/>
      <c r="GD137" s="161"/>
      <c r="GE137" s="161"/>
      <c r="GF137" s="161"/>
      <c r="GG137" s="161"/>
      <c r="GH137" s="161"/>
      <c r="GI137" s="135"/>
      <c r="GJ137" s="135"/>
      <c r="GK137" s="135"/>
      <c r="GL137" s="135"/>
      <c r="GM137" s="135"/>
      <c r="GN137" s="135"/>
    </row>
    <row r="138" spans="1:196" hidden="1">
      <c r="A138" s="140"/>
      <c r="B138" s="126" t="s">
        <v>785</v>
      </c>
      <c r="C138" s="126" t="s">
        <v>711</v>
      </c>
      <c r="D138" s="119"/>
      <c r="E138" s="119" t="e">
        <f>VLOOKUP(C138,#REF!,5,0)</f>
        <v>#REF!</v>
      </c>
      <c r="F138" s="107">
        <v>46207</v>
      </c>
      <c r="G138" s="127">
        <v>672</v>
      </c>
      <c r="H138" s="6"/>
      <c r="I138" s="125">
        <v>46214</v>
      </c>
      <c r="J138" s="13">
        <f t="shared" si="187"/>
        <v>0</v>
      </c>
      <c r="K138" s="163"/>
      <c r="L138" s="135"/>
      <c r="M138" s="136"/>
      <c r="N138" s="136"/>
      <c r="O138" s="136"/>
      <c r="P138" s="136"/>
      <c r="Q138" s="136"/>
      <c r="R138" s="136"/>
      <c r="S138" s="135"/>
      <c r="T138" s="161"/>
      <c r="U138" s="161"/>
      <c r="V138" s="161"/>
      <c r="W138" s="135"/>
      <c r="X138" s="135"/>
      <c r="Y138" s="135"/>
      <c r="Z138" s="135"/>
      <c r="AA138" s="135"/>
      <c r="AB138" s="135"/>
      <c r="AC138" s="136"/>
      <c r="AD138" s="136"/>
      <c r="AE138" s="161">
        <v>672</v>
      </c>
      <c r="AF138" s="161"/>
      <c r="AG138" s="161"/>
      <c r="AH138" s="161"/>
      <c r="AI138" s="161"/>
      <c r="AJ138" s="161"/>
      <c r="AK138" s="161"/>
      <c r="AL138" s="135"/>
      <c r="AM138" s="161"/>
      <c r="AN138" s="135"/>
      <c r="AO138" s="135"/>
      <c r="AP138" s="135"/>
      <c r="AQ138" s="136"/>
      <c r="AR138" s="136"/>
      <c r="AS138" s="161"/>
      <c r="AT138" s="161"/>
      <c r="AU138" s="161"/>
      <c r="AV138" s="161"/>
      <c r="AW138" s="161"/>
      <c r="AX138" s="161"/>
      <c r="AY138" s="135"/>
      <c r="AZ138" s="135"/>
      <c r="BA138" s="135"/>
      <c r="BB138" s="135"/>
      <c r="BC138" s="135"/>
      <c r="BD138" s="135"/>
      <c r="BE138" s="136"/>
      <c r="BF138" s="136"/>
      <c r="BG138" s="161"/>
      <c r="BH138" s="161"/>
      <c r="BI138" s="161"/>
      <c r="BJ138" s="161"/>
      <c r="BK138" s="161"/>
      <c r="BL138" s="161"/>
      <c r="BM138" s="135"/>
      <c r="BN138" s="135"/>
      <c r="BO138" s="135"/>
      <c r="BP138" s="135"/>
      <c r="BQ138" s="135"/>
      <c r="BR138" s="135"/>
      <c r="BS138" s="136"/>
      <c r="BT138" s="136"/>
      <c r="BU138" s="161"/>
      <c r="BV138" s="161"/>
      <c r="BW138" s="161"/>
      <c r="BX138" s="161"/>
      <c r="BY138" s="161"/>
      <c r="BZ138" s="161"/>
      <c r="CA138" s="135"/>
      <c r="CB138" s="135"/>
      <c r="CC138" s="135"/>
      <c r="CD138" s="135"/>
      <c r="CE138" s="135"/>
      <c r="CF138" s="135"/>
      <c r="CG138" s="136"/>
      <c r="CH138" s="136"/>
      <c r="CI138" s="161"/>
      <c r="CJ138" s="161"/>
      <c r="CK138" s="161"/>
      <c r="CL138" s="161"/>
      <c r="CM138" s="161"/>
      <c r="CN138" s="161"/>
      <c r="CO138" s="135"/>
      <c r="CP138" s="135"/>
      <c r="CQ138" s="135"/>
      <c r="CR138" s="135"/>
      <c r="CS138" s="135"/>
      <c r="CT138" s="135"/>
      <c r="CU138" s="136"/>
      <c r="CV138" s="136"/>
      <c r="CW138" s="161"/>
      <c r="CX138" s="161"/>
      <c r="CY138" s="161"/>
      <c r="CZ138" s="161"/>
      <c r="DA138" s="161"/>
      <c r="DB138" s="161"/>
      <c r="DC138" s="135"/>
      <c r="DD138" s="135"/>
      <c r="DE138" s="135"/>
      <c r="DF138" s="135"/>
      <c r="DG138" s="135"/>
      <c r="DH138" s="135"/>
      <c r="DI138" s="136"/>
      <c r="DJ138" s="136"/>
      <c r="DK138" s="161"/>
      <c r="DL138" s="161"/>
      <c r="DM138" s="161"/>
      <c r="DN138" s="161"/>
      <c r="DO138" s="161"/>
      <c r="DP138" s="161"/>
      <c r="DQ138" s="135"/>
      <c r="DR138" s="135"/>
      <c r="DS138" s="135"/>
      <c r="DT138" s="135"/>
      <c r="DU138" s="135"/>
      <c r="DV138" s="135"/>
      <c r="DW138" s="136"/>
      <c r="DX138" s="136"/>
      <c r="DY138" s="161"/>
      <c r="DZ138" s="161"/>
      <c r="EA138" s="161"/>
      <c r="EB138" s="161"/>
      <c r="EC138" s="161"/>
      <c r="ED138" s="161"/>
      <c r="EE138" s="135"/>
      <c r="EF138" s="135"/>
      <c r="EG138" s="135"/>
      <c r="EH138" s="135"/>
      <c r="EI138" s="135"/>
      <c r="EJ138" s="135"/>
      <c r="EK138" s="136"/>
      <c r="EL138" s="136"/>
      <c r="EM138" s="136"/>
      <c r="EN138" s="136"/>
      <c r="EO138" s="136"/>
      <c r="EP138" s="136"/>
      <c r="EQ138" s="136"/>
      <c r="ER138" s="136"/>
      <c r="ES138" s="135"/>
      <c r="ET138" s="135"/>
      <c r="EU138" s="135"/>
      <c r="EV138" s="135"/>
      <c r="EW138" s="135"/>
      <c r="EX138" s="135"/>
      <c r="EY138" s="136"/>
      <c r="EZ138" s="136"/>
      <c r="FA138" s="161"/>
      <c r="FB138" s="161"/>
      <c r="FC138" s="161"/>
      <c r="FD138" s="161"/>
      <c r="FE138" s="161"/>
      <c r="FF138" s="161"/>
      <c r="FG138" s="135"/>
      <c r="FH138" s="135"/>
      <c r="FI138" s="135"/>
      <c r="FJ138" s="135"/>
      <c r="FK138" s="135"/>
      <c r="FL138" s="135"/>
      <c r="FM138" s="136"/>
      <c r="FN138" s="136"/>
      <c r="FO138" s="161"/>
      <c r="FP138" s="161"/>
      <c r="FQ138" s="161"/>
      <c r="FR138" s="161"/>
      <c r="FS138" s="161"/>
      <c r="FT138" s="161"/>
      <c r="FU138" s="135"/>
      <c r="FV138" s="135"/>
      <c r="FW138" s="135"/>
      <c r="FX138" s="135"/>
      <c r="FY138" s="135"/>
      <c r="FZ138" s="135"/>
      <c r="GA138" s="136"/>
      <c r="GB138" s="136"/>
      <c r="GC138" s="161"/>
      <c r="GD138" s="161"/>
      <c r="GE138" s="161"/>
      <c r="GF138" s="161"/>
      <c r="GG138" s="161"/>
      <c r="GH138" s="161"/>
      <c r="GI138" s="135"/>
      <c r="GJ138" s="135"/>
      <c r="GK138" s="135"/>
      <c r="GL138" s="135"/>
      <c r="GM138" s="135"/>
      <c r="GN138" s="135"/>
    </row>
    <row r="139" spans="1:196" ht="16" hidden="1" customHeight="1">
      <c r="A139" s="140"/>
      <c r="B139" s="126" t="s">
        <v>810</v>
      </c>
      <c r="C139" s="126" t="s">
        <v>711</v>
      </c>
      <c r="D139" s="119"/>
      <c r="E139" s="119" t="e">
        <f>VLOOKUP(C139,#REF!,5,0)</f>
        <v>#REF!</v>
      </c>
      <c r="F139" s="107">
        <v>46209</v>
      </c>
      <c r="G139" s="127">
        <v>643</v>
      </c>
      <c r="H139" s="6"/>
      <c r="I139" s="125">
        <v>46214</v>
      </c>
      <c r="J139" s="13">
        <f t="shared" si="187"/>
        <v>0</v>
      </c>
      <c r="K139" s="124" t="s">
        <v>1099</v>
      </c>
      <c r="L139" s="161"/>
      <c r="M139" s="136"/>
      <c r="N139" s="136"/>
      <c r="O139" s="136"/>
      <c r="P139" s="136"/>
      <c r="Q139" s="136"/>
      <c r="R139" s="136"/>
      <c r="S139" s="161"/>
      <c r="T139" s="161"/>
      <c r="U139" s="161"/>
      <c r="V139" s="161"/>
      <c r="W139" s="161"/>
      <c r="X139" s="135"/>
      <c r="Y139" s="161"/>
      <c r="Z139" s="161"/>
      <c r="AA139" s="161"/>
      <c r="AB139" s="161"/>
      <c r="AC139" s="136"/>
      <c r="AD139" s="136"/>
      <c r="AE139" s="161">
        <v>34</v>
      </c>
      <c r="AF139" s="135"/>
      <c r="AG139" s="161">
        <v>609</v>
      </c>
      <c r="AH139" s="135"/>
      <c r="AI139" s="135"/>
      <c r="AJ139" s="135"/>
      <c r="AK139" s="161"/>
      <c r="AL139" s="135"/>
      <c r="AM139" s="161"/>
      <c r="AN139" s="135"/>
      <c r="AO139" s="135"/>
      <c r="AP139" s="135"/>
      <c r="AQ139" s="136"/>
      <c r="AR139" s="136"/>
      <c r="AS139" s="161"/>
      <c r="AT139" s="161"/>
      <c r="AU139" s="161"/>
      <c r="AV139" s="161"/>
      <c r="AW139" s="161"/>
      <c r="AX139" s="161"/>
      <c r="AY139" s="135"/>
      <c r="AZ139" s="135"/>
      <c r="BA139" s="135"/>
      <c r="BB139" s="135"/>
      <c r="BC139" s="135"/>
      <c r="BD139" s="135"/>
      <c r="BE139" s="136"/>
      <c r="BF139" s="136"/>
      <c r="BG139" s="161"/>
      <c r="BH139" s="161"/>
      <c r="BI139" s="161"/>
      <c r="BJ139" s="161"/>
      <c r="BK139" s="161"/>
      <c r="BL139" s="161"/>
      <c r="BM139" s="135"/>
      <c r="BN139" s="135"/>
      <c r="BO139" s="135"/>
      <c r="BP139" s="135"/>
      <c r="BQ139" s="135"/>
      <c r="BR139" s="135"/>
      <c r="BS139" s="136"/>
      <c r="BT139" s="136"/>
      <c r="BU139" s="161"/>
      <c r="BV139" s="161"/>
      <c r="BW139" s="161"/>
      <c r="BX139" s="161"/>
      <c r="BY139" s="161"/>
      <c r="BZ139" s="161"/>
      <c r="CA139" s="135"/>
      <c r="CB139" s="135"/>
      <c r="CC139" s="135"/>
      <c r="CD139" s="135"/>
      <c r="CE139" s="135"/>
      <c r="CF139" s="135"/>
      <c r="CG139" s="136"/>
      <c r="CH139" s="136"/>
      <c r="CI139" s="161"/>
      <c r="CJ139" s="161"/>
      <c r="CK139" s="161"/>
      <c r="CL139" s="161"/>
      <c r="CM139" s="161"/>
      <c r="CN139" s="161"/>
      <c r="CO139" s="135"/>
      <c r="CP139" s="135"/>
      <c r="CQ139" s="135"/>
      <c r="CR139" s="135"/>
      <c r="CS139" s="135"/>
      <c r="CT139" s="135"/>
      <c r="CU139" s="136"/>
      <c r="CV139" s="136"/>
      <c r="CW139" s="161"/>
      <c r="CX139" s="161"/>
      <c r="CY139" s="161"/>
      <c r="CZ139" s="161"/>
      <c r="DA139" s="161"/>
      <c r="DB139" s="161"/>
      <c r="DC139" s="135"/>
      <c r="DD139" s="135"/>
      <c r="DE139" s="135"/>
      <c r="DF139" s="135"/>
      <c r="DG139" s="135"/>
      <c r="DH139" s="135"/>
      <c r="DI139" s="136"/>
      <c r="DJ139" s="136"/>
      <c r="DK139" s="161"/>
      <c r="DL139" s="161"/>
      <c r="DM139" s="161"/>
      <c r="DN139" s="161"/>
      <c r="DO139" s="161"/>
      <c r="DP139" s="161"/>
      <c r="DQ139" s="135"/>
      <c r="DR139" s="135"/>
      <c r="DS139" s="135"/>
      <c r="DT139" s="135"/>
      <c r="DU139" s="135"/>
      <c r="DV139" s="135"/>
      <c r="DW139" s="136"/>
      <c r="DX139" s="136"/>
      <c r="DY139" s="161"/>
      <c r="DZ139" s="161"/>
      <c r="EA139" s="161"/>
      <c r="EB139" s="161"/>
      <c r="EC139" s="161"/>
      <c r="ED139" s="161"/>
      <c r="EE139" s="135"/>
      <c r="EF139" s="135"/>
      <c r="EG139" s="135"/>
      <c r="EH139" s="135"/>
      <c r="EI139" s="135"/>
      <c r="EJ139" s="135"/>
      <c r="EK139" s="136"/>
      <c r="EL139" s="136"/>
      <c r="EM139" s="136"/>
      <c r="EN139" s="136"/>
      <c r="EO139" s="136"/>
      <c r="EP139" s="136"/>
      <c r="EQ139" s="136"/>
      <c r="ER139" s="136"/>
      <c r="ES139" s="135"/>
      <c r="ET139" s="135"/>
      <c r="EU139" s="135"/>
      <c r="EV139" s="135"/>
      <c r="EW139" s="135"/>
      <c r="EX139" s="135"/>
      <c r="EY139" s="136"/>
      <c r="EZ139" s="136"/>
      <c r="FA139" s="161"/>
      <c r="FB139" s="161"/>
      <c r="FC139" s="161"/>
      <c r="FD139" s="161"/>
      <c r="FE139" s="161"/>
      <c r="FF139" s="161"/>
      <c r="FG139" s="135"/>
      <c r="FH139" s="135"/>
      <c r="FI139" s="135"/>
      <c r="FJ139" s="135"/>
      <c r="FK139" s="135"/>
      <c r="FL139" s="135"/>
      <c r="FM139" s="136"/>
      <c r="FN139" s="136"/>
      <c r="FO139" s="161"/>
      <c r="FP139" s="161"/>
      <c r="FQ139" s="161"/>
      <c r="FR139" s="161"/>
      <c r="FS139" s="161"/>
      <c r="FT139" s="161"/>
      <c r="FU139" s="135"/>
      <c r="FV139" s="135"/>
      <c r="FW139" s="135"/>
      <c r="FX139" s="135"/>
      <c r="FY139" s="135"/>
      <c r="FZ139" s="135"/>
      <c r="GA139" s="136"/>
      <c r="GB139" s="136"/>
      <c r="GC139" s="161"/>
      <c r="GD139" s="161"/>
      <c r="GE139" s="161"/>
      <c r="GF139" s="161"/>
      <c r="GG139" s="161"/>
      <c r="GH139" s="161"/>
      <c r="GI139" s="135"/>
      <c r="GJ139" s="135"/>
      <c r="GK139" s="135"/>
      <c r="GL139" s="135"/>
      <c r="GM139" s="135"/>
      <c r="GN139" s="135"/>
    </row>
    <row r="140" spans="1:196" ht="16" hidden="1" customHeight="1">
      <c r="A140" s="140"/>
      <c r="B140" s="126" t="s">
        <v>1021</v>
      </c>
      <c r="C140" s="126" t="s">
        <v>711</v>
      </c>
      <c r="D140" s="119"/>
      <c r="E140" s="119" t="e">
        <f>VLOOKUP(C140,#REF!,5,0)</f>
        <v>#REF!</v>
      </c>
      <c r="F140" s="107">
        <v>46209</v>
      </c>
      <c r="G140" s="127">
        <v>29</v>
      </c>
      <c r="H140" s="6"/>
      <c r="I140" s="125">
        <v>46214</v>
      </c>
      <c r="J140" s="13">
        <f t="shared" si="187"/>
        <v>0</v>
      </c>
      <c r="K140" s="124" t="s">
        <v>1026</v>
      </c>
      <c r="L140" s="161"/>
      <c r="M140" s="136"/>
      <c r="N140" s="136"/>
      <c r="O140" s="136"/>
      <c r="P140" s="136"/>
      <c r="Q140" s="136"/>
      <c r="R140" s="136"/>
      <c r="S140" s="161"/>
      <c r="T140" s="161"/>
      <c r="U140" s="161"/>
      <c r="V140" s="161"/>
      <c r="W140" s="161"/>
      <c r="X140" s="135"/>
      <c r="Y140" s="161"/>
      <c r="Z140" s="161"/>
      <c r="AA140" s="161"/>
      <c r="AB140" s="161"/>
      <c r="AC140" s="136"/>
      <c r="AD140" s="136"/>
      <c r="AE140" s="161"/>
      <c r="AF140" s="135"/>
      <c r="AG140" s="161">
        <v>29</v>
      </c>
      <c r="AH140" s="135"/>
      <c r="AI140" s="135"/>
      <c r="AJ140" s="135"/>
      <c r="AK140" s="161"/>
      <c r="AL140" s="135"/>
      <c r="AM140" s="161"/>
      <c r="AN140" s="135"/>
      <c r="AO140" s="135"/>
      <c r="AP140" s="135"/>
      <c r="AQ140" s="136"/>
      <c r="AR140" s="136"/>
      <c r="AS140" s="161"/>
      <c r="AT140" s="161"/>
      <c r="AU140" s="161"/>
      <c r="AV140" s="161"/>
      <c r="AW140" s="161"/>
      <c r="AX140" s="161"/>
      <c r="AY140" s="135"/>
      <c r="AZ140" s="135"/>
      <c r="BA140" s="135"/>
      <c r="BB140" s="135"/>
      <c r="BC140" s="135"/>
      <c r="BD140" s="135"/>
      <c r="BE140" s="136"/>
      <c r="BF140" s="136"/>
      <c r="BG140" s="161"/>
      <c r="BH140" s="161"/>
      <c r="BI140" s="161"/>
      <c r="BJ140" s="161"/>
      <c r="BK140" s="161"/>
      <c r="BL140" s="161"/>
      <c r="BM140" s="135"/>
      <c r="BN140" s="135"/>
      <c r="BO140" s="135"/>
      <c r="BP140" s="135"/>
      <c r="BQ140" s="135"/>
      <c r="BR140" s="135"/>
      <c r="BS140" s="136"/>
      <c r="BT140" s="136"/>
      <c r="BU140" s="161"/>
      <c r="BV140" s="161"/>
      <c r="BW140" s="161"/>
      <c r="BX140" s="161"/>
      <c r="BY140" s="161"/>
      <c r="BZ140" s="161"/>
      <c r="CA140" s="135"/>
      <c r="CB140" s="135"/>
      <c r="CC140" s="135"/>
      <c r="CD140" s="135"/>
      <c r="CE140" s="135"/>
      <c r="CF140" s="135"/>
      <c r="CG140" s="136"/>
      <c r="CH140" s="136"/>
      <c r="CI140" s="161"/>
      <c r="CJ140" s="161"/>
      <c r="CK140" s="161"/>
      <c r="CL140" s="161"/>
      <c r="CM140" s="161"/>
      <c r="CN140" s="161"/>
      <c r="CO140" s="135"/>
      <c r="CP140" s="135"/>
      <c r="CQ140" s="135"/>
      <c r="CR140" s="135"/>
      <c r="CS140" s="135"/>
      <c r="CT140" s="135"/>
      <c r="CU140" s="136"/>
      <c r="CV140" s="136"/>
      <c r="CW140" s="161"/>
      <c r="CX140" s="161"/>
      <c r="CY140" s="161"/>
      <c r="CZ140" s="161"/>
      <c r="DA140" s="161"/>
      <c r="DB140" s="161"/>
      <c r="DC140" s="135"/>
      <c r="DD140" s="135"/>
      <c r="DE140" s="135"/>
      <c r="DF140" s="135"/>
      <c r="DG140" s="135"/>
      <c r="DH140" s="135"/>
      <c r="DI140" s="136"/>
      <c r="DJ140" s="136"/>
      <c r="DK140" s="161"/>
      <c r="DL140" s="161"/>
      <c r="DM140" s="161"/>
      <c r="DN140" s="161"/>
      <c r="DO140" s="161"/>
      <c r="DP140" s="161"/>
      <c r="DQ140" s="135"/>
      <c r="DR140" s="135"/>
      <c r="DS140" s="135"/>
      <c r="DT140" s="135"/>
      <c r="DU140" s="135"/>
      <c r="DV140" s="135"/>
      <c r="DW140" s="136"/>
      <c r="DX140" s="136"/>
      <c r="DY140" s="161"/>
      <c r="DZ140" s="161"/>
      <c r="EA140" s="161"/>
      <c r="EB140" s="161"/>
      <c r="EC140" s="161"/>
      <c r="ED140" s="161"/>
      <c r="EE140" s="135"/>
      <c r="EF140" s="135"/>
      <c r="EG140" s="135"/>
      <c r="EH140" s="135"/>
      <c r="EI140" s="135"/>
      <c r="EJ140" s="135"/>
      <c r="EK140" s="136"/>
      <c r="EL140" s="136"/>
      <c r="EM140" s="136"/>
      <c r="EN140" s="136"/>
      <c r="EO140" s="136"/>
      <c r="EP140" s="136"/>
      <c r="EQ140" s="136"/>
      <c r="ER140" s="136"/>
      <c r="ES140" s="135"/>
      <c r="ET140" s="135"/>
      <c r="EU140" s="135"/>
      <c r="EV140" s="135"/>
      <c r="EW140" s="135"/>
      <c r="EX140" s="135"/>
      <c r="EY140" s="136"/>
      <c r="EZ140" s="136"/>
      <c r="FA140" s="161"/>
      <c r="FB140" s="161"/>
      <c r="FC140" s="161"/>
      <c r="FD140" s="161"/>
      <c r="FE140" s="161"/>
      <c r="FF140" s="161"/>
      <c r="FG140" s="135"/>
      <c r="FH140" s="135"/>
      <c r="FI140" s="135"/>
      <c r="FJ140" s="135"/>
      <c r="FK140" s="135"/>
      <c r="FL140" s="135"/>
      <c r="FM140" s="136"/>
      <c r="FN140" s="136"/>
      <c r="FO140" s="161"/>
      <c r="FP140" s="161"/>
      <c r="FQ140" s="161"/>
      <c r="FR140" s="161"/>
      <c r="FS140" s="161"/>
      <c r="FT140" s="161"/>
      <c r="FU140" s="135"/>
      <c r="FV140" s="135"/>
      <c r="FW140" s="135"/>
      <c r="FX140" s="135"/>
      <c r="FY140" s="135"/>
      <c r="FZ140" s="135"/>
      <c r="GA140" s="136"/>
      <c r="GB140" s="136"/>
      <c r="GC140" s="161"/>
      <c r="GD140" s="161"/>
      <c r="GE140" s="161"/>
      <c r="GF140" s="161"/>
      <c r="GG140" s="161"/>
      <c r="GH140" s="161"/>
      <c r="GI140" s="135"/>
      <c r="GJ140" s="135"/>
      <c r="GK140" s="135"/>
      <c r="GL140" s="135"/>
      <c r="GM140" s="135"/>
      <c r="GN140" s="135"/>
    </row>
    <row r="141" spans="1:196" hidden="1">
      <c r="A141" s="140"/>
      <c r="B141" s="128" t="s">
        <v>910</v>
      </c>
      <c r="C141" s="128" t="s">
        <v>931</v>
      </c>
      <c r="D141" s="138"/>
      <c r="E141" s="119" t="e">
        <f>VLOOKUP(C141,#REF!,5,0)</f>
        <v>#REF!</v>
      </c>
      <c r="F141" s="129"/>
      <c r="G141" s="127">
        <v>6</v>
      </c>
      <c r="H141" s="129"/>
      <c r="I141" s="110">
        <v>46207</v>
      </c>
      <c r="J141" s="111">
        <f t="shared" si="187"/>
        <v>0</v>
      </c>
      <c r="K141" s="163" t="s">
        <v>922</v>
      </c>
      <c r="L141" s="135"/>
      <c r="M141" s="136"/>
      <c r="N141" s="136"/>
      <c r="O141" s="136"/>
      <c r="P141" s="136"/>
      <c r="Q141" s="136"/>
      <c r="R141" s="136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6"/>
      <c r="AD141" s="136"/>
      <c r="AE141" s="161">
        <v>6</v>
      </c>
      <c r="AF141" s="161"/>
      <c r="AG141" s="161"/>
      <c r="AH141" s="161"/>
      <c r="AI141" s="161"/>
      <c r="AJ141" s="161"/>
      <c r="AK141" s="135"/>
      <c r="AL141" s="135"/>
      <c r="AM141" s="135"/>
      <c r="AN141" s="135"/>
      <c r="AO141" s="135"/>
      <c r="AP141" s="135"/>
      <c r="AQ141" s="136"/>
      <c r="AR141" s="136"/>
      <c r="AS141" s="161"/>
      <c r="AT141" s="161"/>
      <c r="AU141" s="161"/>
      <c r="AV141" s="161"/>
      <c r="AW141" s="161"/>
      <c r="AX141" s="161"/>
      <c r="AY141" s="135"/>
      <c r="AZ141" s="135"/>
      <c r="BA141" s="135"/>
      <c r="BB141" s="135"/>
      <c r="BC141" s="135"/>
      <c r="BD141" s="135"/>
      <c r="BE141" s="136"/>
      <c r="BF141" s="136"/>
      <c r="BG141" s="161"/>
      <c r="BH141" s="161"/>
      <c r="BI141" s="161"/>
      <c r="BJ141" s="161"/>
      <c r="BK141" s="161"/>
      <c r="BL141" s="161"/>
      <c r="BM141" s="135"/>
      <c r="BN141" s="135"/>
      <c r="BO141" s="135"/>
      <c r="BP141" s="135"/>
      <c r="BQ141" s="135"/>
      <c r="BR141" s="135"/>
      <c r="BS141" s="136"/>
      <c r="BT141" s="136"/>
      <c r="BU141" s="161"/>
      <c r="BV141" s="161"/>
      <c r="BW141" s="161"/>
      <c r="BX141" s="161"/>
      <c r="BY141" s="161"/>
      <c r="BZ141" s="161"/>
      <c r="CA141" s="135"/>
      <c r="CB141" s="135"/>
      <c r="CC141" s="135"/>
      <c r="CD141" s="135"/>
      <c r="CE141" s="135"/>
      <c r="CF141" s="135"/>
      <c r="CG141" s="136"/>
      <c r="CH141" s="136"/>
      <c r="CI141" s="161"/>
      <c r="CJ141" s="161"/>
      <c r="CK141" s="161"/>
      <c r="CL141" s="161"/>
      <c r="CM141" s="161"/>
      <c r="CN141" s="161"/>
      <c r="CO141" s="135"/>
      <c r="CP141" s="135"/>
      <c r="CQ141" s="135"/>
      <c r="CR141" s="135"/>
      <c r="CS141" s="135"/>
      <c r="CT141" s="135"/>
      <c r="CU141" s="136"/>
      <c r="CV141" s="136"/>
      <c r="CW141" s="161"/>
      <c r="CX141" s="161"/>
      <c r="CY141" s="161"/>
      <c r="CZ141" s="161"/>
      <c r="DA141" s="161"/>
      <c r="DB141" s="161"/>
      <c r="DC141" s="135"/>
      <c r="DD141" s="135"/>
      <c r="DE141" s="135"/>
      <c r="DF141" s="135"/>
      <c r="DG141" s="135"/>
      <c r="DH141" s="135"/>
      <c r="DI141" s="136"/>
      <c r="DJ141" s="136"/>
      <c r="DK141" s="161"/>
      <c r="DL141" s="161"/>
      <c r="DM141" s="161"/>
      <c r="DN141" s="161"/>
      <c r="DO141" s="161"/>
      <c r="DP141" s="161"/>
      <c r="DQ141" s="135"/>
      <c r="DR141" s="135"/>
      <c r="DS141" s="135"/>
      <c r="DT141" s="135"/>
      <c r="DU141" s="135"/>
      <c r="DV141" s="135"/>
      <c r="DW141" s="136"/>
      <c r="DX141" s="136"/>
      <c r="DY141" s="161"/>
      <c r="DZ141" s="161"/>
      <c r="EA141" s="161"/>
      <c r="EB141" s="161"/>
      <c r="EC141" s="161"/>
      <c r="ED141" s="161"/>
      <c r="EE141" s="135"/>
      <c r="EF141" s="135"/>
      <c r="EG141" s="135"/>
      <c r="EH141" s="135"/>
      <c r="EI141" s="135"/>
      <c r="EJ141" s="135"/>
      <c r="EK141" s="136"/>
      <c r="EL141" s="136"/>
      <c r="EM141" s="136"/>
      <c r="EN141" s="136"/>
      <c r="EO141" s="136"/>
      <c r="EP141" s="136"/>
      <c r="EQ141" s="136"/>
      <c r="ER141" s="136"/>
      <c r="ES141" s="135"/>
      <c r="ET141" s="135"/>
      <c r="EU141" s="135"/>
      <c r="EV141" s="135"/>
      <c r="EW141" s="135"/>
      <c r="EX141" s="135"/>
      <c r="EY141" s="136"/>
      <c r="EZ141" s="136"/>
      <c r="FA141" s="161"/>
      <c r="FB141" s="161"/>
      <c r="FC141" s="161"/>
      <c r="FD141" s="161"/>
      <c r="FE141" s="161"/>
      <c r="FF141" s="161"/>
      <c r="FG141" s="135"/>
      <c r="FH141" s="135"/>
      <c r="FI141" s="135"/>
      <c r="FJ141" s="135"/>
      <c r="FK141" s="135"/>
      <c r="FL141" s="135"/>
      <c r="FM141" s="136"/>
      <c r="FN141" s="136"/>
      <c r="FO141" s="161"/>
      <c r="FP141" s="161"/>
      <c r="FQ141" s="161"/>
      <c r="FR141" s="161"/>
      <c r="FS141" s="161"/>
      <c r="FT141" s="161"/>
      <c r="FU141" s="135"/>
      <c r="FV141" s="135"/>
      <c r="FW141" s="135"/>
      <c r="FX141" s="135"/>
      <c r="FY141" s="135"/>
      <c r="FZ141" s="135"/>
      <c r="GA141" s="136"/>
      <c r="GB141" s="136"/>
      <c r="GC141" s="161"/>
      <c r="GD141" s="161"/>
      <c r="GE141" s="161"/>
      <c r="GF141" s="161"/>
      <c r="GG141" s="161"/>
      <c r="GH141" s="161"/>
      <c r="GI141" s="135"/>
      <c r="GJ141" s="135"/>
      <c r="GK141" s="135"/>
      <c r="GL141" s="135"/>
      <c r="GM141" s="135"/>
      <c r="GN141" s="135"/>
    </row>
    <row r="142" spans="1:196" hidden="1">
      <c r="A142" s="140"/>
      <c r="B142" s="128" t="s">
        <v>905</v>
      </c>
      <c r="C142" s="128" t="s">
        <v>924</v>
      </c>
      <c r="D142" s="138"/>
      <c r="E142" s="119" t="e">
        <f>VLOOKUP(C142,#REF!,5,0)</f>
        <v>#REF!</v>
      </c>
      <c r="F142" s="129"/>
      <c r="G142" s="127">
        <v>24</v>
      </c>
      <c r="H142" s="129"/>
      <c r="I142" s="110">
        <v>46207</v>
      </c>
      <c r="J142" s="111">
        <f t="shared" si="187"/>
        <v>0</v>
      </c>
      <c r="K142" s="163" t="s">
        <v>915</v>
      </c>
      <c r="L142" s="135"/>
      <c r="M142" s="136"/>
      <c r="N142" s="136"/>
      <c r="O142" s="136"/>
      <c r="P142" s="136"/>
      <c r="Q142" s="136"/>
      <c r="R142" s="136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6"/>
      <c r="AD142" s="136"/>
      <c r="AE142" s="161">
        <v>24</v>
      </c>
      <c r="AF142" s="161"/>
      <c r="AG142" s="161"/>
      <c r="AH142" s="161"/>
      <c r="AI142" s="161"/>
      <c r="AJ142" s="161"/>
      <c r="AK142" s="135"/>
      <c r="AL142" s="135"/>
      <c r="AM142" s="135"/>
      <c r="AN142" s="135"/>
      <c r="AO142" s="135"/>
      <c r="AP142" s="135"/>
      <c r="AQ142" s="136"/>
      <c r="AR142" s="136"/>
      <c r="AS142" s="161"/>
      <c r="AT142" s="161"/>
      <c r="AU142" s="161"/>
      <c r="AV142" s="161"/>
      <c r="AW142" s="161"/>
      <c r="AX142" s="161"/>
      <c r="AY142" s="135"/>
      <c r="AZ142" s="135"/>
      <c r="BA142" s="135"/>
      <c r="BB142" s="135"/>
      <c r="BC142" s="135"/>
      <c r="BD142" s="135"/>
      <c r="BE142" s="136"/>
      <c r="BF142" s="136"/>
      <c r="BG142" s="161"/>
      <c r="BH142" s="161"/>
      <c r="BI142" s="161"/>
      <c r="BJ142" s="161"/>
      <c r="BK142" s="161"/>
      <c r="BL142" s="161"/>
      <c r="BM142" s="135"/>
      <c r="BN142" s="135"/>
      <c r="BO142" s="135"/>
      <c r="BP142" s="135"/>
      <c r="BQ142" s="135"/>
      <c r="BR142" s="135"/>
      <c r="BS142" s="136"/>
      <c r="BT142" s="136"/>
      <c r="BU142" s="161"/>
      <c r="BV142" s="161"/>
      <c r="BW142" s="161"/>
      <c r="BX142" s="161"/>
      <c r="BY142" s="161"/>
      <c r="BZ142" s="161"/>
      <c r="CA142" s="135"/>
      <c r="CB142" s="135"/>
      <c r="CC142" s="135"/>
      <c r="CD142" s="135"/>
      <c r="CE142" s="135"/>
      <c r="CF142" s="135"/>
      <c r="CG142" s="136"/>
      <c r="CH142" s="136"/>
      <c r="CI142" s="161"/>
      <c r="CJ142" s="161"/>
      <c r="CK142" s="161"/>
      <c r="CL142" s="161"/>
      <c r="CM142" s="161"/>
      <c r="CN142" s="161"/>
      <c r="CO142" s="135"/>
      <c r="CP142" s="135"/>
      <c r="CQ142" s="135"/>
      <c r="CR142" s="135"/>
      <c r="CS142" s="135"/>
      <c r="CT142" s="135"/>
      <c r="CU142" s="136"/>
      <c r="CV142" s="136"/>
      <c r="CW142" s="161"/>
      <c r="CX142" s="161"/>
      <c r="CY142" s="161"/>
      <c r="CZ142" s="161"/>
      <c r="DA142" s="161"/>
      <c r="DB142" s="161"/>
      <c r="DC142" s="135"/>
      <c r="DD142" s="135"/>
      <c r="DE142" s="135"/>
      <c r="DF142" s="135"/>
      <c r="DG142" s="135"/>
      <c r="DH142" s="135"/>
      <c r="DI142" s="136"/>
      <c r="DJ142" s="136"/>
      <c r="DK142" s="161"/>
      <c r="DL142" s="161"/>
      <c r="DM142" s="161"/>
      <c r="DN142" s="161"/>
      <c r="DO142" s="161"/>
      <c r="DP142" s="161"/>
      <c r="DQ142" s="135"/>
      <c r="DR142" s="135"/>
      <c r="DS142" s="135"/>
      <c r="DT142" s="135"/>
      <c r="DU142" s="135"/>
      <c r="DV142" s="135"/>
      <c r="DW142" s="136"/>
      <c r="DX142" s="136"/>
      <c r="DY142" s="161"/>
      <c r="DZ142" s="161"/>
      <c r="EA142" s="161"/>
      <c r="EB142" s="161"/>
      <c r="EC142" s="161"/>
      <c r="ED142" s="161"/>
      <c r="EE142" s="135"/>
      <c r="EF142" s="135"/>
      <c r="EG142" s="135"/>
      <c r="EH142" s="135"/>
      <c r="EI142" s="135"/>
      <c r="EJ142" s="135"/>
      <c r="EK142" s="136"/>
      <c r="EL142" s="136"/>
      <c r="EM142" s="136"/>
      <c r="EN142" s="136"/>
      <c r="EO142" s="136"/>
      <c r="EP142" s="136"/>
      <c r="EQ142" s="136"/>
      <c r="ER142" s="136"/>
      <c r="ES142" s="135"/>
      <c r="ET142" s="135"/>
      <c r="EU142" s="135"/>
      <c r="EV142" s="135"/>
      <c r="EW142" s="135"/>
      <c r="EX142" s="135"/>
      <c r="EY142" s="136"/>
      <c r="EZ142" s="136"/>
      <c r="FA142" s="161"/>
      <c r="FB142" s="161"/>
      <c r="FC142" s="161"/>
      <c r="FD142" s="161"/>
      <c r="FE142" s="161"/>
      <c r="FF142" s="161"/>
      <c r="FG142" s="135"/>
      <c r="FH142" s="135"/>
      <c r="FI142" s="135"/>
      <c r="FJ142" s="135"/>
      <c r="FK142" s="135"/>
      <c r="FL142" s="135"/>
      <c r="FM142" s="136"/>
      <c r="FN142" s="136"/>
      <c r="FO142" s="161"/>
      <c r="FP142" s="161"/>
      <c r="FQ142" s="161"/>
      <c r="FR142" s="161"/>
      <c r="FS142" s="161"/>
      <c r="FT142" s="161"/>
      <c r="FU142" s="135"/>
      <c r="FV142" s="135"/>
      <c r="FW142" s="135"/>
      <c r="FX142" s="135"/>
      <c r="FY142" s="135"/>
      <c r="FZ142" s="135"/>
      <c r="GA142" s="136"/>
      <c r="GB142" s="136"/>
      <c r="GC142" s="161"/>
      <c r="GD142" s="161"/>
      <c r="GE142" s="161"/>
      <c r="GF142" s="161"/>
      <c r="GG142" s="161"/>
      <c r="GH142" s="161"/>
      <c r="GI142" s="135"/>
      <c r="GJ142" s="135"/>
      <c r="GK142" s="135"/>
      <c r="GL142" s="135"/>
      <c r="GM142" s="135"/>
      <c r="GN142" s="135"/>
    </row>
    <row r="143" spans="1:196" hidden="1">
      <c r="A143" s="140"/>
      <c r="B143" s="128" t="s">
        <v>909</v>
      </c>
      <c r="C143" s="128" t="s">
        <v>930</v>
      </c>
      <c r="D143" s="138"/>
      <c r="E143" s="119" t="e">
        <f>VLOOKUP(C143,#REF!,5,0)</f>
        <v>#REF!</v>
      </c>
      <c r="F143" s="129"/>
      <c r="G143" s="127">
        <v>28</v>
      </c>
      <c r="H143" s="129"/>
      <c r="I143" s="110">
        <v>46207</v>
      </c>
      <c r="J143" s="111">
        <f t="shared" si="187"/>
        <v>0</v>
      </c>
      <c r="K143" s="163" t="s">
        <v>921</v>
      </c>
      <c r="L143" s="135"/>
      <c r="M143" s="136"/>
      <c r="N143" s="136"/>
      <c r="O143" s="136"/>
      <c r="P143" s="136"/>
      <c r="Q143" s="136"/>
      <c r="R143" s="136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6"/>
      <c r="AD143" s="136"/>
      <c r="AE143" s="161">
        <v>11</v>
      </c>
      <c r="AF143" s="161"/>
      <c r="AG143" s="161">
        <v>17</v>
      </c>
      <c r="AH143" s="161"/>
      <c r="AI143" s="161"/>
      <c r="AJ143" s="161"/>
      <c r="AK143" s="135"/>
      <c r="AL143" s="135"/>
      <c r="AM143" s="135"/>
      <c r="AN143" s="135"/>
      <c r="AO143" s="135"/>
      <c r="AP143" s="135"/>
      <c r="AQ143" s="136"/>
      <c r="AR143" s="136"/>
      <c r="AS143" s="161"/>
      <c r="AT143" s="161"/>
      <c r="AU143" s="161"/>
      <c r="AV143" s="161"/>
      <c r="AW143" s="161"/>
      <c r="AX143" s="161"/>
      <c r="AY143" s="135"/>
      <c r="AZ143" s="135"/>
      <c r="BA143" s="135"/>
      <c r="BB143" s="135"/>
      <c r="BC143" s="135"/>
      <c r="BD143" s="135"/>
      <c r="BE143" s="136"/>
      <c r="BF143" s="136"/>
      <c r="BG143" s="161"/>
      <c r="BH143" s="161"/>
      <c r="BI143" s="161"/>
      <c r="BJ143" s="161"/>
      <c r="BK143" s="161"/>
      <c r="BL143" s="161"/>
      <c r="BM143" s="135"/>
      <c r="BN143" s="135"/>
      <c r="BO143" s="135"/>
      <c r="BP143" s="135"/>
      <c r="BQ143" s="135"/>
      <c r="BR143" s="135"/>
      <c r="BS143" s="136"/>
      <c r="BT143" s="136"/>
      <c r="BU143" s="161"/>
      <c r="BV143" s="161"/>
      <c r="BW143" s="161"/>
      <c r="BX143" s="161"/>
      <c r="BY143" s="161"/>
      <c r="BZ143" s="161"/>
      <c r="CA143" s="135"/>
      <c r="CB143" s="135"/>
      <c r="CC143" s="135"/>
      <c r="CD143" s="135"/>
      <c r="CE143" s="135"/>
      <c r="CF143" s="135"/>
      <c r="CG143" s="136"/>
      <c r="CH143" s="136"/>
      <c r="CI143" s="161"/>
      <c r="CJ143" s="161"/>
      <c r="CK143" s="161"/>
      <c r="CL143" s="161"/>
      <c r="CM143" s="161"/>
      <c r="CN143" s="161"/>
      <c r="CO143" s="135"/>
      <c r="CP143" s="135"/>
      <c r="CQ143" s="135"/>
      <c r="CR143" s="135"/>
      <c r="CS143" s="135"/>
      <c r="CT143" s="135"/>
      <c r="CU143" s="136"/>
      <c r="CV143" s="136"/>
      <c r="CW143" s="161"/>
      <c r="CX143" s="161"/>
      <c r="CY143" s="161"/>
      <c r="CZ143" s="161"/>
      <c r="DA143" s="161"/>
      <c r="DB143" s="161"/>
      <c r="DC143" s="135"/>
      <c r="DD143" s="135"/>
      <c r="DE143" s="135"/>
      <c r="DF143" s="135"/>
      <c r="DG143" s="135"/>
      <c r="DH143" s="135"/>
      <c r="DI143" s="136"/>
      <c r="DJ143" s="136"/>
      <c r="DK143" s="161"/>
      <c r="DL143" s="161"/>
      <c r="DM143" s="161"/>
      <c r="DN143" s="161"/>
      <c r="DO143" s="161"/>
      <c r="DP143" s="161"/>
      <c r="DQ143" s="135"/>
      <c r="DR143" s="135"/>
      <c r="DS143" s="135"/>
      <c r="DT143" s="135"/>
      <c r="DU143" s="135"/>
      <c r="DV143" s="135"/>
      <c r="DW143" s="136"/>
      <c r="DX143" s="136"/>
      <c r="DY143" s="161"/>
      <c r="DZ143" s="161"/>
      <c r="EA143" s="161"/>
      <c r="EB143" s="161"/>
      <c r="EC143" s="161"/>
      <c r="ED143" s="161"/>
      <c r="EE143" s="135"/>
      <c r="EF143" s="135"/>
      <c r="EG143" s="135"/>
      <c r="EH143" s="135"/>
      <c r="EI143" s="135"/>
      <c r="EJ143" s="135"/>
      <c r="EK143" s="136"/>
      <c r="EL143" s="136"/>
      <c r="EM143" s="136"/>
      <c r="EN143" s="136"/>
      <c r="EO143" s="136"/>
      <c r="EP143" s="136"/>
      <c r="EQ143" s="136"/>
      <c r="ER143" s="136"/>
      <c r="ES143" s="135"/>
      <c r="ET143" s="135"/>
      <c r="EU143" s="135"/>
      <c r="EV143" s="135"/>
      <c r="EW143" s="135"/>
      <c r="EX143" s="135"/>
      <c r="EY143" s="136"/>
      <c r="EZ143" s="136"/>
      <c r="FA143" s="161"/>
      <c r="FB143" s="161"/>
      <c r="FC143" s="161"/>
      <c r="FD143" s="161"/>
      <c r="FE143" s="161"/>
      <c r="FF143" s="161"/>
      <c r="FG143" s="135"/>
      <c r="FH143" s="135"/>
      <c r="FI143" s="135"/>
      <c r="FJ143" s="135"/>
      <c r="FK143" s="135"/>
      <c r="FL143" s="135"/>
      <c r="FM143" s="136"/>
      <c r="FN143" s="136"/>
      <c r="FO143" s="161"/>
      <c r="FP143" s="161"/>
      <c r="FQ143" s="161"/>
      <c r="FR143" s="161"/>
      <c r="FS143" s="161"/>
      <c r="FT143" s="161"/>
      <c r="FU143" s="135"/>
      <c r="FV143" s="135"/>
      <c r="FW143" s="135"/>
      <c r="FX143" s="135"/>
      <c r="FY143" s="135"/>
      <c r="FZ143" s="135"/>
      <c r="GA143" s="136"/>
      <c r="GB143" s="136"/>
      <c r="GC143" s="161"/>
      <c r="GD143" s="161"/>
      <c r="GE143" s="161"/>
      <c r="GF143" s="161"/>
      <c r="GG143" s="161"/>
      <c r="GH143" s="161"/>
      <c r="GI143" s="135"/>
      <c r="GJ143" s="135"/>
      <c r="GK143" s="135"/>
      <c r="GL143" s="135"/>
      <c r="GM143" s="135"/>
      <c r="GN143" s="135"/>
    </row>
    <row r="144" spans="1:196" hidden="1">
      <c r="A144" s="140"/>
      <c r="B144" s="128" t="s">
        <v>911</v>
      </c>
      <c r="C144" s="128" t="s">
        <v>926</v>
      </c>
      <c r="D144" s="138"/>
      <c r="E144" s="119" t="e">
        <f>VLOOKUP(C144,#REF!,5,0)</f>
        <v>#REF!</v>
      </c>
      <c r="F144" s="129"/>
      <c r="G144" s="127">
        <v>2</v>
      </c>
      <c r="H144" s="129"/>
      <c r="I144" s="110">
        <v>46207</v>
      </c>
      <c r="J144" s="111">
        <f t="shared" si="187"/>
        <v>0</v>
      </c>
      <c r="K144" s="163" t="s">
        <v>917</v>
      </c>
      <c r="L144" s="135"/>
      <c r="M144" s="136"/>
      <c r="N144" s="136"/>
      <c r="O144" s="136"/>
      <c r="P144" s="136"/>
      <c r="Q144" s="136"/>
      <c r="R144" s="136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6"/>
      <c r="AD144" s="136"/>
      <c r="AE144" s="161"/>
      <c r="AF144" s="161"/>
      <c r="AG144" s="161">
        <v>2</v>
      </c>
      <c r="AH144" s="161"/>
      <c r="AI144" s="161"/>
      <c r="AJ144" s="161"/>
      <c r="AK144" s="135"/>
      <c r="AL144" s="135"/>
      <c r="AM144" s="135"/>
      <c r="AN144" s="135"/>
      <c r="AO144" s="135"/>
      <c r="AP144" s="135"/>
      <c r="AQ144" s="136"/>
      <c r="AR144" s="136"/>
      <c r="AS144" s="161"/>
      <c r="AT144" s="161"/>
      <c r="AU144" s="161"/>
      <c r="AV144" s="161"/>
      <c r="AW144" s="161"/>
      <c r="AX144" s="161"/>
      <c r="AY144" s="135"/>
      <c r="AZ144" s="135"/>
      <c r="BA144" s="135"/>
      <c r="BB144" s="135"/>
      <c r="BC144" s="135"/>
      <c r="BD144" s="135"/>
      <c r="BE144" s="136"/>
      <c r="BF144" s="136"/>
      <c r="BG144" s="161"/>
      <c r="BH144" s="161"/>
      <c r="BI144" s="161"/>
      <c r="BJ144" s="161"/>
      <c r="BK144" s="161"/>
      <c r="BL144" s="161"/>
      <c r="BM144" s="135"/>
      <c r="BN144" s="135"/>
      <c r="BO144" s="135"/>
      <c r="BP144" s="135"/>
      <c r="BQ144" s="135"/>
      <c r="BR144" s="135"/>
      <c r="BS144" s="136"/>
      <c r="BT144" s="136"/>
      <c r="BU144" s="161"/>
      <c r="BV144" s="161"/>
      <c r="BW144" s="161"/>
      <c r="BX144" s="161"/>
      <c r="BY144" s="161"/>
      <c r="BZ144" s="161"/>
      <c r="CA144" s="135"/>
      <c r="CB144" s="135"/>
      <c r="CC144" s="135"/>
      <c r="CD144" s="135"/>
      <c r="CE144" s="135"/>
      <c r="CF144" s="135"/>
      <c r="CG144" s="136"/>
      <c r="CH144" s="136"/>
      <c r="CI144" s="161"/>
      <c r="CJ144" s="161"/>
      <c r="CK144" s="161"/>
      <c r="CL144" s="161"/>
      <c r="CM144" s="161"/>
      <c r="CN144" s="161"/>
      <c r="CO144" s="135"/>
      <c r="CP144" s="135"/>
      <c r="CQ144" s="135"/>
      <c r="CR144" s="135"/>
      <c r="CS144" s="135"/>
      <c r="CT144" s="135"/>
      <c r="CU144" s="136"/>
      <c r="CV144" s="136"/>
      <c r="CW144" s="161"/>
      <c r="CX144" s="161"/>
      <c r="CY144" s="161"/>
      <c r="CZ144" s="161"/>
      <c r="DA144" s="161"/>
      <c r="DB144" s="161"/>
      <c r="DC144" s="135"/>
      <c r="DD144" s="135"/>
      <c r="DE144" s="135"/>
      <c r="DF144" s="135"/>
      <c r="DG144" s="135"/>
      <c r="DH144" s="135"/>
      <c r="DI144" s="136"/>
      <c r="DJ144" s="136"/>
      <c r="DK144" s="161"/>
      <c r="DL144" s="161"/>
      <c r="DM144" s="161"/>
      <c r="DN144" s="161"/>
      <c r="DO144" s="161"/>
      <c r="DP144" s="161"/>
      <c r="DQ144" s="135"/>
      <c r="DR144" s="135"/>
      <c r="DS144" s="135"/>
      <c r="DT144" s="135"/>
      <c r="DU144" s="135"/>
      <c r="DV144" s="135"/>
      <c r="DW144" s="136"/>
      <c r="DX144" s="136"/>
      <c r="DY144" s="161"/>
      <c r="DZ144" s="161"/>
      <c r="EA144" s="161"/>
      <c r="EB144" s="161"/>
      <c r="EC144" s="161"/>
      <c r="ED144" s="161"/>
      <c r="EE144" s="135"/>
      <c r="EF144" s="135"/>
      <c r="EG144" s="135"/>
      <c r="EH144" s="135"/>
      <c r="EI144" s="135"/>
      <c r="EJ144" s="135"/>
      <c r="EK144" s="136"/>
      <c r="EL144" s="136"/>
      <c r="EM144" s="136"/>
      <c r="EN144" s="136"/>
      <c r="EO144" s="136"/>
      <c r="EP144" s="136"/>
      <c r="EQ144" s="136"/>
      <c r="ER144" s="136"/>
      <c r="ES144" s="135"/>
      <c r="ET144" s="135"/>
      <c r="EU144" s="135"/>
      <c r="EV144" s="135"/>
      <c r="EW144" s="135"/>
      <c r="EX144" s="135"/>
      <c r="EY144" s="136"/>
      <c r="EZ144" s="136"/>
      <c r="FA144" s="161"/>
      <c r="FB144" s="161"/>
      <c r="FC144" s="161"/>
      <c r="FD144" s="161"/>
      <c r="FE144" s="161"/>
      <c r="FF144" s="161"/>
      <c r="FG144" s="135"/>
      <c r="FH144" s="135"/>
      <c r="FI144" s="135"/>
      <c r="FJ144" s="135"/>
      <c r="FK144" s="135"/>
      <c r="FL144" s="135"/>
      <c r="FM144" s="136"/>
      <c r="FN144" s="136"/>
      <c r="FO144" s="161"/>
      <c r="FP144" s="161"/>
      <c r="FQ144" s="161"/>
      <c r="FR144" s="161"/>
      <c r="FS144" s="161"/>
      <c r="FT144" s="161"/>
      <c r="FU144" s="135"/>
      <c r="FV144" s="135"/>
      <c r="FW144" s="135"/>
      <c r="FX144" s="135"/>
      <c r="FY144" s="135"/>
      <c r="FZ144" s="135"/>
      <c r="GA144" s="136"/>
      <c r="GB144" s="136"/>
      <c r="GC144" s="161"/>
      <c r="GD144" s="161"/>
      <c r="GE144" s="161"/>
      <c r="GF144" s="161"/>
      <c r="GG144" s="161"/>
      <c r="GH144" s="161"/>
      <c r="GI144" s="135"/>
      <c r="GJ144" s="135"/>
      <c r="GK144" s="135"/>
      <c r="GL144" s="135"/>
      <c r="GM144" s="135"/>
      <c r="GN144" s="135"/>
    </row>
    <row r="145" spans="1:196" hidden="1">
      <c r="A145" s="140"/>
      <c r="B145" s="128" t="s">
        <v>907</v>
      </c>
      <c r="C145" s="128" t="s">
        <v>927</v>
      </c>
      <c r="D145" s="138"/>
      <c r="E145" s="119" t="e">
        <f>VLOOKUP(C145,#REF!,5,0)</f>
        <v>#REF!</v>
      </c>
      <c r="F145" s="129"/>
      <c r="G145" s="127">
        <v>12</v>
      </c>
      <c r="H145" s="129"/>
      <c r="I145" s="110">
        <v>46207</v>
      </c>
      <c r="J145" s="111">
        <f t="shared" si="187"/>
        <v>0</v>
      </c>
      <c r="K145" s="163" t="s">
        <v>918</v>
      </c>
      <c r="L145" s="135"/>
      <c r="M145" s="136"/>
      <c r="N145" s="136"/>
      <c r="O145" s="136"/>
      <c r="P145" s="136"/>
      <c r="Q145" s="136"/>
      <c r="R145" s="136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6"/>
      <c r="AD145" s="136"/>
      <c r="AE145" s="161"/>
      <c r="AF145" s="161"/>
      <c r="AG145" s="161">
        <v>12</v>
      </c>
      <c r="AH145" s="161"/>
      <c r="AI145" s="161"/>
      <c r="AJ145" s="161"/>
      <c r="AK145" s="135"/>
      <c r="AL145" s="135"/>
      <c r="AM145" s="135"/>
      <c r="AN145" s="135"/>
      <c r="AO145" s="135"/>
      <c r="AP145" s="135"/>
      <c r="AQ145" s="136"/>
      <c r="AR145" s="136"/>
      <c r="AS145" s="161"/>
      <c r="AT145" s="161"/>
      <c r="AU145" s="161"/>
      <c r="AV145" s="161"/>
      <c r="AW145" s="161"/>
      <c r="AX145" s="161"/>
      <c r="AY145" s="135"/>
      <c r="AZ145" s="135"/>
      <c r="BA145" s="135"/>
      <c r="BB145" s="135"/>
      <c r="BC145" s="135"/>
      <c r="BD145" s="135"/>
      <c r="BE145" s="136"/>
      <c r="BF145" s="136"/>
      <c r="BG145" s="161"/>
      <c r="BH145" s="161"/>
      <c r="BI145" s="161"/>
      <c r="BJ145" s="161"/>
      <c r="BK145" s="161"/>
      <c r="BL145" s="161"/>
      <c r="BM145" s="135"/>
      <c r="BN145" s="135"/>
      <c r="BO145" s="135"/>
      <c r="BP145" s="135"/>
      <c r="BQ145" s="135"/>
      <c r="BR145" s="135"/>
      <c r="BS145" s="136"/>
      <c r="BT145" s="136"/>
      <c r="BU145" s="161"/>
      <c r="BV145" s="161"/>
      <c r="BW145" s="161"/>
      <c r="BX145" s="161"/>
      <c r="BY145" s="161"/>
      <c r="BZ145" s="161"/>
      <c r="CA145" s="135"/>
      <c r="CB145" s="135"/>
      <c r="CC145" s="135"/>
      <c r="CD145" s="135"/>
      <c r="CE145" s="135"/>
      <c r="CF145" s="135"/>
      <c r="CG145" s="136"/>
      <c r="CH145" s="136"/>
      <c r="CI145" s="161"/>
      <c r="CJ145" s="161"/>
      <c r="CK145" s="161"/>
      <c r="CL145" s="161"/>
      <c r="CM145" s="161"/>
      <c r="CN145" s="161"/>
      <c r="CO145" s="135"/>
      <c r="CP145" s="135"/>
      <c r="CQ145" s="135"/>
      <c r="CR145" s="135"/>
      <c r="CS145" s="135"/>
      <c r="CT145" s="135"/>
      <c r="CU145" s="136"/>
      <c r="CV145" s="136"/>
      <c r="CW145" s="161"/>
      <c r="CX145" s="161"/>
      <c r="CY145" s="161"/>
      <c r="CZ145" s="161"/>
      <c r="DA145" s="161"/>
      <c r="DB145" s="161"/>
      <c r="DC145" s="135"/>
      <c r="DD145" s="135"/>
      <c r="DE145" s="135"/>
      <c r="DF145" s="135"/>
      <c r="DG145" s="135"/>
      <c r="DH145" s="135"/>
      <c r="DI145" s="136"/>
      <c r="DJ145" s="136"/>
      <c r="DK145" s="161"/>
      <c r="DL145" s="161"/>
      <c r="DM145" s="161"/>
      <c r="DN145" s="161"/>
      <c r="DO145" s="161"/>
      <c r="DP145" s="161"/>
      <c r="DQ145" s="135"/>
      <c r="DR145" s="135"/>
      <c r="DS145" s="135"/>
      <c r="DT145" s="135"/>
      <c r="DU145" s="135"/>
      <c r="DV145" s="135"/>
      <c r="DW145" s="136"/>
      <c r="DX145" s="136"/>
      <c r="DY145" s="161"/>
      <c r="DZ145" s="161"/>
      <c r="EA145" s="161"/>
      <c r="EB145" s="161"/>
      <c r="EC145" s="161"/>
      <c r="ED145" s="161"/>
      <c r="EE145" s="135"/>
      <c r="EF145" s="135"/>
      <c r="EG145" s="135"/>
      <c r="EH145" s="135"/>
      <c r="EI145" s="135"/>
      <c r="EJ145" s="135"/>
      <c r="EK145" s="136"/>
      <c r="EL145" s="136"/>
      <c r="EM145" s="136"/>
      <c r="EN145" s="136"/>
      <c r="EO145" s="136"/>
      <c r="EP145" s="136"/>
      <c r="EQ145" s="136"/>
      <c r="ER145" s="136"/>
      <c r="ES145" s="135"/>
      <c r="ET145" s="135"/>
      <c r="EU145" s="135"/>
      <c r="EV145" s="135"/>
      <c r="EW145" s="135"/>
      <c r="EX145" s="135"/>
      <c r="EY145" s="136"/>
      <c r="EZ145" s="136"/>
      <c r="FA145" s="161"/>
      <c r="FB145" s="161"/>
      <c r="FC145" s="161"/>
      <c r="FD145" s="161"/>
      <c r="FE145" s="161"/>
      <c r="FF145" s="161"/>
      <c r="FG145" s="135"/>
      <c r="FH145" s="135"/>
      <c r="FI145" s="135"/>
      <c r="FJ145" s="135"/>
      <c r="FK145" s="135"/>
      <c r="FL145" s="135"/>
      <c r="FM145" s="136"/>
      <c r="FN145" s="136"/>
      <c r="FO145" s="161"/>
      <c r="FP145" s="161"/>
      <c r="FQ145" s="161"/>
      <c r="FR145" s="161"/>
      <c r="FS145" s="161"/>
      <c r="FT145" s="161"/>
      <c r="FU145" s="135"/>
      <c r="FV145" s="135"/>
      <c r="FW145" s="135"/>
      <c r="FX145" s="135"/>
      <c r="FY145" s="135"/>
      <c r="FZ145" s="135"/>
      <c r="GA145" s="136"/>
      <c r="GB145" s="136"/>
      <c r="GC145" s="161"/>
      <c r="GD145" s="161"/>
      <c r="GE145" s="161"/>
      <c r="GF145" s="161"/>
      <c r="GG145" s="161"/>
      <c r="GH145" s="161"/>
      <c r="GI145" s="135"/>
      <c r="GJ145" s="135"/>
      <c r="GK145" s="135"/>
      <c r="GL145" s="135"/>
      <c r="GM145" s="135"/>
      <c r="GN145" s="135"/>
    </row>
    <row r="146" spans="1:196" hidden="1">
      <c r="A146" s="140"/>
      <c r="B146" s="128" t="s">
        <v>908</v>
      </c>
      <c r="C146" s="128" t="s">
        <v>928</v>
      </c>
      <c r="D146" s="138"/>
      <c r="E146" s="119" t="e">
        <f>VLOOKUP(C146,#REF!,5,0)</f>
        <v>#REF!</v>
      </c>
      <c r="F146" s="129"/>
      <c r="G146" s="127">
        <v>3</v>
      </c>
      <c r="H146" s="129"/>
      <c r="I146" s="110">
        <v>46207</v>
      </c>
      <c r="J146" s="111">
        <f t="shared" si="187"/>
        <v>0</v>
      </c>
      <c r="K146" s="163" t="s">
        <v>919</v>
      </c>
      <c r="L146" s="135"/>
      <c r="M146" s="136"/>
      <c r="N146" s="136"/>
      <c r="O146" s="136"/>
      <c r="P146" s="136"/>
      <c r="Q146" s="136"/>
      <c r="R146" s="136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6"/>
      <c r="AD146" s="136"/>
      <c r="AE146" s="161"/>
      <c r="AF146" s="161"/>
      <c r="AG146" s="161">
        <v>3</v>
      </c>
      <c r="AH146" s="161"/>
      <c r="AI146" s="161"/>
      <c r="AJ146" s="161"/>
      <c r="AK146" s="135"/>
      <c r="AL146" s="135"/>
      <c r="AM146" s="135"/>
      <c r="AN146" s="135"/>
      <c r="AO146" s="135"/>
      <c r="AP146" s="135"/>
      <c r="AQ146" s="136"/>
      <c r="AR146" s="136"/>
      <c r="AS146" s="161"/>
      <c r="AT146" s="161"/>
      <c r="AU146" s="161"/>
      <c r="AV146" s="161"/>
      <c r="AW146" s="161"/>
      <c r="AX146" s="161"/>
      <c r="AY146" s="135"/>
      <c r="AZ146" s="135"/>
      <c r="BA146" s="135"/>
      <c r="BB146" s="135"/>
      <c r="BC146" s="135"/>
      <c r="BD146" s="135"/>
      <c r="BE146" s="136"/>
      <c r="BF146" s="136"/>
      <c r="BG146" s="161"/>
      <c r="BH146" s="161"/>
      <c r="BI146" s="161"/>
      <c r="BJ146" s="161"/>
      <c r="BK146" s="161"/>
      <c r="BL146" s="161"/>
      <c r="BM146" s="135"/>
      <c r="BN146" s="135"/>
      <c r="BO146" s="135"/>
      <c r="BP146" s="135"/>
      <c r="BQ146" s="135"/>
      <c r="BR146" s="135"/>
      <c r="BS146" s="136"/>
      <c r="BT146" s="136"/>
      <c r="BU146" s="161"/>
      <c r="BV146" s="161"/>
      <c r="BW146" s="161"/>
      <c r="BX146" s="161"/>
      <c r="BY146" s="161"/>
      <c r="BZ146" s="161"/>
      <c r="CA146" s="135"/>
      <c r="CB146" s="135"/>
      <c r="CC146" s="135"/>
      <c r="CD146" s="135"/>
      <c r="CE146" s="135"/>
      <c r="CF146" s="135"/>
      <c r="CG146" s="136"/>
      <c r="CH146" s="136"/>
      <c r="CI146" s="161"/>
      <c r="CJ146" s="161"/>
      <c r="CK146" s="161"/>
      <c r="CL146" s="161"/>
      <c r="CM146" s="161"/>
      <c r="CN146" s="161"/>
      <c r="CO146" s="135"/>
      <c r="CP146" s="135"/>
      <c r="CQ146" s="135"/>
      <c r="CR146" s="135"/>
      <c r="CS146" s="135"/>
      <c r="CT146" s="135"/>
      <c r="CU146" s="136"/>
      <c r="CV146" s="136"/>
      <c r="CW146" s="161"/>
      <c r="CX146" s="161"/>
      <c r="CY146" s="161"/>
      <c r="CZ146" s="161"/>
      <c r="DA146" s="161"/>
      <c r="DB146" s="161"/>
      <c r="DC146" s="135"/>
      <c r="DD146" s="135"/>
      <c r="DE146" s="135"/>
      <c r="DF146" s="135"/>
      <c r="DG146" s="135"/>
      <c r="DH146" s="135"/>
      <c r="DI146" s="136"/>
      <c r="DJ146" s="136"/>
      <c r="DK146" s="161"/>
      <c r="DL146" s="161"/>
      <c r="DM146" s="161"/>
      <c r="DN146" s="161"/>
      <c r="DO146" s="161"/>
      <c r="DP146" s="161"/>
      <c r="DQ146" s="135"/>
      <c r="DR146" s="135"/>
      <c r="DS146" s="135"/>
      <c r="DT146" s="135"/>
      <c r="DU146" s="135"/>
      <c r="DV146" s="135"/>
      <c r="DW146" s="136"/>
      <c r="DX146" s="136"/>
      <c r="DY146" s="161"/>
      <c r="DZ146" s="161"/>
      <c r="EA146" s="161"/>
      <c r="EB146" s="161"/>
      <c r="EC146" s="161"/>
      <c r="ED146" s="161"/>
      <c r="EE146" s="135"/>
      <c r="EF146" s="135"/>
      <c r="EG146" s="135"/>
      <c r="EH146" s="135"/>
      <c r="EI146" s="135"/>
      <c r="EJ146" s="135"/>
      <c r="EK146" s="136"/>
      <c r="EL146" s="136"/>
      <c r="EM146" s="136"/>
      <c r="EN146" s="136"/>
      <c r="EO146" s="136"/>
      <c r="EP146" s="136"/>
      <c r="EQ146" s="136"/>
      <c r="ER146" s="136"/>
      <c r="ES146" s="135"/>
      <c r="ET146" s="135"/>
      <c r="EU146" s="135"/>
      <c r="EV146" s="135"/>
      <c r="EW146" s="135"/>
      <c r="EX146" s="135"/>
      <c r="EY146" s="136"/>
      <c r="EZ146" s="136"/>
      <c r="FA146" s="161"/>
      <c r="FB146" s="161"/>
      <c r="FC146" s="161"/>
      <c r="FD146" s="161"/>
      <c r="FE146" s="161"/>
      <c r="FF146" s="161"/>
      <c r="FG146" s="135"/>
      <c r="FH146" s="135"/>
      <c r="FI146" s="135"/>
      <c r="FJ146" s="135"/>
      <c r="FK146" s="135"/>
      <c r="FL146" s="135"/>
      <c r="FM146" s="136"/>
      <c r="FN146" s="136"/>
      <c r="FO146" s="161"/>
      <c r="FP146" s="161"/>
      <c r="FQ146" s="161"/>
      <c r="FR146" s="161"/>
      <c r="FS146" s="161"/>
      <c r="FT146" s="161"/>
      <c r="FU146" s="135"/>
      <c r="FV146" s="135"/>
      <c r="FW146" s="135"/>
      <c r="FX146" s="135"/>
      <c r="FY146" s="135"/>
      <c r="FZ146" s="135"/>
      <c r="GA146" s="136"/>
      <c r="GB146" s="136"/>
      <c r="GC146" s="161"/>
      <c r="GD146" s="161"/>
      <c r="GE146" s="161"/>
      <c r="GF146" s="161"/>
      <c r="GG146" s="161"/>
      <c r="GH146" s="161"/>
      <c r="GI146" s="135"/>
      <c r="GJ146" s="135"/>
      <c r="GK146" s="135"/>
      <c r="GL146" s="135"/>
      <c r="GM146" s="135"/>
      <c r="GN146" s="135"/>
    </row>
    <row r="147" spans="1:196" hidden="1">
      <c r="A147" s="140"/>
      <c r="B147" s="128" t="s">
        <v>764</v>
      </c>
      <c r="C147" s="128" t="s">
        <v>773</v>
      </c>
      <c r="D147" s="138"/>
      <c r="E147" s="119" t="e">
        <f>VLOOKUP(C147,#REF!,5,0)</f>
        <v>#REF!</v>
      </c>
      <c r="F147" s="129"/>
      <c r="G147" s="127">
        <v>8</v>
      </c>
      <c r="H147" s="129"/>
      <c r="I147" s="110">
        <v>46184</v>
      </c>
      <c r="J147" s="111">
        <f t="shared" si="187"/>
        <v>0</v>
      </c>
      <c r="K147" s="163" t="s">
        <v>766</v>
      </c>
      <c r="L147" s="135"/>
      <c r="M147" s="136"/>
      <c r="N147" s="136"/>
      <c r="O147" s="136"/>
      <c r="P147" s="136"/>
      <c r="Q147" s="136"/>
      <c r="R147" s="136"/>
      <c r="S147" s="135"/>
      <c r="T147" s="161"/>
      <c r="U147" s="161"/>
      <c r="V147" s="161"/>
      <c r="W147" s="135"/>
      <c r="X147" s="135"/>
      <c r="Y147" s="135"/>
      <c r="Z147" s="135"/>
      <c r="AA147" s="135"/>
      <c r="AB147" s="135"/>
      <c r="AC147" s="136"/>
      <c r="AD147" s="136"/>
      <c r="AE147" s="135"/>
      <c r="AF147" s="161"/>
      <c r="AG147" s="135"/>
      <c r="AH147" s="161"/>
      <c r="AI147" s="135">
        <v>8</v>
      </c>
      <c r="AJ147" s="161"/>
      <c r="AK147" s="135"/>
      <c r="AL147" s="135"/>
      <c r="AM147" s="135"/>
      <c r="AN147" s="135"/>
      <c r="AO147" s="135"/>
      <c r="AP147" s="135"/>
      <c r="AQ147" s="136"/>
      <c r="AR147" s="136"/>
      <c r="AS147" s="161"/>
      <c r="AT147" s="161"/>
      <c r="AU147" s="161"/>
      <c r="AV147" s="161"/>
      <c r="AW147" s="161"/>
      <c r="AX147" s="161"/>
      <c r="AY147" s="135"/>
      <c r="AZ147" s="135"/>
      <c r="BA147" s="135"/>
      <c r="BB147" s="135"/>
      <c r="BC147" s="135"/>
      <c r="BD147" s="135"/>
      <c r="BE147" s="136"/>
      <c r="BF147" s="136"/>
      <c r="BG147" s="161"/>
      <c r="BH147" s="161"/>
      <c r="BI147" s="161"/>
      <c r="BJ147" s="161"/>
      <c r="BK147" s="161"/>
      <c r="BL147" s="161"/>
      <c r="BM147" s="135"/>
      <c r="BN147" s="135"/>
      <c r="BO147" s="135"/>
      <c r="BP147" s="135"/>
      <c r="BQ147" s="135"/>
      <c r="BR147" s="135"/>
      <c r="BS147" s="136"/>
      <c r="BT147" s="136"/>
      <c r="BU147" s="161"/>
      <c r="BV147" s="161"/>
      <c r="BW147" s="161"/>
      <c r="BX147" s="161"/>
      <c r="BY147" s="161"/>
      <c r="BZ147" s="161"/>
      <c r="CA147" s="135"/>
      <c r="CB147" s="135"/>
      <c r="CC147" s="135"/>
      <c r="CD147" s="135"/>
      <c r="CE147" s="135"/>
      <c r="CF147" s="135"/>
      <c r="CG147" s="136"/>
      <c r="CH147" s="136"/>
      <c r="CI147" s="161"/>
      <c r="CJ147" s="161"/>
      <c r="CK147" s="161"/>
      <c r="CL147" s="161"/>
      <c r="CM147" s="161"/>
      <c r="CN147" s="161"/>
      <c r="CO147" s="135"/>
      <c r="CP147" s="135"/>
      <c r="CQ147" s="135"/>
      <c r="CR147" s="135"/>
      <c r="CS147" s="135"/>
      <c r="CT147" s="135"/>
      <c r="CU147" s="136"/>
      <c r="CV147" s="136"/>
      <c r="CW147" s="161"/>
      <c r="CX147" s="161"/>
      <c r="CY147" s="161"/>
      <c r="CZ147" s="161"/>
      <c r="DA147" s="161"/>
      <c r="DB147" s="161"/>
      <c r="DC147" s="135"/>
      <c r="DD147" s="135"/>
      <c r="DE147" s="135"/>
      <c r="DF147" s="135"/>
      <c r="DG147" s="135"/>
      <c r="DH147" s="135"/>
      <c r="DI147" s="136"/>
      <c r="DJ147" s="136"/>
      <c r="DK147" s="161"/>
      <c r="DL147" s="161"/>
      <c r="DM147" s="161"/>
      <c r="DN147" s="161"/>
      <c r="DO147" s="161"/>
      <c r="DP147" s="161"/>
      <c r="DQ147" s="135"/>
      <c r="DR147" s="135"/>
      <c r="DS147" s="135"/>
      <c r="DT147" s="135"/>
      <c r="DU147" s="135"/>
      <c r="DV147" s="135"/>
      <c r="DW147" s="136"/>
      <c r="DX147" s="136"/>
      <c r="DY147" s="161"/>
      <c r="DZ147" s="161"/>
      <c r="EA147" s="161"/>
      <c r="EB147" s="161"/>
      <c r="EC147" s="161"/>
      <c r="ED147" s="161"/>
      <c r="EE147" s="135"/>
      <c r="EF147" s="135"/>
      <c r="EG147" s="135"/>
      <c r="EH147" s="135"/>
      <c r="EI147" s="135"/>
      <c r="EJ147" s="135"/>
      <c r="EK147" s="136"/>
      <c r="EL147" s="136"/>
      <c r="EM147" s="136"/>
      <c r="EN147" s="136"/>
      <c r="EO147" s="136"/>
      <c r="EP147" s="136"/>
      <c r="EQ147" s="136"/>
      <c r="ER147" s="136"/>
      <c r="ES147" s="135"/>
      <c r="ET147" s="135"/>
      <c r="EU147" s="135"/>
      <c r="EV147" s="135"/>
      <c r="EW147" s="135"/>
      <c r="EX147" s="135"/>
      <c r="EY147" s="136"/>
      <c r="EZ147" s="136"/>
      <c r="FA147" s="161"/>
      <c r="FB147" s="161"/>
      <c r="FC147" s="161"/>
      <c r="FD147" s="161"/>
      <c r="FE147" s="161"/>
      <c r="FF147" s="161"/>
      <c r="FG147" s="135"/>
      <c r="FH147" s="135"/>
      <c r="FI147" s="135"/>
      <c r="FJ147" s="135"/>
      <c r="FK147" s="135"/>
      <c r="FL147" s="135"/>
      <c r="FM147" s="136"/>
      <c r="FN147" s="136"/>
      <c r="FO147" s="161"/>
      <c r="FP147" s="161"/>
      <c r="FQ147" s="161"/>
      <c r="FR147" s="161"/>
      <c r="FS147" s="161"/>
      <c r="FT147" s="161"/>
      <c r="FU147" s="135"/>
      <c r="FV147" s="135"/>
      <c r="FW147" s="135"/>
      <c r="FX147" s="135"/>
      <c r="FY147" s="135"/>
      <c r="FZ147" s="135"/>
      <c r="GA147" s="136"/>
      <c r="GB147" s="136"/>
      <c r="GC147" s="161"/>
      <c r="GD147" s="161"/>
      <c r="GE147" s="161"/>
      <c r="GF147" s="161"/>
      <c r="GG147" s="161"/>
      <c r="GH147" s="161"/>
      <c r="GI147" s="135"/>
      <c r="GJ147" s="135"/>
      <c r="GK147" s="135"/>
      <c r="GL147" s="135"/>
      <c r="GM147" s="135"/>
      <c r="GN147" s="135"/>
    </row>
    <row r="148" spans="1:196" hidden="1">
      <c r="A148" s="140"/>
      <c r="B148" s="128" t="s">
        <v>903</v>
      </c>
      <c r="C148" s="128" t="s">
        <v>696</v>
      </c>
      <c r="D148" s="138"/>
      <c r="E148" s="119" t="e">
        <f>VLOOKUP(C148,#REF!,5,0)</f>
        <v>#REF!</v>
      </c>
      <c r="F148" s="129"/>
      <c r="G148" s="127">
        <v>16</v>
      </c>
      <c r="H148" s="129"/>
      <c r="I148" s="110">
        <v>46207</v>
      </c>
      <c r="J148" s="111">
        <f t="shared" si="187"/>
        <v>0</v>
      </c>
      <c r="K148" s="163" t="s">
        <v>913</v>
      </c>
      <c r="L148" s="135"/>
      <c r="M148" s="136"/>
      <c r="N148" s="136"/>
      <c r="O148" s="136"/>
      <c r="P148" s="136"/>
      <c r="Q148" s="136"/>
      <c r="R148" s="136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6"/>
      <c r="AD148" s="136"/>
      <c r="AE148" s="161"/>
      <c r="AF148" s="161"/>
      <c r="AG148" s="161"/>
      <c r="AH148" s="161"/>
      <c r="AI148" s="161">
        <v>16</v>
      </c>
      <c r="AJ148" s="161"/>
      <c r="AK148" s="135"/>
      <c r="AL148" s="135"/>
      <c r="AM148" s="161"/>
      <c r="AN148" s="135"/>
      <c r="AO148" s="135"/>
      <c r="AP148" s="135"/>
      <c r="AQ148" s="136"/>
      <c r="AR148" s="136"/>
      <c r="AS148" s="161"/>
      <c r="AT148" s="161"/>
      <c r="AU148" s="161"/>
      <c r="AV148" s="161"/>
      <c r="AW148" s="161"/>
      <c r="AX148" s="161"/>
      <c r="AY148" s="135"/>
      <c r="AZ148" s="135"/>
      <c r="BA148" s="135"/>
      <c r="BB148" s="135"/>
      <c r="BC148" s="135"/>
      <c r="BD148" s="135"/>
      <c r="BE148" s="136"/>
      <c r="BF148" s="136"/>
      <c r="BG148" s="161"/>
      <c r="BH148" s="161"/>
      <c r="BI148" s="161"/>
      <c r="BJ148" s="161"/>
      <c r="BK148" s="161"/>
      <c r="BL148" s="161"/>
      <c r="BM148" s="135"/>
      <c r="BN148" s="135"/>
      <c r="BO148" s="135"/>
      <c r="BP148" s="135"/>
      <c r="BQ148" s="135"/>
      <c r="BR148" s="135"/>
      <c r="BS148" s="136"/>
      <c r="BT148" s="136"/>
      <c r="BU148" s="161"/>
      <c r="BV148" s="161"/>
      <c r="BW148" s="161"/>
      <c r="BX148" s="161"/>
      <c r="BY148" s="161"/>
      <c r="BZ148" s="161"/>
      <c r="CA148" s="135"/>
      <c r="CB148" s="135"/>
      <c r="CC148" s="135"/>
      <c r="CD148" s="135"/>
      <c r="CE148" s="135"/>
      <c r="CF148" s="135"/>
      <c r="CG148" s="136"/>
      <c r="CH148" s="136"/>
      <c r="CI148" s="161"/>
      <c r="CJ148" s="161"/>
      <c r="CK148" s="161"/>
      <c r="CL148" s="161"/>
      <c r="CM148" s="161"/>
      <c r="CN148" s="161"/>
      <c r="CO148" s="135"/>
      <c r="CP148" s="135"/>
      <c r="CQ148" s="135"/>
      <c r="CR148" s="135"/>
      <c r="CS148" s="135"/>
      <c r="CT148" s="135"/>
      <c r="CU148" s="136"/>
      <c r="CV148" s="136"/>
      <c r="CW148" s="161"/>
      <c r="CX148" s="161"/>
      <c r="CY148" s="161"/>
      <c r="CZ148" s="161"/>
      <c r="DA148" s="161"/>
      <c r="DB148" s="161"/>
      <c r="DC148" s="135"/>
      <c r="DD148" s="135"/>
      <c r="DE148" s="135"/>
      <c r="DF148" s="135"/>
      <c r="DG148" s="135"/>
      <c r="DH148" s="135"/>
      <c r="DI148" s="136"/>
      <c r="DJ148" s="136"/>
      <c r="DK148" s="161"/>
      <c r="DL148" s="161"/>
      <c r="DM148" s="161"/>
      <c r="DN148" s="161"/>
      <c r="DO148" s="161"/>
      <c r="DP148" s="161"/>
      <c r="DQ148" s="135"/>
      <c r="DR148" s="135"/>
      <c r="DS148" s="135"/>
      <c r="DT148" s="135"/>
      <c r="DU148" s="135"/>
      <c r="DV148" s="135"/>
      <c r="DW148" s="136"/>
      <c r="DX148" s="136"/>
      <c r="DY148" s="161"/>
      <c r="DZ148" s="161"/>
      <c r="EA148" s="161"/>
      <c r="EB148" s="161"/>
      <c r="EC148" s="161"/>
      <c r="ED148" s="161"/>
      <c r="EE148" s="135"/>
      <c r="EF148" s="135"/>
      <c r="EG148" s="135"/>
      <c r="EH148" s="135"/>
      <c r="EI148" s="135"/>
      <c r="EJ148" s="135"/>
      <c r="EK148" s="136"/>
      <c r="EL148" s="136"/>
      <c r="EM148" s="136"/>
      <c r="EN148" s="136"/>
      <c r="EO148" s="136"/>
      <c r="EP148" s="136"/>
      <c r="EQ148" s="136"/>
      <c r="ER148" s="136"/>
      <c r="ES148" s="135"/>
      <c r="ET148" s="135"/>
      <c r="EU148" s="135"/>
      <c r="EV148" s="135"/>
      <c r="EW148" s="135"/>
      <c r="EX148" s="135"/>
      <c r="EY148" s="136"/>
      <c r="EZ148" s="136"/>
      <c r="FA148" s="161"/>
      <c r="FB148" s="161"/>
      <c r="FC148" s="161"/>
      <c r="FD148" s="161"/>
      <c r="FE148" s="161"/>
      <c r="FF148" s="161"/>
      <c r="FG148" s="135"/>
      <c r="FH148" s="135"/>
      <c r="FI148" s="135"/>
      <c r="FJ148" s="135"/>
      <c r="FK148" s="135"/>
      <c r="FL148" s="135"/>
      <c r="FM148" s="136"/>
      <c r="FN148" s="136"/>
      <c r="FO148" s="161"/>
      <c r="FP148" s="161"/>
      <c r="FQ148" s="161"/>
      <c r="FR148" s="161"/>
      <c r="FS148" s="161"/>
      <c r="FT148" s="161"/>
      <c r="FU148" s="135"/>
      <c r="FV148" s="135"/>
      <c r="FW148" s="135"/>
      <c r="FX148" s="135"/>
      <c r="FY148" s="135"/>
      <c r="FZ148" s="135"/>
      <c r="GA148" s="136"/>
      <c r="GB148" s="136"/>
      <c r="GC148" s="161"/>
      <c r="GD148" s="161"/>
      <c r="GE148" s="161"/>
      <c r="GF148" s="161"/>
      <c r="GG148" s="161"/>
      <c r="GH148" s="161"/>
      <c r="GI148" s="135"/>
      <c r="GJ148" s="135"/>
      <c r="GK148" s="135"/>
      <c r="GL148" s="135"/>
      <c r="GM148" s="135"/>
      <c r="GN148" s="135"/>
    </row>
    <row r="149" spans="1:196" hidden="1">
      <c r="A149" s="140"/>
      <c r="B149" s="128" t="s">
        <v>904</v>
      </c>
      <c r="C149" s="128" t="s">
        <v>923</v>
      </c>
      <c r="D149" s="138"/>
      <c r="E149" s="119" t="e">
        <f>VLOOKUP(C149,#REF!,5,0)</f>
        <v>#REF!</v>
      </c>
      <c r="F149" s="129"/>
      <c r="G149" s="127">
        <v>12</v>
      </c>
      <c r="H149" s="129"/>
      <c r="I149" s="110">
        <v>46207</v>
      </c>
      <c r="J149" s="111">
        <f t="shared" si="187"/>
        <v>0</v>
      </c>
      <c r="K149" s="163" t="s">
        <v>914</v>
      </c>
      <c r="L149" s="135"/>
      <c r="M149" s="136"/>
      <c r="N149" s="136"/>
      <c r="O149" s="136"/>
      <c r="P149" s="136"/>
      <c r="Q149" s="136"/>
      <c r="R149" s="136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6"/>
      <c r="AD149" s="136"/>
      <c r="AE149" s="161"/>
      <c r="AF149" s="161"/>
      <c r="AG149" s="161"/>
      <c r="AH149" s="161"/>
      <c r="AI149" s="161">
        <v>12</v>
      </c>
      <c r="AJ149" s="161"/>
      <c r="AK149" s="135"/>
      <c r="AL149" s="135"/>
      <c r="AM149" s="161"/>
      <c r="AN149" s="135"/>
      <c r="AO149" s="135"/>
      <c r="AP149" s="135"/>
      <c r="AQ149" s="136"/>
      <c r="AR149" s="136"/>
      <c r="AS149" s="161"/>
      <c r="AT149" s="161"/>
      <c r="AU149" s="161"/>
      <c r="AV149" s="161"/>
      <c r="AW149" s="161"/>
      <c r="AX149" s="161"/>
      <c r="AY149" s="135"/>
      <c r="AZ149" s="135"/>
      <c r="BA149" s="135"/>
      <c r="BB149" s="135"/>
      <c r="BC149" s="135"/>
      <c r="BD149" s="135"/>
      <c r="BE149" s="136"/>
      <c r="BF149" s="136"/>
      <c r="BG149" s="161"/>
      <c r="BH149" s="161"/>
      <c r="BI149" s="161"/>
      <c r="BJ149" s="161"/>
      <c r="BK149" s="161"/>
      <c r="BL149" s="161"/>
      <c r="BM149" s="135"/>
      <c r="BN149" s="135"/>
      <c r="BO149" s="135"/>
      <c r="BP149" s="135"/>
      <c r="BQ149" s="135"/>
      <c r="BR149" s="135"/>
      <c r="BS149" s="136"/>
      <c r="BT149" s="136"/>
      <c r="BU149" s="161"/>
      <c r="BV149" s="161"/>
      <c r="BW149" s="161"/>
      <c r="BX149" s="161"/>
      <c r="BY149" s="161"/>
      <c r="BZ149" s="161"/>
      <c r="CA149" s="135"/>
      <c r="CB149" s="135"/>
      <c r="CC149" s="135"/>
      <c r="CD149" s="135"/>
      <c r="CE149" s="135"/>
      <c r="CF149" s="135"/>
      <c r="CG149" s="136"/>
      <c r="CH149" s="136"/>
      <c r="CI149" s="161"/>
      <c r="CJ149" s="161"/>
      <c r="CK149" s="161"/>
      <c r="CL149" s="161"/>
      <c r="CM149" s="161"/>
      <c r="CN149" s="161"/>
      <c r="CO149" s="135"/>
      <c r="CP149" s="135"/>
      <c r="CQ149" s="135"/>
      <c r="CR149" s="135"/>
      <c r="CS149" s="135"/>
      <c r="CT149" s="135"/>
      <c r="CU149" s="136"/>
      <c r="CV149" s="136"/>
      <c r="CW149" s="161"/>
      <c r="CX149" s="161"/>
      <c r="CY149" s="161"/>
      <c r="CZ149" s="161"/>
      <c r="DA149" s="161"/>
      <c r="DB149" s="161"/>
      <c r="DC149" s="135"/>
      <c r="DD149" s="135"/>
      <c r="DE149" s="135"/>
      <c r="DF149" s="135"/>
      <c r="DG149" s="135"/>
      <c r="DH149" s="135"/>
      <c r="DI149" s="136"/>
      <c r="DJ149" s="136"/>
      <c r="DK149" s="161"/>
      <c r="DL149" s="161"/>
      <c r="DM149" s="161"/>
      <c r="DN149" s="161"/>
      <c r="DO149" s="161"/>
      <c r="DP149" s="161"/>
      <c r="DQ149" s="135"/>
      <c r="DR149" s="135"/>
      <c r="DS149" s="135"/>
      <c r="DT149" s="135"/>
      <c r="DU149" s="135"/>
      <c r="DV149" s="135"/>
      <c r="DW149" s="136"/>
      <c r="DX149" s="136"/>
      <c r="DY149" s="161"/>
      <c r="DZ149" s="161"/>
      <c r="EA149" s="161"/>
      <c r="EB149" s="161"/>
      <c r="EC149" s="161"/>
      <c r="ED149" s="161"/>
      <c r="EE149" s="135"/>
      <c r="EF149" s="135"/>
      <c r="EG149" s="135"/>
      <c r="EH149" s="135"/>
      <c r="EI149" s="135"/>
      <c r="EJ149" s="135"/>
      <c r="EK149" s="136"/>
      <c r="EL149" s="136"/>
      <c r="EM149" s="136"/>
      <c r="EN149" s="136"/>
      <c r="EO149" s="136"/>
      <c r="EP149" s="136"/>
      <c r="EQ149" s="136"/>
      <c r="ER149" s="136"/>
      <c r="ES149" s="135"/>
      <c r="ET149" s="135"/>
      <c r="EU149" s="135"/>
      <c r="EV149" s="135"/>
      <c r="EW149" s="135"/>
      <c r="EX149" s="135"/>
      <c r="EY149" s="136"/>
      <c r="EZ149" s="136"/>
      <c r="FA149" s="161"/>
      <c r="FB149" s="161"/>
      <c r="FC149" s="161"/>
      <c r="FD149" s="161"/>
      <c r="FE149" s="161"/>
      <c r="FF149" s="161"/>
      <c r="FG149" s="135"/>
      <c r="FH149" s="135"/>
      <c r="FI149" s="135"/>
      <c r="FJ149" s="135"/>
      <c r="FK149" s="135"/>
      <c r="FL149" s="135"/>
      <c r="FM149" s="136"/>
      <c r="FN149" s="136"/>
      <c r="FO149" s="161"/>
      <c r="FP149" s="161"/>
      <c r="FQ149" s="161"/>
      <c r="FR149" s="161"/>
      <c r="FS149" s="161"/>
      <c r="FT149" s="161"/>
      <c r="FU149" s="135"/>
      <c r="FV149" s="135"/>
      <c r="FW149" s="135"/>
      <c r="FX149" s="135"/>
      <c r="FY149" s="135"/>
      <c r="FZ149" s="135"/>
      <c r="GA149" s="136"/>
      <c r="GB149" s="136"/>
      <c r="GC149" s="161"/>
      <c r="GD149" s="161"/>
      <c r="GE149" s="161"/>
      <c r="GF149" s="161"/>
      <c r="GG149" s="161"/>
      <c r="GH149" s="161"/>
      <c r="GI149" s="135"/>
      <c r="GJ149" s="135"/>
      <c r="GK149" s="135"/>
      <c r="GL149" s="135"/>
      <c r="GM149" s="135"/>
      <c r="GN149" s="135"/>
    </row>
    <row r="150" spans="1:196" hidden="1">
      <c r="A150" s="140"/>
      <c r="B150" s="128" t="s">
        <v>906</v>
      </c>
      <c r="C150" s="128" t="s">
        <v>925</v>
      </c>
      <c r="D150" s="138"/>
      <c r="E150" s="119" t="e">
        <f>VLOOKUP(C150,#REF!,5,0)</f>
        <v>#REF!</v>
      </c>
      <c r="F150" s="129"/>
      <c r="G150" s="127">
        <v>6</v>
      </c>
      <c r="H150" s="129"/>
      <c r="I150" s="110">
        <v>46207</v>
      </c>
      <c r="J150" s="111">
        <f t="shared" si="187"/>
        <v>0</v>
      </c>
      <c r="K150" s="163" t="s">
        <v>916</v>
      </c>
      <c r="L150" s="135"/>
      <c r="M150" s="136"/>
      <c r="N150" s="136"/>
      <c r="O150" s="136"/>
      <c r="P150" s="136"/>
      <c r="Q150" s="136"/>
      <c r="R150" s="136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6"/>
      <c r="AD150" s="136"/>
      <c r="AE150" s="161"/>
      <c r="AF150" s="161"/>
      <c r="AG150" s="161"/>
      <c r="AH150" s="161"/>
      <c r="AI150" s="161">
        <v>3</v>
      </c>
      <c r="AJ150" s="161"/>
      <c r="AK150" s="135"/>
      <c r="AL150" s="135"/>
      <c r="AM150" s="161">
        <v>3</v>
      </c>
      <c r="AN150" s="135"/>
      <c r="AO150" s="135"/>
      <c r="AP150" s="135"/>
      <c r="AQ150" s="136"/>
      <c r="AR150" s="136"/>
      <c r="AS150" s="161"/>
      <c r="AT150" s="161"/>
      <c r="AU150" s="161"/>
      <c r="AV150" s="161"/>
      <c r="AW150" s="161"/>
      <c r="AX150" s="161"/>
      <c r="AY150" s="135"/>
      <c r="AZ150" s="135"/>
      <c r="BA150" s="135"/>
      <c r="BB150" s="135"/>
      <c r="BC150" s="135"/>
      <c r="BD150" s="135"/>
      <c r="BE150" s="136"/>
      <c r="BF150" s="136"/>
      <c r="BG150" s="161"/>
      <c r="BH150" s="161"/>
      <c r="BI150" s="161"/>
      <c r="BJ150" s="161"/>
      <c r="BK150" s="161"/>
      <c r="BL150" s="161"/>
      <c r="BM150" s="135"/>
      <c r="BN150" s="135"/>
      <c r="BO150" s="135"/>
      <c r="BP150" s="135"/>
      <c r="BQ150" s="135"/>
      <c r="BR150" s="135"/>
      <c r="BS150" s="136"/>
      <c r="BT150" s="136"/>
      <c r="BU150" s="161"/>
      <c r="BV150" s="161"/>
      <c r="BW150" s="161"/>
      <c r="BX150" s="161"/>
      <c r="BY150" s="161"/>
      <c r="BZ150" s="161"/>
      <c r="CA150" s="135"/>
      <c r="CB150" s="135"/>
      <c r="CC150" s="135"/>
      <c r="CD150" s="135"/>
      <c r="CE150" s="135"/>
      <c r="CF150" s="135"/>
      <c r="CG150" s="136"/>
      <c r="CH150" s="136"/>
      <c r="CI150" s="161"/>
      <c r="CJ150" s="161"/>
      <c r="CK150" s="161"/>
      <c r="CL150" s="161"/>
      <c r="CM150" s="161"/>
      <c r="CN150" s="161"/>
      <c r="CO150" s="135"/>
      <c r="CP150" s="135"/>
      <c r="CQ150" s="135"/>
      <c r="CR150" s="135"/>
      <c r="CS150" s="135"/>
      <c r="CT150" s="135"/>
      <c r="CU150" s="136"/>
      <c r="CV150" s="136"/>
      <c r="CW150" s="161"/>
      <c r="CX150" s="161"/>
      <c r="CY150" s="161"/>
      <c r="CZ150" s="161"/>
      <c r="DA150" s="161"/>
      <c r="DB150" s="161"/>
      <c r="DC150" s="135"/>
      <c r="DD150" s="135"/>
      <c r="DE150" s="135"/>
      <c r="DF150" s="135"/>
      <c r="DG150" s="135"/>
      <c r="DH150" s="135"/>
      <c r="DI150" s="136"/>
      <c r="DJ150" s="136"/>
      <c r="DK150" s="161"/>
      <c r="DL150" s="161"/>
      <c r="DM150" s="161"/>
      <c r="DN150" s="161"/>
      <c r="DO150" s="161"/>
      <c r="DP150" s="161"/>
      <c r="DQ150" s="135"/>
      <c r="DR150" s="135"/>
      <c r="DS150" s="135"/>
      <c r="DT150" s="135"/>
      <c r="DU150" s="135"/>
      <c r="DV150" s="135"/>
      <c r="DW150" s="136"/>
      <c r="DX150" s="136"/>
      <c r="DY150" s="161"/>
      <c r="DZ150" s="161"/>
      <c r="EA150" s="161"/>
      <c r="EB150" s="161"/>
      <c r="EC150" s="161"/>
      <c r="ED150" s="161"/>
      <c r="EE150" s="135"/>
      <c r="EF150" s="135"/>
      <c r="EG150" s="135"/>
      <c r="EH150" s="135"/>
      <c r="EI150" s="135"/>
      <c r="EJ150" s="135"/>
      <c r="EK150" s="136"/>
      <c r="EL150" s="136"/>
      <c r="EM150" s="136"/>
      <c r="EN150" s="136"/>
      <c r="EO150" s="136"/>
      <c r="EP150" s="136"/>
      <c r="EQ150" s="136"/>
      <c r="ER150" s="136"/>
      <c r="ES150" s="135"/>
      <c r="ET150" s="135"/>
      <c r="EU150" s="135"/>
      <c r="EV150" s="135"/>
      <c r="EW150" s="135"/>
      <c r="EX150" s="135"/>
      <c r="EY150" s="136"/>
      <c r="EZ150" s="136"/>
      <c r="FA150" s="161"/>
      <c r="FB150" s="161"/>
      <c r="FC150" s="161"/>
      <c r="FD150" s="161"/>
      <c r="FE150" s="161"/>
      <c r="FF150" s="161"/>
      <c r="FG150" s="135"/>
      <c r="FH150" s="135"/>
      <c r="FI150" s="135"/>
      <c r="FJ150" s="135"/>
      <c r="FK150" s="135"/>
      <c r="FL150" s="135"/>
      <c r="FM150" s="136"/>
      <c r="FN150" s="136"/>
      <c r="FO150" s="161"/>
      <c r="FP150" s="161"/>
      <c r="FQ150" s="161"/>
      <c r="FR150" s="161"/>
      <c r="FS150" s="161"/>
      <c r="FT150" s="161"/>
      <c r="FU150" s="135"/>
      <c r="FV150" s="135"/>
      <c r="FW150" s="135"/>
      <c r="FX150" s="135"/>
      <c r="FY150" s="135"/>
      <c r="FZ150" s="135"/>
      <c r="GA150" s="136"/>
      <c r="GB150" s="136"/>
      <c r="GC150" s="161"/>
      <c r="GD150" s="161"/>
      <c r="GE150" s="161"/>
      <c r="GF150" s="161"/>
      <c r="GG150" s="161"/>
      <c r="GH150" s="161"/>
      <c r="GI150" s="135"/>
      <c r="GJ150" s="135"/>
      <c r="GK150" s="135"/>
      <c r="GL150" s="135"/>
      <c r="GM150" s="135"/>
      <c r="GN150" s="135"/>
    </row>
    <row r="151" spans="1:196" hidden="1">
      <c r="A151" s="140"/>
      <c r="B151" s="128" t="s">
        <v>939</v>
      </c>
      <c r="C151" s="128" t="s">
        <v>930</v>
      </c>
      <c r="D151" s="138"/>
      <c r="E151" s="119" t="e">
        <f>VLOOKUP(C151,#REF!,5,0)</f>
        <v>#REF!</v>
      </c>
      <c r="F151" s="129"/>
      <c r="G151" s="127">
        <v>7</v>
      </c>
      <c r="H151" s="129"/>
      <c r="I151" s="110">
        <v>46207</v>
      </c>
      <c r="J151" s="111">
        <f t="shared" si="187"/>
        <v>0</v>
      </c>
      <c r="K151" s="163" t="s">
        <v>921</v>
      </c>
      <c r="L151" s="135"/>
      <c r="M151" s="136"/>
      <c r="N151" s="136"/>
      <c r="O151" s="136"/>
      <c r="P151" s="136"/>
      <c r="Q151" s="136"/>
      <c r="R151" s="136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6"/>
      <c r="AD151" s="136"/>
      <c r="AE151" s="161"/>
      <c r="AF151" s="161"/>
      <c r="AG151" s="161"/>
      <c r="AH151" s="161"/>
      <c r="AI151" s="161"/>
      <c r="AJ151" s="161"/>
      <c r="AK151" s="135"/>
      <c r="AL151" s="135"/>
      <c r="AM151" s="161">
        <v>7</v>
      </c>
      <c r="AN151" s="135"/>
      <c r="AO151" s="135"/>
      <c r="AP151" s="135"/>
      <c r="AQ151" s="136"/>
      <c r="AR151" s="136"/>
      <c r="AS151" s="161"/>
      <c r="AT151" s="161"/>
      <c r="AU151" s="161"/>
      <c r="AV151" s="161"/>
      <c r="AW151" s="161"/>
      <c r="AX151" s="161"/>
      <c r="AY151" s="135"/>
      <c r="AZ151" s="135"/>
      <c r="BA151" s="135"/>
      <c r="BB151" s="135"/>
      <c r="BC151" s="135"/>
      <c r="BD151" s="135"/>
      <c r="BE151" s="136"/>
      <c r="BF151" s="136"/>
      <c r="BG151" s="161"/>
      <c r="BH151" s="161"/>
      <c r="BI151" s="161"/>
      <c r="BJ151" s="161"/>
      <c r="BK151" s="161"/>
      <c r="BL151" s="161"/>
      <c r="BM151" s="135"/>
      <c r="BN151" s="135"/>
      <c r="BO151" s="135"/>
      <c r="BP151" s="135"/>
      <c r="BQ151" s="135"/>
      <c r="BR151" s="135"/>
      <c r="BS151" s="136"/>
      <c r="BT151" s="136"/>
      <c r="BU151" s="161"/>
      <c r="BV151" s="161"/>
      <c r="BW151" s="161"/>
      <c r="BX151" s="161"/>
      <c r="BY151" s="161"/>
      <c r="BZ151" s="161"/>
      <c r="CA151" s="135"/>
      <c r="CB151" s="135"/>
      <c r="CC151" s="135"/>
      <c r="CD151" s="135"/>
      <c r="CE151" s="135"/>
      <c r="CF151" s="135"/>
      <c r="CG151" s="136"/>
      <c r="CH151" s="136"/>
      <c r="CI151" s="161"/>
      <c r="CJ151" s="161"/>
      <c r="CK151" s="161"/>
      <c r="CL151" s="161"/>
      <c r="CM151" s="161"/>
      <c r="CN151" s="161"/>
      <c r="CO151" s="135"/>
      <c r="CP151" s="135"/>
      <c r="CQ151" s="135"/>
      <c r="CR151" s="135"/>
      <c r="CS151" s="135"/>
      <c r="CT151" s="135"/>
      <c r="CU151" s="136"/>
      <c r="CV151" s="136"/>
      <c r="CW151" s="161"/>
      <c r="CX151" s="161"/>
      <c r="CY151" s="161"/>
      <c r="CZ151" s="161"/>
      <c r="DA151" s="161"/>
      <c r="DB151" s="161"/>
      <c r="DC151" s="135"/>
      <c r="DD151" s="135"/>
      <c r="DE151" s="135"/>
      <c r="DF151" s="135"/>
      <c r="DG151" s="135"/>
      <c r="DH151" s="135"/>
      <c r="DI151" s="136"/>
      <c r="DJ151" s="136"/>
      <c r="DK151" s="161"/>
      <c r="DL151" s="161"/>
      <c r="DM151" s="161"/>
      <c r="DN151" s="161"/>
      <c r="DO151" s="161"/>
      <c r="DP151" s="161"/>
      <c r="DQ151" s="135"/>
      <c r="DR151" s="135"/>
      <c r="DS151" s="135"/>
      <c r="DT151" s="135"/>
      <c r="DU151" s="135"/>
      <c r="DV151" s="135"/>
      <c r="DW151" s="136"/>
      <c r="DX151" s="136"/>
      <c r="DY151" s="161"/>
      <c r="DZ151" s="161"/>
      <c r="EA151" s="161"/>
      <c r="EB151" s="161"/>
      <c r="EC151" s="161"/>
      <c r="ED151" s="161"/>
      <c r="EE151" s="135"/>
      <c r="EF151" s="135"/>
      <c r="EG151" s="135"/>
      <c r="EH151" s="135"/>
      <c r="EI151" s="135"/>
      <c r="EJ151" s="135"/>
      <c r="EK151" s="136"/>
      <c r="EL151" s="136"/>
      <c r="EM151" s="136"/>
      <c r="EN151" s="136"/>
      <c r="EO151" s="136"/>
      <c r="EP151" s="136"/>
      <c r="EQ151" s="136"/>
      <c r="ER151" s="136"/>
      <c r="ES151" s="135"/>
      <c r="ET151" s="135"/>
      <c r="EU151" s="135"/>
      <c r="EV151" s="135"/>
      <c r="EW151" s="135"/>
      <c r="EX151" s="135"/>
      <c r="EY151" s="136"/>
      <c r="EZ151" s="136"/>
      <c r="FA151" s="161"/>
      <c r="FB151" s="161"/>
      <c r="FC151" s="161"/>
      <c r="FD151" s="161"/>
      <c r="FE151" s="161"/>
      <c r="FF151" s="161"/>
      <c r="FG151" s="135"/>
      <c r="FH151" s="135"/>
      <c r="FI151" s="135"/>
      <c r="FJ151" s="135"/>
      <c r="FK151" s="135"/>
      <c r="FL151" s="135"/>
      <c r="FM151" s="136"/>
      <c r="FN151" s="136"/>
      <c r="FO151" s="161"/>
      <c r="FP151" s="161"/>
      <c r="FQ151" s="161"/>
      <c r="FR151" s="161"/>
      <c r="FS151" s="161"/>
      <c r="FT151" s="161"/>
      <c r="FU151" s="135"/>
      <c r="FV151" s="135"/>
      <c r="FW151" s="135"/>
      <c r="FX151" s="135"/>
      <c r="FY151" s="135"/>
      <c r="FZ151" s="135"/>
      <c r="GA151" s="136"/>
      <c r="GB151" s="136"/>
      <c r="GC151" s="161"/>
      <c r="GD151" s="161"/>
      <c r="GE151" s="161"/>
      <c r="GF151" s="161"/>
      <c r="GG151" s="161"/>
      <c r="GH151" s="161"/>
      <c r="GI151" s="135"/>
      <c r="GJ151" s="135"/>
      <c r="GK151" s="135"/>
      <c r="GL151" s="135"/>
      <c r="GM151" s="135"/>
      <c r="GN151" s="135"/>
    </row>
    <row r="152" spans="1:196" hidden="1">
      <c r="A152" s="140"/>
      <c r="B152" s="126" t="s">
        <v>815</v>
      </c>
      <c r="C152" s="126" t="s">
        <v>795</v>
      </c>
      <c r="D152" s="119"/>
      <c r="E152" s="119" t="e">
        <f>VLOOKUP(C152,#REF!,5,0)</f>
        <v>#REF!</v>
      </c>
      <c r="F152" s="107">
        <v>46212</v>
      </c>
      <c r="G152" s="127">
        <v>750</v>
      </c>
      <c r="H152" s="6"/>
      <c r="I152" s="125">
        <v>46207</v>
      </c>
      <c r="J152" s="13">
        <f t="shared" si="187"/>
        <v>0</v>
      </c>
      <c r="K152" s="163"/>
      <c r="L152" s="135"/>
      <c r="M152" s="136"/>
      <c r="N152" s="136"/>
      <c r="O152" s="136"/>
      <c r="P152" s="136"/>
      <c r="Q152" s="136"/>
      <c r="R152" s="136"/>
      <c r="S152" s="135"/>
      <c r="T152" s="135"/>
      <c r="U152" s="135"/>
      <c r="V152" s="135"/>
      <c r="W152" s="135"/>
      <c r="X152" s="135"/>
      <c r="Y152" s="135"/>
      <c r="Z152" s="161"/>
      <c r="AA152" s="161"/>
      <c r="AB152" s="161"/>
      <c r="AC152" s="136"/>
      <c r="AD152" s="136"/>
      <c r="AE152" s="161"/>
      <c r="AF152" s="135"/>
      <c r="AG152" s="135"/>
      <c r="AH152" s="161"/>
      <c r="AI152" s="161"/>
      <c r="AJ152" s="161"/>
      <c r="AK152" s="161"/>
      <c r="AL152" s="161"/>
      <c r="AM152" s="135">
        <v>179</v>
      </c>
      <c r="AN152" s="135"/>
      <c r="AO152" s="135">
        <v>571</v>
      </c>
      <c r="AP152" s="135"/>
      <c r="AQ152" s="136"/>
      <c r="AR152" s="136"/>
      <c r="AS152" s="161"/>
      <c r="AT152" s="161"/>
      <c r="AU152" s="161"/>
      <c r="AV152" s="161"/>
      <c r="AW152" s="161"/>
      <c r="AX152" s="161"/>
      <c r="AY152" s="135"/>
      <c r="AZ152" s="135"/>
      <c r="BA152" s="135"/>
      <c r="BB152" s="135"/>
      <c r="BC152" s="135"/>
      <c r="BD152" s="135"/>
      <c r="BE152" s="136"/>
      <c r="BF152" s="136"/>
      <c r="BG152" s="161"/>
      <c r="BH152" s="161"/>
      <c r="BI152" s="161"/>
      <c r="BJ152" s="161"/>
      <c r="BK152" s="161"/>
      <c r="BL152" s="161"/>
      <c r="BM152" s="135"/>
      <c r="BN152" s="135"/>
      <c r="BO152" s="135"/>
      <c r="BP152" s="135"/>
      <c r="BQ152" s="135"/>
      <c r="BR152" s="135"/>
      <c r="BS152" s="136"/>
      <c r="BT152" s="136"/>
      <c r="BU152" s="161"/>
      <c r="BV152" s="161"/>
      <c r="BW152" s="161"/>
      <c r="BX152" s="161"/>
      <c r="BY152" s="161"/>
      <c r="BZ152" s="161"/>
      <c r="CA152" s="135"/>
      <c r="CB152" s="135"/>
      <c r="CC152" s="135"/>
      <c r="CD152" s="135"/>
      <c r="CE152" s="135"/>
      <c r="CF152" s="135"/>
      <c r="CG152" s="136"/>
      <c r="CH152" s="136"/>
      <c r="CI152" s="161"/>
      <c r="CJ152" s="161"/>
      <c r="CK152" s="161"/>
      <c r="CL152" s="161"/>
      <c r="CM152" s="161"/>
      <c r="CN152" s="161"/>
      <c r="CO152" s="135"/>
      <c r="CP152" s="135"/>
      <c r="CQ152" s="135"/>
      <c r="CR152" s="135"/>
      <c r="CS152" s="135"/>
      <c r="CT152" s="135"/>
      <c r="CU152" s="136"/>
      <c r="CV152" s="136"/>
      <c r="CW152" s="161"/>
      <c r="CX152" s="161"/>
      <c r="CY152" s="161"/>
      <c r="CZ152" s="161"/>
      <c r="DA152" s="161"/>
      <c r="DB152" s="161"/>
      <c r="DC152" s="135"/>
      <c r="DD152" s="135"/>
      <c r="DE152" s="135"/>
      <c r="DF152" s="135"/>
      <c r="DG152" s="135"/>
      <c r="DH152" s="135"/>
      <c r="DI152" s="136"/>
      <c r="DJ152" s="136"/>
      <c r="DK152" s="161"/>
      <c r="DL152" s="161"/>
      <c r="DM152" s="161"/>
      <c r="DN152" s="161"/>
      <c r="DO152" s="161"/>
      <c r="DP152" s="161"/>
      <c r="DQ152" s="135"/>
      <c r="DR152" s="135"/>
      <c r="DS152" s="135"/>
      <c r="DT152" s="135"/>
      <c r="DU152" s="135"/>
      <c r="DV152" s="135"/>
      <c r="DW152" s="136"/>
      <c r="DX152" s="136"/>
      <c r="DY152" s="161"/>
      <c r="DZ152" s="161"/>
      <c r="EA152" s="161"/>
      <c r="EB152" s="161"/>
      <c r="EC152" s="161"/>
      <c r="ED152" s="161"/>
      <c r="EE152" s="135"/>
      <c r="EF152" s="135"/>
      <c r="EG152" s="135"/>
      <c r="EH152" s="135"/>
      <c r="EI152" s="135"/>
      <c r="EJ152" s="135"/>
      <c r="EK152" s="136"/>
      <c r="EL152" s="136"/>
      <c r="EM152" s="136"/>
      <c r="EN152" s="136"/>
      <c r="EO152" s="136"/>
      <c r="EP152" s="136"/>
      <c r="EQ152" s="136"/>
      <c r="ER152" s="136"/>
      <c r="ES152" s="135"/>
      <c r="ET152" s="135"/>
      <c r="EU152" s="135"/>
      <c r="EV152" s="135"/>
      <c r="EW152" s="135"/>
      <c r="EX152" s="135"/>
      <c r="EY152" s="136"/>
      <c r="EZ152" s="136"/>
      <c r="FA152" s="161"/>
      <c r="FB152" s="161"/>
      <c r="FC152" s="161"/>
      <c r="FD152" s="161"/>
      <c r="FE152" s="161"/>
      <c r="FF152" s="161"/>
      <c r="FG152" s="135"/>
      <c r="FH152" s="135"/>
      <c r="FI152" s="135"/>
      <c r="FJ152" s="135"/>
      <c r="FK152" s="135"/>
      <c r="FL152" s="135"/>
      <c r="FM152" s="136"/>
      <c r="FN152" s="136"/>
      <c r="FO152" s="161"/>
      <c r="FP152" s="161"/>
      <c r="FQ152" s="161"/>
      <c r="FR152" s="161"/>
      <c r="FS152" s="161"/>
      <c r="FT152" s="161"/>
      <c r="FU152" s="135"/>
      <c r="FV152" s="135"/>
      <c r="FW152" s="135"/>
      <c r="FX152" s="135"/>
      <c r="FY152" s="135"/>
      <c r="FZ152" s="135"/>
      <c r="GA152" s="136"/>
      <c r="GB152" s="136"/>
      <c r="GC152" s="161"/>
      <c r="GD152" s="161"/>
      <c r="GE152" s="161"/>
      <c r="GF152" s="161"/>
      <c r="GG152" s="161"/>
      <c r="GH152" s="161"/>
      <c r="GI152" s="135"/>
      <c r="GJ152" s="135"/>
      <c r="GK152" s="135"/>
      <c r="GL152" s="135"/>
      <c r="GM152" s="135"/>
      <c r="GN152" s="135"/>
    </row>
    <row r="153" spans="1:196" hidden="1">
      <c r="A153" s="140"/>
      <c r="B153" s="126" t="s">
        <v>786</v>
      </c>
      <c r="C153" s="126" t="s">
        <v>609</v>
      </c>
      <c r="D153" s="119"/>
      <c r="E153" s="119" t="e">
        <f>VLOOKUP(C153,#REF!,5,0)</f>
        <v>#REF!</v>
      </c>
      <c r="F153" s="107">
        <v>46212</v>
      </c>
      <c r="G153" s="127">
        <v>490</v>
      </c>
      <c r="H153" s="6"/>
      <c r="I153" s="125">
        <v>46221</v>
      </c>
      <c r="J153" s="13">
        <f t="shared" si="187"/>
        <v>0</v>
      </c>
      <c r="K153" s="124" t="s">
        <v>935</v>
      </c>
      <c r="L153" s="135"/>
      <c r="M153" s="136"/>
      <c r="N153" s="136"/>
      <c r="O153" s="136"/>
      <c r="P153" s="136"/>
      <c r="Q153" s="136"/>
      <c r="R153" s="136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6"/>
      <c r="AD153" s="136"/>
      <c r="AE153" s="161"/>
      <c r="AF153" s="161"/>
      <c r="AG153" s="161"/>
      <c r="AH153" s="161"/>
      <c r="AI153" s="161"/>
      <c r="AJ153" s="161"/>
      <c r="AK153" s="161"/>
      <c r="AL153" s="161"/>
      <c r="AM153" s="135"/>
      <c r="AN153" s="135"/>
      <c r="AO153" s="135">
        <v>490</v>
      </c>
      <c r="AP153" s="135"/>
      <c r="AQ153" s="136"/>
      <c r="AR153" s="136"/>
      <c r="AS153" s="161"/>
      <c r="AT153" s="161"/>
      <c r="AU153" s="161"/>
      <c r="AV153" s="161"/>
      <c r="AW153" s="161"/>
      <c r="AX153" s="161"/>
      <c r="AY153" s="135"/>
      <c r="AZ153" s="135"/>
      <c r="BA153" s="135"/>
      <c r="BB153" s="135"/>
      <c r="BC153" s="135"/>
      <c r="BD153" s="135"/>
      <c r="BE153" s="136"/>
      <c r="BF153" s="136"/>
      <c r="BG153" s="161"/>
      <c r="BH153" s="161"/>
      <c r="BI153" s="161"/>
      <c r="BJ153" s="161"/>
      <c r="BK153" s="161"/>
      <c r="BL153" s="161"/>
      <c r="BM153" s="135"/>
      <c r="BN153" s="135"/>
      <c r="BO153" s="135"/>
      <c r="BP153" s="135"/>
      <c r="BQ153" s="135"/>
      <c r="BR153" s="135"/>
      <c r="BS153" s="136"/>
      <c r="BT153" s="136"/>
      <c r="BU153" s="161"/>
      <c r="BV153" s="161"/>
      <c r="BW153" s="161"/>
      <c r="BX153" s="161"/>
      <c r="BY153" s="161"/>
      <c r="BZ153" s="161"/>
      <c r="CA153" s="135"/>
      <c r="CB153" s="135"/>
      <c r="CC153" s="135"/>
      <c r="CD153" s="135"/>
      <c r="CE153" s="135"/>
      <c r="CF153" s="135"/>
      <c r="CG153" s="136"/>
      <c r="CH153" s="136"/>
      <c r="CI153" s="161"/>
      <c r="CJ153" s="161"/>
      <c r="CK153" s="161"/>
      <c r="CL153" s="161"/>
      <c r="CM153" s="161"/>
      <c r="CN153" s="161"/>
      <c r="CO153" s="135"/>
      <c r="CP153" s="135"/>
      <c r="CQ153" s="135"/>
      <c r="CR153" s="135"/>
      <c r="CS153" s="135"/>
      <c r="CT153" s="135"/>
      <c r="CU153" s="136"/>
      <c r="CV153" s="136"/>
      <c r="CW153" s="161"/>
      <c r="CX153" s="161"/>
      <c r="CY153" s="161"/>
      <c r="CZ153" s="161"/>
      <c r="DA153" s="161"/>
      <c r="DB153" s="161"/>
      <c r="DC153" s="135"/>
      <c r="DD153" s="135"/>
      <c r="DE153" s="135"/>
      <c r="DF153" s="135"/>
      <c r="DG153" s="135"/>
      <c r="DH153" s="135"/>
      <c r="DI153" s="136"/>
      <c r="DJ153" s="136"/>
      <c r="DK153" s="161"/>
      <c r="DL153" s="161"/>
      <c r="DM153" s="161"/>
      <c r="DN153" s="161"/>
      <c r="DO153" s="161"/>
      <c r="DP153" s="161"/>
      <c r="DQ153" s="135"/>
      <c r="DR153" s="135"/>
      <c r="DS153" s="135"/>
      <c r="DT153" s="135"/>
      <c r="DU153" s="135"/>
      <c r="DV153" s="135"/>
      <c r="DW153" s="136"/>
      <c r="DX153" s="136"/>
      <c r="DY153" s="161"/>
      <c r="DZ153" s="161"/>
      <c r="EA153" s="161"/>
      <c r="EB153" s="161"/>
      <c r="EC153" s="161"/>
      <c r="ED153" s="161"/>
      <c r="EE153" s="135"/>
      <c r="EF153" s="135"/>
      <c r="EG153" s="135"/>
      <c r="EH153" s="135"/>
      <c r="EI153" s="135"/>
      <c r="EJ153" s="135"/>
      <c r="EK153" s="136"/>
      <c r="EL153" s="136"/>
      <c r="EM153" s="136"/>
      <c r="EN153" s="136"/>
      <c r="EO153" s="136"/>
      <c r="EP153" s="136"/>
      <c r="EQ153" s="136"/>
      <c r="ER153" s="136"/>
      <c r="ES153" s="135"/>
      <c r="ET153" s="135"/>
      <c r="EU153" s="135"/>
      <c r="EV153" s="135"/>
      <c r="EW153" s="135"/>
      <c r="EX153" s="135"/>
      <c r="EY153" s="136"/>
      <c r="EZ153" s="136"/>
      <c r="FA153" s="161"/>
      <c r="FB153" s="161"/>
      <c r="FC153" s="161"/>
      <c r="FD153" s="161"/>
      <c r="FE153" s="161"/>
      <c r="FF153" s="161"/>
      <c r="FG153" s="135"/>
      <c r="FH153" s="135"/>
      <c r="FI153" s="135"/>
      <c r="FJ153" s="135"/>
      <c r="FK153" s="135"/>
      <c r="FL153" s="135"/>
      <c r="FM153" s="136"/>
      <c r="FN153" s="136"/>
      <c r="FO153" s="161"/>
      <c r="FP153" s="161"/>
      <c r="FQ153" s="161"/>
      <c r="FR153" s="161"/>
      <c r="FS153" s="161"/>
      <c r="FT153" s="161"/>
      <c r="FU153" s="135"/>
      <c r="FV153" s="135"/>
      <c r="FW153" s="135"/>
      <c r="FX153" s="135"/>
      <c r="FY153" s="135"/>
      <c r="FZ153" s="135"/>
      <c r="GA153" s="136"/>
      <c r="GB153" s="136"/>
      <c r="GC153" s="161"/>
      <c r="GD153" s="161"/>
      <c r="GE153" s="161"/>
      <c r="GF153" s="161"/>
      <c r="GG153" s="161"/>
      <c r="GH153" s="161"/>
      <c r="GI153" s="135"/>
      <c r="GJ153" s="135"/>
      <c r="GK153" s="135"/>
      <c r="GL153" s="135"/>
      <c r="GM153" s="135"/>
      <c r="GN153" s="135"/>
    </row>
    <row r="154" spans="1:196" hidden="1">
      <c r="A154" s="140"/>
      <c r="B154" s="126" t="s">
        <v>936</v>
      </c>
      <c r="C154" s="126" t="s">
        <v>609</v>
      </c>
      <c r="D154" s="119"/>
      <c r="E154" s="119" t="e">
        <f>VLOOKUP(C154,#REF!,5,0)</f>
        <v>#REF!</v>
      </c>
      <c r="F154" s="107">
        <v>46212</v>
      </c>
      <c r="G154" s="127">
        <v>134</v>
      </c>
      <c r="H154" s="6"/>
      <c r="I154" s="125">
        <v>46221</v>
      </c>
      <c r="J154" s="13">
        <f t="shared" si="187"/>
        <v>0</v>
      </c>
      <c r="K154" s="124" t="s">
        <v>993</v>
      </c>
      <c r="L154" s="135"/>
      <c r="M154" s="136"/>
      <c r="N154" s="136"/>
      <c r="O154" s="136"/>
      <c r="P154" s="136"/>
      <c r="Q154" s="136"/>
      <c r="R154" s="136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6"/>
      <c r="AD154" s="136"/>
      <c r="AE154" s="161"/>
      <c r="AF154" s="161"/>
      <c r="AG154" s="161"/>
      <c r="AH154" s="161"/>
      <c r="AI154" s="161"/>
      <c r="AJ154" s="161"/>
      <c r="AK154" s="135"/>
      <c r="AL154" s="135"/>
      <c r="AM154" s="135"/>
      <c r="AN154" s="135"/>
      <c r="AO154" s="135">
        <v>134</v>
      </c>
      <c r="AP154" s="135"/>
      <c r="AQ154" s="136"/>
      <c r="AR154" s="136"/>
      <c r="AS154" s="161"/>
      <c r="AT154" s="161"/>
      <c r="AU154" s="161"/>
      <c r="AV154" s="161"/>
      <c r="AW154" s="161"/>
      <c r="AX154" s="161"/>
      <c r="AY154" s="135"/>
      <c r="AZ154" s="135"/>
      <c r="BA154" s="135"/>
      <c r="BB154" s="135"/>
      <c r="BC154" s="135"/>
      <c r="BD154" s="135"/>
      <c r="BE154" s="136"/>
      <c r="BF154" s="136"/>
      <c r="BG154" s="161"/>
      <c r="BH154" s="161"/>
      <c r="BI154" s="161"/>
      <c r="BJ154" s="161"/>
      <c r="BK154" s="161"/>
      <c r="BL154" s="161"/>
      <c r="BM154" s="135"/>
      <c r="BN154" s="135"/>
      <c r="BO154" s="135"/>
      <c r="BP154" s="135"/>
      <c r="BQ154" s="135"/>
      <c r="BR154" s="135"/>
      <c r="BS154" s="136"/>
      <c r="BT154" s="136"/>
      <c r="BU154" s="161"/>
      <c r="BV154" s="161"/>
      <c r="BW154" s="161"/>
      <c r="BX154" s="161"/>
      <c r="BY154" s="161"/>
      <c r="BZ154" s="161"/>
      <c r="CA154" s="135"/>
      <c r="CB154" s="135"/>
      <c r="CC154" s="135"/>
      <c r="CD154" s="135"/>
      <c r="CE154" s="135"/>
      <c r="CF154" s="135"/>
      <c r="CG154" s="136"/>
      <c r="CH154" s="136"/>
      <c r="CI154" s="161"/>
      <c r="CJ154" s="161"/>
      <c r="CK154" s="161"/>
      <c r="CL154" s="161"/>
      <c r="CM154" s="161"/>
      <c r="CN154" s="161"/>
      <c r="CO154" s="135"/>
      <c r="CP154" s="135"/>
      <c r="CQ154" s="135"/>
      <c r="CR154" s="135"/>
      <c r="CS154" s="135"/>
      <c r="CT154" s="135"/>
      <c r="CU154" s="136"/>
      <c r="CV154" s="136"/>
      <c r="CW154" s="161"/>
      <c r="CX154" s="161"/>
      <c r="CY154" s="161"/>
      <c r="CZ154" s="161"/>
      <c r="DA154" s="161"/>
      <c r="DB154" s="161"/>
      <c r="DC154" s="135"/>
      <c r="DD154" s="135"/>
      <c r="DE154" s="135"/>
      <c r="DF154" s="135"/>
      <c r="DG154" s="135"/>
      <c r="DH154" s="135"/>
      <c r="DI154" s="136"/>
      <c r="DJ154" s="136"/>
      <c r="DK154" s="161"/>
      <c r="DL154" s="161"/>
      <c r="DM154" s="161"/>
      <c r="DN154" s="161"/>
      <c r="DO154" s="161"/>
      <c r="DP154" s="161"/>
      <c r="DQ154" s="135"/>
      <c r="DR154" s="135"/>
      <c r="DS154" s="135"/>
      <c r="DT154" s="135"/>
      <c r="DU154" s="135"/>
      <c r="DV154" s="135"/>
      <c r="DW154" s="136"/>
      <c r="DX154" s="136"/>
      <c r="DY154" s="161"/>
      <c r="DZ154" s="161"/>
      <c r="EA154" s="161"/>
      <c r="EB154" s="161"/>
      <c r="EC154" s="161"/>
      <c r="ED154" s="161"/>
      <c r="EE154" s="135"/>
      <c r="EF154" s="135"/>
      <c r="EG154" s="135"/>
      <c r="EH154" s="135"/>
      <c r="EI154" s="135"/>
      <c r="EJ154" s="135"/>
      <c r="EK154" s="136"/>
      <c r="EL154" s="136"/>
      <c r="EM154" s="136"/>
      <c r="EN154" s="136"/>
      <c r="EO154" s="136"/>
      <c r="EP154" s="136"/>
      <c r="EQ154" s="136"/>
      <c r="ER154" s="136"/>
      <c r="ES154" s="135"/>
      <c r="ET154" s="135"/>
      <c r="EU154" s="135"/>
      <c r="EV154" s="135"/>
      <c r="EW154" s="135"/>
      <c r="EX154" s="135"/>
      <c r="EY154" s="136"/>
      <c r="EZ154" s="136"/>
      <c r="FA154" s="161"/>
      <c r="FB154" s="161"/>
      <c r="FC154" s="161"/>
      <c r="FD154" s="161"/>
      <c r="FE154" s="161"/>
      <c r="FF154" s="161"/>
      <c r="FG154" s="135"/>
      <c r="FH154" s="135"/>
      <c r="FI154" s="135"/>
      <c r="FJ154" s="135"/>
      <c r="FK154" s="135"/>
      <c r="FL154" s="135"/>
      <c r="FM154" s="136"/>
      <c r="FN154" s="136"/>
      <c r="FO154" s="161"/>
      <c r="FP154" s="161"/>
      <c r="FQ154" s="161"/>
      <c r="FR154" s="161"/>
      <c r="FS154" s="161"/>
      <c r="FT154" s="161"/>
      <c r="FU154" s="135"/>
      <c r="FV154" s="135"/>
      <c r="FW154" s="135"/>
      <c r="FX154" s="135"/>
      <c r="FY154" s="135"/>
      <c r="FZ154" s="135"/>
      <c r="GA154" s="136"/>
      <c r="GB154" s="136"/>
      <c r="GC154" s="161"/>
      <c r="GD154" s="161"/>
      <c r="GE154" s="161"/>
      <c r="GF154" s="161"/>
      <c r="GG154" s="161"/>
      <c r="GH154" s="161"/>
      <c r="GI154" s="135"/>
      <c r="GJ154" s="135"/>
      <c r="GK154" s="135"/>
      <c r="GL154" s="135"/>
      <c r="GM154" s="135"/>
      <c r="GN154" s="135"/>
    </row>
    <row r="155" spans="1:196" ht="15.5" hidden="1">
      <c r="A155" s="140"/>
      <c r="B155" s="137" t="s">
        <v>849</v>
      </c>
      <c r="C155" s="12" t="s">
        <v>609</v>
      </c>
      <c r="D155" s="119"/>
      <c r="E155" s="119" t="e">
        <f>VLOOKUP(C155,#REF!,5,0)</f>
        <v>#REF!</v>
      </c>
      <c r="F155" s="133">
        <v>46212</v>
      </c>
      <c r="G155" s="95">
        <v>16</v>
      </c>
      <c r="H155" s="133"/>
      <c r="I155" s="108">
        <v>46214</v>
      </c>
      <c r="J155" s="134">
        <f t="shared" si="187"/>
        <v>0</v>
      </c>
      <c r="K155" s="175" t="s">
        <v>933</v>
      </c>
      <c r="L155" s="135"/>
      <c r="M155" s="136"/>
      <c r="N155" s="136"/>
      <c r="O155" s="136"/>
      <c r="P155" s="136"/>
      <c r="Q155" s="136"/>
      <c r="R155" s="136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6"/>
      <c r="AD155" s="136"/>
      <c r="AE155" s="161"/>
      <c r="AF155" s="161"/>
      <c r="AG155" s="161"/>
      <c r="AH155" s="161"/>
      <c r="AI155" s="161"/>
      <c r="AJ155" s="161"/>
      <c r="AK155" s="135"/>
      <c r="AL155" s="135"/>
      <c r="AM155" s="135"/>
      <c r="AN155" s="135"/>
      <c r="AO155" s="135">
        <v>16</v>
      </c>
      <c r="AP155" s="135"/>
      <c r="AQ155" s="136"/>
      <c r="AR155" s="136"/>
      <c r="AS155" s="161"/>
      <c r="AT155" s="161"/>
      <c r="AU155" s="161"/>
      <c r="AV155" s="161"/>
      <c r="AW155" s="161"/>
      <c r="AX155" s="161"/>
      <c r="AY155" s="135"/>
      <c r="AZ155" s="135"/>
      <c r="BA155" s="135"/>
      <c r="BB155" s="135"/>
      <c r="BC155" s="135"/>
      <c r="BD155" s="135"/>
      <c r="BE155" s="136"/>
      <c r="BF155" s="136"/>
      <c r="BG155" s="161"/>
      <c r="BH155" s="161"/>
      <c r="BI155" s="161"/>
      <c r="BJ155" s="161"/>
      <c r="BK155" s="161"/>
      <c r="BL155" s="161"/>
      <c r="BM155" s="135"/>
      <c r="BN155" s="135"/>
      <c r="BO155" s="135"/>
      <c r="BP155" s="135"/>
      <c r="BQ155" s="135"/>
      <c r="BR155" s="135"/>
      <c r="BS155" s="136"/>
      <c r="BT155" s="136"/>
      <c r="BU155" s="161"/>
      <c r="BV155" s="161"/>
      <c r="BW155" s="161"/>
      <c r="BX155" s="161"/>
      <c r="BY155" s="161"/>
      <c r="BZ155" s="161"/>
      <c r="CA155" s="135"/>
      <c r="CB155" s="135"/>
      <c r="CC155" s="135"/>
      <c r="CD155" s="135"/>
      <c r="CE155" s="135"/>
      <c r="CF155" s="135"/>
      <c r="CG155" s="136"/>
      <c r="CH155" s="136"/>
      <c r="CI155" s="161"/>
      <c r="CJ155" s="161"/>
      <c r="CK155" s="161"/>
      <c r="CL155" s="161"/>
      <c r="CM155" s="161"/>
      <c r="CN155" s="161"/>
      <c r="CO155" s="135"/>
      <c r="CP155" s="135"/>
      <c r="CQ155" s="135"/>
      <c r="CR155" s="135"/>
      <c r="CS155" s="135"/>
      <c r="CT155" s="135"/>
      <c r="CU155" s="136"/>
      <c r="CV155" s="136"/>
      <c r="CW155" s="161"/>
      <c r="CX155" s="161"/>
      <c r="CY155" s="161"/>
      <c r="CZ155" s="161"/>
      <c r="DA155" s="161"/>
      <c r="DB155" s="161"/>
      <c r="DC155" s="135"/>
      <c r="DD155" s="135"/>
      <c r="DE155" s="135"/>
      <c r="DF155" s="135"/>
      <c r="DG155" s="135"/>
      <c r="DH155" s="135"/>
      <c r="DI155" s="136"/>
      <c r="DJ155" s="136"/>
      <c r="DK155" s="161"/>
      <c r="DL155" s="161"/>
      <c r="DM155" s="161"/>
      <c r="DN155" s="161"/>
      <c r="DO155" s="161"/>
      <c r="DP155" s="161"/>
      <c r="DQ155" s="135"/>
      <c r="DR155" s="135"/>
      <c r="DS155" s="135"/>
      <c r="DT155" s="135"/>
      <c r="DU155" s="135"/>
      <c r="DV155" s="135"/>
      <c r="DW155" s="136"/>
      <c r="DX155" s="136"/>
      <c r="DY155" s="161"/>
      <c r="DZ155" s="161"/>
      <c r="EA155" s="161"/>
      <c r="EB155" s="161"/>
      <c r="EC155" s="161"/>
      <c r="ED155" s="161"/>
      <c r="EE155" s="135"/>
      <c r="EF155" s="135"/>
      <c r="EG155" s="135"/>
      <c r="EH155" s="135"/>
      <c r="EI155" s="135"/>
      <c r="EJ155" s="135"/>
      <c r="EK155" s="136"/>
      <c r="EL155" s="136"/>
      <c r="EM155" s="136"/>
      <c r="EN155" s="136"/>
      <c r="EO155" s="136"/>
      <c r="EP155" s="136"/>
      <c r="EQ155" s="136"/>
      <c r="ER155" s="136"/>
      <c r="ES155" s="135"/>
      <c r="ET155" s="135"/>
      <c r="EU155" s="135"/>
      <c r="EV155" s="135"/>
      <c r="EW155" s="135"/>
      <c r="EX155" s="135"/>
      <c r="EY155" s="136"/>
      <c r="EZ155" s="136"/>
      <c r="FA155" s="161"/>
      <c r="FB155" s="161"/>
      <c r="FC155" s="161"/>
      <c r="FD155" s="161"/>
      <c r="FE155" s="161"/>
      <c r="FF155" s="161"/>
      <c r="FG155" s="135"/>
      <c r="FH155" s="135"/>
      <c r="FI155" s="135"/>
      <c r="FJ155" s="135"/>
      <c r="FK155" s="135"/>
      <c r="FL155" s="135"/>
      <c r="FM155" s="136"/>
      <c r="FN155" s="136"/>
      <c r="FO155" s="161"/>
      <c r="FP155" s="161"/>
      <c r="FQ155" s="161"/>
      <c r="FR155" s="161"/>
      <c r="FS155" s="161"/>
      <c r="FT155" s="161"/>
      <c r="FU155" s="135"/>
      <c r="FV155" s="135"/>
      <c r="FW155" s="135"/>
      <c r="FX155" s="135"/>
      <c r="FY155" s="135"/>
      <c r="FZ155" s="135"/>
      <c r="GA155" s="136"/>
      <c r="GB155" s="136"/>
      <c r="GC155" s="161"/>
      <c r="GD155" s="161"/>
      <c r="GE155" s="161"/>
      <c r="GF155" s="161"/>
      <c r="GG155" s="161"/>
      <c r="GH155" s="161"/>
      <c r="GI155" s="135"/>
      <c r="GJ155" s="135"/>
      <c r="GK155" s="135"/>
      <c r="GL155" s="135"/>
      <c r="GM155" s="135"/>
      <c r="GN155" s="135"/>
    </row>
    <row r="156" spans="1:196" hidden="1">
      <c r="A156" s="140"/>
      <c r="B156" s="126" t="s">
        <v>807</v>
      </c>
      <c r="C156" s="126" t="s">
        <v>186</v>
      </c>
      <c r="D156" s="119"/>
      <c r="E156" s="119" t="e">
        <f>VLOOKUP(C156,#REF!,5,0)</f>
        <v>#REF!</v>
      </c>
      <c r="F156" s="107">
        <v>46209</v>
      </c>
      <c r="G156" s="127">
        <v>1600</v>
      </c>
      <c r="H156" s="107">
        <v>46214</v>
      </c>
      <c r="I156" s="125">
        <v>46207</v>
      </c>
      <c r="J156" s="13">
        <f t="shared" si="187"/>
        <v>0</v>
      </c>
      <c r="K156" s="124"/>
      <c r="L156" s="161"/>
      <c r="M156" s="136"/>
      <c r="N156" s="136"/>
      <c r="O156" s="136"/>
      <c r="P156" s="136"/>
      <c r="Q156" s="136"/>
      <c r="R156" s="136"/>
      <c r="S156" s="161"/>
      <c r="T156" s="161"/>
      <c r="U156" s="161"/>
      <c r="V156" s="161"/>
      <c r="W156" s="135"/>
      <c r="X156" s="135"/>
      <c r="Y156" s="161"/>
      <c r="Z156" s="161"/>
      <c r="AA156" s="161"/>
      <c r="AB156" s="161"/>
      <c r="AC156" s="136"/>
      <c r="AD156" s="136"/>
      <c r="AE156" s="135"/>
      <c r="AF156" s="135"/>
      <c r="AG156" s="135">
        <v>711</v>
      </c>
      <c r="AH156" s="135"/>
      <c r="AI156" s="135">
        <v>889</v>
      </c>
      <c r="AJ156" s="135"/>
      <c r="AK156" s="135"/>
      <c r="AL156" s="135"/>
      <c r="AM156" s="135"/>
      <c r="AN156" s="135"/>
      <c r="AO156" s="135"/>
      <c r="AP156" s="135"/>
      <c r="AQ156" s="136"/>
      <c r="AR156" s="136"/>
      <c r="AS156" s="161"/>
      <c r="AT156" s="161"/>
      <c r="AU156" s="161"/>
      <c r="AV156" s="161"/>
      <c r="AW156" s="161"/>
      <c r="AX156" s="161"/>
      <c r="AY156" s="135"/>
      <c r="AZ156" s="135"/>
      <c r="BA156" s="135"/>
      <c r="BB156" s="135"/>
      <c r="BC156" s="135"/>
      <c r="BD156" s="135"/>
      <c r="BE156" s="136"/>
      <c r="BF156" s="136"/>
      <c r="BG156" s="161"/>
      <c r="BH156" s="161"/>
      <c r="BI156" s="161"/>
      <c r="BJ156" s="161"/>
      <c r="BK156" s="161"/>
      <c r="BL156" s="161"/>
      <c r="BM156" s="135"/>
      <c r="BN156" s="135"/>
      <c r="BO156" s="135"/>
      <c r="BP156" s="135"/>
      <c r="BQ156" s="135"/>
      <c r="BR156" s="135"/>
      <c r="BS156" s="136"/>
      <c r="BT156" s="136"/>
      <c r="BU156" s="161"/>
      <c r="BV156" s="161"/>
      <c r="BW156" s="161"/>
      <c r="BX156" s="161"/>
      <c r="BY156" s="161"/>
      <c r="BZ156" s="161"/>
      <c r="CA156" s="135"/>
      <c r="CB156" s="135"/>
      <c r="CC156" s="135"/>
      <c r="CD156" s="135"/>
      <c r="CE156" s="135"/>
      <c r="CF156" s="135"/>
      <c r="CG156" s="136"/>
      <c r="CH156" s="136"/>
      <c r="CI156" s="161"/>
      <c r="CJ156" s="161"/>
      <c r="CK156" s="161"/>
      <c r="CL156" s="161"/>
      <c r="CM156" s="161"/>
      <c r="CN156" s="161"/>
      <c r="CO156" s="135"/>
      <c r="CP156" s="135"/>
      <c r="CQ156" s="135"/>
      <c r="CR156" s="135"/>
      <c r="CS156" s="135"/>
      <c r="CT156" s="135"/>
      <c r="CU156" s="136"/>
      <c r="CV156" s="136"/>
      <c r="CW156" s="161"/>
      <c r="CX156" s="161"/>
      <c r="CY156" s="161"/>
      <c r="CZ156" s="161"/>
      <c r="DA156" s="161"/>
      <c r="DB156" s="161"/>
      <c r="DC156" s="135"/>
      <c r="DD156" s="135"/>
      <c r="DE156" s="135"/>
      <c r="DF156" s="135"/>
      <c r="DG156" s="135"/>
      <c r="DH156" s="135"/>
      <c r="DI156" s="136"/>
      <c r="DJ156" s="136"/>
      <c r="DK156" s="161"/>
      <c r="DL156" s="161"/>
      <c r="DM156" s="161"/>
      <c r="DN156" s="161"/>
      <c r="DO156" s="161"/>
      <c r="DP156" s="161"/>
      <c r="DQ156" s="135"/>
      <c r="DR156" s="135"/>
      <c r="DS156" s="135"/>
      <c r="DT156" s="135"/>
      <c r="DU156" s="135"/>
      <c r="DV156" s="135"/>
      <c r="DW156" s="136"/>
      <c r="DX156" s="136"/>
      <c r="DY156" s="161"/>
      <c r="DZ156" s="161"/>
      <c r="EA156" s="161"/>
      <c r="EB156" s="161"/>
      <c r="EC156" s="161"/>
      <c r="ED156" s="161"/>
      <c r="EE156" s="135"/>
      <c r="EF156" s="135"/>
      <c r="EG156" s="135"/>
      <c r="EH156" s="135"/>
      <c r="EI156" s="135"/>
      <c r="EJ156" s="135"/>
      <c r="EK156" s="136"/>
      <c r="EL156" s="136"/>
      <c r="EM156" s="136"/>
      <c r="EN156" s="136"/>
      <c r="EO156" s="136"/>
      <c r="EP156" s="136"/>
      <c r="EQ156" s="136"/>
      <c r="ER156" s="136"/>
      <c r="ES156" s="135"/>
      <c r="ET156" s="135"/>
      <c r="EU156" s="135"/>
      <c r="EV156" s="135"/>
      <c r="EW156" s="135"/>
      <c r="EX156" s="135"/>
      <c r="EY156" s="136"/>
      <c r="EZ156" s="136"/>
      <c r="FA156" s="161"/>
      <c r="FB156" s="161"/>
      <c r="FC156" s="161"/>
      <c r="FD156" s="161"/>
      <c r="FE156" s="161"/>
      <c r="FF156" s="161"/>
      <c r="FG156" s="135"/>
      <c r="FH156" s="135"/>
      <c r="FI156" s="135"/>
      <c r="FJ156" s="135"/>
      <c r="FK156" s="135"/>
      <c r="FL156" s="135"/>
      <c r="FM156" s="136"/>
      <c r="FN156" s="136"/>
      <c r="FO156" s="161"/>
      <c r="FP156" s="161"/>
      <c r="FQ156" s="161"/>
      <c r="FR156" s="161"/>
      <c r="FS156" s="161"/>
      <c r="FT156" s="161"/>
      <c r="FU156" s="135"/>
      <c r="FV156" s="135"/>
      <c r="FW156" s="135"/>
      <c r="FX156" s="135"/>
      <c r="FY156" s="135"/>
      <c r="FZ156" s="135"/>
      <c r="GA156" s="136"/>
      <c r="GB156" s="136"/>
      <c r="GC156" s="161"/>
      <c r="GD156" s="161"/>
      <c r="GE156" s="161"/>
      <c r="GF156" s="161"/>
      <c r="GG156" s="161"/>
      <c r="GH156" s="161"/>
      <c r="GI156" s="135"/>
      <c r="GJ156" s="135"/>
      <c r="GK156" s="135"/>
      <c r="GL156" s="135"/>
      <c r="GM156" s="135"/>
      <c r="GN156" s="135"/>
    </row>
    <row r="157" spans="1:196" hidden="1">
      <c r="A157" s="140"/>
      <c r="B157" s="126" t="s">
        <v>806</v>
      </c>
      <c r="C157" s="126" t="s">
        <v>237</v>
      </c>
      <c r="D157" s="119"/>
      <c r="E157" s="119" t="e">
        <f>VLOOKUP(C157,#REF!,5,0)</f>
        <v>#REF!</v>
      </c>
      <c r="F157" s="107">
        <v>46209</v>
      </c>
      <c r="G157" s="127">
        <v>1600</v>
      </c>
      <c r="H157" s="107">
        <v>46221</v>
      </c>
      <c r="I157" s="125">
        <v>46207</v>
      </c>
      <c r="J157" s="13">
        <f t="shared" si="187"/>
        <v>0</v>
      </c>
      <c r="K157" s="124"/>
      <c r="L157" s="161"/>
      <c r="M157" s="136"/>
      <c r="N157" s="136"/>
      <c r="O157" s="136"/>
      <c r="P157" s="136"/>
      <c r="Q157" s="136"/>
      <c r="R157" s="136"/>
      <c r="S157" s="161"/>
      <c r="T157" s="161"/>
      <c r="U157" s="161"/>
      <c r="V157" s="161"/>
      <c r="W157" s="135"/>
      <c r="X157" s="135"/>
      <c r="Y157" s="161"/>
      <c r="Z157" s="161"/>
      <c r="AA157" s="161"/>
      <c r="AB157" s="161"/>
      <c r="AC157" s="136"/>
      <c r="AD157" s="136"/>
      <c r="AE157" s="135"/>
      <c r="AF157" s="135"/>
      <c r="AG157" s="135"/>
      <c r="AH157" s="135"/>
      <c r="AI157" s="161">
        <v>1600</v>
      </c>
      <c r="AJ157" s="135"/>
      <c r="AK157" s="161"/>
      <c r="AL157" s="135"/>
      <c r="AM157" s="135"/>
      <c r="AN157" s="135"/>
      <c r="AO157" s="135"/>
      <c r="AP157" s="135"/>
      <c r="AQ157" s="136"/>
      <c r="AR157" s="136"/>
      <c r="AS157" s="161"/>
      <c r="AT157" s="161"/>
      <c r="AU157" s="161"/>
      <c r="AV157" s="161"/>
      <c r="AW157" s="161"/>
      <c r="AX157" s="161"/>
      <c r="AY157" s="135"/>
      <c r="AZ157" s="135"/>
      <c r="BA157" s="135"/>
      <c r="BB157" s="135"/>
      <c r="BC157" s="135"/>
      <c r="BD157" s="135"/>
      <c r="BE157" s="136"/>
      <c r="BF157" s="136"/>
      <c r="BG157" s="161"/>
      <c r="BH157" s="161"/>
      <c r="BI157" s="161"/>
      <c r="BJ157" s="161"/>
      <c r="BK157" s="161"/>
      <c r="BL157" s="161"/>
      <c r="BM157" s="135"/>
      <c r="BN157" s="135"/>
      <c r="BO157" s="135"/>
      <c r="BP157" s="135"/>
      <c r="BQ157" s="135"/>
      <c r="BR157" s="135"/>
      <c r="BS157" s="136"/>
      <c r="BT157" s="136"/>
      <c r="BU157" s="161"/>
      <c r="BV157" s="161"/>
      <c r="BW157" s="161"/>
      <c r="BX157" s="161"/>
      <c r="BY157" s="161"/>
      <c r="BZ157" s="161"/>
      <c r="CA157" s="135"/>
      <c r="CB157" s="135"/>
      <c r="CC157" s="135"/>
      <c r="CD157" s="135"/>
      <c r="CE157" s="135"/>
      <c r="CF157" s="135"/>
      <c r="CG157" s="136"/>
      <c r="CH157" s="136"/>
      <c r="CI157" s="161"/>
      <c r="CJ157" s="161"/>
      <c r="CK157" s="161"/>
      <c r="CL157" s="161"/>
      <c r="CM157" s="161"/>
      <c r="CN157" s="161"/>
      <c r="CO157" s="135"/>
      <c r="CP157" s="135"/>
      <c r="CQ157" s="135"/>
      <c r="CR157" s="135"/>
      <c r="CS157" s="135"/>
      <c r="CT157" s="135"/>
      <c r="CU157" s="136"/>
      <c r="CV157" s="136"/>
      <c r="CW157" s="161"/>
      <c r="CX157" s="161"/>
      <c r="CY157" s="161"/>
      <c r="CZ157" s="161"/>
      <c r="DA157" s="161"/>
      <c r="DB157" s="161"/>
      <c r="DC157" s="135"/>
      <c r="DD157" s="135"/>
      <c r="DE157" s="135"/>
      <c r="DF157" s="135"/>
      <c r="DG157" s="135"/>
      <c r="DH157" s="135"/>
      <c r="DI157" s="136"/>
      <c r="DJ157" s="136"/>
      <c r="DK157" s="161"/>
      <c r="DL157" s="161"/>
      <c r="DM157" s="161"/>
      <c r="DN157" s="161"/>
      <c r="DO157" s="161"/>
      <c r="DP157" s="161"/>
      <c r="DQ157" s="135"/>
      <c r="DR157" s="135"/>
      <c r="DS157" s="135"/>
      <c r="DT157" s="135"/>
      <c r="DU157" s="135"/>
      <c r="DV157" s="135"/>
      <c r="DW157" s="136"/>
      <c r="DX157" s="136"/>
      <c r="DY157" s="161"/>
      <c r="DZ157" s="161"/>
      <c r="EA157" s="161"/>
      <c r="EB157" s="161"/>
      <c r="EC157" s="161"/>
      <c r="ED157" s="161"/>
      <c r="EE157" s="135"/>
      <c r="EF157" s="135"/>
      <c r="EG157" s="135"/>
      <c r="EH157" s="135"/>
      <c r="EI157" s="135"/>
      <c r="EJ157" s="135"/>
      <c r="EK157" s="136"/>
      <c r="EL157" s="136"/>
      <c r="EM157" s="136"/>
      <c r="EN157" s="136"/>
      <c r="EO157" s="136"/>
      <c r="EP157" s="136"/>
      <c r="EQ157" s="136"/>
      <c r="ER157" s="136"/>
      <c r="ES157" s="135"/>
      <c r="ET157" s="135"/>
      <c r="EU157" s="135"/>
      <c r="EV157" s="135"/>
      <c r="EW157" s="135"/>
      <c r="EX157" s="135"/>
      <c r="EY157" s="136"/>
      <c r="EZ157" s="136"/>
      <c r="FA157" s="161"/>
      <c r="FB157" s="161"/>
      <c r="FC157" s="161"/>
      <c r="FD157" s="161"/>
      <c r="FE157" s="161"/>
      <c r="FF157" s="161"/>
      <c r="FG157" s="135"/>
      <c r="FH157" s="135"/>
      <c r="FI157" s="135"/>
      <c r="FJ157" s="135"/>
      <c r="FK157" s="135"/>
      <c r="FL157" s="135"/>
      <c r="FM157" s="136"/>
      <c r="FN157" s="136"/>
      <c r="FO157" s="161"/>
      <c r="FP157" s="161"/>
      <c r="FQ157" s="161"/>
      <c r="FR157" s="161"/>
      <c r="FS157" s="161"/>
      <c r="FT157" s="161"/>
      <c r="FU157" s="135"/>
      <c r="FV157" s="135"/>
      <c r="FW157" s="135"/>
      <c r="FX157" s="135"/>
      <c r="FY157" s="135"/>
      <c r="FZ157" s="135"/>
      <c r="GA157" s="136"/>
      <c r="GB157" s="136"/>
      <c r="GC157" s="161"/>
      <c r="GD157" s="161"/>
      <c r="GE157" s="161"/>
      <c r="GF157" s="161"/>
      <c r="GG157" s="161"/>
      <c r="GH157" s="161"/>
      <c r="GI157" s="135"/>
      <c r="GJ157" s="135"/>
      <c r="GK157" s="135"/>
      <c r="GL157" s="135"/>
      <c r="GM157" s="135"/>
      <c r="GN157" s="135"/>
    </row>
    <row r="158" spans="1:196" hidden="1">
      <c r="A158" s="140"/>
      <c r="B158" s="126" t="s">
        <v>759</v>
      </c>
      <c r="C158" s="126" t="s">
        <v>152</v>
      </c>
      <c r="D158" s="119"/>
      <c r="E158" s="119" t="e">
        <f>VLOOKUP(C158,#REF!,5,0)</f>
        <v>#REF!</v>
      </c>
      <c r="F158" s="107">
        <v>46209</v>
      </c>
      <c r="G158" s="127">
        <v>1116</v>
      </c>
      <c r="H158" s="107">
        <v>46223</v>
      </c>
      <c r="I158" s="125">
        <v>46207</v>
      </c>
      <c r="J158" s="13">
        <f t="shared" si="187"/>
        <v>0</v>
      </c>
      <c r="K158" s="124"/>
      <c r="L158" s="161"/>
      <c r="M158" s="136"/>
      <c r="N158" s="136"/>
      <c r="O158" s="136"/>
      <c r="P158" s="136"/>
      <c r="Q158" s="136"/>
      <c r="R158" s="136"/>
      <c r="S158" s="161"/>
      <c r="T158" s="161"/>
      <c r="U158" s="161"/>
      <c r="V158" s="161"/>
      <c r="W158" s="135"/>
      <c r="X158" s="135"/>
      <c r="Y158" s="135"/>
      <c r="Z158" s="135"/>
      <c r="AA158" s="135"/>
      <c r="AB158" s="135"/>
      <c r="AC158" s="136"/>
      <c r="AD158" s="136"/>
      <c r="AE158" s="161"/>
      <c r="AF158" s="161"/>
      <c r="AG158" s="161"/>
      <c r="AH158" s="161"/>
      <c r="AI158" s="161">
        <v>342</v>
      </c>
      <c r="AJ158" s="161"/>
      <c r="AK158" s="161">
        <v>774</v>
      </c>
      <c r="AL158" s="135"/>
      <c r="AM158" s="135"/>
      <c r="AN158" s="135"/>
      <c r="AO158" s="135"/>
      <c r="AP158" s="135"/>
      <c r="AQ158" s="136"/>
      <c r="AR158" s="136"/>
      <c r="AS158" s="161"/>
      <c r="AT158" s="161"/>
      <c r="AU158" s="161"/>
      <c r="AV158" s="161"/>
      <c r="AW158" s="161"/>
      <c r="AX158" s="161"/>
      <c r="AY158" s="135"/>
      <c r="AZ158" s="135"/>
      <c r="BA158" s="135"/>
      <c r="BB158" s="135"/>
      <c r="BC158" s="135"/>
      <c r="BD158" s="135"/>
      <c r="BE158" s="136"/>
      <c r="BF158" s="136"/>
      <c r="BG158" s="161"/>
      <c r="BH158" s="161"/>
      <c r="BI158" s="161"/>
      <c r="BJ158" s="161"/>
      <c r="BK158" s="161"/>
      <c r="BL158" s="161"/>
      <c r="BM158" s="135"/>
      <c r="BN158" s="135"/>
      <c r="BO158" s="135"/>
      <c r="BP158" s="135"/>
      <c r="BQ158" s="135"/>
      <c r="BR158" s="135"/>
      <c r="BS158" s="136"/>
      <c r="BT158" s="136"/>
      <c r="BU158" s="161"/>
      <c r="BV158" s="161"/>
      <c r="BW158" s="161"/>
      <c r="BX158" s="161"/>
      <c r="BY158" s="161"/>
      <c r="BZ158" s="161"/>
      <c r="CA158" s="135"/>
      <c r="CB158" s="135"/>
      <c r="CC158" s="135"/>
      <c r="CD158" s="135"/>
      <c r="CE158" s="135"/>
      <c r="CF158" s="135"/>
      <c r="CG158" s="136"/>
      <c r="CH158" s="136"/>
      <c r="CI158" s="161"/>
      <c r="CJ158" s="161"/>
      <c r="CK158" s="161"/>
      <c r="CL158" s="161"/>
      <c r="CM158" s="161"/>
      <c r="CN158" s="161"/>
      <c r="CO158" s="135"/>
      <c r="CP158" s="135"/>
      <c r="CQ158" s="135"/>
      <c r="CR158" s="135"/>
      <c r="CS158" s="135"/>
      <c r="CT158" s="135"/>
      <c r="CU158" s="136"/>
      <c r="CV158" s="136"/>
      <c r="CW158" s="161"/>
      <c r="CX158" s="161"/>
      <c r="CY158" s="161"/>
      <c r="CZ158" s="161"/>
      <c r="DA158" s="161"/>
      <c r="DB158" s="161"/>
      <c r="DC158" s="135"/>
      <c r="DD158" s="135"/>
      <c r="DE158" s="135"/>
      <c r="DF158" s="135"/>
      <c r="DG158" s="135"/>
      <c r="DH158" s="135"/>
      <c r="DI158" s="136"/>
      <c r="DJ158" s="136"/>
      <c r="DK158" s="161"/>
      <c r="DL158" s="161"/>
      <c r="DM158" s="161"/>
      <c r="DN158" s="161"/>
      <c r="DO158" s="161"/>
      <c r="DP158" s="161"/>
      <c r="DQ158" s="135"/>
      <c r="DR158" s="135"/>
      <c r="DS158" s="135"/>
      <c r="DT158" s="135"/>
      <c r="DU158" s="135"/>
      <c r="DV158" s="135"/>
      <c r="DW158" s="136"/>
      <c r="DX158" s="136"/>
      <c r="DY158" s="161"/>
      <c r="DZ158" s="161"/>
      <c r="EA158" s="161"/>
      <c r="EB158" s="161"/>
      <c r="EC158" s="161"/>
      <c r="ED158" s="161"/>
      <c r="EE158" s="135"/>
      <c r="EF158" s="135"/>
      <c r="EG158" s="135"/>
      <c r="EH158" s="135"/>
      <c r="EI158" s="135"/>
      <c r="EJ158" s="135"/>
      <c r="EK158" s="136"/>
      <c r="EL158" s="136"/>
      <c r="EM158" s="136"/>
      <c r="EN158" s="136"/>
      <c r="EO158" s="136"/>
      <c r="EP158" s="136"/>
      <c r="EQ158" s="136"/>
      <c r="ER158" s="136"/>
      <c r="ES158" s="135"/>
      <c r="ET158" s="135"/>
      <c r="EU158" s="135"/>
      <c r="EV158" s="135"/>
      <c r="EW158" s="135"/>
      <c r="EX158" s="135"/>
      <c r="EY158" s="136"/>
      <c r="EZ158" s="136"/>
      <c r="FA158" s="161"/>
      <c r="FB158" s="161"/>
      <c r="FC158" s="161"/>
      <c r="FD158" s="161"/>
      <c r="FE158" s="161"/>
      <c r="FF158" s="161"/>
      <c r="FG158" s="135"/>
      <c r="FH158" s="135"/>
      <c r="FI158" s="135"/>
      <c r="FJ158" s="135"/>
      <c r="FK158" s="135"/>
      <c r="FL158" s="135"/>
      <c r="FM158" s="136"/>
      <c r="FN158" s="136"/>
      <c r="FO158" s="161"/>
      <c r="FP158" s="161"/>
      <c r="FQ158" s="161"/>
      <c r="FR158" s="161"/>
      <c r="FS158" s="161"/>
      <c r="FT158" s="161"/>
      <c r="FU158" s="135"/>
      <c r="FV158" s="135"/>
      <c r="FW158" s="135"/>
      <c r="FX158" s="135"/>
      <c r="FY158" s="135"/>
      <c r="FZ158" s="135"/>
      <c r="GA158" s="136"/>
      <c r="GB158" s="136"/>
      <c r="GC158" s="161"/>
      <c r="GD158" s="161"/>
      <c r="GE158" s="161"/>
      <c r="GF158" s="161"/>
      <c r="GG158" s="161"/>
      <c r="GH158" s="161"/>
      <c r="GI158" s="135"/>
      <c r="GJ158" s="135"/>
      <c r="GK158" s="135"/>
      <c r="GL158" s="135"/>
      <c r="GM158" s="135"/>
      <c r="GN158" s="135"/>
    </row>
    <row r="159" spans="1:196" hidden="1">
      <c r="A159" s="140"/>
      <c r="B159" s="126" t="s">
        <v>783</v>
      </c>
      <c r="C159" s="126" t="s">
        <v>640</v>
      </c>
      <c r="D159" s="119"/>
      <c r="E159" s="119" t="e">
        <f>VLOOKUP(C159,#REF!,5,0)</f>
        <v>#REF!</v>
      </c>
      <c r="F159" s="107">
        <v>46204</v>
      </c>
      <c r="G159" s="127">
        <v>2500</v>
      </c>
      <c r="H159" s="107">
        <v>46214</v>
      </c>
      <c r="I159" s="125">
        <v>46200</v>
      </c>
      <c r="J159" s="13">
        <f t="shared" si="187"/>
        <v>0</v>
      </c>
      <c r="K159" s="124"/>
      <c r="L159" s="135"/>
      <c r="M159" s="136"/>
      <c r="N159" s="136"/>
      <c r="O159" s="136"/>
      <c r="P159" s="136"/>
      <c r="Q159" s="136"/>
      <c r="R159" s="136"/>
      <c r="S159" s="135"/>
      <c r="T159" s="135"/>
      <c r="U159" s="135"/>
      <c r="V159" s="135"/>
      <c r="W159" s="135"/>
      <c r="X159" s="135"/>
      <c r="Y159" s="135">
        <v>1000</v>
      </c>
      <c r="Z159" s="135"/>
      <c r="AA159" s="135"/>
      <c r="AB159" s="161"/>
      <c r="AC159" s="136"/>
      <c r="AD159" s="136"/>
      <c r="AE159" s="135"/>
      <c r="AF159" s="135"/>
      <c r="AG159" s="135"/>
      <c r="AH159" s="135"/>
      <c r="AI159" s="135"/>
      <c r="AJ159" s="161"/>
      <c r="AK159" s="161">
        <v>1500</v>
      </c>
      <c r="AL159" s="135"/>
      <c r="AM159" s="135"/>
      <c r="AN159" s="135"/>
      <c r="AO159" s="135"/>
      <c r="AP159" s="135"/>
      <c r="AQ159" s="136"/>
      <c r="AR159" s="136"/>
      <c r="AS159" s="161"/>
      <c r="AT159" s="161"/>
      <c r="AU159" s="161"/>
      <c r="AV159" s="161"/>
      <c r="AW159" s="161"/>
      <c r="AX159" s="161"/>
      <c r="AY159" s="135"/>
      <c r="AZ159" s="135"/>
      <c r="BA159" s="135"/>
      <c r="BB159" s="135"/>
      <c r="BC159" s="135"/>
      <c r="BD159" s="135"/>
      <c r="BE159" s="136"/>
      <c r="BF159" s="136"/>
      <c r="BG159" s="161"/>
      <c r="BH159" s="161"/>
      <c r="BI159" s="161"/>
      <c r="BJ159" s="161"/>
      <c r="BK159" s="161"/>
      <c r="BL159" s="161"/>
      <c r="BM159" s="135"/>
      <c r="BN159" s="135"/>
      <c r="BO159" s="135"/>
      <c r="BP159" s="135"/>
      <c r="BQ159" s="135"/>
      <c r="BR159" s="135"/>
      <c r="BS159" s="136"/>
      <c r="BT159" s="136"/>
      <c r="BU159" s="161"/>
      <c r="BV159" s="161"/>
      <c r="BW159" s="161"/>
      <c r="BX159" s="161"/>
      <c r="BY159" s="161"/>
      <c r="BZ159" s="161"/>
      <c r="CA159" s="135"/>
      <c r="CB159" s="135"/>
      <c r="CC159" s="135"/>
      <c r="CD159" s="135"/>
      <c r="CE159" s="135"/>
      <c r="CF159" s="135"/>
      <c r="CG159" s="136"/>
      <c r="CH159" s="136"/>
      <c r="CI159" s="161"/>
      <c r="CJ159" s="161"/>
      <c r="CK159" s="161"/>
      <c r="CL159" s="161"/>
      <c r="CM159" s="161"/>
      <c r="CN159" s="161"/>
      <c r="CO159" s="135"/>
      <c r="CP159" s="135"/>
      <c r="CQ159" s="135"/>
      <c r="CR159" s="135"/>
      <c r="CS159" s="135"/>
      <c r="CT159" s="135"/>
      <c r="CU159" s="136"/>
      <c r="CV159" s="136"/>
      <c r="CW159" s="161"/>
      <c r="CX159" s="161"/>
      <c r="CY159" s="161"/>
      <c r="CZ159" s="161"/>
      <c r="DA159" s="161"/>
      <c r="DB159" s="161"/>
      <c r="DC159" s="135"/>
      <c r="DD159" s="135"/>
      <c r="DE159" s="135"/>
      <c r="DF159" s="135"/>
      <c r="DG159" s="135"/>
      <c r="DH159" s="135"/>
      <c r="DI159" s="136"/>
      <c r="DJ159" s="136"/>
      <c r="DK159" s="161"/>
      <c r="DL159" s="161"/>
      <c r="DM159" s="161"/>
      <c r="DN159" s="161"/>
      <c r="DO159" s="161"/>
      <c r="DP159" s="161"/>
      <c r="DQ159" s="135"/>
      <c r="DR159" s="135"/>
      <c r="DS159" s="135"/>
      <c r="DT159" s="135"/>
      <c r="DU159" s="135"/>
      <c r="DV159" s="135"/>
      <c r="DW159" s="136"/>
      <c r="DX159" s="136"/>
      <c r="DY159" s="161"/>
      <c r="DZ159" s="161"/>
      <c r="EA159" s="161"/>
      <c r="EB159" s="161"/>
      <c r="EC159" s="161"/>
      <c r="ED159" s="161"/>
      <c r="EE159" s="135"/>
      <c r="EF159" s="135"/>
      <c r="EG159" s="135"/>
      <c r="EH159" s="135"/>
      <c r="EI159" s="135"/>
      <c r="EJ159" s="135"/>
      <c r="EK159" s="136"/>
      <c r="EL159" s="136"/>
      <c r="EM159" s="136"/>
      <c r="EN159" s="136"/>
      <c r="EO159" s="136"/>
      <c r="EP159" s="136"/>
      <c r="EQ159" s="136"/>
      <c r="ER159" s="136"/>
      <c r="ES159" s="135"/>
      <c r="ET159" s="135"/>
      <c r="EU159" s="135"/>
      <c r="EV159" s="135"/>
      <c r="EW159" s="135"/>
      <c r="EX159" s="135"/>
      <c r="EY159" s="136"/>
      <c r="EZ159" s="136"/>
      <c r="FA159" s="161"/>
      <c r="FB159" s="161"/>
      <c r="FC159" s="161"/>
      <c r="FD159" s="161"/>
      <c r="FE159" s="161"/>
      <c r="FF159" s="161"/>
      <c r="FG159" s="135"/>
      <c r="FH159" s="135"/>
      <c r="FI159" s="135"/>
      <c r="FJ159" s="135"/>
      <c r="FK159" s="135"/>
      <c r="FL159" s="135"/>
      <c r="FM159" s="136"/>
      <c r="FN159" s="136"/>
      <c r="FO159" s="161"/>
      <c r="FP159" s="161"/>
      <c r="FQ159" s="161"/>
      <c r="FR159" s="161"/>
      <c r="FS159" s="161"/>
      <c r="FT159" s="161"/>
      <c r="FU159" s="135"/>
      <c r="FV159" s="135"/>
      <c r="FW159" s="135"/>
      <c r="FX159" s="135"/>
      <c r="FY159" s="135"/>
      <c r="FZ159" s="135"/>
      <c r="GA159" s="136"/>
      <c r="GB159" s="136"/>
      <c r="GC159" s="161"/>
      <c r="GD159" s="161"/>
      <c r="GE159" s="161"/>
      <c r="GF159" s="161"/>
      <c r="GG159" s="161"/>
      <c r="GH159" s="161"/>
      <c r="GI159" s="135"/>
      <c r="GJ159" s="135"/>
      <c r="GK159" s="135"/>
      <c r="GL159" s="135"/>
      <c r="GM159" s="135"/>
      <c r="GN159" s="135"/>
    </row>
    <row r="160" spans="1:196" hidden="1">
      <c r="A160" s="140"/>
      <c r="B160" s="126" t="s">
        <v>808</v>
      </c>
      <c r="C160" s="126" t="s">
        <v>640</v>
      </c>
      <c r="D160" s="119"/>
      <c r="E160" s="119" t="e">
        <f>VLOOKUP(C160,#REF!,5,0)</f>
        <v>#REF!</v>
      </c>
      <c r="F160" s="107">
        <v>46210</v>
      </c>
      <c r="G160" s="127">
        <v>1700</v>
      </c>
      <c r="H160" s="107">
        <v>46214</v>
      </c>
      <c r="I160" s="125">
        <v>46207</v>
      </c>
      <c r="J160" s="13">
        <f t="shared" si="187"/>
        <v>0</v>
      </c>
      <c r="K160" s="163" t="s">
        <v>1059</v>
      </c>
      <c r="L160" s="161"/>
      <c r="M160" s="136"/>
      <c r="N160" s="136"/>
      <c r="O160" s="136"/>
      <c r="P160" s="136"/>
      <c r="Q160" s="136"/>
      <c r="R160" s="136"/>
      <c r="S160" s="161"/>
      <c r="T160" s="161"/>
      <c r="U160" s="161"/>
      <c r="V160" s="161"/>
      <c r="W160" s="135"/>
      <c r="X160" s="135"/>
      <c r="Y160" s="161"/>
      <c r="Z160" s="161"/>
      <c r="AA160" s="161"/>
      <c r="AB160" s="161"/>
      <c r="AC160" s="136"/>
      <c r="AD160" s="136"/>
      <c r="AE160" s="135"/>
      <c r="AF160" s="135"/>
      <c r="AG160" s="135"/>
      <c r="AH160" s="135"/>
      <c r="AI160" s="161"/>
      <c r="AJ160" s="135"/>
      <c r="AK160" s="161">
        <v>315</v>
      </c>
      <c r="AL160" s="135"/>
      <c r="AM160" s="161">
        <v>1385</v>
      </c>
      <c r="AN160" s="135"/>
      <c r="AO160" s="135"/>
      <c r="AP160" s="135"/>
      <c r="AQ160" s="136"/>
      <c r="AR160" s="136"/>
      <c r="AS160" s="161"/>
      <c r="AT160" s="161"/>
      <c r="AU160" s="161"/>
      <c r="AV160" s="161"/>
      <c r="AW160" s="161"/>
      <c r="AX160" s="161"/>
      <c r="AY160" s="135"/>
      <c r="AZ160" s="135"/>
      <c r="BA160" s="135"/>
      <c r="BB160" s="135"/>
      <c r="BC160" s="135"/>
      <c r="BD160" s="135"/>
      <c r="BE160" s="136"/>
      <c r="BF160" s="136"/>
      <c r="BG160" s="161"/>
      <c r="BH160" s="161"/>
      <c r="BI160" s="161"/>
      <c r="BJ160" s="161"/>
      <c r="BK160" s="161"/>
      <c r="BL160" s="161"/>
      <c r="BM160" s="135"/>
      <c r="BN160" s="135"/>
      <c r="BO160" s="135"/>
      <c r="BP160" s="135"/>
      <c r="BQ160" s="135"/>
      <c r="BR160" s="135"/>
      <c r="BS160" s="136"/>
      <c r="BT160" s="136"/>
      <c r="BU160" s="161"/>
      <c r="BV160" s="161"/>
      <c r="BW160" s="161"/>
      <c r="BX160" s="161"/>
      <c r="BY160" s="161"/>
      <c r="BZ160" s="161"/>
      <c r="CA160" s="135"/>
      <c r="CB160" s="135"/>
      <c r="CC160" s="135"/>
      <c r="CD160" s="135"/>
      <c r="CE160" s="135"/>
      <c r="CF160" s="135"/>
      <c r="CG160" s="136"/>
      <c r="CH160" s="136"/>
      <c r="CI160" s="161"/>
      <c r="CJ160" s="161"/>
      <c r="CK160" s="161"/>
      <c r="CL160" s="161"/>
      <c r="CM160" s="161"/>
      <c r="CN160" s="161"/>
      <c r="CO160" s="135"/>
      <c r="CP160" s="135"/>
      <c r="CQ160" s="135"/>
      <c r="CR160" s="135"/>
      <c r="CS160" s="135"/>
      <c r="CT160" s="135"/>
      <c r="CU160" s="136"/>
      <c r="CV160" s="136"/>
      <c r="CW160" s="161"/>
      <c r="CX160" s="161"/>
      <c r="CY160" s="161"/>
      <c r="CZ160" s="161"/>
      <c r="DA160" s="161"/>
      <c r="DB160" s="161"/>
      <c r="DC160" s="135"/>
      <c r="DD160" s="135"/>
      <c r="DE160" s="135"/>
      <c r="DF160" s="135"/>
      <c r="DG160" s="135"/>
      <c r="DH160" s="135"/>
      <c r="DI160" s="136"/>
      <c r="DJ160" s="136"/>
      <c r="DK160" s="161"/>
      <c r="DL160" s="161"/>
      <c r="DM160" s="161"/>
      <c r="DN160" s="161"/>
      <c r="DO160" s="161"/>
      <c r="DP160" s="161"/>
      <c r="DQ160" s="135"/>
      <c r="DR160" s="135"/>
      <c r="DS160" s="135"/>
      <c r="DT160" s="135"/>
      <c r="DU160" s="135"/>
      <c r="DV160" s="135"/>
      <c r="DW160" s="136"/>
      <c r="DX160" s="136"/>
      <c r="DY160" s="161"/>
      <c r="DZ160" s="161"/>
      <c r="EA160" s="161"/>
      <c r="EB160" s="161"/>
      <c r="EC160" s="161"/>
      <c r="ED160" s="161"/>
      <c r="EE160" s="135"/>
      <c r="EF160" s="135"/>
      <c r="EG160" s="135"/>
      <c r="EH160" s="135"/>
      <c r="EI160" s="135"/>
      <c r="EJ160" s="135"/>
      <c r="EK160" s="136"/>
      <c r="EL160" s="136"/>
      <c r="EM160" s="136"/>
      <c r="EN160" s="136"/>
      <c r="EO160" s="136"/>
      <c r="EP160" s="136"/>
      <c r="EQ160" s="136"/>
      <c r="ER160" s="136"/>
      <c r="ES160" s="135"/>
      <c r="ET160" s="135"/>
      <c r="EU160" s="135"/>
      <c r="EV160" s="135"/>
      <c r="EW160" s="135"/>
      <c r="EX160" s="135"/>
      <c r="EY160" s="136"/>
      <c r="EZ160" s="136"/>
      <c r="FA160" s="161"/>
      <c r="FB160" s="161"/>
      <c r="FC160" s="161"/>
      <c r="FD160" s="161"/>
      <c r="FE160" s="161"/>
      <c r="FF160" s="161"/>
      <c r="FG160" s="135"/>
      <c r="FH160" s="135"/>
      <c r="FI160" s="135"/>
      <c r="FJ160" s="135"/>
      <c r="FK160" s="135"/>
      <c r="FL160" s="135"/>
      <c r="FM160" s="136"/>
      <c r="FN160" s="136"/>
      <c r="FO160" s="161"/>
      <c r="FP160" s="161"/>
      <c r="FQ160" s="161"/>
      <c r="FR160" s="161"/>
      <c r="FS160" s="161"/>
      <c r="FT160" s="161"/>
      <c r="FU160" s="135"/>
      <c r="FV160" s="135"/>
      <c r="FW160" s="135"/>
      <c r="FX160" s="135"/>
      <c r="FY160" s="135"/>
      <c r="FZ160" s="135"/>
      <c r="GA160" s="136"/>
      <c r="GB160" s="136"/>
      <c r="GC160" s="161"/>
      <c r="GD160" s="161"/>
      <c r="GE160" s="161"/>
      <c r="GF160" s="161"/>
      <c r="GG160" s="161"/>
      <c r="GH160" s="161"/>
      <c r="GI160" s="135"/>
      <c r="GJ160" s="135"/>
      <c r="GK160" s="135"/>
      <c r="GL160" s="135"/>
      <c r="GM160" s="135"/>
      <c r="GN160" s="135"/>
    </row>
    <row r="161" spans="1:196" hidden="1">
      <c r="A161" s="140"/>
      <c r="B161" s="126" t="s">
        <v>782</v>
      </c>
      <c r="C161" s="126" t="s">
        <v>678</v>
      </c>
      <c r="D161" s="119"/>
      <c r="E161" s="119" t="e">
        <f>VLOOKUP(C161,#REF!,5,0)</f>
        <v>#REF!</v>
      </c>
      <c r="F161" s="107">
        <v>46212</v>
      </c>
      <c r="G161" s="127">
        <v>469</v>
      </c>
      <c r="H161" s="6"/>
      <c r="I161" s="125">
        <v>46207</v>
      </c>
      <c r="J161" s="13">
        <f t="shared" si="187"/>
        <v>0</v>
      </c>
      <c r="K161" s="163"/>
      <c r="L161" s="161"/>
      <c r="M161" s="136"/>
      <c r="N161" s="136"/>
      <c r="O161" s="136"/>
      <c r="P161" s="136"/>
      <c r="Q161" s="136"/>
      <c r="R161" s="136"/>
      <c r="S161" s="161"/>
      <c r="T161" s="161"/>
      <c r="U161" s="161"/>
      <c r="V161" s="161"/>
      <c r="W161" s="135"/>
      <c r="X161" s="135"/>
      <c r="Y161" s="161"/>
      <c r="Z161" s="161"/>
      <c r="AA161" s="161"/>
      <c r="AB161" s="161"/>
      <c r="AC161" s="136"/>
      <c r="AD161" s="136"/>
      <c r="AE161" s="135"/>
      <c r="AF161" s="135"/>
      <c r="AG161" s="135"/>
      <c r="AH161" s="135"/>
      <c r="AI161" s="161"/>
      <c r="AJ161" s="135"/>
      <c r="AK161" s="161"/>
      <c r="AL161" s="135"/>
      <c r="AM161" s="161">
        <v>469</v>
      </c>
      <c r="AN161" s="135"/>
      <c r="AO161" s="135"/>
      <c r="AP161" s="135"/>
      <c r="AQ161" s="136"/>
      <c r="AR161" s="136"/>
      <c r="AS161" s="161"/>
      <c r="AT161" s="161"/>
      <c r="AU161" s="161"/>
      <c r="AV161" s="161"/>
      <c r="AW161" s="161"/>
      <c r="AX161" s="161"/>
      <c r="AY161" s="135"/>
      <c r="AZ161" s="135"/>
      <c r="BA161" s="135"/>
      <c r="BB161" s="135"/>
      <c r="BC161" s="135"/>
      <c r="BD161" s="135"/>
      <c r="BE161" s="136"/>
      <c r="BF161" s="136"/>
      <c r="BG161" s="161"/>
      <c r="BH161" s="161"/>
      <c r="BI161" s="161"/>
      <c r="BJ161" s="161"/>
      <c r="BK161" s="161"/>
      <c r="BL161" s="161"/>
      <c r="BM161" s="135"/>
      <c r="BN161" s="135"/>
      <c r="BO161" s="135"/>
      <c r="BP161" s="135"/>
      <c r="BQ161" s="135"/>
      <c r="BR161" s="135"/>
      <c r="BS161" s="136"/>
      <c r="BT161" s="136"/>
      <c r="BU161" s="161"/>
      <c r="BV161" s="161"/>
      <c r="BW161" s="161"/>
      <c r="BX161" s="161"/>
      <c r="BY161" s="161"/>
      <c r="BZ161" s="161"/>
      <c r="CA161" s="135"/>
      <c r="CB161" s="135"/>
      <c r="CC161" s="135"/>
      <c r="CD161" s="135"/>
      <c r="CE161" s="135"/>
      <c r="CF161" s="135"/>
      <c r="CG161" s="136"/>
      <c r="CH161" s="136"/>
      <c r="CI161" s="161"/>
      <c r="CJ161" s="161"/>
      <c r="CK161" s="161"/>
      <c r="CL161" s="161"/>
      <c r="CM161" s="161"/>
      <c r="CN161" s="161"/>
      <c r="CO161" s="135"/>
      <c r="CP161" s="135"/>
      <c r="CQ161" s="135"/>
      <c r="CR161" s="135"/>
      <c r="CS161" s="135"/>
      <c r="CT161" s="135"/>
      <c r="CU161" s="136"/>
      <c r="CV161" s="136"/>
      <c r="CW161" s="161"/>
      <c r="CX161" s="161"/>
      <c r="CY161" s="161"/>
      <c r="CZ161" s="161"/>
      <c r="DA161" s="161"/>
      <c r="DB161" s="161"/>
      <c r="DC161" s="135"/>
      <c r="DD161" s="135"/>
      <c r="DE161" s="135"/>
      <c r="DF161" s="135"/>
      <c r="DG161" s="135"/>
      <c r="DH161" s="135"/>
      <c r="DI161" s="136"/>
      <c r="DJ161" s="136"/>
      <c r="DK161" s="161"/>
      <c r="DL161" s="161"/>
      <c r="DM161" s="161"/>
      <c r="DN161" s="161"/>
      <c r="DO161" s="161"/>
      <c r="DP161" s="161"/>
      <c r="DQ161" s="135"/>
      <c r="DR161" s="135"/>
      <c r="DS161" s="135"/>
      <c r="DT161" s="135"/>
      <c r="DU161" s="135"/>
      <c r="DV161" s="135"/>
      <c r="DW161" s="136"/>
      <c r="DX161" s="136"/>
      <c r="DY161" s="161"/>
      <c r="DZ161" s="161"/>
      <c r="EA161" s="161"/>
      <c r="EB161" s="161"/>
      <c r="EC161" s="161"/>
      <c r="ED161" s="161"/>
      <c r="EE161" s="135"/>
      <c r="EF161" s="135"/>
      <c r="EG161" s="135"/>
      <c r="EH161" s="135"/>
      <c r="EI161" s="135"/>
      <c r="EJ161" s="135"/>
      <c r="EK161" s="136"/>
      <c r="EL161" s="136"/>
      <c r="EM161" s="136"/>
      <c r="EN161" s="136"/>
      <c r="EO161" s="136"/>
      <c r="EP161" s="136"/>
      <c r="EQ161" s="136"/>
      <c r="ER161" s="136"/>
      <c r="ES161" s="135"/>
      <c r="ET161" s="135"/>
      <c r="EU161" s="135"/>
      <c r="EV161" s="135"/>
      <c r="EW161" s="135"/>
      <c r="EX161" s="135"/>
      <c r="EY161" s="136"/>
      <c r="EZ161" s="136"/>
      <c r="FA161" s="161"/>
      <c r="FB161" s="161"/>
      <c r="FC161" s="161"/>
      <c r="FD161" s="161"/>
      <c r="FE161" s="161"/>
      <c r="FF161" s="161"/>
      <c r="FG161" s="135"/>
      <c r="FH161" s="135"/>
      <c r="FI161" s="135"/>
      <c r="FJ161" s="135"/>
      <c r="FK161" s="135"/>
      <c r="FL161" s="135"/>
      <c r="FM161" s="136"/>
      <c r="FN161" s="136"/>
      <c r="FO161" s="161"/>
      <c r="FP161" s="161"/>
      <c r="FQ161" s="161"/>
      <c r="FR161" s="161"/>
      <c r="FS161" s="161"/>
      <c r="FT161" s="161"/>
      <c r="FU161" s="135"/>
      <c r="FV161" s="135"/>
      <c r="FW161" s="135"/>
      <c r="FX161" s="135"/>
      <c r="FY161" s="135"/>
      <c r="FZ161" s="135"/>
      <c r="GA161" s="136"/>
      <c r="GB161" s="136"/>
      <c r="GC161" s="161"/>
      <c r="GD161" s="161"/>
      <c r="GE161" s="161"/>
      <c r="GF161" s="161"/>
      <c r="GG161" s="161"/>
      <c r="GH161" s="161"/>
      <c r="GI161" s="135"/>
      <c r="GJ161" s="135"/>
      <c r="GK161" s="135"/>
      <c r="GL161" s="135"/>
      <c r="GM161" s="135"/>
      <c r="GN161" s="135"/>
    </row>
    <row r="162" spans="1:196" hidden="1">
      <c r="A162" s="140"/>
      <c r="B162" s="128" t="s">
        <v>912</v>
      </c>
      <c r="C162" s="128" t="s">
        <v>929</v>
      </c>
      <c r="D162" s="138"/>
      <c r="E162" s="119" t="e">
        <f>VLOOKUP(C162,#REF!,5,0)</f>
        <v>#REF!</v>
      </c>
      <c r="F162" s="129"/>
      <c r="G162" s="127">
        <v>14</v>
      </c>
      <c r="H162" s="129"/>
      <c r="I162" s="110">
        <v>46207</v>
      </c>
      <c r="J162" s="111">
        <f t="shared" si="187"/>
        <v>0</v>
      </c>
      <c r="K162" s="163" t="s">
        <v>920</v>
      </c>
      <c r="L162" s="135"/>
      <c r="M162" s="136"/>
      <c r="N162" s="136"/>
      <c r="O162" s="136"/>
      <c r="P162" s="136"/>
      <c r="Q162" s="136"/>
      <c r="R162" s="136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6"/>
      <c r="AD162" s="136"/>
      <c r="AE162" s="161"/>
      <c r="AF162" s="161"/>
      <c r="AG162" s="161"/>
      <c r="AH162" s="161"/>
      <c r="AI162" s="161"/>
      <c r="AJ162" s="161"/>
      <c r="AK162" s="135"/>
      <c r="AL162" s="135"/>
      <c r="AM162" s="161">
        <v>13</v>
      </c>
      <c r="AN162" s="135"/>
      <c r="AO162" s="135"/>
      <c r="AP162" s="135"/>
      <c r="AQ162" s="136"/>
      <c r="AR162" s="136"/>
      <c r="AS162" s="135">
        <v>1</v>
      </c>
      <c r="AT162" s="161"/>
      <c r="AU162" s="161"/>
      <c r="AV162" s="161"/>
      <c r="AW162" s="161"/>
      <c r="AX162" s="161"/>
      <c r="AY162" s="135"/>
      <c r="AZ162" s="135"/>
      <c r="BA162" s="135"/>
      <c r="BB162" s="135"/>
      <c r="BC162" s="135"/>
      <c r="BD162" s="135"/>
      <c r="BE162" s="136"/>
      <c r="BF162" s="136"/>
      <c r="BG162" s="161"/>
      <c r="BH162" s="161"/>
      <c r="BI162" s="161"/>
      <c r="BJ162" s="161"/>
      <c r="BK162" s="161"/>
      <c r="BL162" s="161"/>
      <c r="BM162" s="135"/>
      <c r="BN162" s="135"/>
      <c r="BO162" s="135"/>
      <c r="BP162" s="135"/>
      <c r="BQ162" s="135"/>
      <c r="BR162" s="135"/>
      <c r="BS162" s="136"/>
      <c r="BT162" s="136"/>
      <c r="BU162" s="161"/>
      <c r="BV162" s="161"/>
      <c r="BW162" s="161"/>
      <c r="BX162" s="161"/>
      <c r="BY162" s="161"/>
      <c r="BZ162" s="161"/>
      <c r="CA162" s="135"/>
      <c r="CB162" s="135"/>
      <c r="CC162" s="135"/>
      <c r="CD162" s="135"/>
      <c r="CE162" s="135"/>
      <c r="CF162" s="135"/>
      <c r="CG162" s="136"/>
      <c r="CH162" s="136"/>
      <c r="CI162" s="161"/>
      <c r="CJ162" s="161"/>
      <c r="CK162" s="161"/>
      <c r="CL162" s="161"/>
      <c r="CM162" s="161"/>
      <c r="CN162" s="161"/>
      <c r="CO162" s="135"/>
      <c r="CP162" s="135"/>
      <c r="CQ162" s="135"/>
      <c r="CR162" s="135"/>
      <c r="CS162" s="135"/>
      <c r="CT162" s="135"/>
      <c r="CU162" s="136"/>
      <c r="CV162" s="136"/>
      <c r="CW162" s="161"/>
      <c r="CX162" s="161"/>
      <c r="CY162" s="161"/>
      <c r="CZ162" s="161"/>
      <c r="DA162" s="161"/>
      <c r="DB162" s="161"/>
      <c r="DC162" s="135"/>
      <c r="DD162" s="135"/>
      <c r="DE162" s="135"/>
      <c r="DF162" s="135"/>
      <c r="DG162" s="135"/>
      <c r="DH162" s="135"/>
      <c r="DI162" s="136"/>
      <c r="DJ162" s="136"/>
      <c r="DK162" s="161"/>
      <c r="DL162" s="161"/>
      <c r="DM162" s="161"/>
      <c r="DN162" s="161"/>
      <c r="DO162" s="161"/>
      <c r="DP162" s="161"/>
      <c r="DQ162" s="135"/>
      <c r="DR162" s="135"/>
      <c r="DS162" s="135"/>
      <c r="DT162" s="135"/>
      <c r="DU162" s="135"/>
      <c r="DV162" s="135"/>
      <c r="DW162" s="136"/>
      <c r="DX162" s="136"/>
      <c r="DY162" s="161"/>
      <c r="DZ162" s="161"/>
      <c r="EA162" s="161"/>
      <c r="EB162" s="161"/>
      <c r="EC162" s="161"/>
      <c r="ED162" s="161"/>
      <c r="EE162" s="135"/>
      <c r="EF162" s="135"/>
      <c r="EG162" s="135"/>
      <c r="EH162" s="135"/>
      <c r="EI162" s="135"/>
      <c r="EJ162" s="135"/>
      <c r="EK162" s="136"/>
      <c r="EL162" s="136"/>
      <c r="EM162" s="136"/>
      <c r="EN162" s="136"/>
      <c r="EO162" s="136"/>
      <c r="EP162" s="136"/>
      <c r="EQ162" s="136"/>
      <c r="ER162" s="136"/>
      <c r="ES162" s="135"/>
      <c r="ET162" s="135"/>
      <c r="EU162" s="135"/>
      <c r="EV162" s="135"/>
      <c r="EW162" s="135"/>
      <c r="EX162" s="135"/>
      <c r="EY162" s="136"/>
      <c r="EZ162" s="136"/>
      <c r="FA162" s="161"/>
      <c r="FB162" s="161"/>
      <c r="FC162" s="161"/>
      <c r="FD162" s="161"/>
      <c r="FE162" s="161"/>
      <c r="FF162" s="161"/>
      <c r="FG162" s="135"/>
      <c r="FH162" s="135"/>
      <c r="FI162" s="135"/>
      <c r="FJ162" s="135"/>
      <c r="FK162" s="135"/>
      <c r="FL162" s="135"/>
      <c r="FM162" s="136"/>
      <c r="FN162" s="136"/>
      <c r="FO162" s="161"/>
      <c r="FP162" s="161"/>
      <c r="FQ162" s="161"/>
      <c r="FR162" s="161"/>
      <c r="FS162" s="161"/>
      <c r="FT162" s="161"/>
      <c r="FU162" s="135"/>
      <c r="FV162" s="135"/>
      <c r="FW162" s="135"/>
      <c r="FX162" s="135"/>
      <c r="FY162" s="135"/>
      <c r="FZ162" s="135"/>
      <c r="GA162" s="136"/>
      <c r="GB162" s="136"/>
      <c r="GC162" s="161"/>
      <c r="GD162" s="161"/>
      <c r="GE162" s="161"/>
      <c r="GF162" s="161"/>
      <c r="GG162" s="161"/>
      <c r="GH162" s="161"/>
      <c r="GI162" s="135"/>
      <c r="GJ162" s="135"/>
      <c r="GK162" s="135"/>
      <c r="GL162" s="135"/>
      <c r="GM162" s="135"/>
      <c r="GN162" s="135"/>
    </row>
    <row r="163" spans="1:196" hidden="1">
      <c r="A163" s="140"/>
      <c r="B163" s="137" t="s">
        <v>898</v>
      </c>
      <c r="C163" s="12" t="s">
        <v>712</v>
      </c>
      <c r="D163" s="119"/>
      <c r="E163" s="119" t="e">
        <f>VLOOKUP(C163,#REF!,5,0)</f>
        <v>#REF!</v>
      </c>
      <c r="F163" s="133">
        <v>46216</v>
      </c>
      <c r="G163" s="95">
        <v>40</v>
      </c>
      <c r="H163" s="133"/>
      <c r="I163" s="108">
        <v>46213</v>
      </c>
      <c r="J163" s="134">
        <f t="shared" si="187"/>
        <v>0</v>
      </c>
      <c r="K163" s="175" t="s">
        <v>897</v>
      </c>
      <c r="L163" s="161"/>
      <c r="M163" s="136"/>
      <c r="N163" s="136"/>
      <c r="O163" s="136"/>
      <c r="P163" s="136"/>
      <c r="Q163" s="136"/>
      <c r="R163" s="136"/>
      <c r="S163" s="161"/>
      <c r="T163" s="161"/>
      <c r="U163" s="161"/>
      <c r="V163" s="161"/>
      <c r="W163" s="135"/>
      <c r="X163" s="135"/>
      <c r="Y163" s="161"/>
      <c r="Z163" s="161"/>
      <c r="AA163" s="161"/>
      <c r="AB163" s="161"/>
      <c r="AC163" s="136"/>
      <c r="AD163" s="136"/>
      <c r="AE163" s="135"/>
      <c r="AF163" s="135"/>
      <c r="AG163" s="135"/>
      <c r="AH163" s="135"/>
      <c r="AI163" s="161"/>
      <c r="AJ163" s="135"/>
      <c r="AK163" s="161"/>
      <c r="AL163" s="135"/>
      <c r="AM163" s="135">
        <v>1</v>
      </c>
      <c r="AN163" s="135"/>
      <c r="AO163" s="135"/>
      <c r="AP163" s="135"/>
      <c r="AQ163" s="136"/>
      <c r="AR163" s="136"/>
      <c r="AS163" s="161"/>
      <c r="AT163" s="161"/>
      <c r="AU163" s="161"/>
      <c r="AV163" s="161"/>
      <c r="AW163" s="161"/>
      <c r="AX163" s="161"/>
      <c r="AY163" s="161">
        <v>39</v>
      </c>
      <c r="AZ163" s="161"/>
      <c r="BA163" s="161"/>
      <c r="BB163" s="161"/>
      <c r="BC163" s="161"/>
      <c r="BD163" s="135"/>
      <c r="BE163" s="136"/>
      <c r="BF163" s="136"/>
      <c r="BG163" s="161"/>
      <c r="BH163" s="161"/>
      <c r="BI163" s="161"/>
      <c r="BJ163" s="161"/>
      <c r="BK163" s="161"/>
      <c r="BL163" s="161"/>
      <c r="BM163" s="135"/>
      <c r="BN163" s="135"/>
      <c r="BO163" s="135"/>
      <c r="BP163" s="135"/>
      <c r="BQ163" s="135"/>
      <c r="BR163" s="135"/>
      <c r="BS163" s="136"/>
      <c r="BT163" s="136"/>
      <c r="BU163" s="161"/>
      <c r="BV163" s="161"/>
      <c r="BW163" s="161"/>
      <c r="BX163" s="161"/>
      <c r="BY163" s="161"/>
      <c r="BZ163" s="161"/>
      <c r="CA163" s="135"/>
      <c r="CB163" s="135"/>
      <c r="CC163" s="135"/>
      <c r="CD163" s="135"/>
      <c r="CE163" s="135"/>
      <c r="CF163" s="135"/>
      <c r="CG163" s="136"/>
      <c r="CH163" s="136"/>
      <c r="CI163" s="161"/>
      <c r="CJ163" s="161"/>
      <c r="CK163" s="161"/>
      <c r="CL163" s="161"/>
      <c r="CM163" s="161"/>
      <c r="CN163" s="161"/>
      <c r="CO163" s="135"/>
      <c r="CP163" s="135"/>
      <c r="CQ163" s="135"/>
      <c r="CR163" s="135"/>
      <c r="CS163" s="135"/>
      <c r="CT163" s="135"/>
      <c r="CU163" s="136"/>
      <c r="CV163" s="136"/>
      <c r="CW163" s="161"/>
      <c r="CX163" s="161"/>
      <c r="CY163" s="161"/>
      <c r="CZ163" s="161"/>
      <c r="DA163" s="161"/>
      <c r="DB163" s="161"/>
      <c r="DC163" s="135"/>
      <c r="DD163" s="135"/>
      <c r="DE163" s="135"/>
      <c r="DF163" s="135"/>
      <c r="DG163" s="135"/>
      <c r="DH163" s="135"/>
      <c r="DI163" s="136"/>
      <c r="DJ163" s="136"/>
      <c r="DK163" s="161"/>
      <c r="DL163" s="161"/>
      <c r="DM163" s="161"/>
      <c r="DN163" s="161"/>
      <c r="DO163" s="161"/>
      <c r="DP163" s="161"/>
      <c r="DQ163" s="135"/>
      <c r="DR163" s="135"/>
      <c r="DS163" s="135"/>
      <c r="DT163" s="135"/>
      <c r="DU163" s="135"/>
      <c r="DV163" s="135"/>
      <c r="DW163" s="136"/>
      <c r="DX163" s="136"/>
      <c r="DY163" s="161"/>
      <c r="DZ163" s="161"/>
      <c r="EA163" s="161"/>
      <c r="EB163" s="161"/>
      <c r="EC163" s="161"/>
      <c r="ED163" s="161"/>
      <c r="EE163" s="135"/>
      <c r="EF163" s="135"/>
      <c r="EG163" s="135"/>
      <c r="EH163" s="135"/>
      <c r="EI163" s="135"/>
      <c r="EJ163" s="135"/>
      <c r="EK163" s="136"/>
      <c r="EL163" s="136"/>
      <c r="EM163" s="136"/>
      <c r="EN163" s="136"/>
      <c r="EO163" s="136"/>
      <c r="EP163" s="136"/>
      <c r="EQ163" s="136"/>
      <c r="ER163" s="136"/>
      <c r="ES163" s="135"/>
      <c r="ET163" s="135"/>
      <c r="EU163" s="135"/>
      <c r="EV163" s="135"/>
      <c r="EW163" s="135"/>
      <c r="EX163" s="135"/>
      <c r="EY163" s="136"/>
      <c r="EZ163" s="136"/>
      <c r="FA163" s="161"/>
      <c r="FB163" s="161"/>
      <c r="FC163" s="161"/>
      <c r="FD163" s="161"/>
      <c r="FE163" s="161"/>
      <c r="FF163" s="161"/>
      <c r="FG163" s="135"/>
      <c r="FH163" s="135"/>
      <c r="FI163" s="135"/>
      <c r="FJ163" s="135"/>
      <c r="FK163" s="135"/>
      <c r="FL163" s="135"/>
      <c r="FM163" s="136"/>
      <c r="FN163" s="136"/>
      <c r="FO163" s="161"/>
      <c r="FP163" s="161"/>
      <c r="FQ163" s="161"/>
      <c r="FR163" s="161"/>
      <c r="FS163" s="161"/>
      <c r="FT163" s="161"/>
      <c r="FU163" s="135"/>
      <c r="FV163" s="135"/>
      <c r="FW163" s="135"/>
      <c r="FX163" s="135"/>
      <c r="FY163" s="135"/>
      <c r="FZ163" s="135"/>
      <c r="GA163" s="136"/>
      <c r="GB163" s="136"/>
      <c r="GC163" s="161"/>
      <c r="GD163" s="161"/>
      <c r="GE163" s="161"/>
      <c r="GF163" s="161"/>
      <c r="GG163" s="161"/>
      <c r="GH163" s="161"/>
      <c r="GI163" s="135"/>
      <c r="GJ163" s="135"/>
      <c r="GK163" s="135"/>
      <c r="GL163" s="135"/>
      <c r="GM163" s="135"/>
      <c r="GN163" s="135"/>
    </row>
    <row r="164" spans="1:196" hidden="1">
      <c r="A164" s="140"/>
      <c r="B164" s="137" t="s">
        <v>899</v>
      </c>
      <c r="C164" s="12" t="s">
        <v>712</v>
      </c>
      <c r="D164" s="119"/>
      <c r="E164" s="119" t="e">
        <f>VLOOKUP(C164,#REF!,5,0)</f>
        <v>#REF!</v>
      </c>
      <c r="F164" s="133">
        <v>46217</v>
      </c>
      <c r="G164" s="95">
        <v>20</v>
      </c>
      <c r="H164" s="133"/>
      <c r="I164" s="108">
        <v>46216</v>
      </c>
      <c r="J164" s="134">
        <f t="shared" si="187"/>
        <v>0</v>
      </c>
      <c r="K164" s="175" t="s">
        <v>713</v>
      </c>
      <c r="L164" s="161"/>
      <c r="M164" s="136"/>
      <c r="N164" s="136"/>
      <c r="O164" s="136"/>
      <c r="P164" s="136"/>
      <c r="Q164" s="136"/>
      <c r="R164" s="136"/>
      <c r="S164" s="161"/>
      <c r="T164" s="161"/>
      <c r="U164" s="161"/>
      <c r="V164" s="161"/>
      <c r="W164" s="135"/>
      <c r="X164" s="135"/>
      <c r="Y164" s="161"/>
      <c r="Z164" s="161"/>
      <c r="AA164" s="161"/>
      <c r="AB164" s="161"/>
      <c r="AC164" s="136"/>
      <c r="AD164" s="136"/>
      <c r="AE164" s="135"/>
      <c r="AF164" s="135"/>
      <c r="AG164" s="135"/>
      <c r="AH164" s="135"/>
      <c r="AI164" s="161"/>
      <c r="AJ164" s="135"/>
      <c r="AK164" s="161"/>
      <c r="AL164" s="135"/>
      <c r="AM164" s="135"/>
      <c r="AN164" s="135"/>
      <c r="AO164" s="135"/>
      <c r="AP164" s="135"/>
      <c r="AQ164" s="136"/>
      <c r="AR164" s="136"/>
      <c r="AS164" s="161"/>
      <c r="AT164" s="161"/>
      <c r="AU164" s="161"/>
      <c r="AV164" s="161"/>
      <c r="AW164" s="161"/>
      <c r="AX164" s="161"/>
      <c r="AY164" s="161">
        <v>20</v>
      </c>
      <c r="AZ164" s="161"/>
      <c r="BA164" s="161"/>
      <c r="BB164" s="161"/>
      <c r="BC164" s="161"/>
      <c r="BD164" s="135"/>
      <c r="BE164" s="136"/>
      <c r="BF164" s="136"/>
      <c r="BG164" s="161"/>
      <c r="BH164" s="161"/>
      <c r="BI164" s="161"/>
      <c r="BJ164" s="161"/>
      <c r="BK164" s="161"/>
      <c r="BL164" s="161"/>
      <c r="BM164" s="135"/>
      <c r="BN164" s="135"/>
      <c r="BO164" s="135"/>
      <c r="BP164" s="135"/>
      <c r="BQ164" s="135"/>
      <c r="BR164" s="135"/>
      <c r="BS164" s="136"/>
      <c r="BT164" s="136"/>
      <c r="BU164" s="161"/>
      <c r="BV164" s="161"/>
      <c r="BW164" s="161"/>
      <c r="BX164" s="161"/>
      <c r="BY164" s="161"/>
      <c r="BZ164" s="161"/>
      <c r="CA164" s="135"/>
      <c r="CB164" s="135"/>
      <c r="CC164" s="135"/>
      <c r="CD164" s="135"/>
      <c r="CE164" s="135"/>
      <c r="CF164" s="135"/>
      <c r="CG164" s="136"/>
      <c r="CH164" s="136"/>
      <c r="CI164" s="161"/>
      <c r="CJ164" s="161"/>
      <c r="CK164" s="161"/>
      <c r="CL164" s="161"/>
      <c r="CM164" s="161"/>
      <c r="CN164" s="161"/>
      <c r="CO164" s="135"/>
      <c r="CP164" s="135"/>
      <c r="CQ164" s="135"/>
      <c r="CR164" s="135"/>
      <c r="CS164" s="135"/>
      <c r="CT164" s="135"/>
      <c r="CU164" s="136"/>
      <c r="CV164" s="136"/>
      <c r="CW164" s="161"/>
      <c r="CX164" s="161"/>
      <c r="CY164" s="161"/>
      <c r="CZ164" s="161"/>
      <c r="DA164" s="161"/>
      <c r="DB164" s="161"/>
      <c r="DC164" s="135"/>
      <c r="DD164" s="135"/>
      <c r="DE164" s="135"/>
      <c r="DF164" s="135"/>
      <c r="DG164" s="135"/>
      <c r="DH164" s="135"/>
      <c r="DI164" s="136"/>
      <c r="DJ164" s="136"/>
      <c r="DK164" s="161"/>
      <c r="DL164" s="161"/>
      <c r="DM164" s="161"/>
      <c r="DN164" s="161"/>
      <c r="DO164" s="161"/>
      <c r="DP164" s="161"/>
      <c r="DQ164" s="135"/>
      <c r="DR164" s="135"/>
      <c r="DS164" s="135"/>
      <c r="DT164" s="135"/>
      <c r="DU164" s="135"/>
      <c r="DV164" s="135"/>
      <c r="DW164" s="136"/>
      <c r="DX164" s="136"/>
      <c r="DY164" s="161"/>
      <c r="DZ164" s="161"/>
      <c r="EA164" s="161"/>
      <c r="EB164" s="161"/>
      <c r="EC164" s="161"/>
      <c r="ED164" s="161"/>
      <c r="EE164" s="135"/>
      <c r="EF164" s="135"/>
      <c r="EG164" s="135"/>
      <c r="EH164" s="135"/>
      <c r="EI164" s="135"/>
      <c r="EJ164" s="135"/>
      <c r="EK164" s="136"/>
      <c r="EL164" s="136"/>
      <c r="EM164" s="136"/>
      <c r="EN164" s="136"/>
      <c r="EO164" s="136"/>
      <c r="EP164" s="136"/>
      <c r="EQ164" s="136"/>
      <c r="ER164" s="136"/>
      <c r="ES164" s="135"/>
      <c r="ET164" s="135"/>
      <c r="EU164" s="135"/>
      <c r="EV164" s="135"/>
      <c r="EW164" s="135"/>
      <c r="EX164" s="135"/>
      <c r="EY164" s="136"/>
      <c r="EZ164" s="136"/>
      <c r="FA164" s="161"/>
      <c r="FB164" s="161"/>
      <c r="FC164" s="161"/>
      <c r="FD164" s="161"/>
      <c r="FE164" s="161"/>
      <c r="FF164" s="161"/>
      <c r="FG164" s="135"/>
      <c r="FH164" s="135"/>
      <c r="FI164" s="135"/>
      <c r="FJ164" s="135"/>
      <c r="FK164" s="135"/>
      <c r="FL164" s="135"/>
      <c r="FM164" s="136"/>
      <c r="FN164" s="136"/>
      <c r="FO164" s="161"/>
      <c r="FP164" s="161"/>
      <c r="FQ164" s="161"/>
      <c r="FR164" s="161"/>
      <c r="FS164" s="161"/>
      <c r="FT164" s="161"/>
      <c r="FU164" s="135"/>
      <c r="FV164" s="135"/>
      <c r="FW164" s="135"/>
      <c r="FX164" s="135"/>
      <c r="FY164" s="135"/>
      <c r="FZ164" s="135"/>
      <c r="GA164" s="136"/>
      <c r="GB164" s="136"/>
      <c r="GC164" s="161"/>
      <c r="GD164" s="161"/>
      <c r="GE164" s="161"/>
      <c r="GF164" s="161"/>
      <c r="GG164" s="161"/>
      <c r="GH164" s="161"/>
      <c r="GI164" s="135"/>
      <c r="GJ164" s="135"/>
      <c r="GK164" s="135"/>
      <c r="GL164" s="135"/>
      <c r="GM164" s="135"/>
      <c r="GN164" s="135"/>
    </row>
    <row r="165" spans="1:196" hidden="1">
      <c r="A165" s="140"/>
      <c r="B165" s="137" t="s">
        <v>900</v>
      </c>
      <c r="C165" s="12" t="s">
        <v>712</v>
      </c>
      <c r="D165" s="119"/>
      <c r="E165" s="119" t="e">
        <f>VLOOKUP(C165,#REF!,5,0)</f>
        <v>#REF!</v>
      </c>
      <c r="F165" s="133">
        <v>46217</v>
      </c>
      <c r="G165" s="95">
        <v>20</v>
      </c>
      <c r="H165" s="133"/>
      <c r="I165" s="108">
        <v>46216</v>
      </c>
      <c r="J165" s="134">
        <f t="shared" si="187"/>
        <v>0</v>
      </c>
      <c r="K165" s="175" t="s">
        <v>714</v>
      </c>
      <c r="L165" s="161"/>
      <c r="M165" s="136"/>
      <c r="N165" s="136"/>
      <c r="O165" s="136"/>
      <c r="P165" s="136"/>
      <c r="Q165" s="136"/>
      <c r="R165" s="136"/>
      <c r="S165" s="161"/>
      <c r="T165" s="161"/>
      <c r="U165" s="161"/>
      <c r="V165" s="161"/>
      <c r="W165" s="135"/>
      <c r="X165" s="135"/>
      <c r="Y165" s="161"/>
      <c r="Z165" s="161"/>
      <c r="AA165" s="161"/>
      <c r="AB165" s="161"/>
      <c r="AC165" s="136"/>
      <c r="AD165" s="136"/>
      <c r="AE165" s="135"/>
      <c r="AF165" s="135"/>
      <c r="AG165" s="135"/>
      <c r="AH165" s="135"/>
      <c r="AI165" s="161"/>
      <c r="AJ165" s="135"/>
      <c r="AK165" s="161"/>
      <c r="AL165" s="135"/>
      <c r="AM165" s="135"/>
      <c r="AN165" s="135"/>
      <c r="AO165" s="135"/>
      <c r="AP165" s="135"/>
      <c r="AQ165" s="136"/>
      <c r="AR165" s="136"/>
      <c r="AS165" s="161"/>
      <c r="AT165" s="161"/>
      <c r="AU165" s="161"/>
      <c r="AV165" s="161"/>
      <c r="AW165" s="161"/>
      <c r="AX165" s="161"/>
      <c r="AY165" s="161">
        <v>20</v>
      </c>
      <c r="AZ165" s="161"/>
      <c r="BA165" s="161"/>
      <c r="BB165" s="161"/>
      <c r="BC165" s="161"/>
      <c r="BD165" s="135"/>
      <c r="BE165" s="136"/>
      <c r="BF165" s="136"/>
      <c r="BG165" s="161"/>
      <c r="BH165" s="161"/>
      <c r="BI165" s="161"/>
      <c r="BJ165" s="161"/>
      <c r="BK165" s="161"/>
      <c r="BL165" s="161"/>
      <c r="BM165" s="135"/>
      <c r="BN165" s="135"/>
      <c r="BO165" s="135"/>
      <c r="BP165" s="135"/>
      <c r="BQ165" s="135"/>
      <c r="BR165" s="135"/>
      <c r="BS165" s="136"/>
      <c r="BT165" s="136"/>
      <c r="BU165" s="161"/>
      <c r="BV165" s="161"/>
      <c r="BW165" s="161"/>
      <c r="BX165" s="161"/>
      <c r="BY165" s="161"/>
      <c r="BZ165" s="161"/>
      <c r="CA165" s="135"/>
      <c r="CB165" s="135"/>
      <c r="CC165" s="135"/>
      <c r="CD165" s="135"/>
      <c r="CE165" s="135"/>
      <c r="CF165" s="135"/>
      <c r="CG165" s="136"/>
      <c r="CH165" s="136"/>
      <c r="CI165" s="161"/>
      <c r="CJ165" s="161"/>
      <c r="CK165" s="161"/>
      <c r="CL165" s="161"/>
      <c r="CM165" s="161"/>
      <c r="CN165" s="161"/>
      <c r="CO165" s="135"/>
      <c r="CP165" s="135"/>
      <c r="CQ165" s="135"/>
      <c r="CR165" s="135"/>
      <c r="CS165" s="135"/>
      <c r="CT165" s="135"/>
      <c r="CU165" s="136"/>
      <c r="CV165" s="136"/>
      <c r="CW165" s="161"/>
      <c r="CX165" s="161"/>
      <c r="CY165" s="161"/>
      <c r="CZ165" s="161"/>
      <c r="DA165" s="161"/>
      <c r="DB165" s="161"/>
      <c r="DC165" s="135"/>
      <c r="DD165" s="135"/>
      <c r="DE165" s="135"/>
      <c r="DF165" s="135"/>
      <c r="DG165" s="135"/>
      <c r="DH165" s="135"/>
      <c r="DI165" s="136"/>
      <c r="DJ165" s="136"/>
      <c r="DK165" s="161"/>
      <c r="DL165" s="161"/>
      <c r="DM165" s="161"/>
      <c r="DN165" s="161"/>
      <c r="DO165" s="161"/>
      <c r="DP165" s="161"/>
      <c r="DQ165" s="135"/>
      <c r="DR165" s="135"/>
      <c r="DS165" s="135"/>
      <c r="DT165" s="135"/>
      <c r="DU165" s="135"/>
      <c r="DV165" s="135"/>
      <c r="DW165" s="136"/>
      <c r="DX165" s="136"/>
      <c r="DY165" s="161"/>
      <c r="DZ165" s="161"/>
      <c r="EA165" s="161"/>
      <c r="EB165" s="161"/>
      <c r="EC165" s="161"/>
      <c r="ED165" s="161"/>
      <c r="EE165" s="135"/>
      <c r="EF165" s="135"/>
      <c r="EG165" s="135"/>
      <c r="EH165" s="135"/>
      <c r="EI165" s="135"/>
      <c r="EJ165" s="135"/>
      <c r="EK165" s="136"/>
      <c r="EL165" s="136"/>
      <c r="EM165" s="136"/>
      <c r="EN165" s="136"/>
      <c r="EO165" s="136"/>
      <c r="EP165" s="136"/>
      <c r="EQ165" s="136"/>
      <c r="ER165" s="136"/>
      <c r="ES165" s="135"/>
      <c r="ET165" s="135"/>
      <c r="EU165" s="135"/>
      <c r="EV165" s="135"/>
      <c r="EW165" s="135"/>
      <c r="EX165" s="135"/>
      <c r="EY165" s="136"/>
      <c r="EZ165" s="136"/>
      <c r="FA165" s="161"/>
      <c r="FB165" s="161"/>
      <c r="FC165" s="161"/>
      <c r="FD165" s="161"/>
      <c r="FE165" s="161"/>
      <c r="FF165" s="161"/>
      <c r="FG165" s="135"/>
      <c r="FH165" s="135"/>
      <c r="FI165" s="135"/>
      <c r="FJ165" s="135"/>
      <c r="FK165" s="135"/>
      <c r="FL165" s="135"/>
      <c r="FM165" s="136"/>
      <c r="FN165" s="136"/>
      <c r="FO165" s="161"/>
      <c r="FP165" s="161"/>
      <c r="FQ165" s="161"/>
      <c r="FR165" s="161"/>
      <c r="FS165" s="161"/>
      <c r="FT165" s="161"/>
      <c r="FU165" s="135"/>
      <c r="FV165" s="135"/>
      <c r="FW165" s="135"/>
      <c r="FX165" s="135"/>
      <c r="FY165" s="135"/>
      <c r="FZ165" s="135"/>
      <c r="GA165" s="136"/>
      <c r="GB165" s="136"/>
      <c r="GC165" s="161"/>
      <c r="GD165" s="161"/>
      <c r="GE165" s="161"/>
      <c r="GF165" s="161"/>
      <c r="GG165" s="161"/>
      <c r="GH165" s="161"/>
      <c r="GI165" s="135"/>
      <c r="GJ165" s="135"/>
      <c r="GK165" s="135"/>
      <c r="GL165" s="135"/>
      <c r="GM165" s="135"/>
      <c r="GN165" s="135"/>
    </row>
    <row r="166" spans="1:196" hidden="1">
      <c r="A166" s="140"/>
      <c r="B166" s="126" t="s">
        <v>784</v>
      </c>
      <c r="C166" s="126" t="s">
        <v>133</v>
      </c>
      <c r="D166" s="119"/>
      <c r="E166" s="119" t="e">
        <f>VLOOKUP(C166,#REF!,5,0)</f>
        <v>#REF!</v>
      </c>
      <c r="F166" s="107">
        <v>46213</v>
      </c>
      <c r="G166" s="127">
        <v>1806</v>
      </c>
      <c r="H166" s="107"/>
      <c r="I166" s="125">
        <v>46214</v>
      </c>
      <c r="J166" s="13">
        <f t="shared" si="187"/>
        <v>0</v>
      </c>
      <c r="K166" s="163"/>
      <c r="L166" s="161"/>
      <c r="M166" s="136"/>
      <c r="N166" s="136"/>
      <c r="O166" s="136"/>
      <c r="P166" s="136"/>
      <c r="Q166" s="136"/>
      <c r="R166" s="136"/>
      <c r="S166" s="161"/>
      <c r="T166" s="161"/>
      <c r="U166" s="161"/>
      <c r="V166" s="161"/>
      <c r="W166" s="135"/>
      <c r="X166" s="135"/>
      <c r="Y166" s="135"/>
      <c r="Z166" s="135"/>
      <c r="AA166" s="135"/>
      <c r="AB166" s="135"/>
      <c r="AC166" s="136"/>
      <c r="AD166" s="136"/>
      <c r="AE166" s="161"/>
      <c r="AF166" s="161"/>
      <c r="AG166" s="161"/>
      <c r="AH166" s="161"/>
      <c r="AI166" s="161"/>
      <c r="AJ166" s="161"/>
      <c r="AK166" s="135"/>
      <c r="AL166" s="135"/>
      <c r="AM166" s="135"/>
      <c r="AN166" s="135"/>
      <c r="AO166" s="135"/>
      <c r="AP166" s="135"/>
      <c r="AQ166" s="136"/>
      <c r="AR166" s="136"/>
      <c r="AS166" s="135">
        <v>1732</v>
      </c>
      <c r="AT166" s="161"/>
      <c r="AU166" s="161"/>
      <c r="AV166" s="161"/>
      <c r="AW166" s="161"/>
      <c r="AX166" s="161"/>
      <c r="AY166" s="161">
        <v>74</v>
      </c>
      <c r="AZ166" s="161"/>
      <c r="BA166" s="161"/>
      <c r="BB166" s="161"/>
      <c r="BC166" s="135"/>
      <c r="BD166" s="135"/>
      <c r="BE166" s="136"/>
      <c r="BF166" s="136"/>
      <c r="BG166" s="161"/>
      <c r="BH166" s="161"/>
      <c r="BI166" s="161"/>
      <c r="BJ166" s="161"/>
      <c r="BK166" s="161"/>
      <c r="BL166" s="161"/>
      <c r="BM166" s="135"/>
      <c r="BN166" s="135"/>
      <c r="BO166" s="135"/>
      <c r="BP166" s="135"/>
      <c r="BQ166" s="135"/>
      <c r="BR166" s="135"/>
      <c r="BS166" s="136"/>
      <c r="BT166" s="136"/>
      <c r="BU166" s="161"/>
      <c r="BV166" s="161"/>
      <c r="BW166" s="161"/>
      <c r="BX166" s="161"/>
      <c r="BY166" s="161"/>
      <c r="BZ166" s="161"/>
      <c r="CA166" s="135"/>
      <c r="CB166" s="135"/>
      <c r="CC166" s="135"/>
      <c r="CD166" s="135"/>
      <c r="CE166" s="135"/>
      <c r="CF166" s="135"/>
      <c r="CG166" s="136"/>
      <c r="CH166" s="136"/>
      <c r="CI166" s="161"/>
      <c r="CJ166" s="161"/>
      <c r="CK166" s="161"/>
      <c r="CL166" s="161"/>
      <c r="CM166" s="161"/>
      <c r="CN166" s="161"/>
      <c r="CO166" s="135"/>
      <c r="CP166" s="135"/>
      <c r="CQ166" s="135"/>
      <c r="CR166" s="135"/>
      <c r="CS166" s="135"/>
      <c r="CT166" s="135"/>
      <c r="CU166" s="136"/>
      <c r="CV166" s="136"/>
      <c r="CW166" s="161"/>
      <c r="CX166" s="161"/>
      <c r="CY166" s="161"/>
      <c r="CZ166" s="161"/>
      <c r="DA166" s="161"/>
      <c r="DB166" s="161"/>
      <c r="DC166" s="135"/>
      <c r="DD166" s="135"/>
      <c r="DE166" s="135"/>
      <c r="DF166" s="135"/>
      <c r="DG166" s="135"/>
      <c r="DH166" s="135"/>
      <c r="DI166" s="136"/>
      <c r="DJ166" s="136"/>
      <c r="DK166" s="161"/>
      <c r="DL166" s="161"/>
      <c r="DM166" s="161"/>
      <c r="DN166" s="161"/>
      <c r="DO166" s="161"/>
      <c r="DP166" s="161"/>
      <c r="DQ166" s="135"/>
      <c r="DR166" s="135"/>
      <c r="DS166" s="135"/>
      <c r="DT166" s="135"/>
      <c r="DU166" s="135"/>
      <c r="DV166" s="135"/>
      <c r="DW166" s="136"/>
      <c r="DX166" s="136"/>
      <c r="DY166" s="161"/>
      <c r="DZ166" s="161"/>
      <c r="EA166" s="161"/>
      <c r="EB166" s="161"/>
      <c r="EC166" s="161"/>
      <c r="ED166" s="161"/>
      <c r="EE166" s="135"/>
      <c r="EF166" s="135"/>
      <c r="EG166" s="135"/>
      <c r="EH166" s="135"/>
      <c r="EI166" s="135"/>
      <c r="EJ166" s="135"/>
      <c r="EK166" s="136"/>
      <c r="EL166" s="136"/>
      <c r="EM166" s="136"/>
      <c r="EN166" s="136"/>
      <c r="EO166" s="136"/>
      <c r="EP166" s="136"/>
      <c r="EQ166" s="136"/>
      <c r="ER166" s="136"/>
      <c r="ES166" s="135"/>
      <c r="ET166" s="135"/>
      <c r="EU166" s="135"/>
      <c r="EV166" s="135"/>
      <c r="EW166" s="135"/>
      <c r="EX166" s="135"/>
      <c r="EY166" s="136"/>
      <c r="EZ166" s="136"/>
      <c r="FA166" s="161"/>
      <c r="FB166" s="161"/>
      <c r="FC166" s="161"/>
      <c r="FD166" s="161"/>
      <c r="FE166" s="161"/>
      <c r="FF166" s="161"/>
      <c r="FG166" s="135"/>
      <c r="FH166" s="135"/>
      <c r="FI166" s="135"/>
      <c r="FJ166" s="135"/>
      <c r="FK166" s="135"/>
      <c r="FL166" s="135"/>
      <c r="FM166" s="136"/>
      <c r="FN166" s="136"/>
      <c r="FO166" s="161"/>
      <c r="FP166" s="161"/>
      <c r="FQ166" s="161"/>
      <c r="FR166" s="161"/>
      <c r="FS166" s="161"/>
      <c r="FT166" s="161"/>
      <c r="FU166" s="135"/>
      <c r="FV166" s="135"/>
      <c r="FW166" s="135"/>
      <c r="FX166" s="135"/>
      <c r="FY166" s="135"/>
      <c r="FZ166" s="135"/>
      <c r="GA166" s="136"/>
      <c r="GB166" s="136"/>
      <c r="GC166" s="161"/>
      <c r="GD166" s="161"/>
      <c r="GE166" s="161"/>
      <c r="GF166" s="161"/>
      <c r="GG166" s="161"/>
      <c r="GH166" s="161"/>
      <c r="GI166" s="135"/>
      <c r="GJ166" s="135"/>
      <c r="GK166" s="135"/>
      <c r="GL166" s="135"/>
      <c r="GM166" s="135"/>
      <c r="GN166" s="135"/>
    </row>
    <row r="167" spans="1:196" hidden="1">
      <c r="A167" s="140"/>
      <c r="B167" s="126" t="s">
        <v>809</v>
      </c>
      <c r="C167" s="126" t="s">
        <v>133</v>
      </c>
      <c r="D167" s="119"/>
      <c r="E167" s="119" t="e">
        <f>VLOOKUP(C167,#REF!,5,0)</f>
        <v>#REF!</v>
      </c>
      <c r="F167" s="107">
        <v>46213</v>
      </c>
      <c r="G167" s="127">
        <v>400</v>
      </c>
      <c r="H167" s="6"/>
      <c r="I167" s="125">
        <v>46228</v>
      </c>
      <c r="J167" s="13">
        <f t="shared" si="187"/>
        <v>0</v>
      </c>
      <c r="K167" s="163" t="s">
        <v>1036</v>
      </c>
      <c r="L167" s="135"/>
      <c r="M167" s="136"/>
      <c r="N167" s="136"/>
      <c r="O167" s="136"/>
      <c r="P167" s="136"/>
      <c r="Q167" s="136"/>
      <c r="R167" s="136"/>
      <c r="S167" s="135"/>
      <c r="T167" s="135"/>
      <c r="U167" s="135"/>
      <c r="V167" s="135"/>
      <c r="W167" s="135"/>
      <c r="X167" s="135"/>
      <c r="Y167" s="135"/>
      <c r="Z167" s="161"/>
      <c r="AA167" s="161"/>
      <c r="AB167" s="161"/>
      <c r="AC167" s="136"/>
      <c r="AD167" s="136"/>
      <c r="AE167" s="161"/>
      <c r="AF167" s="135"/>
      <c r="AG167" s="135"/>
      <c r="AH167" s="161"/>
      <c r="AI167" s="161"/>
      <c r="AJ167" s="161"/>
      <c r="AK167" s="135"/>
      <c r="AL167" s="135"/>
      <c r="AM167" s="135"/>
      <c r="AN167" s="135"/>
      <c r="AO167" s="135"/>
      <c r="AP167" s="135"/>
      <c r="AQ167" s="136"/>
      <c r="AR167" s="136"/>
      <c r="AS167" s="135"/>
      <c r="AT167" s="161"/>
      <c r="AU167" s="135"/>
      <c r="AV167" s="161"/>
      <c r="AW167" s="161"/>
      <c r="AX167" s="161"/>
      <c r="AY167" s="135">
        <v>400</v>
      </c>
      <c r="AZ167" s="161"/>
      <c r="BA167" s="161"/>
      <c r="BB167" s="161"/>
      <c r="BC167" s="135"/>
      <c r="BD167" s="135"/>
      <c r="BE167" s="136"/>
      <c r="BF167" s="136"/>
      <c r="BG167" s="161"/>
      <c r="BH167" s="161"/>
      <c r="BI167" s="161"/>
      <c r="BJ167" s="161"/>
      <c r="BK167" s="161"/>
      <c r="BL167" s="161"/>
      <c r="BM167" s="135"/>
      <c r="BN167" s="135"/>
      <c r="BO167" s="135"/>
      <c r="BP167" s="135"/>
      <c r="BQ167" s="135"/>
      <c r="BR167" s="135"/>
      <c r="BS167" s="136"/>
      <c r="BT167" s="136"/>
      <c r="BU167" s="161"/>
      <c r="BV167" s="161"/>
      <c r="BW167" s="161"/>
      <c r="BX167" s="161"/>
      <c r="BY167" s="161"/>
      <c r="BZ167" s="161"/>
      <c r="CA167" s="135"/>
      <c r="CB167" s="135"/>
      <c r="CC167" s="135"/>
      <c r="CD167" s="135"/>
      <c r="CE167" s="135"/>
      <c r="CF167" s="135"/>
      <c r="CG167" s="136"/>
      <c r="CH167" s="136"/>
      <c r="CI167" s="161"/>
      <c r="CJ167" s="161"/>
      <c r="CK167" s="161"/>
      <c r="CL167" s="161"/>
      <c r="CM167" s="161"/>
      <c r="CN167" s="161"/>
      <c r="CO167" s="135"/>
      <c r="CP167" s="135"/>
      <c r="CQ167" s="135"/>
      <c r="CR167" s="135"/>
      <c r="CS167" s="135"/>
      <c r="CT167" s="135"/>
      <c r="CU167" s="136"/>
      <c r="CV167" s="136"/>
      <c r="CW167" s="161"/>
      <c r="CX167" s="161"/>
      <c r="CY167" s="161"/>
      <c r="CZ167" s="161"/>
      <c r="DA167" s="161"/>
      <c r="DB167" s="161"/>
      <c r="DC167" s="135"/>
      <c r="DD167" s="135"/>
      <c r="DE167" s="135"/>
      <c r="DF167" s="135"/>
      <c r="DG167" s="135"/>
      <c r="DH167" s="135"/>
      <c r="DI167" s="136"/>
      <c r="DJ167" s="136"/>
      <c r="DK167" s="161"/>
      <c r="DL167" s="161"/>
      <c r="DM167" s="161"/>
      <c r="DN167" s="161"/>
      <c r="DO167" s="161"/>
      <c r="DP167" s="161"/>
      <c r="DQ167" s="135"/>
      <c r="DR167" s="135"/>
      <c r="DS167" s="135"/>
      <c r="DT167" s="135"/>
      <c r="DU167" s="135"/>
      <c r="DV167" s="135"/>
      <c r="DW167" s="136"/>
      <c r="DX167" s="136"/>
      <c r="DY167" s="161"/>
      <c r="DZ167" s="161"/>
      <c r="EA167" s="161"/>
      <c r="EB167" s="161"/>
      <c r="EC167" s="161"/>
      <c r="ED167" s="161"/>
      <c r="EE167" s="135"/>
      <c r="EF167" s="135"/>
      <c r="EG167" s="135"/>
      <c r="EH167" s="135"/>
      <c r="EI167" s="135"/>
      <c r="EJ167" s="135"/>
      <c r="EK167" s="136"/>
      <c r="EL167" s="136"/>
      <c r="EM167" s="136"/>
      <c r="EN167" s="136"/>
      <c r="EO167" s="136"/>
      <c r="EP167" s="136"/>
      <c r="EQ167" s="136"/>
      <c r="ER167" s="136"/>
      <c r="ES167" s="135"/>
      <c r="ET167" s="135"/>
      <c r="EU167" s="135"/>
      <c r="EV167" s="135"/>
      <c r="EW167" s="135"/>
      <c r="EX167" s="135"/>
      <c r="EY167" s="136"/>
      <c r="EZ167" s="136"/>
      <c r="FA167" s="161"/>
      <c r="FB167" s="161"/>
      <c r="FC167" s="161"/>
      <c r="FD167" s="161"/>
      <c r="FE167" s="161"/>
      <c r="FF167" s="161"/>
      <c r="FG167" s="135"/>
      <c r="FH167" s="135"/>
      <c r="FI167" s="135"/>
      <c r="FJ167" s="135"/>
      <c r="FK167" s="135"/>
      <c r="FL167" s="135"/>
      <c r="FM167" s="136"/>
      <c r="FN167" s="136"/>
      <c r="FO167" s="161"/>
      <c r="FP167" s="161"/>
      <c r="FQ167" s="161"/>
      <c r="FR167" s="161"/>
      <c r="FS167" s="161"/>
      <c r="FT167" s="161"/>
      <c r="FU167" s="135"/>
      <c r="FV167" s="135"/>
      <c r="FW167" s="135"/>
      <c r="FX167" s="135"/>
      <c r="FY167" s="135"/>
      <c r="FZ167" s="135"/>
      <c r="GA167" s="136"/>
      <c r="GB167" s="136"/>
      <c r="GC167" s="161"/>
      <c r="GD167" s="161"/>
      <c r="GE167" s="161"/>
      <c r="GF167" s="161"/>
      <c r="GG167" s="161"/>
      <c r="GH167" s="161"/>
      <c r="GI167" s="135"/>
      <c r="GJ167" s="135"/>
      <c r="GK167" s="135"/>
      <c r="GL167" s="135"/>
      <c r="GM167" s="135"/>
      <c r="GN167" s="135"/>
    </row>
    <row r="168" spans="1:196" hidden="1">
      <c r="A168" s="140"/>
      <c r="B168" s="126" t="s">
        <v>950</v>
      </c>
      <c r="C168" s="126" t="s">
        <v>640</v>
      </c>
      <c r="D168" s="119"/>
      <c r="E168" s="119" t="e">
        <f>VLOOKUP(C168,#REF!,5,0)</f>
        <v>#REF!</v>
      </c>
      <c r="F168" s="107">
        <v>46218</v>
      </c>
      <c r="G168" s="127">
        <v>200</v>
      </c>
      <c r="H168" s="107">
        <v>46221</v>
      </c>
      <c r="I168" s="125">
        <v>46214</v>
      </c>
      <c r="J168" s="13">
        <f t="shared" si="187"/>
        <v>0</v>
      </c>
      <c r="K168" s="163"/>
      <c r="L168" s="161"/>
      <c r="M168" s="136"/>
      <c r="N168" s="136"/>
      <c r="O168" s="136"/>
      <c r="P168" s="136"/>
      <c r="Q168" s="136"/>
      <c r="R168" s="136"/>
      <c r="S168" s="161"/>
      <c r="T168" s="161"/>
      <c r="U168" s="161"/>
      <c r="V168" s="161"/>
      <c r="W168" s="135"/>
      <c r="X168" s="135"/>
      <c r="Y168" s="161"/>
      <c r="Z168" s="161"/>
      <c r="AA168" s="161"/>
      <c r="AB168" s="161"/>
      <c r="AC168" s="136"/>
      <c r="AD168" s="136"/>
      <c r="AE168" s="135"/>
      <c r="AF168" s="135"/>
      <c r="AG168" s="135"/>
      <c r="AH168" s="135"/>
      <c r="AI168" s="161"/>
      <c r="AJ168" s="135"/>
      <c r="AK168" s="161"/>
      <c r="AL168" s="135"/>
      <c r="AM168" s="135"/>
      <c r="AN168" s="135"/>
      <c r="AO168" s="135"/>
      <c r="AP168" s="135"/>
      <c r="AQ168" s="136"/>
      <c r="AR168" s="136"/>
      <c r="AS168" s="161"/>
      <c r="AT168" s="161"/>
      <c r="AU168" s="161"/>
      <c r="AV168" s="161"/>
      <c r="AW168" s="161"/>
      <c r="AX168" s="161"/>
      <c r="AY168" s="161">
        <v>62</v>
      </c>
      <c r="AZ168" s="161"/>
      <c r="BA168" s="161">
        <v>138</v>
      </c>
      <c r="BB168" s="161"/>
      <c r="BC168" s="161"/>
      <c r="BD168" s="135"/>
      <c r="BE168" s="136"/>
      <c r="BF168" s="136"/>
      <c r="BG168" s="161"/>
      <c r="BH168" s="161"/>
      <c r="BI168" s="161"/>
      <c r="BJ168" s="161"/>
      <c r="BK168" s="161"/>
      <c r="BL168" s="161"/>
      <c r="BM168" s="135"/>
      <c r="BN168" s="135"/>
      <c r="BO168" s="135"/>
      <c r="BP168" s="135"/>
      <c r="BQ168" s="135"/>
      <c r="BR168" s="135"/>
      <c r="BS168" s="136"/>
      <c r="BT168" s="136"/>
      <c r="BU168" s="161"/>
      <c r="BV168" s="161"/>
      <c r="BW168" s="161"/>
      <c r="BX168" s="161"/>
      <c r="BY168" s="161"/>
      <c r="BZ168" s="161"/>
      <c r="CA168" s="135"/>
      <c r="CB168" s="135"/>
      <c r="CC168" s="135"/>
      <c r="CD168" s="135"/>
      <c r="CE168" s="135"/>
      <c r="CF168" s="135"/>
      <c r="CG168" s="136"/>
      <c r="CH168" s="136"/>
      <c r="CI168" s="161"/>
      <c r="CJ168" s="161"/>
      <c r="CK168" s="161"/>
      <c r="CL168" s="161"/>
      <c r="CM168" s="161"/>
      <c r="CN168" s="161"/>
      <c r="CO168" s="135"/>
      <c r="CP168" s="135"/>
      <c r="CQ168" s="135"/>
      <c r="CR168" s="135"/>
      <c r="CS168" s="135"/>
      <c r="CT168" s="135"/>
      <c r="CU168" s="136"/>
      <c r="CV168" s="136"/>
      <c r="CW168" s="161"/>
      <c r="CX168" s="161"/>
      <c r="CY168" s="161"/>
      <c r="CZ168" s="161"/>
      <c r="DA168" s="161"/>
      <c r="DB168" s="161"/>
      <c r="DC168" s="135"/>
      <c r="DD168" s="135"/>
      <c r="DE168" s="135"/>
      <c r="DF168" s="135"/>
      <c r="DG168" s="135"/>
      <c r="DH168" s="135"/>
      <c r="DI168" s="136"/>
      <c r="DJ168" s="136"/>
      <c r="DK168" s="161"/>
      <c r="DL168" s="161"/>
      <c r="DM168" s="161"/>
      <c r="DN168" s="161"/>
      <c r="DO168" s="161"/>
      <c r="DP168" s="161"/>
      <c r="DQ168" s="135"/>
      <c r="DR168" s="135"/>
      <c r="DS168" s="135"/>
      <c r="DT168" s="135"/>
      <c r="DU168" s="135"/>
      <c r="DV168" s="135"/>
      <c r="DW168" s="136"/>
      <c r="DX168" s="136"/>
      <c r="DY168" s="161"/>
      <c r="DZ168" s="161"/>
      <c r="EA168" s="161"/>
      <c r="EB168" s="161"/>
      <c r="EC168" s="161"/>
      <c r="ED168" s="161"/>
      <c r="EE168" s="135"/>
      <c r="EF168" s="135"/>
      <c r="EG168" s="135"/>
      <c r="EH168" s="135"/>
      <c r="EI168" s="135"/>
      <c r="EJ168" s="135"/>
      <c r="EK168" s="136"/>
      <c r="EL168" s="136"/>
      <c r="EM168" s="136"/>
      <c r="EN168" s="136"/>
      <c r="EO168" s="136"/>
      <c r="EP168" s="136"/>
      <c r="EQ168" s="136"/>
      <c r="ER168" s="136"/>
      <c r="ES168" s="135"/>
      <c r="ET168" s="135"/>
      <c r="EU168" s="135"/>
      <c r="EV168" s="135"/>
      <c r="EW168" s="135"/>
      <c r="EX168" s="135"/>
      <c r="EY168" s="136"/>
      <c r="EZ168" s="136"/>
      <c r="FA168" s="161"/>
      <c r="FB168" s="161"/>
      <c r="FC168" s="161"/>
      <c r="FD168" s="161"/>
      <c r="FE168" s="161"/>
      <c r="FF168" s="161"/>
      <c r="FG168" s="135"/>
      <c r="FH168" s="135"/>
      <c r="FI168" s="135"/>
      <c r="FJ168" s="135"/>
      <c r="FK168" s="135"/>
      <c r="FL168" s="135"/>
      <c r="FM168" s="136"/>
      <c r="FN168" s="136"/>
      <c r="FO168" s="161"/>
      <c r="FP168" s="161"/>
      <c r="FQ168" s="161"/>
      <c r="FR168" s="161"/>
      <c r="FS168" s="161"/>
      <c r="FT168" s="161"/>
      <c r="FU168" s="135"/>
      <c r="FV168" s="135"/>
      <c r="FW168" s="135"/>
      <c r="FX168" s="135"/>
      <c r="FY168" s="135"/>
      <c r="FZ168" s="135"/>
      <c r="GA168" s="136"/>
      <c r="GB168" s="136"/>
      <c r="GC168" s="161"/>
      <c r="GD168" s="161"/>
      <c r="GE168" s="161"/>
      <c r="GF168" s="161"/>
      <c r="GG168" s="161"/>
      <c r="GH168" s="161"/>
      <c r="GI168" s="135"/>
      <c r="GJ168" s="135"/>
      <c r="GK168" s="135"/>
      <c r="GL168" s="135"/>
      <c r="GM168" s="135"/>
      <c r="GN168" s="135"/>
    </row>
    <row r="169" spans="1:196" ht="19" hidden="1" customHeight="1">
      <c r="A169" s="140"/>
      <c r="B169" s="126" t="s">
        <v>837</v>
      </c>
      <c r="C169" s="126" t="s">
        <v>190</v>
      </c>
      <c r="D169" s="119"/>
      <c r="E169" s="119" t="e">
        <f>VLOOKUP(C169,#REF!,5,0)</f>
        <v>#REF!</v>
      </c>
      <c r="F169" s="107">
        <v>46216</v>
      </c>
      <c r="G169" s="127">
        <v>500</v>
      </c>
      <c r="H169" s="107">
        <v>46221</v>
      </c>
      <c r="I169" s="125">
        <v>46214</v>
      </c>
      <c r="J169" s="13">
        <f t="shared" si="187"/>
        <v>0</v>
      </c>
      <c r="K169" s="163"/>
      <c r="L169" s="161"/>
      <c r="M169" s="136"/>
      <c r="N169" s="136"/>
      <c r="O169" s="136"/>
      <c r="P169" s="136"/>
      <c r="Q169" s="136"/>
      <c r="R169" s="136"/>
      <c r="S169" s="161"/>
      <c r="T169" s="161"/>
      <c r="U169" s="161"/>
      <c r="V169" s="161"/>
      <c r="W169" s="135"/>
      <c r="X169" s="135"/>
      <c r="Y169" s="161"/>
      <c r="Z169" s="161"/>
      <c r="AA169" s="161"/>
      <c r="AB169" s="161"/>
      <c r="AC169" s="136"/>
      <c r="AD169" s="136"/>
      <c r="AE169" s="135"/>
      <c r="AF169" s="135"/>
      <c r="AG169" s="135"/>
      <c r="AH169" s="135"/>
      <c r="AI169" s="161"/>
      <c r="AJ169" s="135"/>
      <c r="AK169" s="161"/>
      <c r="AL169" s="135"/>
      <c r="AM169" s="135"/>
      <c r="AN169" s="135"/>
      <c r="AO169" s="135"/>
      <c r="AP169" s="135"/>
      <c r="AQ169" s="136"/>
      <c r="AR169" s="136"/>
      <c r="AS169" s="135"/>
      <c r="AT169" s="161"/>
      <c r="AU169" s="161"/>
      <c r="AV169" s="161"/>
      <c r="AW169" s="161"/>
      <c r="AX169" s="161"/>
      <c r="AY169" s="161"/>
      <c r="AZ169" s="161"/>
      <c r="BA169" s="161">
        <v>500</v>
      </c>
      <c r="BB169" s="161"/>
      <c r="BC169" s="161"/>
      <c r="BD169" s="135"/>
      <c r="BE169" s="136"/>
      <c r="BF169" s="136"/>
      <c r="BG169" s="161"/>
      <c r="BH169" s="161"/>
      <c r="BI169" s="161"/>
      <c r="BJ169" s="161"/>
      <c r="BK169" s="161"/>
      <c r="BL169" s="161"/>
      <c r="BM169" s="135"/>
      <c r="BN169" s="135"/>
      <c r="BO169" s="135"/>
      <c r="BP169" s="135"/>
      <c r="BQ169" s="135"/>
      <c r="BR169" s="135"/>
      <c r="BS169" s="136"/>
      <c r="BT169" s="136"/>
      <c r="BU169" s="161"/>
      <c r="BV169" s="161"/>
      <c r="BW169" s="161"/>
      <c r="BX169" s="161"/>
      <c r="BY169" s="161"/>
      <c r="BZ169" s="161"/>
      <c r="CA169" s="135"/>
      <c r="CB169" s="135"/>
      <c r="CC169" s="135"/>
      <c r="CD169" s="135"/>
      <c r="CE169" s="135"/>
      <c r="CF169" s="135"/>
      <c r="CG169" s="136"/>
      <c r="CH169" s="136"/>
      <c r="CI169" s="161"/>
      <c r="CJ169" s="161"/>
      <c r="CK169" s="161"/>
      <c r="CL169" s="161"/>
      <c r="CM169" s="161"/>
      <c r="CN169" s="161"/>
      <c r="CO169" s="135"/>
      <c r="CP169" s="135"/>
      <c r="CQ169" s="135"/>
      <c r="CR169" s="135"/>
      <c r="CS169" s="135"/>
      <c r="CT169" s="135"/>
      <c r="CU169" s="136"/>
      <c r="CV169" s="136"/>
      <c r="CW169" s="161"/>
      <c r="CX169" s="161"/>
      <c r="CY169" s="161"/>
      <c r="CZ169" s="161"/>
      <c r="DA169" s="161"/>
      <c r="DB169" s="161"/>
      <c r="DC169" s="135"/>
      <c r="DD169" s="135"/>
      <c r="DE169" s="135"/>
      <c r="DF169" s="135"/>
      <c r="DG169" s="135"/>
      <c r="DH169" s="135"/>
      <c r="DI169" s="136"/>
      <c r="DJ169" s="136"/>
      <c r="DK169" s="161"/>
      <c r="DL169" s="161"/>
      <c r="DM169" s="161"/>
      <c r="DN169" s="161"/>
      <c r="DO169" s="161"/>
      <c r="DP169" s="161"/>
      <c r="DQ169" s="135"/>
      <c r="DR169" s="135"/>
      <c r="DS169" s="135"/>
      <c r="DT169" s="135"/>
      <c r="DU169" s="135"/>
      <c r="DV169" s="135"/>
      <c r="DW169" s="136"/>
      <c r="DX169" s="136"/>
      <c r="DY169" s="161"/>
      <c r="DZ169" s="161"/>
      <c r="EA169" s="161"/>
      <c r="EB169" s="161"/>
      <c r="EC169" s="161"/>
      <c r="ED169" s="161"/>
      <c r="EE169" s="135"/>
      <c r="EF169" s="135"/>
      <c r="EG169" s="135"/>
      <c r="EH169" s="135"/>
      <c r="EI169" s="135"/>
      <c r="EJ169" s="135"/>
      <c r="EK169" s="136"/>
      <c r="EL169" s="136"/>
      <c r="EM169" s="136"/>
      <c r="EN169" s="136"/>
      <c r="EO169" s="136"/>
      <c r="EP169" s="136"/>
      <c r="EQ169" s="136"/>
      <c r="ER169" s="136"/>
      <c r="ES169" s="135"/>
      <c r="ET169" s="135"/>
      <c r="EU169" s="135"/>
      <c r="EV169" s="135"/>
      <c r="EW169" s="135"/>
      <c r="EX169" s="135"/>
      <c r="EY169" s="136"/>
      <c r="EZ169" s="136"/>
      <c r="FA169" s="161"/>
      <c r="FB169" s="161"/>
      <c r="FC169" s="161"/>
      <c r="FD169" s="161"/>
      <c r="FE169" s="161"/>
      <c r="FF169" s="161"/>
      <c r="FG169" s="135"/>
      <c r="FH169" s="135"/>
      <c r="FI169" s="135"/>
      <c r="FJ169" s="135"/>
      <c r="FK169" s="135"/>
      <c r="FL169" s="135"/>
      <c r="FM169" s="136"/>
      <c r="FN169" s="136"/>
      <c r="FO169" s="161"/>
      <c r="FP169" s="161"/>
      <c r="FQ169" s="161"/>
      <c r="FR169" s="161"/>
      <c r="FS169" s="161"/>
      <c r="FT169" s="161"/>
      <c r="FU169" s="135"/>
      <c r="FV169" s="135"/>
      <c r="FW169" s="135"/>
      <c r="FX169" s="135"/>
      <c r="FY169" s="135"/>
      <c r="FZ169" s="135"/>
      <c r="GA169" s="136"/>
      <c r="GB169" s="136"/>
      <c r="GC169" s="161"/>
      <c r="GD169" s="161"/>
      <c r="GE169" s="161"/>
      <c r="GF169" s="161"/>
      <c r="GG169" s="161"/>
      <c r="GH169" s="161"/>
      <c r="GI169" s="135"/>
      <c r="GJ169" s="135"/>
      <c r="GK169" s="135"/>
      <c r="GL169" s="135"/>
      <c r="GM169" s="135"/>
      <c r="GN169" s="135"/>
    </row>
    <row r="170" spans="1:196" hidden="1">
      <c r="A170" s="140"/>
      <c r="B170" s="126" t="s">
        <v>1081</v>
      </c>
      <c r="C170" s="126" t="s">
        <v>190</v>
      </c>
      <c r="D170" s="119"/>
      <c r="E170" s="119"/>
      <c r="F170" s="107">
        <v>46216</v>
      </c>
      <c r="G170" s="127">
        <v>2000</v>
      </c>
      <c r="H170" s="6" t="s">
        <v>755</v>
      </c>
      <c r="I170" s="125">
        <v>46214</v>
      </c>
      <c r="J170" s="13">
        <f t="shared" si="187"/>
        <v>0</v>
      </c>
      <c r="K170" s="163"/>
      <c r="L170" s="161"/>
      <c r="M170" s="136"/>
      <c r="N170" s="136"/>
      <c r="O170" s="136"/>
      <c r="P170" s="136"/>
      <c r="Q170" s="136"/>
      <c r="R170" s="136"/>
      <c r="S170" s="161"/>
      <c r="T170" s="161"/>
      <c r="U170" s="161"/>
      <c r="V170" s="161"/>
      <c r="W170" s="135"/>
      <c r="X170" s="135"/>
      <c r="Y170" s="161"/>
      <c r="Z170" s="161"/>
      <c r="AA170" s="161"/>
      <c r="AB170" s="161"/>
      <c r="AC170" s="136"/>
      <c r="AD170" s="136"/>
      <c r="AE170" s="135"/>
      <c r="AF170" s="135"/>
      <c r="AG170" s="135"/>
      <c r="AH170" s="135"/>
      <c r="AI170" s="161"/>
      <c r="AJ170" s="135"/>
      <c r="AK170" s="161"/>
      <c r="AL170" s="135"/>
      <c r="AM170" s="135"/>
      <c r="AN170" s="135"/>
      <c r="AO170" s="135"/>
      <c r="AP170" s="135"/>
      <c r="AQ170" s="136"/>
      <c r="AR170" s="136"/>
      <c r="AS170" s="135"/>
      <c r="AT170" s="161"/>
      <c r="AU170" s="135"/>
      <c r="AV170" s="161"/>
      <c r="AW170" s="161"/>
      <c r="AX170" s="161"/>
      <c r="AY170" s="135"/>
      <c r="AZ170" s="161"/>
      <c r="BA170" s="161">
        <v>569</v>
      </c>
      <c r="BB170" s="161"/>
      <c r="BC170" s="161">
        <v>1431</v>
      </c>
      <c r="BD170" s="135"/>
      <c r="BE170" s="136"/>
      <c r="BF170" s="136"/>
      <c r="BG170" s="161"/>
      <c r="BH170" s="161"/>
      <c r="BI170" s="161"/>
      <c r="BJ170" s="161"/>
      <c r="BK170" s="161"/>
      <c r="BL170" s="161"/>
      <c r="BM170" s="135"/>
      <c r="BN170" s="135"/>
      <c r="BO170" s="135"/>
      <c r="BP170" s="135"/>
      <c r="BQ170" s="135"/>
      <c r="BR170" s="135"/>
      <c r="BS170" s="136"/>
      <c r="BT170" s="136"/>
      <c r="BU170" s="161"/>
      <c r="BV170" s="161"/>
      <c r="BW170" s="161"/>
      <c r="BX170" s="161"/>
      <c r="BY170" s="161"/>
      <c r="BZ170" s="161"/>
      <c r="CA170" s="135"/>
      <c r="CB170" s="135"/>
      <c r="CC170" s="135"/>
      <c r="CD170" s="135"/>
      <c r="CE170" s="135"/>
      <c r="CF170" s="135"/>
      <c r="CG170" s="136"/>
      <c r="CH170" s="136"/>
      <c r="CI170" s="161"/>
      <c r="CJ170" s="161"/>
      <c r="CK170" s="161"/>
      <c r="CL170" s="161"/>
      <c r="CM170" s="161"/>
      <c r="CN170" s="161"/>
      <c r="CO170" s="135"/>
      <c r="CP170" s="135"/>
      <c r="CQ170" s="135"/>
      <c r="CR170" s="135"/>
      <c r="CS170" s="135"/>
      <c r="CT170" s="135"/>
      <c r="CU170" s="136"/>
      <c r="CV170" s="136"/>
      <c r="CW170" s="161"/>
      <c r="CX170" s="161"/>
      <c r="CY170" s="161"/>
      <c r="CZ170" s="161"/>
      <c r="DA170" s="161"/>
      <c r="DB170" s="161"/>
      <c r="DC170" s="135"/>
      <c r="DD170" s="135"/>
      <c r="DE170" s="135"/>
      <c r="DF170" s="135"/>
      <c r="DG170" s="135"/>
      <c r="DH170" s="135"/>
      <c r="DI170" s="136"/>
      <c r="DJ170" s="136"/>
      <c r="DK170" s="161"/>
      <c r="DL170" s="161"/>
      <c r="DM170" s="161"/>
      <c r="DN170" s="161"/>
      <c r="DO170" s="161"/>
      <c r="DP170" s="161"/>
      <c r="DQ170" s="135"/>
      <c r="DR170" s="135"/>
      <c r="DS170" s="135"/>
      <c r="DT170" s="135"/>
      <c r="DU170" s="135"/>
      <c r="DV170" s="135"/>
      <c r="DW170" s="136"/>
      <c r="DX170" s="136"/>
      <c r="DY170" s="161"/>
      <c r="DZ170" s="161"/>
      <c r="EA170" s="161"/>
      <c r="EB170" s="161"/>
      <c r="EC170" s="161"/>
      <c r="ED170" s="161"/>
      <c r="EE170" s="135"/>
      <c r="EF170" s="135"/>
      <c r="EG170" s="135"/>
      <c r="EH170" s="135"/>
      <c r="EI170" s="135"/>
      <c r="EJ170" s="135"/>
      <c r="EK170" s="136"/>
      <c r="EL170" s="136"/>
      <c r="EM170" s="136"/>
      <c r="EN170" s="136"/>
      <c r="EO170" s="136"/>
      <c r="EP170" s="136"/>
      <c r="EQ170" s="136"/>
      <c r="ER170" s="136"/>
      <c r="ES170" s="135"/>
      <c r="ET170" s="135"/>
      <c r="EU170" s="135"/>
      <c r="EV170" s="135"/>
      <c r="EW170" s="135"/>
      <c r="EX170" s="135"/>
      <c r="EY170" s="136"/>
      <c r="EZ170" s="136"/>
      <c r="FA170" s="161"/>
      <c r="FB170" s="161"/>
      <c r="FC170" s="161"/>
      <c r="FD170" s="161"/>
      <c r="FE170" s="161"/>
      <c r="FF170" s="161"/>
      <c r="FG170" s="135"/>
      <c r="FH170" s="135"/>
      <c r="FI170" s="135"/>
      <c r="FJ170" s="135"/>
      <c r="FK170" s="135"/>
      <c r="FL170" s="135"/>
      <c r="FM170" s="136"/>
      <c r="FN170" s="136"/>
      <c r="FO170" s="161"/>
      <c r="FP170" s="161"/>
      <c r="FQ170" s="161"/>
      <c r="FR170" s="161"/>
      <c r="FS170" s="161"/>
      <c r="FT170" s="161"/>
      <c r="FU170" s="135"/>
      <c r="FV170" s="135"/>
      <c r="FW170" s="135"/>
      <c r="FX170" s="135"/>
      <c r="FY170" s="135"/>
      <c r="FZ170" s="135"/>
      <c r="GA170" s="136"/>
      <c r="GB170" s="136"/>
      <c r="GC170" s="161"/>
      <c r="GD170" s="161"/>
      <c r="GE170" s="161"/>
      <c r="GF170" s="161"/>
      <c r="GG170" s="161"/>
      <c r="GH170" s="161"/>
      <c r="GI170" s="135"/>
      <c r="GJ170" s="135"/>
      <c r="GK170" s="135"/>
      <c r="GL170" s="135"/>
      <c r="GM170" s="135"/>
      <c r="GN170" s="135"/>
    </row>
    <row r="171" spans="1:196" hidden="1">
      <c r="A171" s="140"/>
      <c r="B171" s="126" t="s">
        <v>1044</v>
      </c>
      <c r="C171" s="126" t="s">
        <v>618</v>
      </c>
      <c r="D171" s="119"/>
      <c r="E171" s="119" t="e">
        <f>VLOOKUP(C171,#REF!,5,0)</f>
        <v>#REF!</v>
      </c>
      <c r="F171" s="107">
        <v>46218</v>
      </c>
      <c r="G171" s="127">
        <v>740</v>
      </c>
      <c r="H171" s="107">
        <v>46225</v>
      </c>
      <c r="I171" s="125">
        <v>46221</v>
      </c>
      <c r="J171" s="13">
        <f t="shared" si="187"/>
        <v>0</v>
      </c>
      <c r="K171" s="163"/>
      <c r="L171" s="161"/>
      <c r="M171" s="136"/>
      <c r="N171" s="136"/>
      <c r="O171" s="136"/>
      <c r="P171" s="136"/>
      <c r="Q171" s="136"/>
      <c r="R171" s="136"/>
      <c r="S171" s="161"/>
      <c r="T171" s="161"/>
      <c r="U171" s="161"/>
      <c r="V171" s="161"/>
      <c r="W171" s="135"/>
      <c r="X171" s="135"/>
      <c r="Y171" s="161"/>
      <c r="Z171" s="161"/>
      <c r="AA171" s="161"/>
      <c r="AB171" s="161"/>
      <c r="AC171" s="136"/>
      <c r="AD171" s="136"/>
      <c r="AE171" s="135"/>
      <c r="AF171" s="135"/>
      <c r="AG171" s="135"/>
      <c r="AH171" s="135"/>
      <c r="AI171" s="161"/>
      <c r="AJ171" s="135"/>
      <c r="AK171" s="161"/>
      <c r="AL171" s="135"/>
      <c r="AM171" s="135"/>
      <c r="AN171" s="135"/>
      <c r="AO171" s="135"/>
      <c r="AP171" s="135"/>
      <c r="AQ171" s="136"/>
      <c r="AR171" s="136"/>
      <c r="AS171" s="161"/>
      <c r="AT171" s="161"/>
      <c r="AU171" s="161"/>
      <c r="AV171" s="161"/>
      <c r="AW171" s="161"/>
      <c r="AX171" s="161"/>
      <c r="AY171" s="161"/>
      <c r="AZ171" s="161"/>
      <c r="BA171" s="161"/>
      <c r="BB171" s="161"/>
      <c r="BC171" s="161">
        <v>559</v>
      </c>
      <c r="BD171" s="135"/>
      <c r="BE171" s="136"/>
      <c r="BF171" s="136"/>
      <c r="BG171" s="161">
        <v>181</v>
      </c>
      <c r="BH171" s="161"/>
      <c r="BI171" s="161"/>
      <c r="BJ171" s="161"/>
      <c r="BK171" s="161"/>
      <c r="BL171" s="161"/>
      <c r="BM171" s="161"/>
      <c r="BN171" s="135"/>
      <c r="BO171" s="135"/>
      <c r="BP171" s="135"/>
      <c r="BQ171" s="135"/>
      <c r="BR171" s="135"/>
      <c r="BS171" s="136"/>
      <c r="BT171" s="136"/>
      <c r="BU171" s="161"/>
      <c r="BV171" s="161"/>
      <c r="BW171" s="161"/>
      <c r="BX171" s="161"/>
      <c r="BY171" s="161"/>
      <c r="BZ171" s="161"/>
      <c r="CA171" s="135"/>
      <c r="CB171" s="135"/>
      <c r="CC171" s="135"/>
      <c r="CD171" s="135"/>
      <c r="CE171" s="135"/>
      <c r="CF171" s="135"/>
      <c r="CG171" s="136"/>
      <c r="CH171" s="136"/>
      <c r="CI171" s="161"/>
      <c r="CJ171" s="161"/>
      <c r="CK171" s="161"/>
      <c r="CL171" s="161"/>
      <c r="CM171" s="161"/>
      <c r="CN171" s="161"/>
      <c r="CO171" s="135"/>
      <c r="CP171" s="135"/>
      <c r="CQ171" s="135"/>
      <c r="CR171" s="135"/>
      <c r="CS171" s="135"/>
      <c r="CT171" s="135"/>
      <c r="CU171" s="136"/>
      <c r="CV171" s="136"/>
      <c r="CW171" s="161"/>
      <c r="CX171" s="161"/>
      <c r="CY171" s="161"/>
      <c r="CZ171" s="161"/>
      <c r="DA171" s="161"/>
      <c r="DB171" s="161"/>
      <c r="DC171" s="135"/>
      <c r="DD171" s="135"/>
      <c r="DE171" s="135"/>
      <c r="DF171" s="135"/>
      <c r="DG171" s="135"/>
      <c r="DH171" s="135"/>
      <c r="DI171" s="136"/>
      <c r="DJ171" s="136"/>
      <c r="DK171" s="161"/>
      <c r="DL171" s="161"/>
      <c r="DM171" s="161"/>
      <c r="DN171" s="161"/>
      <c r="DO171" s="161"/>
      <c r="DP171" s="161"/>
      <c r="DQ171" s="135"/>
      <c r="DR171" s="135"/>
      <c r="DS171" s="135"/>
      <c r="DT171" s="135"/>
      <c r="DU171" s="135"/>
      <c r="DV171" s="135"/>
      <c r="DW171" s="136"/>
      <c r="DX171" s="136"/>
      <c r="DY171" s="161"/>
      <c r="DZ171" s="161"/>
      <c r="EA171" s="161"/>
      <c r="EB171" s="161"/>
      <c r="EC171" s="161"/>
      <c r="ED171" s="161"/>
      <c r="EE171" s="135"/>
      <c r="EF171" s="135"/>
      <c r="EG171" s="135"/>
      <c r="EH171" s="135"/>
      <c r="EI171" s="135"/>
      <c r="EJ171" s="135"/>
      <c r="EK171" s="136"/>
      <c r="EL171" s="136"/>
      <c r="EM171" s="136"/>
      <c r="EN171" s="136"/>
      <c r="EO171" s="136"/>
      <c r="EP171" s="136"/>
      <c r="EQ171" s="136"/>
      <c r="ER171" s="136"/>
      <c r="ES171" s="135"/>
      <c r="ET171" s="135"/>
      <c r="EU171" s="135"/>
      <c r="EV171" s="135"/>
      <c r="EW171" s="135"/>
      <c r="EX171" s="135"/>
      <c r="EY171" s="136"/>
      <c r="EZ171" s="136"/>
      <c r="FA171" s="161"/>
      <c r="FB171" s="161"/>
      <c r="FC171" s="161"/>
      <c r="FD171" s="161"/>
      <c r="FE171" s="161"/>
      <c r="FF171" s="161"/>
      <c r="FG171" s="135"/>
      <c r="FH171" s="135"/>
      <c r="FI171" s="135"/>
      <c r="FJ171" s="135"/>
      <c r="FK171" s="135"/>
      <c r="FL171" s="135"/>
      <c r="FM171" s="136"/>
      <c r="FN171" s="136"/>
      <c r="FO171" s="161"/>
      <c r="FP171" s="161"/>
      <c r="FQ171" s="161"/>
      <c r="FR171" s="161"/>
      <c r="FS171" s="161"/>
      <c r="FT171" s="161"/>
      <c r="FU171" s="135"/>
      <c r="FV171" s="135"/>
      <c r="FW171" s="135"/>
      <c r="FX171" s="135"/>
      <c r="FY171" s="135"/>
      <c r="FZ171" s="135"/>
      <c r="GA171" s="136"/>
      <c r="GB171" s="136"/>
      <c r="GC171" s="161"/>
      <c r="GD171" s="161"/>
      <c r="GE171" s="161"/>
      <c r="GF171" s="161"/>
      <c r="GG171" s="161"/>
      <c r="GH171" s="161"/>
      <c r="GI171" s="135"/>
      <c r="GJ171" s="135"/>
      <c r="GK171" s="135"/>
      <c r="GL171" s="135"/>
      <c r="GM171" s="135"/>
      <c r="GN171" s="135"/>
    </row>
    <row r="172" spans="1:196" hidden="1">
      <c r="A172" s="140"/>
      <c r="B172" s="126" t="s">
        <v>865</v>
      </c>
      <c r="C172" s="126" t="s">
        <v>646</v>
      </c>
      <c r="D172" s="119"/>
      <c r="E172" s="119" t="e">
        <f>VLOOKUP(C172,#REF!,5,0)</f>
        <v>#REF!</v>
      </c>
      <c r="F172" s="107">
        <v>46221</v>
      </c>
      <c r="G172" s="127">
        <v>728</v>
      </c>
      <c r="H172" s="6" t="s">
        <v>755</v>
      </c>
      <c r="I172" s="125">
        <v>46214</v>
      </c>
      <c r="J172" s="13">
        <f t="shared" si="187"/>
        <v>0</v>
      </c>
      <c r="K172" s="163"/>
      <c r="L172" s="135"/>
      <c r="M172" s="136"/>
      <c r="N172" s="136"/>
      <c r="O172" s="136"/>
      <c r="P172" s="136"/>
      <c r="Q172" s="136"/>
      <c r="R172" s="136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61"/>
      <c r="AC172" s="136"/>
      <c r="AD172" s="136"/>
      <c r="AE172" s="135"/>
      <c r="AF172" s="135"/>
      <c r="AG172" s="135"/>
      <c r="AH172" s="161"/>
      <c r="AI172" s="161"/>
      <c r="AJ172" s="161"/>
      <c r="AK172" s="135"/>
      <c r="AL172" s="135"/>
      <c r="AM172" s="135"/>
      <c r="AN172" s="135"/>
      <c r="AO172" s="161"/>
      <c r="AP172" s="135"/>
      <c r="AQ172" s="136"/>
      <c r="AR172" s="136"/>
      <c r="AS172" s="135"/>
      <c r="AT172" s="161"/>
      <c r="AU172" s="135"/>
      <c r="AV172" s="161"/>
      <c r="AW172" s="135"/>
      <c r="AX172" s="161"/>
      <c r="AY172" s="135"/>
      <c r="AZ172" s="161"/>
      <c r="BA172" s="135"/>
      <c r="BB172" s="161"/>
      <c r="BC172" s="135"/>
      <c r="BD172" s="135"/>
      <c r="BE172" s="136"/>
      <c r="BF172" s="136"/>
      <c r="BG172" s="161">
        <v>728</v>
      </c>
      <c r="BH172" s="161"/>
      <c r="BI172" s="161"/>
      <c r="BJ172" s="161"/>
      <c r="BK172" s="161"/>
      <c r="BL172" s="161"/>
      <c r="BM172" s="135"/>
      <c r="BN172" s="135"/>
      <c r="BO172" s="135"/>
      <c r="BP172" s="135"/>
      <c r="BQ172" s="135"/>
      <c r="BR172" s="135"/>
      <c r="BS172" s="136"/>
      <c r="BT172" s="136"/>
      <c r="BU172" s="161"/>
      <c r="BV172" s="161"/>
      <c r="BW172" s="161"/>
      <c r="BX172" s="161"/>
      <c r="BY172" s="161"/>
      <c r="BZ172" s="161"/>
      <c r="CA172" s="135"/>
      <c r="CB172" s="135"/>
      <c r="CC172" s="135"/>
      <c r="CD172" s="135"/>
      <c r="CE172" s="135"/>
      <c r="CF172" s="135"/>
      <c r="CG172" s="136"/>
      <c r="CH172" s="136"/>
      <c r="CI172" s="161"/>
      <c r="CJ172" s="161"/>
      <c r="CK172" s="161"/>
      <c r="CL172" s="161"/>
      <c r="CM172" s="161"/>
      <c r="CN172" s="161"/>
      <c r="CO172" s="135"/>
      <c r="CP172" s="135"/>
      <c r="CQ172" s="135"/>
      <c r="CR172" s="135"/>
      <c r="CS172" s="135"/>
      <c r="CT172" s="135"/>
      <c r="CU172" s="136"/>
      <c r="CV172" s="136"/>
      <c r="CW172" s="161"/>
      <c r="CX172" s="161"/>
      <c r="CY172" s="161"/>
      <c r="CZ172" s="161"/>
      <c r="DA172" s="161"/>
      <c r="DB172" s="161"/>
      <c r="DC172" s="135"/>
      <c r="DD172" s="135"/>
      <c r="DE172" s="135"/>
      <c r="DF172" s="135"/>
      <c r="DG172" s="135"/>
      <c r="DH172" s="135"/>
      <c r="DI172" s="136"/>
      <c r="DJ172" s="136"/>
      <c r="DK172" s="161"/>
      <c r="DL172" s="161"/>
      <c r="DM172" s="161"/>
      <c r="DN172" s="161"/>
      <c r="DO172" s="161"/>
      <c r="DP172" s="161"/>
      <c r="DQ172" s="135"/>
      <c r="DR172" s="135"/>
      <c r="DS172" s="135"/>
      <c r="DT172" s="135"/>
      <c r="DU172" s="135"/>
      <c r="DV172" s="135"/>
      <c r="DW172" s="136"/>
      <c r="DX172" s="136"/>
      <c r="DY172" s="161"/>
      <c r="DZ172" s="161"/>
      <c r="EA172" s="161"/>
      <c r="EB172" s="161"/>
      <c r="EC172" s="161"/>
      <c r="ED172" s="161"/>
      <c r="EE172" s="135"/>
      <c r="EF172" s="135"/>
      <c r="EG172" s="135"/>
      <c r="EH172" s="135"/>
      <c r="EI172" s="135"/>
      <c r="EJ172" s="135"/>
      <c r="EK172" s="136"/>
      <c r="EL172" s="136"/>
      <c r="EM172" s="136"/>
      <c r="EN172" s="136"/>
      <c r="EO172" s="136"/>
      <c r="EP172" s="136"/>
      <c r="EQ172" s="136"/>
      <c r="ER172" s="136"/>
      <c r="ES172" s="135"/>
      <c r="ET172" s="135"/>
      <c r="EU172" s="135"/>
      <c r="EV172" s="135"/>
      <c r="EW172" s="135"/>
      <c r="EX172" s="135"/>
      <c r="EY172" s="136"/>
      <c r="EZ172" s="136"/>
      <c r="FA172" s="161"/>
      <c r="FB172" s="161"/>
      <c r="FC172" s="161"/>
      <c r="FD172" s="161"/>
      <c r="FE172" s="161"/>
      <c r="FF172" s="161"/>
      <c r="FG172" s="135"/>
      <c r="FH172" s="135"/>
      <c r="FI172" s="135"/>
      <c r="FJ172" s="135"/>
      <c r="FK172" s="135"/>
      <c r="FL172" s="135"/>
      <c r="FM172" s="136"/>
      <c r="FN172" s="136"/>
      <c r="FO172" s="161"/>
      <c r="FP172" s="161"/>
      <c r="FQ172" s="161"/>
      <c r="FR172" s="161"/>
      <c r="FS172" s="161"/>
      <c r="FT172" s="161"/>
      <c r="FU172" s="135"/>
      <c r="FV172" s="135"/>
      <c r="FW172" s="135"/>
      <c r="FX172" s="135"/>
      <c r="FY172" s="135"/>
      <c r="FZ172" s="135"/>
      <c r="GA172" s="136"/>
      <c r="GB172" s="136"/>
      <c r="GC172" s="161"/>
      <c r="GD172" s="161"/>
      <c r="GE172" s="161"/>
      <c r="GF172" s="161"/>
      <c r="GG172" s="161"/>
      <c r="GH172" s="161"/>
      <c r="GI172" s="135"/>
      <c r="GJ172" s="135"/>
      <c r="GK172" s="135"/>
      <c r="GL172" s="135"/>
      <c r="GM172" s="135"/>
      <c r="GN172" s="135"/>
    </row>
    <row r="173" spans="1:196" ht="16" hidden="1" customHeight="1">
      <c r="A173" s="140"/>
      <c r="B173" s="126" t="s">
        <v>945</v>
      </c>
      <c r="C173" s="126" t="s">
        <v>888</v>
      </c>
      <c r="D173" s="119"/>
      <c r="E173" s="119" t="e">
        <f>VLOOKUP(C173,#REF!,5,0)</f>
        <v>#REF!</v>
      </c>
      <c r="F173" s="107">
        <v>46219</v>
      </c>
      <c r="G173" s="127">
        <v>423</v>
      </c>
      <c r="H173" s="107">
        <v>46227</v>
      </c>
      <c r="I173" s="125">
        <v>46214</v>
      </c>
      <c r="J173" s="13">
        <f t="shared" si="187"/>
        <v>0</v>
      </c>
      <c r="K173" s="163"/>
      <c r="L173" s="135"/>
      <c r="M173" s="136"/>
      <c r="N173" s="136"/>
      <c r="O173" s="136"/>
      <c r="P173" s="136"/>
      <c r="Q173" s="136"/>
      <c r="R173" s="136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61"/>
      <c r="AC173" s="136"/>
      <c r="AD173" s="136"/>
      <c r="AE173" s="135"/>
      <c r="AF173" s="135"/>
      <c r="AG173" s="135"/>
      <c r="AH173" s="161"/>
      <c r="AI173" s="161"/>
      <c r="AJ173" s="161"/>
      <c r="AK173" s="135"/>
      <c r="AL173" s="135"/>
      <c r="AM173" s="135"/>
      <c r="AN173" s="135"/>
      <c r="AO173" s="135"/>
      <c r="AP173" s="135"/>
      <c r="AQ173" s="136"/>
      <c r="AR173" s="136"/>
      <c r="AS173" s="161"/>
      <c r="AT173" s="161"/>
      <c r="AU173" s="161"/>
      <c r="AV173" s="161"/>
      <c r="AW173" s="161"/>
      <c r="AX173" s="161"/>
      <c r="AY173" s="161"/>
      <c r="AZ173" s="161"/>
      <c r="BA173" s="161"/>
      <c r="BB173" s="161"/>
      <c r="BC173" s="161"/>
      <c r="BD173" s="135"/>
      <c r="BE173" s="136"/>
      <c r="BF173" s="136"/>
      <c r="BG173" s="161">
        <v>423</v>
      </c>
      <c r="BH173" s="161"/>
      <c r="BI173" s="161"/>
      <c r="BJ173" s="161"/>
      <c r="BK173" s="161"/>
      <c r="BL173" s="161"/>
      <c r="BM173" s="135"/>
      <c r="BN173" s="135"/>
      <c r="BO173" s="135"/>
      <c r="BP173" s="135"/>
      <c r="BQ173" s="135"/>
      <c r="BR173" s="135"/>
      <c r="BS173" s="136"/>
      <c r="BT173" s="136"/>
      <c r="BU173" s="161"/>
      <c r="BV173" s="161"/>
      <c r="BW173" s="161"/>
      <c r="BX173" s="161"/>
      <c r="BY173" s="161"/>
      <c r="BZ173" s="161"/>
      <c r="CA173" s="135"/>
      <c r="CB173" s="135"/>
      <c r="CC173" s="135"/>
      <c r="CD173" s="135"/>
      <c r="CE173" s="135"/>
      <c r="CF173" s="135"/>
      <c r="CG173" s="136"/>
      <c r="CH173" s="136"/>
      <c r="CI173" s="161"/>
      <c r="CJ173" s="161"/>
      <c r="CK173" s="161"/>
      <c r="CL173" s="161"/>
      <c r="CM173" s="161"/>
      <c r="CN173" s="161"/>
      <c r="CO173" s="135"/>
      <c r="CP173" s="135"/>
      <c r="CQ173" s="135"/>
      <c r="CR173" s="135"/>
      <c r="CS173" s="135"/>
      <c r="CT173" s="135"/>
      <c r="CU173" s="136"/>
      <c r="CV173" s="136"/>
      <c r="CW173" s="161"/>
      <c r="CX173" s="161"/>
      <c r="CY173" s="161"/>
      <c r="CZ173" s="161"/>
      <c r="DA173" s="161"/>
      <c r="DB173" s="161"/>
      <c r="DC173" s="135"/>
      <c r="DD173" s="135"/>
      <c r="DE173" s="135"/>
      <c r="DF173" s="135"/>
      <c r="DG173" s="135"/>
      <c r="DH173" s="135"/>
      <c r="DI173" s="136"/>
      <c r="DJ173" s="136"/>
      <c r="DK173" s="161"/>
      <c r="DL173" s="161"/>
      <c r="DM173" s="161"/>
      <c r="DN173" s="161"/>
      <c r="DO173" s="161"/>
      <c r="DP173" s="161"/>
      <c r="DQ173" s="135"/>
      <c r="DR173" s="135"/>
      <c r="DS173" s="135"/>
      <c r="DT173" s="135"/>
      <c r="DU173" s="135"/>
      <c r="DV173" s="135"/>
      <c r="DW173" s="136"/>
      <c r="DX173" s="136"/>
      <c r="DY173" s="161"/>
      <c r="DZ173" s="161"/>
      <c r="EA173" s="161"/>
      <c r="EB173" s="161"/>
      <c r="EC173" s="161"/>
      <c r="ED173" s="161"/>
      <c r="EE173" s="135"/>
      <c r="EF173" s="135"/>
      <c r="EG173" s="135"/>
      <c r="EH173" s="135"/>
      <c r="EI173" s="135"/>
      <c r="EJ173" s="135"/>
      <c r="EK173" s="136"/>
      <c r="EL173" s="136"/>
      <c r="EM173" s="136"/>
      <c r="EN173" s="136"/>
      <c r="EO173" s="136"/>
      <c r="EP173" s="136"/>
      <c r="EQ173" s="136"/>
      <c r="ER173" s="136"/>
      <c r="ES173" s="135"/>
      <c r="ET173" s="135"/>
      <c r="EU173" s="135"/>
      <c r="EV173" s="135"/>
      <c r="EW173" s="135"/>
      <c r="EX173" s="135"/>
      <c r="EY173" s="136"/>
      <c r="EZ173" s="136"/>
      <c r="FA173" s="161"/>
      <c r="FB173" s="161"/>
      <c r="FC173" s="161"/>
      <c r="FD173" s="161"/>
      <c r="FE173" s="161"/>
      <c r="FF173" s="161"/>
      <c r="FG173" s="135"/>
      <c r="FH173" s="135"/>
      <c r="FI173" s="135"/>
      <c r="FJ173" s="135"/>
      <c r="FK173" s="135"/>
      <c r="FL173" s="135"/>
      <c r="FM173" s="136"/>
      <c r="FN173" s="136"/>
      <c r="FO173" s="161"/>
      <c r="FP173" s="161"/>
      <c r="FQ173" s="161"/>
      <c r="FR173" s="161"/>
      <c r="FS173" s="161"/>
      <c r="FT173" s="161"/>
      <c r="FU173" s="135"/>
      <c r="FV173" s="135"/>
      <c r="FW173" s="135"/>
      <c r="FX173" s="135"/>
      <c r="FY173" s="135"/>
      <c r="FZ173" s="135"/>
      <c r="GA173" s="136"/>
      <c r="GB173" s="136"/>
      <c r="GC173" s="161"/>
      <c r="GD173" s="161"/>
      <c r="GE173" s="161"/>
      <c r="GF173" s="161"/>
      <c r="GG173" s="161"/>
      <c r="GH173" s="161"/>
      <c r="GI173" s="135"/>
      <c r="GJ173" s="135"/>
      <c r="GK173" s="135"/>
      <c r="GL173" s="135"/>
      <c r="GM173" s="135"/>
      <c r="GN173" s="135"/>
    </row>
    <row r="174" spans="1:196" hidden="1">
      <c r="A174" s="140"/>
      <c r="B174" s="128" t="s">
        <v>1032</v>
      </c>
      <c r="C174" s="128" t="s">
        <v>233</v>
      </c>
      <c r="D174" s="138"/>
      <c r="E174" s="119"/>
      <c r="F174" s="129"/>
      <c r="G174" s="127">
        <v>20</v>
      </c>
      <c r="H174" s="129"/>
      <c r="I174" s="110">
        <v>46207</v>
      </c>
      <c r="J174" s="111">
        <f t="shared" si="187"/>
        <v>0</v>
      </c>
      <c r="K174" s="163" t="s">
        <v>1031</v>
      </c>
      <c r="L174" s="135"/>
      <c r="M174" s="136"/>
      <c r="N174" s="136"/>
      <c r="O174" s="136"/>
      <c r="P174" s="136"/>
      <c r="Q174" s="136"/>
      <c r="R174" s="136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6"/>
      <c r="AD174" s="136"/>
      <c r="AE174" s="161"/>
      <c r="AF174" s="161"/>
      <c r="AG174" s="161"/>
      <c r="AH174" s="161"/>
      <c r="AI174" s="161"/>
      <c r="AJ174" s="161"/>
      <c r="AK174" s="135"/>
      <c r="AL174" s="135"/>
      <c r="AM174" s="161"/>
      <c r="AN174" s="135"/>
      <c r="AO174" s="161"/>
      <c r="AP174" s="135"/>
      <c r="AQ174" s="136"/>
      <c r="AR174" s="136"/>
      <c r="AS174" s="161"/>
      <c r="AT174" s="161"/>
      <c r="AU174" s="161"/>
      <c r="AV174" s="161"/>
      <c r="AW174" s="161"/>
      <c r="AX174" s="161"/>
      <c r="AY174" s="161"/>
      <c r="AZ174" s="135"/>
      <c r="BA174" s="135"/>
      <c r="BB174" s="135"/>
      <c r="BC174" s="161"/>
      <c r="BD174" s="135"/>
      <c r="BE174" s="136"/>
      <c r="BF174" s="136"/>
      <c r="BG174" s="161"/>
      <c r="BH174" s="161"/>
      <c r="BI174" s="161">
        <v>20</v>
      </c>
      <c r="BJ174" s="161"/>
      <c r="BK174" s="161"/>
      <c r="BL174" s="161"/>
      <c r="BM174" s="135"/>
      <c r="BN174" s="135"/>
      <c r="BO174" s="135"/>
      <c r="BP174" s="135"/>
      <c r="BQ174" s="135"/>
      <c r="BR174" s="135"/>
      <c r="BS174" s="136"/>
      <c r="BT174" s="136"/>
      <c r="BU174" s="161"/>
      <c r="BV174" s="161"/>
      <c r="BW174" s="161"/>
      <c r="BX174" s="161"/>
      <c r="BY174" s="161"/>
      <c r="BZ174" s="161"/>
      <c r="CA174" s="135"/>
      <c r="CB174" s="135"/>
      <c r="CC174" s="135"/>
      <c r="CD174" s="135"/>
      <c r="CE174" s="135"/>
      <c r="CF174" s="135"/>
      <c r="CG174" s="136"/>
      <c r="CH174" s="136"/>
      <c r="CI174" s="161"/>
      <c r="CJ174" s="161"/>
      <c r="CK174" s="161"/>
      <c r="CL174" s="161"/>
      <c r="CM174" s="161"/>
      <c r="CN174" s="161"/>
      <c r="CO174" s="135"/>
      <c r="CP174" s="135"/>
      <c r="CQ174" s="135"/>
      <c r="CR174" s="135"/>
      <c r="CS174" s="135"/>
      <c r="CT174" s="135"/>
      <c r="CU174" s="136"/>
      <c r="CV174" s="136"/>
      <c r="CW174" s="161"/>
      <c r="CX174" s="161"/>
      <c r="CY174" s="161"/>
      <c r="CZ174" s="161"/>
      <c r="DA174" s="161"/>
      <c r="DB174" s="161"/>
      <c r="DC174" s="135"/>
      <c r="DD174" s="135"/>
      <c r="DE174" s="135"/>
      <c r="DF174" s="135"/>
      <c r="DG174" s="135"/>
      <c r="DH174" s="135"/>
      <c r="DI174" s="136"/>
      <c r="DJ174" s="136"/>
      <c r="DK174" s="161"/>
      <c r="DL174" s="161"/>
      <c r="DM174" s="161"/>
      <c r="DN174" s="161"/>
      <c r="DO174" s="161"/>
      <c r="DP174" s="161"/>
      <c r="DQ174" s="135"/>
      <c r="DR174" s="135"/>
      <c r="DS174" s="135"/>
      <c r="DT174" s="135"/>
      <c r="DU174" s="135"/>
      <c r="DV174" s="135"/>
      <c r="DW174" s="136"/>
      <c r="DX174" s="136"/>
      <c r="DY174" s="161"/>
      <c r="DZ174" s="161"/>
      <c r="EA174" s="161"/>
      <c r="EB174" s="161"/>
      <c r="EC174" s="161"/>
      <c r="ED174" s="161"/>
      <c r="EE174" s="135"/>
      <c r="EF174" s="135"/>
      <c r="EG174" s="135"/>
      <c r="EH174" s="135"/>
      <c r="EI174" s="135"/>
      <c r="EJ174" s="135"/>
      <c r="EK174" s="136"/>
      <c r="EL174" s="136"/>
      <c r="EM174" s="136"/>
      <c r="EN174" s="136"/>
      <c r="EO174" s="136"/>
      <c r="EP174" s="136"/>
      <c r="EQ174" s="136"/>
      <c r="ER174" s="136"/>
      <c r="ES174" s="135"/>
      <c r="ET174" s="135"/>
      <c r="EU174" s="135"/>
      <c r="EV174" s="135"/>
      <c r="EW174" s="135"/>
      <c r="EX174" s="135"/>
      <c r="EY174" s="136"/>
      <c r="EZ174" s="136"/>
      <c r="FA174" s="161"/>
      <c r="FB174" s="161"/>
      <c r="FC174" s="161"/>
      <c r="FD174" s="161"/>
      <c r="FE174" s="161"/>
      <c r="FF174" s="161"/>
      <c r="FG174" s="135"/>
      <c r="FH174" s="135"/>
      <c r="FI174" s="135"/>
      <c r="FJ174" s="135"/>
      <c r="FK174" s="135"/>
      <c r="FL174" s="135"/>
      <c r="FM174" s="136"/>
      <c r="FN174" s="136"/>
      <c r="FO174" s="161"/>
      <c r="FP174" s="161"/>
      <c r="FQ174" s="161"/>
      <c r="FR174" s="161"/>
      <c r="FS174" s="161"/>
      <c r="FT174" s="161"/>
      <c r="FU174" s="135"/>
      <c r="FV174" s="135"/>
      <c r="FW174" s="135"/>
      <c r="FX174" s="135"/>
      <c r="FY174" s="135"/>
      <c r="FZ174" s="135"/>
      <c r="GA174" s="136"/>
      <c r="GB174" s="136"/>
      <c r="GC174" s="161"/>
      <c r="GD174" s="161"/>
      <c r="GE174" s="161"/>
      <c r="GF174" s="161"/>
      <c r="GG174" s="161"/>
      <c r="GH174" s="161"/>
      <c r="GI174" s="135"/>
      <c r="GJ174" s="135"/>
      <c r="GK174" s="135"/>
      <c r="GL174" s="135"/>
      <c r="GM174" s="135"/>
      <c r="GN174" s="135"/>
    </row>
    <row r="175" spans="1:196" hidden="1">
      <c r="A175" s="140"/>
      <c r="B175" s="128" t="s">
        <v>1034</v>
      </c>
      <c r="C175" s="128" t="s">
        <v>930</v>
      </c>
      <c r="D175" s="138"/>
      <c r="E175" s="119"/>
      <c r="F175" s="129"/>
      <c r="G175" s="127">
        <v>10</v>
      </c>
      <c r="H175" s="129"/>
      <c r="I175" s="110">
        <v>46207</v>
      </c>
      <c r="J175" s="111">
        <f t="shared" si="187"/>
        <v>0</v>
      </c>
      <c r="K175" s="163" t="s">
        <v>921</v>
      </c>
      <c r="L175" s="135"/>
      <c r="M175" s="136"/>
      <c r="N175" s="136"/>
      <c r="O175" s="136"/>
      <c r="P175" s="136"/>
      <c r="Q175" s="136"/>
      <c r="R175" s="136"/>
      <c r="S175" s="135"/>
      <c r="T175" s="161"/>
      <c r="U175" s="161"/>
      <c r="V175" s="161"/>
      <c r="W175" s="135"/>
      <c r="X175" s="135"/>
      <c r="Y175" s="135"/>
      <c r="Z175" s="135"/>
      <c r="AA175" s="135"/>
      <c r="AB175" s="135"/>
      <c r="AC175" s="136"/>
      <c r="AD175" s="136"/>
      <c r="AE175" s="135"/>
      <c r="AF175" s="161"/>
      <c r="AG175" s="135"/>
      <c r="AH175" s="161"/>
      <c r="AI175" s="135"/>
      <c r="AJ175" s="161"/>
      <c r="AK175" s="135"/>
      <c r="AL175" s="135"/>
      <c r="AM175" s="135"/>
      <c r="AN175" s="135"/>
      <c r="AO175" s="135"/>
      <c r="AP175" s="135"/>
      <c r="AQ175" s="136"/>
      <c r="AR175" s="136"/>
      <c r="AS175" s="135"/>
      <c r="AT175" s="161"/>
      <c r="AU175" s="161"/>
      <c r="AV175" s="161"/>
      <c r="AW175" s="161"/>
      <c r="AX175" s="161"/>
      <c r="AY175" s="135"/>
      <c r="AZ175" s="135"/>
      <c r="BA175" s="135"/>
      <c r="BB175" s="135"/>
      <c r="BC175" s="135"/>
      <c r="BD175" s="135"/>
      <c r="BE175" s="136"/>
      <c r="BF175" s="136"/>
      <c r="BG175" s="135"/>
      <c r="BH175" s="161"/>
      <c r="BI175" s="135">
        <v>10</v>
      </c>
      <c r="BJ175" s="161"/>
      <c r="BK175" s="135"/>
      <c r="BL175" s="161"/>
      <c r="BM175" s="135"/>
      <c r="BN175" s="135"/>
      <c r="BO175" s="135"/>
      <c r="BP175" s="135"/>
      <c r="BQ175" s="135"/>
      <c r="BR175" s="135"/>
      <c r="BS175" s="136"/>
      <c r="BT175" s="136"/>
      <c r="BU175" s="161"/>
      <c r="BV175" s="161"/>
      <c r="BW175" s="161"/>
      <c r="BX175" s="161"/>
      <c r="BY175" s="161"/>
      <c r="BZ175" s="161"/>
      <c r="CA175" s="135"/>
      <c r="CB175" s="135"/>
      <c r="CC175" s="135"/>
      <c r="CD175" s="135"/>
      <c r="CE175" s="135"/>
      <c r="CF175" s="135"/>
      <c r="CG175" s="136"/>
      <c r="CH175" s="136"/>
      <c r="CI175" s="161"/>
      <c r="CJ175" s="161"/>
      <c r="CK175" s="161"/>
      <c r="CL175" s="161"/>
      <c r="CM175" s="161"/>
      <c r="CN175" s="161"/>
      <c r="CO175" s="135"/>
      <c r="CP175" s="135"/>
      <c r="CQ175" s="135"/>
      <c r="CR175" s="135"/>
      <c r="CS175" s="135"/>
      <c r="CT175" s="135"/>
      <c r="CU175" s="136"/>
      <c r="CV175" s="136"/>
      <c r="CW175" s="161"/>
      <c r="CX175" s="161"/>
      <c r="CY175" s="161"/>
      <c r="CZ175" s="161"/>
      <c r="DA175" s="161"/>
      <c r="DB175" s="161"/>
      <c r="DC175" s="135"/>
      <c r="DD175" s="135"/>
      <c r="DE175" s="135"/>
      <c r="DF175" s="135"/>
      <c r="DG175" s="135"/>
      <c r="DH175" s="135"/>
      <c r="DI175" s="136"/>
      <c r="DJ175" s="136"/>
      <c r="DK175" s="161"/>
      <c r="DL175" s="161"/>
      <c r="DM175" s="161"/>
      <c r="DN175" s="161"/>
      <c r="DO175" s="161"/>
      <c r="DP175" s="161"/>
      <c r="DQ175" s="135"/>
      <c r="DR175" s="135"/>
      <c r="DS175" s="135"/>
      <c r="DT175" s="135"/>
      <c r="DU175" s="135"/>
      <c r="DV175" s="135"/>
      <c r="DW175" s="136"/>
      <c r="DX175" s="136"/>
      <c r="DY175" s="161"/>
      <c r="DZ175" s="161"/>
      <c r="EA175" s="161"/>
      <c r="EB175" s="161"/>
      <c r="EC175" s="161"/>
      <c r="ED175" s="161"/>
      <c r="EE175" s="135"/>
      <c r="EF175" s="135"/>
      <c r="EG175" s="135"/>
      <c r="EH175" s="135"/>
      <c r="EI175" s="135"/>
      <c r="EJ175" s="135"/>
      <c r="EK175" s="136"/>
      <c r="EL175" s="136"/>
      <c r="EM175" s="136"/>
      <c r="EN175" s="136"/>
      <c r="EO175" s="136"/>
      <c r="EP175" s="136"/>
      <c r="EQ175" s="136"/>
      <c r="ER175" s="136"/>
      <c r="ES175" s="135"/>
      <c r="ET175" s="135"/>
      <c r="EU175" s="135"/>
      <c r="EV175" s="135"/>
      <c r="EW175" s="135"/>
      <c r="EX175" s="135"/>
      <c r="EY175" s="136"/>
      <c r="EZ175" s="136"/>
      <c r="FA175" s="161"/>
      <c r="FB175" s="161"/>
      <c r="FC175" s="161"/>
      <c r="FD175" s="161"/>
      <c r="FE175" s="161"/>
      <c r="FF175" s="161"/>
      <c r="FG175" s="135"/>
      <c r="FH175" s="135"/>
      <c r="FI175" s="135"/>
      <c r="FJ175" s="135"/>
      <c r="FK175" s="135"/>
      <c r="FL175" s="135"/>
      <c r="FM175" s="136"/>
      <c r="FN175" s="136"/>
      <c r="FO175" s="161"/>
      <c r="FP175" s="161"/>
      <c r="FQ175" s="161"/>
      <c r="FR175" s="161"/>
      <c r="FS175" s="161"/>
      <c r="FT175" s="161"/>
      <c r="FU175" s="135"/>
      <c r="FV175" s="135"/>
      <c r="FW175" s="135"/>
      <c r="FX175" s="135"/>
      <c r="FY175" s="135"/>
      <c r="FZ175" s="135"/>
      <c r="GA175" s="136"/>
      <c r="GB175" s="136"/>
      <c r="GC175" s="161"/>
      <c r="GD175" s="161"/>
      <c r="GE175" s="161"/>
      <c r="GF175" s="161"/>
      <c r="GG175" s="161"/>
      <c r="GH175" s="161"/>
      <c r="GI175" s="135"/>
      <c r="GJ175" s="135"/>
      <c r="GK175" s="135"/>
      <c r="GL175" s="135"/>
      <c r="GM175" s="135"/>
      <c r="GN175" s="135"/>
    </row>
    <row r="176" spans="1:196" hidden="1">
      <c r="A176" s="140"/>
      <c r="B176" s="128" t="s">
        <v>1033</v>
      </c>
      <c r="C176" s="128" t="s">
        <v>696</v>
      </c>
      <c r="D176" s="138"/>
      <c r="E176" s="119"/>
      <c r="F176" s="129"/>
      <c r="G176" s="127">
        <v>19</v>
      </c>
      <c r="H176" s="129"/>
      <c r="I176" s="110">
        <v>46207</v>
      </c>
      <c r="J176" s="111">
        <f t="shared" si="187"/>
        <v>0</v>
      </c>
      <c r="K176" s="163" t="s">
        <v>1030</v>
      </c>
      <c r="L176" s="135"/>
      <c r="M176" s="136"/>
      <c r="N176" s="136"/>
      <c r="O176" s="136"/>
      <c r="P176" s="136"/>
      <c r="Q176" s="136"/>
      <c r="R176" s="136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6"/>
      <c r="AD176" s="136"/>
      <c r="AE176" s="161"/>
      <c r="AF176" s="161"/>
      <c r="AG176" s="161"/>
      <c r="AH176" s="161"/>
      <c r="AI176" s="161"/>
      <c r="AJ176" s="161"/>
      <c r="AK176" s="135"/>
      <c r="AL176" s="135"/>
      <c r="AM176" s="161"/>
      <c r="AN176" s="135"/>
      <c r="AO176" s="161"/>
      <c r="AP176" s="135"/>
      <c r="AQ176" s="136"/>
      <c r="AR176" s="136"/>
      <c r="AS176" s="161"/>
      <c r="AT176" s="161"/>
      <c r="AU176" s="161"/>
      <c r="AV176" s="161"/>
      <c r="AW176" s="161"/>
      <c r="AX176" s="161"/>
      <c r="AY176" s="161"/>
      <c r="AZ176" s="135"/>
      <c r="BA176" s="135"/>
      <c r="BB176" s="135"/>
      <c r="BC176" s="161"/>
      <c r="BD176" s="135"/>
      <c r="BE176" s="136"/>
      <c r="BF176" s="136"/>
      <c r="BG176" s="161"/>
      <c r="BH176" s="161"/>
      <c r="BI176" s="161">
        <v>19</v>
      </c>
      <c r="BJ176" s="161"/>
      <c r="BK176" s="161"/>
      <c r="BL176" s="161"/>
      <c r="BM176" s="135"/>
      <c r="BN176" s="135"/>
      <c r="BO176" s="135"/>
      <c r="BP176" s="135"/>
      <c r="BQ176" s="135"/>
      <c r="BR176" s="135"/>
      <c r="BS176" s="136"/>
      <c r="BT176" s="136"/>
      <c r="BU176" s="161"/>
      <c r="BV176" s="161"/>
      <c r="BW176" s="161"/>
      <c r="BX176" s="161"/>
      <c r="BY176" s="161"/>
      <c r="BZ176" s="161"/>
      <c r="CA176" s="135"/>
      <c r="CB176" s="135"/>
      <c r="CC176" s="135"/>
      <c r="CD176" s="135"/>
      <c r="CE176" s="135"/>
      <c r="CF176" s="135"/>
      <c r="CG176" s="136"/>
      <c r="CH176" s="136"/>
      <c r="CI176" s="161"/>
      <c r="CJ176" s="161"/>
      <c r="CK176" s="161"/>
      <c r="CL176" s="161"/>
      <c r="CM176" s="161"/>
      <c r="CN176" s="161"/>
      <c r="CO176" s="135"/>
      <c r="CP176" s="135"/>
      <c r="CQ176" s="135"/>
      <c r="CR176" s="135"/>
      <c r="CS176" s="135"/>
      <c r="CT176" s="135"/>
      <c r="CU176" s="136"/>
      <c r="CV176" s="136"/>
      <c r="CW176" s="161"/>
      <c r="CX176" s="161"/>
      <c r="CY176" s="161"/>
      <c r="CZ176" s="161"/>
      <c r="DA176" s="161"/>
      <c r="DB176" s="161"/>
      <c r="DC176" s="135"/>
      <c r="DD176" s="135"/>
      <c r="DE176" s="135"/>
      <c r="DF176" s="135"/>
      <c r="DG176" s="135"/>
      <c r="DH176" s="135"/>
      <c r="DI176" s="136"/>
      <c r="DJ176" s="136"/>
      <c r="DK176" s="161"/>
      <c r="DL176" s="161"/>
      <c r="DM176" s="161"/>
      <c r="DN176" s="161"/>
      <c r="DO176" s="161"/>
      <c r="DP176" s="161"/>
      <c r="DQ176" s="135"/>
      <c r="DR176" s="135"/>
      <c r="DS176" s="135"/>
      <c r="DT176" s="135"/>
      <c r="DU176" s="135"/>
      <c r="DV176" s="135"/>
      <c r="DW176" s="136"/>
      <c r="DX176" s="136"/>
      <c r="DY176" s="161"/>
      <c r="DZ176" s="161"/>
      <c r="EA176" s="161"/>
      <c r="EB176" s="161"/>
      <c r="EC176" s="161"/>
      <c r="ED176" s="161"/>
      <c r="EE176" s="135"/>
      <c r="EF176" s="135"/>
      <c r="EG176" s="135"/>
      <c r="EH176" s="135"/>
      <c r="EI176" s="135"/>
      <c r="EJ176" s="135"/>
      <c r="EK176" s="136"/>
      <c r="EL176" s="136"/>
      <c r="EM176" s="136"/>
      <c r="EN176" s="136"/>
      <c r="EO176" s="136"/>
      <c r="EP176" s="136"/>
      <c r="EQ176" s="136"/>
      <c r="ER176" s="136"/>
      <c r="ES176" s="135"/>
      <c r="ET176" s="135"/>
      <c r="EU176" s="135"/>
      <c r="EV176" s="135"/>
      <c r="EW176" s="135"/>
      <c r="EX176" s="135"/>
      <c r="EY176" s="136"/>
      <c r="EZ176" s="136"/>
      <c r="FA176" s="161"/>
      <c r="FB176" s="161"/>
      <c r="FC176" s="161"/>
      <c r="FD176" s="161"/>
      <c r="FE176" s="161"/>
      <c r="FF176" s="161"/>
      <c r="FG176" s="135"/>
      <c r="FH176" s="135"/>
      <c r="FI176" s="135"/>
      <c r="FJ176" s="135"/>
      <c r="FK176" s="135"/>
      <c r="FL176" s="135"/>
      <c r="FM176" s="136"/>
      <c r="FN176" s="136"/>
      <c r="FO176" s="161"/>
      <c r="FP176" s="161"/>
      <c r="FQ176" s="161"/>
      <c r="FR176" s="161"/>
      <c r="FS176" s="161"/>
      <c r="FT176" s="161"/>
      <c r="FU176" s="135"/>
      <c r="FV176" s="135"/>
      <c r="FW176" s="135"/>
      <c r="FX176" s="135"/>
      <c r="FY176" s="135"/>
      <c r="FZ176" s="135"/>
      <c r="GA176" s="136"/>
      <c r="GB176" s="136"/>
      <c r="GC176" s="161"/>
      <c r="GD176" s="161"/>
      <c r="GE176" s="161"/>
      <c r="GF176" s="161"/>
      <c r="GG176" s="161"/>
      <c r="GH176" s="161"/>
      <c r="GI176" s="135"/>
      <c r="GJ176" s="135"/>
      <c r="GK176" s="135"/>
      <c r="GL176" s="135"/>
      <c r="GM176" s="135"/>
      <c r="GN176" s="135"/>
    </row>
    <row r="177" spans="1:196" hidden="1">
      <c r="A177" s="140"/>
      <c r="B177" s="128" t="s">
        <v>772</v>
      </c>
      <c r="C177" s="128" t="s">
        <v>773</v>
      </c>
      <c r="D177" s="138"/>
      <c r="E177" s="119" t="e">
        <f>VLOOKUP(C177,#REF!,5,0)</f>
        <v>#REF!</v>
      </c>
      <c r="F177" s="129"/>
      <c r="G177" s="130">
        <v>43</v>
      </c>
      <c r="H177" s="129"/>
      <c r="I177" s="110">
        <v>46184</v>
      </c>
      <c r="J177" s="111">
        <f t="shared" si="187"/>
        <v>0</v>
      </c>
      <c r="K177" s="163" t="s">
        <v>776</v>
      </c>
      <c r="L177" s="135"/>
      <c r="M177" s="136"/>
      <c r="N177" s="136"/>
      <c r="O177" s="136"/>
      <c r="P177" s="136"/>
      <c r="Q177" s="136"/>
      <c r="R177" s="136"/>
      <c r="S177" s="135"/>
      <c r="T177" s="161"/>
      <c r="U177" s="161"/>
      <c r="V177" s="161"/>
      <c r="W177" s="135"/>
      <c r="X177" s="135"/>
      <c r="Y177" s="135"/>
      <c r="Z177" s="135"/>
      <c r="AA177" s="135"/>
      <c r="AB177" s="135"/>
      <c r="AC177" s="136"/>
      <c r="AD177" s="136"/>
      <c r="AE177" s="135"/>
      <c r="AF177" s="161"/>
      <c r="AG177" s="161"/>
      <c r="AH177" s="161"/>
      <c r="AI177" s="161"/>
      <c r="AJ177" s="161"/>
      <c r="AK177" s="135"/>
      <c r="AL177" s="135"/>
      <c r="AM177" s="135"/>
      <c r="AN177" s="135"/>
      <c r="AO177" s="135"/>
      <c r="AP177" s="135"/>
      <c r="AQ177" s="136"/>
      <c r="AR177" s="136"/>
      <c r="AS177" s="135"/>
      <c r="AT177" s="161"/>
      <c r="AU177" s="135"/>
      <c r="AV177" s="161"/>
      <c r="AW177" s="161"/>
      <c r="AX177" s="161"/>
      <c r="AY177" s="135"/>
      <c r="AZ177" s="161"/>
      <c r="BA177" s="161"/>
      <c r="BB177" s="161"/>
      <c r="BC177" s="135"/>
      <c r="BD177" s="135"/>
      <c r="BE177" s="136"/>
      <c r="BF177" s="136"/>
      <c r="BG177" s="135"/>
      <c r="BH177" s="161"/>
      <c r="BI177" s="135">
        <v>43</v>
      </c>
      <c r="BJ177" s="161"/>
      <c r="BK177" s="135"/>
      <c r="BL177" s="161"/>
      <c r="BM177" s="135"/>
      <c r="BN177" s="135"/>
      <c r="BO177" s="135"/>
      <c r="BP177" s="135"/>
      <c r="BQ177" s="135"/>
      <c r="BR177" s="135"/>
      <c r="BS177" s="136"/>
      <c r="BT177" s="136"/>
      <c r="BU177" s="135"/>
      <c r="BV177" s="161"/>
      <c r="BW177" s="161"/>
      <c r="BX177" s="161"/>
      <c r="BY177" s="161"/>
      <c r="BZ177" s="161"/>
      <c r="CA177" s="135"/>
      <c r="CB177" s="135"/>
      <c r="CC177" s="135"/>
      <c r="CD177" s="135"/>
      <c r="CE177" s="135"/>
      <c r="CF177" s="135"/>
      <c r="CG177" s="136"/>
      <c r="CH177" s="136"/>
      <c r="CI177" s="161"/>
      <c r="CJ177" s="161"/>
      <c r="CK177" s="161"/>
      <c r="CL177" s="161"/>
      <c r="CM177" s="161"/>
      <c r="CN177" s="161"/>
      <c r="CO177" s="135"/>
      <c r="CP177" s="135"/>
      <c r="CQ177" s="135"/>
      <c r="CR177" s="135"/>
      <c r="CS177" s="135"/>
      <c r="CT177" s="135"/>
      <c r="CU177" s="136"/>
      <c r="CV177" s="136"/>
      <c r="CW177" s="161"/>
      <c r="CX177" s="161"/>
      <c r="CY177" s="161"/>
      <c r="CZ177" s="161"/>
      <c r="DA177" s="161"/>
      <c r="DB177" s="161"/>
      <c r="DC177" s="135"/>
      <c r="DD177" s="135"/>
      <c r="DE177" s="135"/>
      <c r="DF177" s="135"/>
      <c r="DG177" s="135"/>
      <c r="DH177" s="135"/>
      <c r="DI177" s="136"/>
      <c r="DJ177" s="136"/>
      <c r="DK177" s="161"/>
      <c r="DL177" s="161"/>
      <c r="DM177" s="161"/>
      <c r="DN177" s="161"/>
      <c r="DO177" s="161"/>
      <c r="DP177" s="161"/>
      <c r="DQ177" s="135"/>
      <c r="DR177" s="135"/>
      <c r="DS177" s="135"/>
      <c r="DT177" s="135"/>
      <c r="DU177" s="135"/>
      <c r="DV177" s="135"/>
      <c r="DW177" s="136"/>
      <c r="DX177" s="136"/>
      <c r="DY177" s="161"/>
      <c r="DZ177" s="161"/>
      <c r="EA177" s="161"/>
      <c r="EB177" s="161"/>
      <c r="EC177" s="161"/>
      <c r="ED177" s="161"/>
      <c r="EE177" s="135"/>
      <c r="EF177" s="135"/>
      <c r="EG177" s="135"/>
      <c r="EH177" s="135"/>
      <c r="EI177" s="135"/>
      <c r="EJ177" s="135"/>
      <c r="EK177" s="136"/>
      <c r="EL177" s="136"/>
      <c r="EM177" s="136"/>
      <c r="EN177" s="136"/>
      <c r="EO177" s="136"/>
      <c r="EP177" s="136"/>
      <c r="EQ177" s="136"/>
      <c r="ER177" s="136"/>
      <c r="ES177" s="135"/>
      <c r="ET177" s="135"/>
      <c r="EU177" s="135"/>
      <c r="EV177" s="135"/>
      <c r="EW177" s="135"/>
      <c r="EX177" s="135"/>
      <c r="EY177" s="136"/>
      <c r="EZ177" s="136"/>
      <c r="FA177" s="161"/>
      <c r="FB177" s="161"/>
      <c r="FC177" s="161"/>
      <c r="FD177" s="161"/>
      <c r="FE177" s="161"/>
      <c r="FF177" s="161"/>
      <c r="FG177" s="135"/>
      <c r="FH177" s="135"/>
      <c r="FI177" s="135"/>
      <c r="FJ177" s="135"/>
      <c r="FK177" s="135"/>
      <c r="FL177" s="135"/>
      <c r="FM177" s="136"/>
      <c r="FN177" s="136"/>
      <c r="FO177" s="161"/>
      <c r="FP177" s="161"/>
      <c r="FQ177" s="161"/>
      <c r="FR177" s="161"/>
      <c r="FS177" s="161"/>
      <c r="FT177" s="161"/>
      <c r="FU177" s="135"/>
      <c r="FV177" s="135"/>
      <c r="FW177" s="135"/>
      <c r="FX177" s="135"/>
      <c r="FY177" s="135"/>
      <c r="FZ177" s="135"/>
      <c r="GA177" s="136"/>
      <c r="GB177" s="136"/>
      <c r="GC177" s="161"/>
      <c r="GD177" s="161"/>
      <c r="GE177" s="161"/>
      <c r="GF177" s="161"/>
      <c r="GG177" s="161"/>
      <c r="GH177" s="161"/>
      <c r="GI177" s="135"/>
      <c r="GJ177" s="135"/>
      <c r="GK177" s="135"/>
      <c r="GL177" s="135"/>
      <c r="GM177" s="135"/>
      <c r="GN177" s="135"/>
    </row>
    <row r="178" spans="1:196" hidden="1">
      <c r="A178" s="140"/>
      <c r="B178" s="126" t="s">
        <v>838</v>
      </c>
      <c r="C178" s="126" t="s">
        <v>707</v>
      </c>
      <c r="D178" s="119"/>
      <c r="E178" s="119" t="e">
        <f>VLOOKUP(C178,#REF!,5,0)</f>
        <v>#REF!</v>
      </c>
      <c r="F178" s="107">
        <v>46219</v>
      </c>
      <c r="G178" s="127">
        <v>690</v>
      </c>
      <c r="H178" s="107">
        <v>46227</v>
      </c>
      <c r="I178" s="125">
        <v>46214</v>
      </c>
      <c r="J178" s="13">
        <f t="shared" si="187"/>
        <v>0</v>
      </c>
      <c r="K178" s="163"/>
      <c r="L178" s="161"/>
      <c r="M178" s="136"/>
      <c r="N178" s="136"/>
      <c r="O178" s="136"/>
      <c r="P178" s="136"/>
      <c r="Q178" s="136"/>
      <c r="R178" s="136"/>
      <c r="S178" s="161"/>
      <c r="T178" s="161"/>
      <c r="U178" s="161"/>
      <c r="V178" s="161"/>
      <c r="W178" s="135"/>
      <c r="X178" s="135"/>
      <c r="Y178" s="161"/>
      <c r="Z178" s="161"/>
      <c r="AA178" s="161"/>
      <c r="AB178" s="161"/>
      <c r="AC178" s="136"/>
      <c r="AD178" s="136"/>
      <c r="AE178" s="135"/>
      <c r="AF178" s="135"/>
      <c r="AG178" s="135"/>
      <c r="AH178" s="135"/>
      <c r="AI178" s="161"/>
      <c r="AJ178" s="135"/>
      <c r="AK178" s="161"/>
      <c r="AL178" s="135"/>
      <c r="AM178" s="135"/>
      <c r="AN178" s="135"/>
      <c r="AO178" s="135"/>
      <c r="AP178" s="135"/>
      <c r="AQ178" s="136"/>
      <c r="AR178" s="136"/>
      <c r="AS178" s="135"/>
      <c r="AT178" s="161"/>
      <c r="AU178" s="135"/>
      <c r="AV178" s="161"/>
      <c r="AW178" s="135"/>
      <c r="AX178" s="161"/>
      <c r="AY178" s="135"/>
      <c r="AZ178" s="161"/>
      <c r="BA178" s="135"/>
      <c r="BB178" s="161"/>
      <c r="BC178" s="135"/>
      <c r="BD178" s="135"/>
      <c r="BE178" s="136"/>
      <c r="BF178" s="136"/>
      <c r="BG178" s="161">
        <v>240</v>
      </c>
      <c r="BH178" s="161"/>
      <c r="BI178" s="135">
        <v>262</v>
      </c>
      <c r="BJ178" s="161"/>
      <c r="BK178" s="135">
        <v>188</v>
      </c>
      <c r="BL178" s="161"/>
      <c r="BM178" s="135"/>
      <c r="BN178" s="135"/>
      <c r="BO178" s="135"/>
      <c r="BP178" s="135"/>
      <c r="BQ178" s="135"/>
      <c r="BR178" s="135"/>
      <c r="BS178" s="136"/>
      <c r="BT178" s="136"/>
      <c r="BU178" s="161"/>
      <c r="BV178" s="161"/>
      <c r="BW178" s="161"/>
      <c r="BX178" s="161"/>
      <c r="BY178" s="161"/>
      <c r="BZ178" s="161"/>
      <c r="CA178" s="135"/>
      <c r="CB178" s="135"/>
      <c r="CC178" s="135"/>
      <c r="CD178" s="135"/>
      <c r="CE178" s="135"/>
      <c r="CF178" s="135"/>
      <c r="CG178" s="136"/>
      <c r="CH178" s="136"/>
      <c r="CI178" s="161"/>
      <c r="CJ178" s="161"/>
      <c r="CK178" s="161"/>
      <c r="CL178" s="161"/>
      <c r="CM178" s="161"/>
      <c r="CN178" s="161"/>
      <c r="CO178" s="135"/>
      <c r="CP178" s="135"/>
      <c r="CQ178" s="135"/>
      <c r="CR178" s="135"/>
      <c r="CS178" s="135"/>
      <c r="CT178" s="135"/>
      <c r="CU178" s="136"/>
      <c r="CV178" s="136"/>
      <c r="CW178" s="161"/>
      <c r="CX178" s="161"/>
      <c r="CY178" s="161"/>
      <c r="CZ178" s="161"/>
      <c r="DA178" s="161"/>
      <c r="DB178" s="161"/>
      <c r="DC178" s="135"/>
      <c r="DD178" s="135"/>
      <c r="DE178" s="135"/>
      <c r="DF178" s="135"/>
      <c r="DG178" s="135"/>
      <c r="DH178" s="135"/>
      <c r="DI178" s="136"/>
      <c r="DJ178" s="136"/>
      <c r="DK178" s="161"/>
      <c r="DL178" s="161"/>
      <c r="DM178" s="161"/>
      <c r="DN178" s="161"/>
      <c r="DO178" s="161"/>
      <c r="DP178" s="161"/>
      <c r="DQ178" s="135"/>
      <c r="DR178" s="135"/>
      <c r="DS178" s="135"/>
      <c r="DT178" s="135"/>
      <c r="DU178" s="135"/>
      <c r="DV178" s="135"/>
      <c r="DW178" s="136"/>
      <c r="DX178" s="136"/>
      <c r="DY178" s="161"/>
      <c r="DZ178" s="161"/>
      <c r="EA178" s="161"/>
      <c r="EB178" s="161"/>
      <c r="EC178" s="161"/>
      <c r="ED178" s="161"/>
      <c r="EE178" s="135"/>
      <c r="EF178" s="135"/>
      <c r="EG178" s="135"/>
      <c r="EH178" s="135"/>
      <c r="EI178" s="135"/>
      <c r="EJ178" s="135"/>
      <c r="EK178" s="136"/>
      <c r="EL178" s="136"/>
      <c r="EM178" s="136"/>
      <c r="EN178" s="136"/>
      <c r="EO178" s="136"/>
      <c r="EP178" s="136"/>
      <c r="EQ178" s="136"/>
      <c r="ER178" s="136"/>
      <c r="ES178" s="135"/>
      <c r="ET178" s="135"/>
      <c r="EU178" s="135"/>
      <c r="EV178" s="135"/>
      <c r="EW178" s="135"/>
      <c r="EX178" s="135"/>
      <c r="EY178" s="136"/>
      <c r="EZ178" s="136"/>
      <c r="FA178" s="161"/>
      <c r="FB178" s="161"/>
      <c r="FC178" s="161"/>
      <c r="FD178" s="161"/>
      <c r="FE178" s="161"/>
      <c r="FF178" s="161"/>
      <c r="FG178" s="135"/>
      <c r="FH178" s="135"/>
      <c r="FI178" s="135"/>
      <c r="FJ178" s="135"/>
      <c r="FK178" s="135"/>
      <c r="FL178" s="135"/>
      <c r="FM178" s="136"/>
      <c r="FN178" s="136"/>
      <c r="FO178" s="161"/>
      <c r="FP178" s="161"/>
      <c r="FQ178" s="161"/>
      <c r="FR178" s="161"/>
      <c r="FS178" s="161"/>
      <c r="FT178" s="161"/>
      <c r="FU178" s="135"/>
      <c r="FV178" s="135"/>
      <c r="FW178" s="135"/>
      <c r="FX178" s="135"/>
      <c r="FY178" s="135"/>
      <c r="FZ178" s="135"/>
      <c r="GA178" s="136"/>
      <c r="GB178" s="136"/>
      <c r="GC178" s="161"/>
      <c r="GD178" s="161"/>
      <c r="GE178" s="161"/>
      <c r="GF178" s="161"/>
      <c r="GG178" s="161"/>
      <c r="GH178" s="161"/>
      <c r="GI178" s="135"/>
      <c r="GJ178" s="135"/>
      <c r="GK178" s="135"/>
      <c r="GL178" s="135"/>
      <c r="GM178" s="135"/>
      <c r="GN178" s="135"/>
    </row>
    <row r="179" spans="1:196" hidden="1">
      <c r="A179" s="140"/>
      <c r="B179" s="126" t="s">
        <v>839</v>
      </c>
      <c r="C179" s="126" t="s">
        <v>237</v>
      </c>
      <c r="D179" s="119"/>
      <c r="E179" s="119" t="e">
        <f>VLOOKUP(C179,#REF!,5,0)</f>
        <v>#REF!</v>
      </c>
      <c r="F179" s="107">
        <v>46223</v>
      </c>
      <c r="G179" s="127">
        <v>900</v>
      </c>
      <c r="H179" s="107">
        <v>46227</v>
      </c>
      <c r="I179" s="125">
        <v>46214</v>
      </c>
      <c r="J179" s="13">
        <f t="shared" si="187"/>
        <v>0</v>
      </c>
      <c r="K179" s="163"/>
      <c r="L179" s="161"/>
      <c r="M179" s="136"/>
      <c r="N179" s="136"/>
      <c r="O179" s="136"/>
      <c r="P179" s="136"/>
      <c r="Q179" s="136"/>
      <c r="R179" s="136"/>
      <c r="S179" s="161"/>
      <c r="T179" s="161"/>
      <c r="U179" s="161"/>
      <c r="V179" s="161"/>
      <c r="W179" s="135"/>
      <c r="X179" s="135"/>
      <c r="Y179" s="161"/>
      <c r="Z179" s="161"/>
      <c r="AA179" s="161"/>
      <c r="AB179" s="161"/>
      <c r="AC179" s="136"/>
      <c r="AD179" s="136"/>
      <c r="AE179" s="135"/>
      <c r="AF179" s="135"/>
      <c r="AG179" s="135"/>
      <c r="AH179" s="135"/>
      <c r="AI179" s="161"/>
      <c r="AJ179" s="135"/>
      <c r="AK179" s="161"/>
      <c r="AL179" s="135"/>
      <c r="AM179" s="135"/>
      <c r="AN179" s="135"/>
      <c r="AO179" s="135"/>
      <c r="AP179" s="135"/>
      <c r="AQ179" s="136"/>
      <c r="AR179" s="136"/>
      <c r="AS179" s="135"/>
      <c r="AT179" s="161"/>
      <c r="AU179" s="135"/>
      <c r="AV179" s="161"/>
      <c r="AW179" s="161"/>
      <c r="AX179" s="161"/>
      <c r="AY179" s="135"/>
      <c r="AZ179" s="161"/>
      <c r="BA179" s="161"/>
      <c r="BB179" s="161"/>
      <c r="BC179" s="161"/>
      <c r="BD179" s="135"/>
      <c r="BE179" s="136"/>
      <c r="BF179" s="136"/>
      <c r="BG179" s="161"/>
      <c r="BH179" s="161"/>
      <c r="BI179" s="161"/>
      <c r="BJ179" s="161"/>
      <c r="BK179" s="161">
        <v>900</v>
      </c>
      <c r="BL179" s="161"/>
      <c r="BM179" s="135"/>
      <c r="BN179" s="135"/>
      <c r="BO179" s="135"/>
      <c r="BP179" s="135"/>
      <c r="BQ179" s="135"/>
      <c r="BR179" s="135"/>
      <c r="BS179" s="136"/>
      <c r="BT179" s="136"/>
      <c r="BU179" s="161"/>
      <c r="BV179" s="161"/>
      <c r="BW179" s="161"/>
      <c r="BX179" s="161"/>
      <c r="BY179" s="161"/>
      <c r="BZ179" s="161"/>
      <c r="CA179" s="135"/>
      <c r="CB179" s="135"/>
      <c r="CC179" s="135"/>
      <c r="CD179" s="135"/>
      <c r="CE179" s="135"/>
      <c r="CF179" s="135"/>
      <c r="CG179" s="136"/>
      <c r="CH179" s="136"/>
      <c r="CI179" s="161"/>
      <c r="CJ179" s="161"/>
      <c r="CK179" s="161"/>
      <c r="CL179" s="161"/>
      <c r="CM179" s="161"/>
      <c r="CN179" s="161"/>
      <c r="CO179" s="135"/>
      <c r="CP179" s="135"/>
      <c r="CQ179" s="135"/>
      <c r="CR179" s="135"/>
      <c r="CS179" s="135"/>
      <c r="CT179" s="135"/>
      <c r="CU179" s="136"/>
      <c r="CV179" s="136"/>
      <c r="CW179" s="161"/>
      <c r="CX179" s="161"/>
      <c r="CY179" s="161"/>
      <c r="CZ179" s="161"/>
      <c r="DA179" s="161"/>
      <c r="DB179" s="161"/>
      <c r="DC179" s="135"/>
      <c r="DD179" s="135"/>
      <c r="DE179" s="135"/>
      <c r="DF179" s="135"/>
      <c r="DG179" s="135"/>
      <c r="DH179" s="135"/>
      <c r="DI179" s="136"/>
      <c r="DJ179" s="136"/>
      <c r="DK179" s="161"/>
      <c r="DL179" s="161"/>
      <c r="DM179" s="161"/>
      <c r="DN179" s="161"/>
      <c r="DO179" s="161"/>
      <c r="DP179" s="161"/>
      <c r="DQ179" s="135"/>
      <c r="DR179" s="135"/>
      <c r="DS179" s="135"/>
      <c r="DT179" s="135"/>
      <c r="DU179" s="135"/>
      <c r="DV179" s="135"/>
      <c r="DW179" s="136"/>
      <c r="DX179" s="136"/>
      <c r="DY179" s="161"/>
      <c r="DZ179" s="161"/>
      <c r="EA179" s="161"/>
      <c r="EB179" s="161"/>
      <c r="EC179" s="161"/>
      <c r="ED179" s="161"/>
      <c r="EE179" s="135"/>
      <c r="EF179" s="135"/>
      <c r="EG179" s="135"/>
      <c r="EH179" s="135"/>
      <c r="EI179" s="135"/>
      <c r="EJ179" s="135"/>
      <c r="EK179" s="136"/>
      <c r="EL179" s="136"/>
      <c r="EM179" s="136"/>
      <c r="EN179" s="136"/>
      <c r="EO179" s="136"/>
      <c r="EP179" s="136"/>
      <c r="EQ179" s="136"/>
      <c r="ER179" s="136"/>
      <c r="ES179" s="135"/>
      <c r="ET179" s="135"/>
      <c r="EU179" s="135"/>
      <c r="EV179" s="135"/>
      <c r="EW179" s="135"/>
      <c r="EX179" s="135"/>
      <c r="EY179" s="136"/>
      <c r="EZ179" s="136"/>
      <c r="FA179" s="161"/>
      <c r="FB179" s="161"/>
      <c r="FC179" s="161"/>
      <c r="FD179" s="161"/>
      <c r="FE179" s="161"/>
      <c r="FF179" s="161"/>
      <c r="FG179" s="135"/>
      <c r="FH179" s="135"/>
      <c r="FI179" s="135"/>
      <c r="FJ179" s="135"/>
      <c r="FK179" s="135"/>
      <c r="FL179" s="135"/>
      <c r="FM179" s="136"/>
      <c r="FN179" s="136"/>
      <c r="FO179" s="161"/>
      <c r="FP179" s="161"/>
      <c r="FQ179" s="161"/>
      <c r="FR179" s="161"/>
      <c r="FS179" s="161"/>
      <c r="FT179" s="161"/>
      <c r="FU179" s="135"/>
      <c r="FV179" s="135"/>
      <c r="FW179" s="135"/>
      <c r="FX179" s="135"/>
      <c r="FY179" s="135"/>
      <c r="FZ179" s="135"/>
      <c r="GA179" s="136"/>
      <c r="GB179" s="136"/>
      <c r="GC179" s="161"/>
      <c r="GD179" s="161"/>
      <c r="GE179" s="161"/>
      <c r="GF179" s="161"/>
      <c r="GG179" s="161"/>
      <c r="GH179" s="161"/>
      <c r="GI179" s="135"/>
      <c r="GJ179" s="135"/>
      <c r="GK179" s="135"/>
      <c r="GL179" s="135"/>
      <c r="GM179" s="135"/>
      <c r="GN179" s="135"/>
    </row>
    <row r="180" spans="1:196" hidden="1">
      <c r="A180" s="140"/>
      <c r="B180" s="126" t="s">
        <v>840</v>
      </c>
      <c r="C180" s="126" t="s">
        <v>186</v>
      </c>
      <c r="D180" s="119"/>
      <c r="E180" s="119" t="e">
        <f>VLOOKUP(C180,#REF!,5,0)</f>
        <v>#REF!</v>
      </c>
      <c r="F180" s="107">
        <v>46223</v>
      </c>
      <c r="G180" s="127">
        <v>500</v>
      </c>
      <c r="H180" s="107">
        <v>46227</v>
      </c>
      <c r="I180" s="125">
        <v>46214</v>
      </c>
      <c r="J180" s="13">
        <f t="shared" si="187"/>
        <v>0</v>
      </c>
      <c r="K180" s="124"/>
      <c r="L180" s="161"/>
      <c r="M180" s="136"/>
      <c r="N180" s="136"/>
      <c r="O180" s="136"/>
      <c r="P180" s="136"/>
      <c r="Q180" s="136"/>
      <c r="R180" s="136"/>
      <c r="S180" s="161"/>
      <c r="T180" s="161"/>
      <c r="U180" s="161"/>
      <c r="V180" s="161"/>
      <c r="W180" s="135"/>
      <c r="X180" s="135"/>
      <c r="Y180" s="161"/>
      <c r="Z180" s="161"/>
      <c r="AA180" s="161"/>
      <c r="AB180" s="161"/>
      <c r="AC180" s="136"/>
      <c r="AD180" s="136"/>
      <c r="AE180" s="135"/>
      <c r="AF180" s="135"/>
      <c r="AG180" s="135"/>
      <c r="AH180" s="135"/>
      <c r="AI180" s="161"/>
      <c r="AJ180" s="135"/>
      <c r="AK180" s="161"/>
      <c r="AL180" s="135"/>
      <c r="AM180" s="135"/>
      <c r="AN180" s="135"/>
      <c r="AO180" s="135"/>
      <c r="AP180" s="135"/>
      <c r="AQ180" s="136"/>
      <c r="AR180" s="136"/>
      <c r="AS180" s="135"/>
      <c r="AT180" s="161"/>
      <c r="AU180" s="135"/>
      <c r="AV180" s="161"/>
      <c r="AW180" s="161"/>
      <c r="AX180" s="161"/>
      <c r="AY180" s="161"/>
      <c r="AZ180" s="161"/>
      <c r="BA180" s="161"/>
      <c r="BB180" s="135"/>
      <c r="BC180" s="161"/>
      <c r="BD180" s="135"/>
      <c r="BE180" s="136"/>
      <c r="BF180" s="136"/>
      <c r="BG180" s="161"/>
      <c r="BH180" s="161"/>
      <c r="BI180" s="161"/>
      <c r="BJ180" s="161"/>
      <c r="BK180" s="161">
        <v>172</v>
      </c>
      <c r="BL180" s="161"/>
      <c r="BM180" s="135">
        <v>328</v>
      </c>
      <c r="BN180" s="135"/>
      <c r="BO180" s="135"/>
      <c r="BP180" s="135"/>
      <c r="BQ180" s="135"/>
      <c r="BR180" s="135"/>
      <c r="BS180" s="136"/>
      <c r="BT180" s="136"/>
      <c r="BU180" s="161"/>
      <c r="BV180" s="161"/>
      <c r="BW180" s="161"/>
      <c r="BX180" s="161"/>
      <c r="BY180" s="161"/>
      <c r="BZ180" s="161"/>
      <c r="CA180" s="135"/>
      <c r="CB180" s="135"/>
      <c r="CC180" s="135"/>
      <c r="CD180" s="135"/>
      <c r="CE180" s="135"/>
      <c r="CF180" s="135"/>
      <c r="CG180" s="136"/>
      <c r="CH180" s="136"/>
      <c r="CI180" s="161"/>
      <c r="CJ180" s="161"/>
      <c r="CK180" s="161"/>
      <c r="CL180" s="161"/>
      <c r="CM180" s="161"/>
      <c r="CN180" s="161"/>
      <c r="CO180" s="135"/>
      <c r="CP180" s="135"/>
      <c r="CQ180" s="135"/>
      <c r="CR180" s="135"/>
      <c r="CS180" s="135"/>
      <c r="CT180" s="135"/>
      <c r="CU180" s="136"/>
      <c r="CV180" s="136"/>
      <c r="CW180" s="161"/>
      <c r="CX180" s="161"/>
      <c r="CY180" s="161"/>
      <c r="CZ180" s="161"/>
      <c r="DA180" s="161"/>
      <c r="DB180" s="161"/>
      <c r="DC180" s="135"/>
      <c r="DD180" s="135"/>
      <c r="DE180" s="135"/>
      <c r="DF180" s="135"/>
      <c r="DG180" s="135"/>
      <c r="DH180" s="135"/>
      <c r="DI180" s="136"/>
      <c r="DJ180" s="136"/>
      <c r="DK180" s="161"/>
      <c r="DL180" s="161"/>
      <c r="DM180" s="161"/>
      <c r="DN180" s="161"/>
      <c r="DO180" s="161"/>
      <c r="DP180" s="161"/>
      <c r="DQ180" s="135"/>
      <c r="DR180" s="135"/>
      <c r="DS180" s="135"/>
      <c r="DT180" s="135"/>
      <c r="DU180" s="135"/>
      <c r="DV180" s="135"/>
      <c r="DW180" s="136"/>
      <c r="DX180" s="136"/>
      <c r="DY180" s="161"/>
      <c r="DZ180" s="161"/>
      <c r="EA180" s="161"/>
      <c r="EB180" s="161"/>
      <c r="EC180" s="161"/>
      <c r="ED180" s="161"/>
      <c r="EE180" s="135"/>
      <c r="EF180" s="135"/>
      <c r="EG180" s="135"/>
      <c r="EH180" s="135"/>
      <c r="EI180" s="135"/>
      <c r="EJ180" s="135"/>
      <c r="EK180" s="136"/>
      <c r="EL180" s="136"/>
      <c r="EM180" s="136"/>
      <c r="EN180" s="136"/>
      <c r="EO180" s="136"/>
      <c r="EP180" s="136"/>
      <c r="EQ180" s="136"/>
      <c r="ER180" s="136"/>
      <c r="ES180" s="135"/>
      <c r="ET180" s="135"/>
      <c r="EU180" s="135"/>
      <c r="EV180" s="135"/>
      <c r="EW180" s="135"/>
      <c r="EX180" s="135"/>
      <c r="EY180" s="136"/>
      <c r="EZ180" s="136"/>
      <c r="FA180" s="161"/>
      <c r="FB180" s="161"/>
      <c r="FC180" s="161"/>
      <c r="FD180" s="161"/>
      <c r="FE180" s="161"/>
      <c r="FF180" s="161"/>
      <c r="FG180" s="135"/>
      <c r="FH180" s="135"/>
      <c r="FI180" s="135"/>
      <c r="FJ180" s="135"/>
      <c r="FK180" s="135"/>
      <c r="FL180" s="135"/>
      <c r="FM180" s="136"/>
      <c r="FN180" s="136"/>
      <c r="FO180" s="161"/>
      <c r="FP180" s="161"/>
      <c r="FQ180" s="161"/>
      <c r="FR180" s="161"/>
      <c r="FS180" s="161"/>
      <c r="FT180" s="161"/>
      <c r="FU180" s="135"/>
      <c r="FV180" s="135"/>
      <c r="FW180" s="135"/>
      <c r="FX180" s="135"/>
      <c r="FY180" s="135"/>
      <c r="FZ180" s="135"/>
      <c r="GA180" s="136"/>
      <c r="GB180" s="136"/>
      <c r="GC180" s="161"/>
      <c r="GD180" s="161"/>
      <c r="GE180" s="161"/>
      <c r="GF180" s="161"/>
      <c r="GG180" s="161"/>
      <c r="GH180" s="161"/>
      <c r="GI180" s="135"/>
      <c r="GJ180" s="135"/>
      <c r="GK180" s="135"/>
      <c r="GL180" s="135"/>
      <c r="GM180" s="135"/>
      <c r="GN180" s="135"/>
    </row>
    <row r="181" spans="1:196" hidden="1">
      <c r="A181" s="140"/>
      <c r="B181" s="126" t="s">
        <v>1143</v>
      </c>
      <c r="C181" s="126" t="s">
        <v>186</v>
      </c>
      <c r="D181" s="119"/>
      <c r="E181" s="119" t="e">
        <f>VLOOKUP(C181,#REF!,5,0)</f>
        <v>#REF!</v>
      </c>
      <c r="F181" s="107">
        <v>46224</v>
      </c>
      <c r="G181" s="127">
        <v>700</v>
      </c>
      <c r="H181" s="107">
        <v>46227</v>
      </c>
      <c r="I181" s="125">
        <v>46214</v>
      </c>
      <c r="J181" s="13">
        <f t="shared" si="187"/>
        <v>0</v>
      </c>
      <c r="K181" s="124"/>
      <c r="L181" s="161"/>
      <c r="M181" s="136"/>
      <c r="N181" s="136"/>
      <c r="O181" s="136"/>
      <c r="P181" s="136"/>
      <c r="Q181" s="136"/>
      <c r="R181" s="136"/>
      <c r="S181" s="161"/>
      <c r="T181" s="161"/>
      <c r="U181" s="161"/>
      <c r="V181" s="161"/>
      <c r="W181" s="135"/>
      <c r="X181" s="135"/>
      <c r="Y181" s="161"/>
      <c r="Z181" s="161"/>
      <c r="AA181" s="161"/>
      <c r="AB181" s="161"/>
      <c r="AC181" s="136"/>
      <c r="AD181" s="136"/>
      <c r="AE181" s="135"/>
      <c r="AF181" s="135"/>
      <c r="AG181" s="135"/>
      <c r="AH181" s="135"/>
      <c r="AI181" s="161"/>
      <c r="AJ181" s="135"/>
      <c r="AK181" s="161"/>
      <c r="AL181" s="135"/>
      <c r="AM181" s="135"/>
      <c r="AN181" s="135"/>
      <c r="AO181" s="135"/>
      <c r="AP181" s="135"/>
      <c r="AQ181" s="136"/>
      <c r="AR181" s="136"/>
      <c r="AS181" s="135"/>
      <c r="AT181" s="161"/>
      <c r="AU181" s="135"/>
      <c r="AV181" s="161"/>
      <c r="AW181" s="161"/>
      <c r="AX181" s="161"/>
      <c r="AY181" s="161"/>
      <c r="AZ181" s="161"/>
      <c r="BA181" s="161"/>
      <c r="BB181" s="135"/>
      <c r="BC181" s="161"/>
      <c r="BD181" s="135"/>
      <c r="BE181" s="136"/>
      <c r="BF181" s="136"/>
      <c r="BG181" s="161"/>
      <c r="BH181" s="161"/>
      <c r="BI181" s="161"/>
      <c r="BJ181" s="161"/>
      <c r="BK181" s="161"/>
      <c r="BL181" s="161"/>
      <c r="BM181" s="135">
        <v>700</v>
      </c>
      <c r="BN181" s="135"/>
      <c r="BO181" s="135"/>
      <c r="BP181" s="135"/>
      <c r="BQ181" s="135"/>
      <c r="BR181" s="135"/>
      <c r="BS181" s="136"/>
      <c r="BT181" s="136"/>
      <c r="BU181" s="161"/>
      <c r="BV181" s="161"/>
      <c r="BW181" s="161"/>
      <c r="BX181" s="161"/>
      <c r="BY181" s="161"/>
      <c r="BZ181" s="161"/>
      <c r="CA181" s="135"/>
      <c r="CB181" s="135"/>
      <c r="CC181" s="135"/>
      <c r="CD181" s="135"/>
      <c r="CE181" s="135"/>
      <c r="CF181" s="135"/>
      <c r="CG181" s="136"/>
      <c r="CH181" s="136"/>
      <c r="CI181" s="161"/>
      <c r="CJ181" s="161"/>
      <c r="CK181" s="161"/>
      <c r="CL181" s="161"/>
      <c r="CM181" s="161"/>
      <c r="CN181" s="161"/>
      <c r="CO181" s="135"/>
      <c r="CP181" s="135"/>
      <c r="CQ181" s="135"/>
      <c r="CR181" s="135"/>
      <c r="CS181" s="135"/>
      <c r="CT181" s="135"/>
      <c r="CU181" s="136"/>
      <c r="CV181" s="136"/>
      <c r="CW181" s="161"/>
      <c r="CX181" s="161"/>
      <c r="CY181" s="161"/>
      <c r="CZ181" s="161"/>
      <c r="DA181" s="161"/>
      <c r="DB181" s="161"/>
      <c r="DC181" s="135"/>
      <c r="DD181" s="135"/>
      <c r="DE181" s="135"/>
      <c r="DF181" s="135"/>
      <c r="DG181" s="135"/>
      <c r="DH181" s="135"/>
      <c r="DI181" s="136"/>
      <c r="DJ181" s="136"/>
      <c r="DK181" s="161"/>
      <c r="DL181" s="161"/>
      <c r="DM181" s="161"/>
      <c r="DN181" s="161"/>
      <c r="DO181" s="161"/>
      <c r="DP181" s="161"/>
      <c r="DQ181" s="135"/>
      <c r="DR181" s="135"/>
      <c r="DS181" s="135"/>
      <c r="DT181" s="135"/>
      <c r="DU181" s="135"/>
      <c r="DV181" s="135"/>
      <c r="DW181" s="136"/>
      <c r="DX181" s="136"/>
      <c r="DY181" s="161"/>
      <c r="DZ181" s="161"/>
      <c r="EA181" s="161"/>
      <c r="EB181" s="161"/>
      <c r="EC181" s="161"/>
      <c r="ED181" s="161"/>
      <c r="EE181" s="135"/>
      <c r="EF181" s="135"/>
      <c r="EG181" s="135"/>
      <c r="EH181" s="135"/>
      <c r="EI181" s="135"/>
      <c r="EJ181" s="135"/>
      <c r="EK181" s="136"/>
      <c r="EL181" s="136"/>
      <c r="EM181" s="136"/>
      <c r="EN181" s="136"/>
      <c r="EO181" s="136"/>
      <c r="EP181" s="136"/>
      <c r="EQ181" s="136"/>
      <c r="ER181" s="136"/>
      <c r="ES181" s="135"/>
      <c r="ET181" s="135"/>
      <c r="EU181" s="135"/>
      <c r="EV181" s="135"/>
      <c r="EW181" s="135"/>
      <c r="EX181" s="135"/>
      <c r="EY181" s="136"/>
      <c r="EZ181" s="136"/>
      <c r="FA181" s="161"/>
      <c r="FB181" s="161"/>
      <c r="FC181" s="161"/>
      <c r="FD181" s="161"/>
      <c r="FE181" s="161"/>
      <c r="FF181" s="161"/>
      <c r="FG181" s="135"/>
      <c r="FH181" s="135"/>
      <c r="FI181" s="135"/>
      <c r="FJ181" s="135"/>
      <c r="FK181" s="135"/>
      <c r="FL181" s="135"/>
      <c r="FM181" s="136"/>
      <c r="FN181" s="136"/>
      <c r="FO181" s="161"/>
      <c r="FP181" s="161"/>
      <c r="FQ181" s="161"/>
      <c r="FR181" s="161"/>
      <c r="FS181" s="161"/>
      <c r="FT181" s="161"/>
      <c r="FU181" s="135"/>
      <c r="FV181" s="135"/>
      <c r="FW181" s="135"/>
      <c r="FX181" s="135"/>
      <c r="FY181" s="135"/>
      <c r="FZ181" s="135"/>
      <c r="GA181" s="136"/>
      <c r="GB181" s="136"/>
      <c r="GC181" s="161"/>
      <c r="GD181" s="161"/>
      <c r="GE181" s="161"/>
      <c r="GF181" s="161"/>
      <c r="GG181" s="161"/>
      <c r="GH181" s="161"/>
      <c r="GI181" s="135"/>
      <c r="GJ181" s="135"/>
      <c r="GK181" s="135"/>
      <c r="GL181" s="135"/>
      <c r="GM181" s="135"/>
      <c r="GN181" s="135"/>
    </row>
    <row r="182" spans="1:196" hidden="1">
      <c r="A182" s="140"/>
      <c r="B182" s="126" t="s">
        <v>868</v>
      </c>
      <c r="C182" s="126" t="s">
        <v>186</v>
      </c>
      <c r="D182" s="119"/>
      <c r="E182" s="119" t="e">
        <f>VLOOKUP(C182,#REF!,5,0)</f>
        <v>#REF!</v>
      </c>
      <c r="F182" s="107">
        <v>46224</v>
      </c>
      <c r="G182" s="127">
        <v>758</v>
      </c>
      <c r="H182" s="107">
        <v>46239</v>
      </c>
      <c r="I182" s="125">
        <v>46221</v>
      </c>
      <c r="J182" s="13">
        <f t="shared" si="187"/>
        <v>0</v>
      </c>
      <c r="K182" s="124"/>
      <c r="L182" s="135"/>
      <c r="M182" s="136"/>
      <c r="N182" s="136"/>
      <c r="O182" s="136"/>
      <c r="P182" s="136"/>
      <c r="Q182" s="136"/>
      <c r="R182" s="136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61"/>
      <c r="AC182" s="136"/>
      <c r="AD182" s="136"/>
      <c r="AE182" s="135"/>
      <c r="AF182" s="135"/>
      <c r="AG182" s="135"/>
      <c r="AH182" s="161"/>
      <c r="AI182" s="161"/>
      <c r="AJ182" s="161"/>
      <c r="AK182" s="135"/>
      <c r="AL182" s="135"/>
      <c r="AM182" s="135"/>
      <c r="AN182" s="135"/>
      <c r="AO182" s="135"/>
      <c r="AP182" s="135"/>
      <c r="AQ182" s="136"/>
      <c r="AR182" s="136"/>
      <c r="AS182" s="135"/>
      <c r="AT182" s="161"/>
      <c r="AU182" s="135"/>
      <c r="AV182" s="161"/>
      <c r="AW182" s="161"/>
      <c r="AX182" s="161"/>
      <c r="AY182" s="161"/>
      <c r="AZ182" s="135"/>
      <c r="BA182" s="161"/>
      <c r="BB182" s="135"/>
      <c r="BC182" s="161"/>
      <c r="BD182" s="135"/>
      <c r="BE182" s="136"/>
      <c r="BF182" s="136"/>
      <c r="BG182" s="161"/>
      <c r="BH182" s="161"/>
      <c r="BI182" s="161"/>
      <c r="BJ182" s="161"/>
      <c r="BK182" s="135"/>
      <c r="BL182" s="161"/>
      <c r="BM182" s="135">
        <v>758</v>
      </c>
      <c r="BN182" s="135"/>
      <c r="BO182" s="135"/>
      <c r="BP182" s="135"/>
      <c r="BQ182" s="135"/>
      <c r="BR182" s="135"/>
      <c r="BS182" s="136"/>
      <c r="BT182" s="136"/>
      <c r="BU182" s="161"/>
      <c r="BV182" s="161"/>
      <c r="BW182" s="161"/>
      <c r="BX182" s="161"/>
      <c r="BY182" s="161"/>
      <c r="BZ182" s="161"/>
      <c r="CA182" s="135"/>
      <c r="CB182" s="135"/>
      <c r="CC182" s="135"/>
      <c r="CD182" s="135"/>
      <c r="CE182" s="135"/>
      <c r="CF182" s="135"/>
      <c r="CG182" s="136"/>
      <c r="CH182" s="136"/>
      <c r="CI182" s="161"/>
      <c r="CJ182" s="161"/>
      <c r="CK182" s="161"/>
      <c r="CL182" s="161"/>
      <c r="CM182" s="161"/>
      <c r="CN182" s="161"/>
      <c r="CO182" s="135"/>
      <c r="CP182" s="135"/>
      <c r="CQ182" s="135"/>
      <c r="CR182" s="135"/>
      <c r="CS182" s="135"/>
      <c r="CT182" s="135"/>
      <c r="CU182" s="136"/>
      <c r="CV182" s="136"/>
      <c r="CW182" s="161"/>
      <c r="CX182" s="161"/>
      <c r="CY182" s="161"/>
      <c r="CZ182" s="161"/>
      <c r="DA182" s="161"/>
      <c r="DB182" s="161"/>
      <c r="DC182" s="135"/>
      <c r="DD182" s="135"/>
      <c r="DE182" s="135"/>
      <c r="DF182" s="135"/>
      <c r="DG182" s="135"/>
      <c r="DH182" s="135"/>
      <c r="DI182" s="136"/>
      <c r="DJ182" s="136"/>
      <c r="DK182" s="161"/>
      <c r="DL182" s="161"/>
      <c r="DM182" s="161"/>
      <c r="DN182" s="161"/>
      <c r="DO182" s="161"/>
      <c r="DP182" s="161"/>
      <c r="DQ182" s="135"/>
      <c r="DR182" s="135"/>
      <c r="DS182" s="135"/>
      <c r="DT182" s="135"/>
      <c r="DU182" s="135"/>
      <c r="DV182" s="135"/>
      <c r="DW182" s="136"/>
      <c r="DX182" s="136"/>
      <c r="DY182" s="161"/>
      <c r="DZ182" s="161"/>
      <c r="EA182" s="161"/>
      <c r="EB182" s="161"/>
      <c r="EC182" s="161"/>
      <c r="ED182" s="161"/>
      <c r="EE182" s="135"/>
      <c r="EF182" s="135"/>
      <c r="EG182" s="135"/>
      <c r="EH182" s="135"/>
      <c r="EI182" s="135"/>
      <c r="EJ182" s="135"/>
      <c r="EK182" s="136"/>
      <c r="EL182" s="136"/>
      <c r="EM182" s="136"/>
      <c r="EN182" s="136"/>
      <c r="EO182" s="136"/>
      <c r="EP182" s="136"/>
      <c r="EQ182" s="136"/>
      <c r="ER182" s="136"/>
      <c r="ES182" s="135"/>
      <c r="ET182" s="135"/>
      <c r="EU182" s="135"/>
      <c r="EV182" s="135"/>
      <c r="EW182" s="135"/>
      <c r="EX182" s="135"/>
      <c r="EY182" s="136"/>
      <c r="EZ182" s="136"/>
      <c r="FA182" s="161"/>
      <c r="FB182" s="161"/>
      <c r="FC182" s="161"/>
      <c r="FD182" s="161"/>
      <c r="FE182" s="161"/>
      <c r="FF182" s="161"/>
      <c r="FG182" s="135"/>
      <c r="FH182" s="135"/>
      <c r="FI182" s="135"/>
      <c r="FJ182" s="135"/>
      <c r="FK182" s="135"/>
      <c r="FL182" s="135"/>
      <c r="FM182" s="136"/>
      <c r="FN182" s="136"/>
      <c r="FO182" s="161"/>
      <c r="FP182" s="161"/>
      <c r="FQ182" s="161"/>
      <c r="FR182" s="161"/>
      <c r="FS182" s="161"/>
      <c r="FT182" s="161"/>
      <c r="FU182" s="135"/>
      <c r="FV182" s="135"/>
      <c r="FW182" s="135"/>
      <c r="FX182" s="135"/>
      <c r="FY182" s="135"/>
      <c r="FZ182" s="135"/>
      <c r="GA182" s="136"/>
      <c r="GB182" s="136"/>
      <c r="GC182" s="161"/>
      <c r="GD182" s="161"/>
      <c r="GE182" s="161"/>
      <c r="GF182" s="161"/>
      <c r="GG182" s="161"/>
      <c r="GH182" s="161"/>
      <c r="GI182" s="135"/>
      <c r="GJ182" s="135"/>
      <c r="GK182" s="135"/>
      <c r="GL182" s="135"/>
      <c r="GM182" s="135"/>
      <c r="GN182" s="135"/>
    </row>
    <row r="183" spans="1:196" hidden="1">
      <c r="A183" s="140"/>
      <c r="B183" s="178" t="s">
        <v>867</v>
      </c>
      <c r="C183" s="178" t="s">
        <v>237</v>
      </c>
      <c r="D183" s="119"/>
      <c r="E183" s="119" t="e">
        <f>VLOOKUP(C183,#REF!,5,0)</f>
        <v>#REF!</v>
      </c>
      <c r="F183" s="107">
        <v>46224</v>
      </c>
      <c r="G183" s="127">
        <v>1370</v>
      </c>
      <c r="H183" s="107">
        <v>46239</v>
      </c>
      <c r="I183" s="125">
        <v>46221</v>
      </c>
      <c r="J183" s="13">
        <f t="shared" si="187"/>
        <v>0</v>
      </c>
      <c r="K183" s="163" t="s">
        <v>1217</v>
      </c>
      <c r="L183" s="135"/>
      <c r="M183" s="136"/>
      <c r="N183" s="136"/>
      <c r="O183" s="136"/>
      <c r="P183" s="136"/>
      <c r="Q183" s="136"/>
      <c r="R183" s="136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61"/>
      <c r="AC183" s="136"/>
      <c r="AD183" s="136"/>
      <c r="AE183" s="135"/>
      <c r="AF183" s="135"/>
      <c r="AG183" s="135"/>
      <c r="AH183" s="161"/>
      <c r="AI183" s="161"/>
      <c r="AJ183" s="161"/>
      <c r="AK183" s="135"/>
      <c r="AL183" s="135"/>
      <c r="AM183" s="135"/>
      <c r="AN183" s="135"/>
      <c r="AO183" s="135"/>
      <c r="AP183" s="135"/>
      <c r="AQ183" s="136"/>
      <c r="AR183" s="136"/>
      <c r="AS183" s="135"/>
      <c r="AT183" s="161"/>
      <c r="AU183" s="135"/>
      <c r="AV183" s="161"/>
      <c r="AW183" s="135"/>
      <c r="AX183" s="161"/>
      <c r="AY183" s="161"/>
      <c r="AZ183" s="161"/>
      <c r="BA183" s="161"/>
      <c r="BB183" s="135"/>
      <c r="BC183" s="161"/>
      <c r="BD183" s="135"/>
      <c r="BE183" s="136"/>
      <c r="BF183" s="136"/>
      <c r="BG183" s="161"/>
      <c r="BH183" s="161"/>
      <c r="BI183" s="161"/>
      <c r="BJ183" s="161"/>
      <c r="BK183" s="161"/>
      <c r="BL183" s="161"/>
      <c r="BM183" s="161">
        <v>79</v>
      </c>
      <c r="BN183" s="135"/>
      <c r="BO183" s="161">
        <v>313</v>
      </c>
      <c r="BP183" s="135"/>
      <c r="BQ183" s="135">
        <v>978</v>
      </c>
      <c r="BR183" s="135"/>
      <c r="BS183" s="136"/>
      <c r="BT183" s="136"/>
      <c r="BU183" s="161"/>
      <c r="BV183" s="161"/>
      <c r="BW183" s="161"/>
      <c r="BX183" s="161"/>
      <c r="BY183" s="161"/>
      <c r="BZ183" s="161"/>
      <c r="CA183" s="135"/>
      <c r="CB183" s="135"/>
      <c r="CC183" s="135"/>
      <c r="CD183" s="135"/>
      <c r="CE183" s="135"/>
      <c r="CF183" s="135"/>
      <c r="CG183" s="136"/>
      <c r="CH183" s="136"/>
      <c r="CI183" s="161"/>
      <c r="CJ183" s="161"/>
      <c r="CK183" s="161"/>
      <c r="CL183" s="161"/>
      <c r="CM183" s="161"/>
      <c r="CN183" s="161"/>
      <c r="CO183" s="135"/>
      <c r="CP183" s="135"/>
      <c r="CQ183" s="135"/>
      <c r="CR183" s="135"/>
      <c r="CS183" s="135"/>
      <c r="CT183" s="135"/>
      <c r="CU183" s="136"/>
      <c r="CV183" s="136"/>
      <c r="CW183" s="161"/>
      <c r="CX183" s="161"/>
      <c r="CY183" s="161"/>
      <c r="CZ183" s="161"/>
      <c r="DA183" s="161"/>
      <c r="DB183" s="161"/>
      <c r="DC183" s="135"/>
      <c r="DD183" s="135"/>
      <c r="DE183" s="135"/>
      <c r="DF183" s="135"/>
      <c r="DG183" s="135"/>
      <c r="DH183" s="135"/>
      <c r="DI183" s="136"/>
      <c r="DJ183" s="136"/>
      <c r="DK183" s="161"/>
      <c r="DL183" s="161"/>
      <c r="DM183" s="161"/>
      <c r="DN183" s="161"/>
      <c r="DO183" s="161"/>
      <c r="DP183" s="161"/>
      <c r="DQ183" s="135"/>
      <c r="DR183" s="135"/>
      <c r="DS183" s="135"/>
      <c r="DT183" s="135"/>
      <c r="DU183" s="135"/>
      <c r="DV183" s="135"/>
      <c r="DW183" s="136"/>
      <c r="DX183" s="136"/>
      <c r="DY183" s="161"/>
      <c r="DZ183" s="161"/>
      <c r="EA183" s="161"/>
      <c r="EB183" s="161"/>
      <c r="EC183" s="161"/>
      <c r="ED183" s="161"/>
      <c r="EE183" s="135"/>
      <c r="EF183" s="135"/>
      <c r="EG183" s="135"/>
      <c r="EH183" s="135"/>
      <c r="EI183" s="135"/>
      <c r="EJ183" s="135"/>
      <c r="EK183" s="136"/>
      <c r="EL183" s="136"/>
      <c r="EM183" s="136"/>
      <c r="EN183" s="136"/>
      <c r="EO183" s="136"/>
      <c r="EP183" s="136"/>
      <c r="EQ183" s="136"/>
      <c r="ER183" s="136"/>
      <c r="ES183" s="135"/>
      <c r="ET183" s="135"/>
      <c r="EU183" s="135"/>
      <c r="EV183" s="135"/>
      <c r="EW183" s="135"/>
      <c r="EX183" s="135"/>
      <c r="EY183" s="136"/>
      <c r="EZ183" s="136"/>
      <c r="FA183" s="161"/>
      <c r="FB183" s="161"/>
      <c r="FC183" s="161"/>
      <c r="FD183" s="161"/>
      <c r="FE183" s="161"/>
      <c r="FF183" s="161"/>
      <c r="FG183" s="135"/>
      <c r="FH183" s="135"/>
      <c r="FI183" s="135"/>
      <c r="FJ183" s="135"/>
      <c r="FK183" s="135"/>
      <c r="FL183" s="135"/>
      <c r="FM183" s="136"/>
      <c r="FN183" s="136"/>
      <c r="FO183" s="161"/>
      <c r="FP183" s="161"/>
      <c r="FQ183" s="161"/>
      <c r="FR183" s="161"/>
      <c r="FS183" s="161"/>
      <c r="FT183" s="161"/>
      <c r="FU183" s="135"/>
      <c r="FV183" s="135"/>
      <c r="FW183" s="135"/>
      <c r="FX183" s="135"/>
      <c r="FY183" s="135"/>
      <c r="FZ183" s="135"/>
      <c r="GA183" s="136"/>
      <c r="GB183" s="136"/>
      <c r="GC183" s="161"/>
      <c r="GD183" s="161"/>
      <c r="GE183" s="161"/>
      <c r="GF183" s="161"/>
      <c r="GG183" s="161"/>
      <c r="GH183" s="161"/>
      <c r="GI183" s="135"/>
      <c r="GJ183" s="135"/>
      <c r="GK183" s="135"/>
      <c r="GL183" s="135"/>
      <c r="GM183" s="135"/>
      <c r="GN183" s="135"/>
    </row>
    <row r="184" spans="1:196" hidden="1">
      <c r="A184" s="140"/>
      <c r="B184" s="178" t="s">
        <v>866</v>
      </c>
      <c r="C184" s="178" t="s">
        <v>190</v>
      </c>
      <c r="D184" s="119"/>
      <c r="E184" s="119" t="e">
        <f>VLOOKUP(C184,#REF!,5,0)</f>
        <v>#REF!</v>
      </c>
      <c r="F184" s="107">
        <v>46223</v>
      </c>
      <c r="G184" s="127">
        <v>830</v>
      </c>
      <c r="H184" s="107">
        <v>46239</v>
      </c>
      <c r="I184" s="125">
        <v>46221</v>
      </c>
      <c r="J184" s="13">
        <f t="shared" si="187"/>
        <v>0</v>
      </c>
      <c r="K184" s="163" t="s">
        <v>1218</v>
      </c>
      <c r="L184" s="135"/>
      <c r="M184" s="136"/>
      <c r="N184" s="136"/>
      <c r="O184" s="136"/>
      <c r="P184" s="136"/>
      <c r="Q184" s="136"/>
      <c r="R184" s="136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61"/>
      <c r="AC184" s="136"/>
      <c r="AD184" s="136"/>
      <c r="AE184" s="135"/>
      <c r="AF184" s="135"/>
      <c r="AG184" s="135"/>
      <c r="AH184" s="161"/>
      <c r="AI184" s="161"/>
      <c r="AJ184" s="161"/>
      <c r="AK184" s="135"/>
      <c r="AL184" s="135"/>
      <c r="AM184" s="135"/>
      <c r="AN184" s="135"/>
      <c r="AO184" s="135"/>
      <c r="AP184" s="135"/>
      <c r="AQ184" s="136"/>
      <c r="AR184" s="136"/>
      <c r="AS184" s="135"/>
      <c r="AT184" s="161"/>
      <c r="AU184" s="135"/>
      <c r="AV184" s="161"/>
      <c r="AW184" s="135"/>
      <c r="AX184" s="161"/>
      <c r="AY184" s="161"/>
      <c r="AZ184" s="161"/>
      <c r="BA184" s="161"/>
      <c r="BB184" s="135"/>
      <c r="BC184" s="161"/>
      <c r="BD184" s="135"/>
      <c r="BE184" s="136"/>
      <c r="BF184" s="136"/>
      <c r="BG184" s="161"/>
      <c r="BH184" s="161"/>
      <c r="BI184" s="161"/>
      <c r="BJ184" s="161"/>
      <c r="BK184" s="161"/>
      <c r="BL184" s="161"/>
      <c r="BM184" s="161"/>
      <c r="BN184" s="135"/>
      <c r="BO184" s="161"/>
      <c r="BP184" s="135"/>
      <c r="BQ184" s="161">
        <v>830</v>
      </c>
      <c r="BR184" s="135"/>
      <c r="BS184" s="136"/>
      <c r="BT184" s="136"/>
      <c r="BU184" s="161"/>
      <c r="BV184" s="161"/>
      <c r="BW184" s="161"/>
      <c r="BX184" s="161"/>
      <c r="BY184" s="161"/>
      <c r="BZ184" s="161"/>
      <c r="CA184" s="135"/>
      <c r="CB184" s="135"/>
      <c r="CC184" s="135"/>
      <c r="CD184" s="135"/>
      <c r="CE184" s="135"/>
      <c r="CF184" s="135"/>
      <c r="CG184" s="136"/>
      <c r="CH184" s="136"/>
      <c r="CI184" s="161"/>
      <c r="CJ184" s="161"/>
      <c r="CK184" s="161"/>
      <c r="CL184" s="161"/>
      <c r="CM184" s="161"/>
      <c r="CN184" s="161"/>
      <c r="CO184" s="135"/>
      <c r="CP184" s="135"/>
      <c r="CQ184" s="135"/>
      <c r="CR184" s="135"/>
      <c r="CS184" s="135"/>
      <c r="CT184" s="135"/>
      <c r="CU184" s="136"/>
      <c r="CV184" s="136"/>
      <c r="CW184" s="161"/>
      <c r="CX184" s="161"/>
      <c r="CY184" s="161"/>
      <c r="CZ184" s="161"/>
      <c r="DA184" s="161"/>
      <c r="DB184" s="161"/>
      <c r="DC184" s="135"/>
      <c r="DD184" s="135"/>
      <c r="DE184" s="135"/>
      <c r="DF184" s="135"/>
      <c r="DG184" s="135"/>
      <c r="DH184" s="135"/>
      <c r="DI184" s="136"/>
      <c r="DJ184" s="136"/>
      <c r="DK184" s="161"/>
      <c r="DL184" s="161"/>
      <c r="DM184" s="161"/>
      <c r="DN184" s="161"/>
      <c r="DO184" s="161"/>
      <c r="DP184" s="161"/>
      <c r="DQ184" s="135"/>
      <c r="DR184" s="135"/>
      <c r="DS184" s="135"/>
      <c r="DT184" s="135"/>
      <c r="DU184" s="135"/>
      <c r="DV184" s="135"/>
      <c r="DW184" s="136"/>
      <c r="DX184" s="136"/>
      <c r="DY184" s="161"/>
      <c r="DZ184" s="161"/>
      <c r="EA184" s="161"/>
      <c r="EB184" s="161"/>
      <c r="EC184" s="161"/>
      <c r="ED184" s="161"/>
      <c r="EE184" s="135"/>
      <c r="EF184" s="135"/>
      <c r="EG184" s="135"/>
      <c r="EH184" s="135"/>
      <c r="EI184" s="135"/>
      <c r="EJ184" s="135"/>
      <c r="EK184" s="136"/>
      <c r="EL184" s="136"/>
      <c r="EM184" s="136"/>
      <c r="EN184" s="136"/>
      <c r="EO184" s="136"/>
      <c r="EP184" s="136"/>
      <c r="EQ184" s="136"/>
      <c r="ER184" s="136"/>
      <c r="ES184" s="135"/>
      <c r="ET184" s="135"/>
      <c r="EU184" s="135"/>
      <c r="EV184" s="135"/>
      <c r="EW184" s="135"/>
      <c r="EX184" s="135"/>
      <c r="EY184" s="136"/>
      <c r="EZ184" s="136"/>
      <c r="FA184" s="161"/>
      <c r="FB184" s="161"/>
      <c r="FC184" s="161"/>
      <c r="FD184" s="161"/>
      <c r="FE184" s="161"/>
      <c r="FF184" s="161"/>
      <c r="FG184" s="135"/>
      <c r="FH184" s="135"/>
      <c r="FI184" s="135"/>
      <c r="FJ184" s="135"/>
      <c r="FK184" s="135"/>
      <c r="FL184" s="135"/>
      <c r="FM184" s="136"/>
      <c r="FN184" s="136"/>
      <c r="FO184" s="161"/>
      <c r="FP184" s="161"/>
      <c r="FQ184" s="161"/>
      <c r="FR184" s="161"/>
      <c r="FS184" s="161"/>
      <c r="FT184" s="161"/>
      <c r="FU184" s="135"/>
      <c r="FV184" s="135"/>
      <c r="FW184" s="135"/>
      <c r="FX184" s="135"/>
      <c r="FY184" s="135"/>
      <c r="FZ184" s="135"/>
      <c r="GA184" s="136"/>
      <c r="GB184" s="136"/>
      <c r="GC184" s="161"/>
      <c r="GD184" s="161"/>
      <c r="GE184" s="161"/>
      <c r="GF184" s="161"/>
      <c r="GG184" s="161"/>
      <c r="GH184" s="161"/>
      <c r="GI184" s="135"/>
      <c r="GJ184" s="135"/>
      <c r="GK184" s="135"/>
      <c r="GL184" s="135"/>
      <c r="GM184" s="135"/>
      <c r="GN184" s="135"/>
    </row>
    <row r="185" spans="1:196" hidden="1">
      <c r="A185" s="140"/>
      <c r="B185" s="126" t="s">
        <v>805</v>
      </c>
      <c r="C185" s="126" t="s">
        <v>681</v>
      </c>
      <c r="D185" s="119"/>
      <c r="E185" s="119" t="e">
        <f>VLOOKUP(C185,#REF!,5,0)</f>
        <v>#REF!</v>
      </c>
      <c r="F185" s="107">
        <v>46218</v>
      </c>
      <c r="G185" s="127">
        <v>273</v>
      </c>
      <c r="H185" s="107">
        <v>46235</v>
      </c>
      <c r="I185" s="125">
        <v>46214</v>
      </c>
      <c r="J185" s="13">
        <f>G185-SUM(L185:FL185)</f>
        <v>0</v>
      </c>
      <c r="K185" s="163"/>
      <c r="L185" s="135"/>
      <c r="M185" s="136"/>
      <c r="N185" s="136"/>
      <c r="O185" s="136"/>
      <c r="P185" s="136"/>
      <c r="Q185" s="136"/>
      <c r="R185" s="136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61"/>
      <c r="AC185" s="136"/>
      <c r="AD185" s="136"/>
      <c r="AE185" s="135"/>
      <c r="AF185" s="135"/>
      <c r="AG185" s="135"/>
      <c r="AH185" s="161"/>
      <c r="AI185" s="161"/>
      <c r="AJ185" s="161"/>
      <c r="AK185" s="135"/>
      <c r="AL185" s="135"/>
      <c r="AM185" s="135"/>
      <c r="AN185" s="135"/>
      <c r="AO185" s="135"/>
      <c r="AP185" s="135"/>
      <c r="AQ185" s="136"/>
      <c r="AR185" s="136"/>
      <c r="AS185" s="135"/>
      <c r="AT185" s="161"/>
      <c r="AU185" s="135"/>
      <c r="AV185" s="161"/>
      <c r="AW185" s="135"/>
      <c r="AX185" s="161"/>
      <c r="AY185" s="135"/>
      <c r="AZ185" s="161"/>
      <c r="BA185" s="135"/>
      <c r="BB185" s="161"/>
      <c r="BC185" s="161"/>
      <c r="BD185" s="135"/>
      <c r="BE185" s="136"/>
      <c r="BF185" s="136"/>
      <c r="BG185" s="161"/>
      <c r="BH185" s="161"/>
      <c r="BI185" s="135"/>
      <c r="BJ185" s="161"/>
      <c r="BK185" s="135"/>
      <c r="BL185" s="161"/>
      <c r="BM185" s="135"/>
      <c r="BN185" s="135"/>
      <c r="BO185" s="135"/>
      <c r="BP185" s="135"/>
      <c r="BQ185" s="135">
        <v>273</v>
      </c>
      <c r="BR185" s="135"/>
      <c r="BS185" s="136"/>
      <c r="BT185" s="136"/>
      <c r="BU185" s="161"/>
      <c r="BV185" s="161"/>
      <c r="BW185" s="161"/>
      <c r="BX185" s="161"/>
      <c r="BY185" s="161"/>
      <c r="BZ185" s="161"/>
      <c r="CA185" s="135"/>
      <c r="CB185" s="135"/>
      <c r="CC185" s="135"/>
      <c r="CD185" s="135"/>
      <c r="CE185" s="135"/>
      <c r="CF185" s="135"/>
      <c r="CG185" s="136"/>
      <c r="CH185" s="136"/>
      <c r="CI185" s="161"/>
      <c r="CJ185" s="161"/>
      <c r="CK185" s="161"/>
      <c r="CL185" s="161"/>
      <c r="CM185" s="161"/>
      <c r="CN185" s="161"/>
      <c r="CO185" s="135"/>
      <c r="CP185" s="135"/>
      <c r="CQ185" s="135"/>
      <c r="CR185" s="135"/>
      <c r="CS185" s="135"/>
      <c r="CT185" s="135"/>
      <c r="CU185" s="136"/>
      <c r="CV185" s="136"/>
      <c r="CW185" s="161"/>
      <c r="CX185" s="161"/>
      <c r="CY185" s="161"/>
      <c r="CZ185" s="161"/>
      <c r="DA185" s="161"/>
      <c r="DB185" s="161"/>
      <c r="DC185" s="135"/>
      <c r="DD185" s="135"/>
      <c r="DE185" s="135"/>
      <c r="DF185" s="135"/>
      <c r="DG185" s="135"/>
      <c r="DH185" s="135"/>
      <c r="DI185" s="136"/>
      <c r="DJ185" s="136"/>
      <c r="DK185" s="161"/>
      <c r="DL185" s="161"/>
      <c r="DM185" s="161"/>
      <c r="DN185" s="161"/>
      <c r="DO185" s="161"/>
      <c r="DP185" s="161"/>
      <c r="DQ185" s="135"/>
      <c r="DR185" s="135"/>
      <c r="DS185" s="135"/>
      <c r="DT185" s="135"/>
      <c r="DU185" s="135"/>
      <c r="DV185" s="135"/>
      <c r="DW185" s="136"/>
      <c r="DX185" s="136"/>
      <c r="DY185" s="161"/>
      <c r="DZ185" s="161"/>
      <c r="EA185" s="161"/>
      <c r="EB185" s="161"/>
      <c r="EC185" s="161"/>
      <c r="ED185" s="161"/>
      <c r="EE185" s="135"/>
      <c r="EF185" s="135"/>
      <c r="EG185" s="135"/>
      <c r="EH185" s="135"/>
      <c r="EI185" s="135"/>
      <c r="EJ185" s="135"/>
      <c r="EK185" s="136"/>
      <c r="EL185" s="136"/>
      <c r="EM185" s="136"/>
      <c r="EN185" s="136"/>
      <c r="EO185" s="136"/>
      <c r="EP185" s="136"/>
      <c r="EQ185" s="136"/>
      <c r="ER185" s="136"/>
      <c r="ES185" s="135"/>
      <c r="ET185" s="135"/>
      <c r="EU185" s="135"/>
      <c r="EV185" s="135"/>
      <c r="EW185" s="135"/>
      <c r="EX185" s="135"/>
      <c r="EY185" s="136"/>
      <c r="EZ185" s="136"/>
      <c r="FA185" s="161"/>
      <c r="FB185" s="161"/>
      <c r="FC185" s="161"/>
      <c r="FD185" s="161"/>
      <c r="FE185" s="161"/>
      <c r="FF185" s="161"/>
      <c r="FG185" s="135"/>
      <c r="FH185" s="135"/>
      <c r="FI185" s="135"/>
      <c r="FJ185" s="135"/>
      <c r="FK185" s="135"/>
      <c r="FL185" s="135"/>
      <c r="FM185" s="136"/>
      <c r="FN185" s="136"/>
      <c r="FO185" s="161"/>
      <c r="FP185" s="161"/>
      <c r="FQ185" s="161"/>
      <c r="FR185" s="161"/>
      <c r="FS185" s="161"/>
      <c r="FT185" s="161"/>
      <c r="FU185" s="135"/>
      <c r="FV185" s="135"/>
      <c r="FW185" s="135"/>
      <c r="FX185" s="135"/>
      <c r="FY185" s="135"/>
      <c r="FZ185" s="135"/>
      <c r="GA185" s="136"/>
      <c r="GB185" s="136"/>
      <c r="GC185" s="161"/>
      <c r="GD185" s="161"/>
      <c r="GE185" s="161"/>
      <c r="GF185" s="161"/>
      <c r="GG185" s="161"/>
      <c r="GH185" s="161"/>
      <c r="GI185" s="135"/>
      <c r="GJ185" s="135"/>
      <c r="GK185" s="135"/>
      <c r="GL185" s="135"/>
      <c r="GM185" s="135"/>
      <c r="GN185" s="135"/>
    </row>
    <row r="186" spans="1:196" hidden="1">
      <c r="A186" s="140"/>
      <c r="B186" s="126" t="s">
        <v>999</v>
      </c>
      <c r="C186" s="126" t="s">
        <v>640</v>
      </c>
      <c r="D186" s="119"/>
      <c r="E186" s="119" t="e">
        <f>VLOOKUP(C186,#REF!,5,0)</f>
        <v>#REF!</v>
      </c>
      <c r="F186" s="107">
        <v>46223</v>
      </c>
      <c r="G186" s="127">
        <v>200</v>
      </c>
      <c r="H186" s="107">
        <v>46235</v>
      </c>
      <c r="I186" s="125">
        <v>46221</v>
      </c>
      <c r="J186" s="13">
        <f>G186-SUM(L186:FL186)</f>
        <v>0</v>
      </c>
      <c r="K186" s="163"/>
      <c r="L186" s="161"/>
      <c r="M186" s="136"/>
      <c r="N186" s="136"/>
      <c r="O186" s="136"/>
      <c r="P186" s="136"/>
      <c r="Q186" s="136"/>
      <c r="R186" s="136"/>
      <c r="S186" s="161"/>
      <c r="T186" s="161"/>
      <c r="U186" s="161"/>
      <c r="V186" s="161"/>
      <c r="W186" s="135"/>
      <c r="X186" s="135"/>
      <c r="Y186" s="161"/>
      <c r="Z186" s="161"/>
      <c r="AA186" s="161"/>
      <c r="AB186" s="161"/>
      <c r="AC186" s="136"/>
      <c r="AD186" s="136"/>
      <c r="AE186" s="135"/>
      <c r="AF186" s="135"/>
      <c r="AG186" s="135"/>
      <c r="AH186" s="135"/>
      <c r="AI186" s="161"/>
      <c r="AJ186" s="135"/>
      <c r="AK186" s="161"/>
      <c r="AL186" s="135"/>
      <c r="AM186" s="135"/>
      <c r="AN186" s="135"/>
      <c r="AO186" s="135"/>
      <c r="AP186" s="135"/>
      <c r="AQ186" s="136"/>
      <c r="AR186" s="136"/>
      <c r="AS186" s="161"/>
      <c r="AT186" s="161"/>
      <c r="AU186" s="161"/>
      <c r="AV186" s="161"/>
      <c r="AW186" s="161"/>
      <c r="AX186" s="161"/>
      <c r="AY186" s="161"/>
      <c r="AZ186" s="135"/>
      <c r="BA186" s="161"/>
      <c r="BB186" s="135"/>
      <c r="BC186" s="161"/>
      <c r="BD186" s="135"/>
      <c r="BE186" s="136"/>
      <c r="BF186" s="136"/>
      <c r="BG186" s="161"/>
      <c r="BH186" s="161"/>
      <c r="BI186" s="161"/>
      <c r="BJ186" s="161"/>
      <c r="BK186" s="161"/>
      <c r="BL186" s="161"/>
      <c r="BM186" s="161"/>
      <c r="BN186" s="135"/>
      <c r="BO186" s="161"/>
      <c r="BP186" s="135"/>
      <c r="BQ186" s="161">
        <v>2</v>
      </c>
      <c r="BR186" s="135"/>
      <c r="BS186" s="136"/>
      <c r="BT186" s="136"/>
      <c r="BU186" s="161">
        <v>198</v>
      </c>
      <c r="BV186" s="161"/>
      <c r="BW186" s="161"/>
      <c r="BX186" s="161"/>
      <c r="BY186" s="161"/>
      <c r="BZ186" s="161"/>
      <c r="CA186" s="135"/>
      <c r="CB186" s="135"/>
      <c r="CC186" s="135"/>
      <c r="CD186" s="135"/>
      <c r="CE186" s="135"/>
      <c r="CF186" s="135"/>
      <c r="CG186" s="136"/>
      <c r="CH186" s="136"/>
      <c r="CI186" s="161"/>
      <c r="CJ186" s="161"/>
      <c r="CK186" s="161"/>
      <c r="CL186" s="161"/>
      <c r="CM186" s="161"/>
      <c r="CN186" s="161"/>
      <c r="CO186" s="135"/>
      <c r="CP186" s="135"/>
      <c r="CQ186" s="135"/>
      <c r="CR186" s="135"/>
      <c r="CS186" s="135"/>
      <c r="CT186" s="135"/>
      <c r="CU186" s="136"/>
      <c r="CV186" s="136"/>
      <c r="CW186" s="161"/>
      <c r="CX186" s="161"/>
      <c r="CY186" s="161"/>
      <c r="CZ186" s="161"/>
      <c r="DA186" s="161"/>
      <c r="DB186" s="161"/>
      <c r="DC186" s="135"/>
      <c r="DD186" s="135"/>
      <c r="DE186" s="135"/>
      <c r="DF186" s="135"/>
      <c r="DG186" s="135"/>
      <c r="DH186" s="135"/>
      <c r="DI186" s="136"/>
      <c r="DJ186" s="136"/>
      <c r="DK186" s="161"/>
      <c r="DL186" s="161"/>
      <c r="DM186" s="161"/>
      <c r="DN186" s="161"/>
      <c r="DO186" s="161"/>
      <c r="DP186" s="161"/>
      <c r="DQ186" s="135"/>
      <c r="DR186" s="135"/>
      <c r="DS186" s="135"/>
      <c r="DT186" s="135"/>
      <c r="DU186" s="135"/>
      <c r="DV186" s="135"/>
      <c r="DW186" s="136"/>
      <c r="DX186" s="136"/>
      <c r="DY186" s="161"/>
      <c r="DZ186" s="161"/>
      <c r="EA186" s="161"/>
      <c r="EB186" s="161"/>
      <c r="EC186" s="161"/>
      <c r="ED186" s="161"/>
      <c r="EE186" s="135"/>
      <c r="EF186" s="135"/>
      <c r="EG186" s="135"/>
      <c r="EH186" s="135"/>
      <c r="EI186" s="135"/>
      <c r="EJ186" s="135"/>
      <c r="EK186" s="136"/>
      <c r="EL186" s="136"/>
      <c r="EM186" s="136"/>
      <c r="EN186" s="136"/>
      <c r="EO186" s="136"/>
      <c r="EP186" s="136"/>
      <c r="EQ186" s="136"/>
      <c r="ER186" s="136"/>
      <c r="ES186" s="135"/>
      <c r="ET186" s="135"/>
      <c r="EU186" s="135"/>
      <c r="EV186" s="135"/>
      <c r="EW186" s="135"/>
      <c r="EX186" s="135"/>
      <c r="EY186" s="136"/>
      <c r="EZ186" s="136"/>
      <c r="FA186" s="161"/>
      <c r="FB186" s="161"/>
      <c r="FC186" s="161"/>
      <c r="FD186" s="161"/>
      <c r="FE186" s="161"/>
      <c r="FF186" s="161"/>
      <c r="FG186" s="135"/>
      <c r="FH186" s="135"/>
      <c r="FI186" s="135"/>
      <c r="FJ186" s="135"/>
      <c r="FK186" s="135"/>
      <c r="FL186" s="135"/>
      <c r="FM186" s="136"/>
      <c r="FN186" s="136"/>
      <c r="FO186" s="161"/>
      <c r="FP186" s="161"/>
      <c r="FQ186" s="161"/>
      <c r="FR186" s="161"/>
      <c r="FS186" s="161"/>
      <c r="FT186" s="161"/>
      <c r="FU186" s="135"/>
      <c r="FV186" s="135"/>
      <c r="FW186" s="135"/>
      <c r="FX186" s="135"/>
      <c r="FY186" s="135"/>
      <c r="FZ186" s="135"/>
      <c r="GA186" s="136"/>
      <c r="GB186" s="136"/>
      <c r="GC186" s="161"/>
      <c r="GD186" s="161"/>
      <c r="GE186" s="161"/>
      <c r="GF186" s="161"/>
      <c r="GG186" s="161"/>
      <c r="GH186" s="161"/>
      <c r="GI186" s="135"/>
      <c r="GJ186" s="135"/>
      <c r="GK186" s="135"/>
      <c r="GL186" s="135"/>
      <c r="GM186" s="135"/>
      <c r="GN186" s="135"/>
    </row>
    <row r="187" spans="1:196" hidden="1">
      <c r="A187" s="140"/>
      <c r="B187" s="126" t="s">
        <v>957</v>
      </c>
      <c r="C187" s="126" t="s">
        <v>748</v>
      </c>
      <c r="D187" s="119"/>
      <c r="E187" s="119" t="e">
        <f>VLOOKUP(C187,#REF!,5,0)</f>
        <v>#REF!</v>
      </c>
      <c r="F187" s="107">
        <v>46223</v>
      </c>
      <c r="G187" s="127">
        <v>314</v>
      </c>
      <c r="H187" s="6"/>
      <c r="I187" s="125">
        <v>46221</v>
      </c>
      <c r="J187" s="13">
        <f>G187-SUM(L187:FL187)</f>
        <v>0</v>
      </c>
      <c r="K187" s="163"/>
      <c r="L187" s="161"/>
      <c r="M187" s="136"/>
      <c r="N187" s="136"/>
      <c r="O187" s="136"/>
      <c r="P187" s="136"/>
      <c r="Q187" s="136"/>
      <c r="R187" s="136"/>
      <c r="S187" s="161"/>
      <c r="T187" s="161"/>
      <c r="U187" s="161"/>
      <c r="V187" s="161"/>
      <c r="W187" s="135"/>
      <c r="X187" s="135"/>
      <c r="Y187" s="161"/>
      <c r="Z187" s="161"/>
      <c r="AA187" s="161"/>
      <c r="AB187" s="161"/>
      <c r="AC187" s="136"/>
      <c r="AD187" s="136"/>
      <c r="AE187" s="135"/>
      <c r="AF187" s="135"/>
      <c r="AG187" s="135"/>
      <c r="AH187" s="135"/>
      <c r="AI187" s="161"/>
      <c r="AJ187" s="135"/>
      <c r="AK187" s="161"/>
      <c r="AL187" s="135"/>
      <c r="AM187" s="135"/>
      <c r="AN187" s="135"/>
      <c r="AO187" s="135"/>
      <c r="AP187" s="135"/>
      <c r="AQ187" s="136"/>
      <c r="AR187" s="136"/>
      <c r="AS187" s="161"/>
      <c r="AT187" s="161"/>
      <c r="AU187" s="161"/>
      <c r="AV187" s="161"/>
      <c r="AW187" s="161"/>
      <c r="AX187" s="161"/>
      <c r="AY187" s="161"/>
      <c r="AZ187" s="135"/>
      <c r="BA187" s="161"/>
      <c r="BB187" s="135"/>
      <c r="BC187" s="161"/>
      <c r="BD187" s="135"/>
      <c r="BE187" s="136"/>
      <c r="BF187" s="136"/>
      <c r="BG187" s="161"/>
      <c r="BH187" s="161"/>
      <c r="BI187" s="161"/>
      <c r="BJ187" s="161"/>
      <c r="BK187" s="161"/>
      <c r="BL187" s="161"/>
      <c r="BM187" s="161"/>
      <c r="BN187" s="135"/>
      <c r="BO187" s="161"/>
      <c r="BP187" s="135"/>
      <c r="BQ187" s="135"/>
      <c r="BR187" s="135"/>
      <c r="BS187" s="136"/>
      <c r="BT187" s="136"/>
      <c r="BU187" s="161">
        <v>314</v>
      </c>
      <c r="BV187" s="161"/>
      <c r="BW187" s="161"/>
      <c r="BX187" s="161"/>
      <c r="BY187" s="161"/>
      <c r="BZ187" s="161"/>
      <c r="CA187" s="135"/>
      <c r="CB187" s="135"/>
      <c r="CC187" s="135"/>
      <c r="CD187" s="135"/>
      <c r="CE187" s="135"/>
      <c r="CF187" s="135"/>
      <c r="CG187" s="136"/>
      <c r="CH187" s="136"/>
      <c r="CI187" s="161"/>
      <c r="CJ187" s="161"/>
      <c r="CK187" s="161"/>
      <c r="CL187" s="161"/>
      <c r="CM187" s="161"/>
      <c r="CN187" s="161"/>
      <c r="CO187" s="135"/>
      <c r="CP187" s="135"/>
      <c r="CQ187" s="135"/>
      <c r="CR187" s="135"/>
      <c r="CS187" s="135"/>
      <c r="CT187" s="135"/>
      <c r="CU187" s="136"/>
      <c r="CV187" s="136"/>
      <c r="CW187" s="161"/>
      <c r="CX187" s="161"/>
      <c r="CY187" s="161"/>
      <c r="CZ187" s="161"/>
      <c r="DA187" s="161"/>
      <c r="DB187" s="161"/>
      <c r="DC187" s="135"/>
      <c r="DD187" s="135"/>
      <c r="DE187" s="135"/>
      <c r="DF187" s="135"/>
      <c r="DG187" s="135"/>
      <c r="DH187" s="135"/>
      <c r="DI187" s="136"/>
      <c r="DJ187" s="136"/>
      <c r="DK187" s="161"/>
      <c r="DL187" s="161"/>
      <c r="DM187" s="161"/>
      <c r="DN187" s="161"/>
      <c r="DO187" s="161"/>
      <c r="DP187" s="161"/>
      <c r="DQ187" s="135"/>
      <c r="DR187" s="135"/>
      <c r="DS187" s="135"/>
      <c r="DT187" s="135"/>
      <c r="DU187" s="135"/>
      <c r="DV187" s="135"/>
      <c r="DW187" s="136"/>
      <c r="DX187" s="136"/>
      <c r="DY187" s="161"/>
      <c r="DZ187" s="161"/>
      <c r="EA187" s="161"/>
      <c r="EB187" s="161"/>
      <c r="EC187" s="161"/>
      <c r="ED187" s="161"/>
      <c r="EE187" s="135"/>
      <c r="EF187" s="135"/>
      <c r="EG187" s="135"/>
      <c r="EH187" s="135"/>
      <c r="EI187" s="135"/>
      <c r="EJ187" s="135"/>
      <c r="EK187" s="136"/>
      <c r="EL187" s="136"/>
      <c r="EM187" s="136"/>
      <c r="EN187" s="136"/>
      <c r="EO187" s="136"/>
      <c r="EP187" s="136"/>
      <c r="EQ187" s="136"/>
      <c r="ER187" s="136"/>
      <c r="ES187" s="135"/>
      <c r="ET187" s="135"/>
      <c r="EU187" s="135"/>
      <c r="EV187" s="135"/>
      <c r="EW187" s="135"/>
      <c r="EX187" s="135"/>
      <c r="EY187" s="136"/>
      <c r="EZ187" s="136"/>
      <c r="FA187" s="161"/>
      <c r="FB187" s="161"/>
      <c r="FC187" s="161"/>
      <c r="FD187" s="161"/>
      <c r="FE187" s="161"/>
      <c r="FF187" s="161"/>
      <c r="FG187" s="135"/>
      <c r="FH187" s="135"/>
      <c r="FI187" s="135"/>
      <c r="FJ187" s="135"/>
      <c r="FK187" s="135"/>
      <c r="FL187" s="135"/>
      <c r="FM187" s="136"/>
      <c r="FN187" s="136"/>
      <c r="FO187" s="161"/>
      <c r="FP187" s="161"/>
      <c r="FQ187" s="161"/>
      <c r="FR187" s="161"/>
      <c r="FS187" s="161"/>
      <c r="FT187" s="161"/>
      <c r="FU187" s="135"/>
      <c r="FV187" s="135"/>
      <c r="FW187" s="135"/>
      <c r="FX187" s="135"/>
      <c r="FY187" s="135"/>
      <c r="FZ187" s="135"/>
      <c r="GA187" s="136"/>
      <c r="GB187" s="136"/>
      <c r="GC187" s="161"/>
      <c r="GD187" s="161"/>
      <c r="GE187" s="161"/>
      <c r="GF187" s="161"/>
      <c r="GG187" s="161"/>
      <c r="GH187" s="161"/>
      <c r="GI187" s="135"/>
      <c r="GJ187" s="135"/>
      <c r="GK187" s="135"/>
      <c r="GL187" s="135"/>
      <c r="GM187" s="135"/>
      <c r="GN187" s="135"/>
    </row>
    <row r="188" spans="1:196" hidden="1">
      <c r="A188" s="140" t="s">
        <v>21</v>
      </c>
      <c r="B188" s="126" t="s">
        <v>864</v>
      </c>
      <c r="C188" s="126" t="s">
        <v>178</v>
      </c>
      <c r="D188" s="119"/>
      <c r="E188" s="119" t="e">
        <f>VLOOKUP(C188,#REF!,5,0)</f>
        <v>#REF!</v>
      </c>
      <c r="F188" s="107">
        <v>46226</v>
      </c>
      <c r="G188" s="127">
        <v>903</v>
      </c>
      <c r="H188" s="107">
        <v>46231</v>
      </c>
      <c r="I188" s="125">
        <v>46214</v>
      </c>
      <c r="J188" s="13">
        <f>G188-SUM(L188:FL188)</f>
        <v>0</v>
      </c>
      <c r="K188" s="163"/>
      <c r="L188" s="135"/>
      <c r="M188" s="136"/>
      <c r="N188" s="136"/>
      <c r="O188" s="136"/>
      <c r="P188" s="136"/>
      <c r="Q188" s="136"/>
      <c r="R188" s="136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61"/>
      <c r="AC188" s="136"/>
      <c r="AD188" s="136"/>
      <c r="AE188" s="135"/>
      <c r="AF188" s="135"/>
      <c r="AG188" s="135"/>
      <c r="AH188" s="161"/>
      <c r="AI188" s="161"/>
      <c r="AJ188" s="161"/>
      <c r="AK188" s="135"/>
      <c r="AL188" s="135"/>
      <c r="AM188" s="135"/>
      <c r="AN188" s="135"/>
      <c r="AO188" s="161"/>
      <c r="AP188" s="135"/>
      <c r="AQ188" s="136"/>
      <c r="AR188" s="136"/>
      <c r="AS188" s="135"/>
      <c r="AT188" s="161"/>
      <c r="AU188" s="135"/>
      <c r="AV188" s="161"/>
      <c r="AW188" s="135"/>
      <c r="AX188" s="161"/>
      <c r="AY188" s="135"/>
      <c r="AZ188" s="161"/>
      <c r="BA188" s="135"/>
      <c r="BB188" s="161"/>
      <c r="BC188" s="135"/>
      <c r="BD188" s="135"/>
      <c r="BE188" s="136"/>
      <c r="BF188" s="136"/>
      <c r="BG188" s="135"/>
      <c r="BH188" s="161"/>
      <c r="BI188" s="135"/>
      <c r="BJ188" s="161"/>
      <c r="BK188" s="135"/>
      <c r="BL188" s="161"/>
      <c r="BM188" s="135"/>
      <c r="BN188" s="135"/>
      <c r="BO188" s="135"/>
      <c r="BP188" s="135"/>
      <c r="BQ188" s="135"/>
      <c r="BR188" s="135"/>
      <c r="BS188" s="136"/>
      <c r="BT188" s="136"/>
      <c r="BU188" s="161">
        <v>903</v>
      </c>
      <c r="BV188" s="161"/>
      <c r="BW188" s="161"/>
      <c r="BX188" s="161"/>
      <c r="BY188" s="161"/>
      <c r="BZ188" s="161"/>
      <c r="CA188" s="135"/>
      <c r="CB188" s="135"/>
      <c r="CC188" s="135"/>
      <c r="CD188" s="135"/>
      <c r="CE188" s="135"/>
      <c r="CF188" s="135"/>
      <c r="CG188" s="136"/>
      <c r="CH188" s="136"/>
      <c r="CI188" s="161"/>
      <c r="CJ188" s="161"/>
      <c r="CK188" s="161"/>
      <c r="CL188" s="161"/>
      <c r="CM188" s="161"/>
      <c r="CN188" s="161"/>
      <c r="CO188" s="135"/>
      <c r="CP188" s="135"/>
      <c r="CQ188" s="135"/>
      <c r="CR188" s="135"/>
      <c r="CS188" s="135"/>
      <c r="CT188" s="135"/>
      <c r="CU188" s="136"/>
      <c r="CV188" s="136"/>
      <c r="CW188" s="161"/>
      <c r="CX188" s="161"/>
      <c r="CY188" s="161"/>
      <c r="CZ188" s="161"/>
      <c r="DA188" s="161"/>
      <c r="DB188" s="161"/>
      <c r="DC188" s="135"/>
      <c r="DD188" s="135"/>
      <c r="DE188" s="135"/>
      <c r="DF188" s="135"/>
      <c r="DG188" s="135"/>
      <c r="DH188" s="135"/>
      <c r="DI188" s="136"/>
      <c r="DJ188" s="136"/>
      <c r="DK188" s="161"/>
      <c r="DL188" s="161"/>
      <c r="DM188" s="161"/>
      <c r="DN188" s="161"/>
      <c r="DO188" s="161"/>
      <c r="DP188" s="161"/>
      <c r="DQ188" s="135"/>
      <c r="DR188" s="135"/>
      <c r="DS188" s="135"/>
      <c r="DT188" s="135"/>
      <c r="DU188" s="135"/>
      <c r="DV188" s="135"/>
      <c r="DW188" s="136"/>
      <c r="DX188" s="136"/>
      <c r="DY188" s="161"/>
      <c r="DZ188" s="161"/>
      <c r="EA188" s="161"/>
      <c r="EB188" s="161"/>
      <c r="EC188" s="161"/>
      <c r="ED188" s="161"/>
      <c r="EE188" s="135"/>
      <c r="EF188" s="135"/>
      <c r="EG188" s="135"/>
      <c r="EH188" s="135"/>
      <c r="EI188" s="135"/>
      <c r="EJ188" s="135"/>
      <c r="EK188" s="136"/>
      <c r="EL188" s="136"/>
      <c r="EM188" s="136"/>
      <c r="EN188" s="136"/>
      <c r="EO188" s="136"/>
      <c r="EP188" s="136"/>
      <c r="EQ188" s="136"/>
      <c r="ER188" s="136"/>
      <c r="ES188" s="135"/>
      <c r="ET188" s="135"/>
      <c r="EU188" s="135"/>
      <c r="EV188" s="135"/>
      <c r="EW188" s="135"/>
      <c r="EX188" s="135"/>
      <c r="EY188" s="136"/>
      <c r="EZ188" s="136"/>
      <c r="FA188" s="161"/>
      <c r="FB188" s="161"/>
      <c r="FC188" s="161"/>
      <c r="FD188" s="161"/>
      <c r="FE188" s="161"/>
      <c r="FF188" s="161"/>
      <c r="FG188" s="135"/>
      <c r="FH188" s="135"/>
      <c r="FI188" s="135"/>
      <c r="FJ188" s="135"/>
      <c r="FK188" s="135"/>
      <c r="FL188" s="135"/>
      <c r="FM188" s="136"/>
      <c r="FN188" s="136"/>
      <c r="FO188" s="161"/>
      <c r="FP188" s="161"/>
      <c r="FQ188" s="161"/>
      <c r="FR188" s="161"/>
      <c r="FS188" s="161"/>
      <c r="FT188" s="161"/>
      <c r="FU188" s="135"/>
      <c r="FV188" s="135"/>
      <c r="FW188" s="135"/>
      <c r="FX188" s="135"/>
      <c r="FY188" s="135"/>
      <c r="FZ188" s="135"/>
      <c r="GA188" s="136"/>
      <c r="GB188" s="136"/>
      <c r="GC188" s="161"/>
      <c r="GD188" s="161"/>
      <c r="GE188" s="161"/>
      <c r="GF188" s="161"/>
      <c r="GG188" s="161"/>
      <c r="GH188" s="161"/>
      <c r="GI188" s="135"/>
      <c r="GJ188" s="135"/>
      <c r="GK188" s="135"/>
      <c r="GL188" s="135"/>
      <c r="GM188" s="135"/>
      <c r="GN188" s="135"/>
    </row>
    <row r="189" spans="1:196" hidden="1">
      <c r="A189" s="140"/>
      <c r="B189" s="126" t="s">
        <v>1037</v>
      </c>
      <c r="C189" s="126" t="s">
        <v>133</v>
      </c>
      <c r="D189" s="119"/>
      <c r="E189" s="119" t="e">
        <f>VLOOKUP(C189,#REF!,5,0)</f>
        <v>#REF!</v>
      </c>
      <c r="F189" s="107">
        <v>46227</v>
      </c>
      <c r="G189" s="127">
        <v>500</v>
      </c>
      <c r="H189" s="6" t="s">
        <v>797</v>
      </c>
      <c r="I189" s="125">
        <v>46228</v>
      </c>
      <c r="J189" s="13">
        <f t="shared" si="187"/>
        <v>0</v>
      </c>
      <c r="K189" s="124" t="s">
        <v>1102</v>
      </c>
      <c r="L189" s="135"/>
      <c r="M189" s="136"/>
      <c r="N189" s="136"/>
      <c r="O189" s="136"/>
      <c r="P189" s="136"/>
      <c r="Q189" s="136"/>
      <c r="R189" s="136"/>
      <c r="S189" s="135"/>
      <c r="T189" s="135"/>
      <c r="U189" s="135"/>
      <c r="V189" s="135"/>
      <c r="W189" s="135"/>
      <c r="X189" s="135"/>
      <c r="Y189" s="135"/>
      <c r="Z189" s="161"/>
      <c r="AA189" s="161"/>
      <c r="AB189" s="161"/>
      <c r="AC189" s="136"/>
      <c r="AD189" s="136"/>
      <c r="AE189" s="161"/>
      <c r="AF189" s="135"/>
      <c r="AG189" s="135"/>
      <c r="AH189" s="161"/>
      <c r="AI189" s="161"/>
      <c r="AJ189" s="161"/>
      <c r="AK189" s="135"/>
      <c r="AL189" s="135"/>
      <c r="AM189" s="135"/>
      <c r="AN189" s="135"/>
      <c r="AO189" s="135"/>
      <c r="AP189" s="135"/>
      <c r="AQ189" s="136"/>
      <c r="AR189" s="136"/>
      <c r="AS189" s="135"/>
      <c r="AT189" s="161"/>
      <c r="AU189" s="135"/>
      <c r="AV189" s="161"/>
      <c r="AW189" s="161"/>
      <c r="AX189" s="161"/>
      <c r="AY189" s="135"/>
      <c r="AZ189" s="161"/>
      <c r="BA189" s="161"/>
      <c r="BB189" s="161"/>
      <c r="BC189" s="135"/>
      <c r="BD189" s="135"/>
      <c r="BE189" s="136"/>
      <c r="BF189" s="136"/>
      <c r="BG189" s="135"/>
      <c r="BH189" s="161"/>
      <c r="BI189" s="135"/>
      <c r="BJ189" s="161"/>
      <c r="BK189" s="135"/>
      <c r="BL189" s="161"/>
      <c r="BM189" s="135"/>
      <c r="BN189" s="135"/>
      <c r="BO189" s="135"/>
      <c r="BP189" s="135"/>
      <c r="BQ189" s="135"/>
      <c r="BR189" s="135"/>
      <c r="BS189" s="136"/>
      <c r="BT189" s="136"/>
      <c r="BU189" s="135">
        <v>43</v>
      </c>
      <c r="BV189" s="161"/>
      <c r="BW189" s="135">
        <v>457</v>
      </c>
      <c r="BX189" s="161"/>
      <c r="BY189" s="135"/>
      <c r="BZ189" s="161"/>
      <c r="CA189" s="135"/>
      <c r="CB189" s="135"/>
      <c r="CC189" s="135"/>
      <c r="CD189" s="135"/>
      <c r="CE189" s="135"/>
      <c r="CF189" s="135"/>
      <c r="CG189" s="136"/>
      <c r="CH189" s="136"/>
      <c r="CI189" s="161"/>
      <c r="CJ189" s="161"/>
      <c r="CK189" s="161"/>
      <c r="CL189" s="161"/>
      <c r="CM189" s="161"/>
      <c r="CN189" s="161"/>
      <c r="CO189" s="135"/>
      <c r="CP189" s="135"/>
      <c r="CQ189" s="135"/>
      <c r="CR189" s="135"/>
      <c r="CS189" s="135"/>
      <c r="CT189" s="135"/>
      <c r="CU189" s="136"/>
      <c r="CV189" s="136"/>
      <c r="CW189" s="161"/>
      <c r="CX189" s="161"/>
      <c r="CY189" s="161"/>
      <c r="CZ189" s="161"/>
      <c r="DA189" s="161"/>
      <c r="DB189" s="161"/>
      <c r="DC189" s="135"/>
      <c r="DD189" s="135"/>
      <c r="DE189" s="135"/>
      <c r="DF189" s="135"/>
      <c r="DG189" s="135"/>
      <c r="DH189" s="135"/>
      <c r="DI189" s="136"/>
      <c r="DJ189" s="136"/>
      <c r="DK189" s="161"/>
      <c r="DL189" s="161"/>
      <c r="DM189" s="161"/>
      <c r="DN189" s="161"/>
      <c r="DO189" s="161"/>
      <c r="DP189" s="161"/>
      <c r="DQ189" s="135"/>
      <c r="DR189" s="135"/>
      <c r="DS189" s="135"/>
      <c r="DT189" s="135"/>
      <c r="DU189" s="135"/>
      <c r="DV189" s="135"/>
      <c r="DW189" s="136"/>
      <c r="DX189" s="136"/>
      <c r="DY189" s="161"/>
      <c r="DZ189" s="161"/>
      <c r="EA189" s="161"/>
      <c r="EB189" s="161"/>
      <c r="EC189" s="161"/>
      <c r="ED189" s="161"/>
      <c r="EE189" s="135"/>
      <c r="EF189" s="135"/>
      <c r="EG189" s="135"/>
      <c r="EH189" s="135"/>
      <c r="EI189" s="135"/>
      <c r="EJ189" s="135"/>
      <c r="EK189" s="136"/>
      <c r="EL189" s="136"/>
      <c r="EM189" s="136"/>
      <c r="EN189" s="136"/>
      <c r="EO189" s="136"/>
      <c r="EP189" s="136"/>
      <c r="EQ189" s="136"/>
      <c r="ER189" s="136"/>
      <c r="ES189" s="135"/>
      <c r="ET189" s="135"/>
      <c r="EU189" s="135"/>
      <c r="EV189" s="135"/>
      <c r="EW189" s="135"/>
      <c r="EX189" s="135"/>
      <c r="EY189" s="136"/>
      <c r="EZ189" s="136"/>
      <c r="FA189" s="161"/>
      <c r="FB189" s="161"/>
      <c r="FC189" s="161"/>
      <c r="FD189" s="161"/>
      <c r="FE189" s="161"/>
      <c r="FF189" s="161"/>
      <c r="FG189" s="135"/>
      <c r="FH189" s="135"/>
      <c r="FI189" s="135"/>
      <c r="FJ189" s="135"/>
      <c r="FK189" s="135"/>
      <c r="FL189" s="135"/>
      <c r="FM189" s="136"/>
      <c r="FN189" s="136"/>
      <c r="FO189" s="161"/>
      <c r="FP189" s="161"/>
      <c r="FQ189" s="161"/>
      <c r="FR189" s="161"/>
      <c r="FS189" s="161"/>
      <c r="FT189" s="161"/>
      <c r="FU189" s="135"/>
      <c r="FV189" s="135"/>
      <c r="FW189" s="135"/>
      <c r="FX189" s="135"/>
      <c r="FY189" s="135"/>
      <c r="FZ189" s="135"/>
      <c r="GA189" s="136"/>
      <c r="GB189" s="136"/>
      <c r="GC189" s="161"/>
      <c r="GD189" s="161"/>
      <c r="GE189" s="161"/>
      <c r="GF189" s="161"/>
      <c r="GG189" s="161"/>
      <c r="GH189" s="161"/>
      <c r="GI189" s="135"/>
      <c r="GJ189" s="135"/>
      <c r="GK189" s="135"/>
      <c r="GL189" s="135"/>
      <c r="GM189" s="135"/>
      <c r="GN189" s="135"/>
    </row>
    <row r="190" spans="1:196" hidden="1">
      <c r="A190" s="140"/>
      <c r="B190" s="126" t="s">
        <v>869</v>
      </c>
      <c r="C190" s="126" t="s">
        <v>133</v>
      </c>
      <c r="D190" s="119"/>
      <c r="E190" s="119" t="e">
        <f>VLOOKUP(C190,#REF!,5,0)</f>
        <v>#REF!</v>
      </c>
      <c r="F190" s="107">
        <v>46227</v>
      </c>
      <c r="G190" s="127">
        <v>980</v>
      </c>
      <c r="H190" s="6"/>
      <c r="I190" s="125">
        <v>46235</v>
      </c>
      <c r="J190" s="13">
        <f t="shared" si="187"/>
        <v>0</v>
      </c>
      <c r="K190" s="124" t="s">
        <v>1200</v>
      </c>
      <c r="L190" s="161"/>
      <c r="M190" s="136"/>
      <c r="N190" s="136"/>
      <c r="O190" s="136"/>
      <c r="P190" s="136"/>
      <c r="Q190" s="136"/>
      <c r="R190" s="136"/>
      <c r="S190" s="161"/>
      <c r="T190" s="161"/>
      <c r="U190" s="161"/>
      <c r="V190" s="161"/>
      <c r="W190" s="135"/>
      <c r="X190" s="135"/>
      <c r="Y190" s="161"/>
      <c r="Z190" s="161"/>
      <c r="AA190" s="161"/>
      <c r="AB190" s="161"/>
      <c r="AC190" s="136"/>
      <c r="AD190" s="136"/>
      <c r="AE190" s="135"/>
      <c r="AF190" s="135"/>
      <c r="AG190" s="135"/>
      <c r="AH190" s="135"/>
      <c r="AI190" s="161"/>
      <c r="AJ190" s="135"/>
      <c r="AK190" s="161"/>
      <c r="AL190" s="135"/>
      <c r="AM190" s="135"/>
      <c r="AN190" s="135"/>
      <c r="AO190" s="135"/>
      <c r="AP190" s="135"/>
      <c r="AQ190" s="136"/>
      <c r="AR190" s="136"/>
      <c r="AS190" s="161"/>
      <c r="AT190" s="161"/>
      <c r="AU190" s="161"/>
      <c r="AV190" s="161"/>
      <c r="AW190" s="161"/>
      <c r="AX190" s="161"/>
      <c r="AY190" s="161"/>
      <c r="AZ190" s="161"/>
      <c r="BA190" s="161"/>
      <c r="BB190" s="135"/>
      <c r="BC190" s="161"/>
      <c r="BD190" s="135"/>
      <c r="BE190" s="136"/>
      <c r="BF190" s="136"/>
      <c r="BG190" s="161"/>
      <c r="BH190" s="161"/>
      <c r="BI190" s="161"/>
      <c r="BJ190" s="161"/>
      <c r="BK190" s="161"/>
      <c r="BL190" s="161"/>
      <c r="BM190" s="161"/>
      <c r="BN190" s="135"/>
      <c r="BO190" s="135"/>
      <c r="BP190" s="135"/>
      <c r="BQ190" s="135"/>
      <c r="BR190" s="135"/>
      <c r="BS190" s="136"/>
      <c r="BT190" s="136"/>
      <c r="BU190" s="161"/>
      <c r="BV190" s="161"/>
      <c r="BW190" s="161">
        <v>980</v>
      </c>
      <c r="BX190" s="161"/>
      <c r="BY190" s="161"/>
      <c r="BZ190" s="161"/>
      <c r="CA190" s="161"/>
      <c r="CB190" s="161"/>
      <c r="CC190" s="135"/>
      <c r="CD190" s="135"/>
      <c r="CE190" s="135"/>
      <c r="CF190" s="135"/>
      <c r="CG190" s="136"/>
      <c r="CH190" s="136"/>
      <c r="CI190" s="161"/>
      <c r="CJ190" s="161"/>
      <c r="CK190" s="161"/>
      <c r="CL190" s="161"/>
      <c r="CM190" s="161"/>
      <c r="CN190" s="161"/>
      <c r="CO190" s="135"/>
      <c r="CP190" s="135"/>
      <c r="CQ190" s="135"/>
      <c r="CR190" s="135"/>
      <c r="CS190" s="135"/>
      <c r="CT190" s="135"/>
      <c r="CU190" s="136"/>
      <c r="CV190" s="136"/>
      <c r="CW190" s="161"/>
      <c r="CX190" s="161"/>
      <c r="CY190" s="161"/>
      <c r="CZ190" s="161"/>
      <c r="DA190" s="161"/>
      <c r="DB190" s="161"/>
      <c r="DC190" s="135"/>
      <c r="DD190" s="135"/>
      <c r="DE190" s="135"/>
      <c r="DF190" s="135"/>
      <c r="DG190" s="135"/>
      <c r="DH190" s="135"/>
      <c r="DI190" s="136"/>
      <c r="DJ190" s="136"/>
      <c r="DK190" s="161"/>
      <c r="DL190" s="161"/>
      <c r="DM190" s="161"/>
      <c r="DN190" s="161"/>
      <c r="DO190" s="161"/>
      <c r="DP190" s="161"/>
      <c r="DQ190" s="135"/>
      <c r="DR190" s="135"/>
      <c r="DS190" s="135"/>
      <c r="DT190" s="135"/>
      <c r="DU190" s="135"/>
      <c r="DV190" s="135"/>
      <c r="DW190" s="136"/>
      <c r="DX190" s="136"/>
      <c r="DY190" s="161"/>
      <c r="DZ190" s="161"/>
      <c r="EA190" s="161"/>
      <c r="EB190" s="161"/>
      <c r="EC190" s="161"/>
      <c r="ED190" s="161"/>
      <c r="EE190" s="135"/>
      <c r="EF190" s="135"/>
      <c r="EG190" s="135"/>
      <c r="EH190" s="135"/>
      <c r="EI190" s="135"/>
      <c r="EJ190" s="135"/>
      <c r="EK190" s="136"/>
      <c r="EL190" s="136"/>
      <c r="EM190" s="136"/>
      <c r="EN190" s="136"/>
      <c r="EO190" s="136"/>
      <c r="EP190" s="136"/>
      <c r="EQ190" s="136"/>
      <c r="ER190" s="136"/>
      <c r="ES190" s="135"/>
      <c r="ET190" s="135"/>
      <c r="EU190" s="135"/>
      <c r="EV190" s="135"/>
      <c r="EW190" s="135"/>
      <c r="EX190" s="135"/>
      <c r="EY190" s="136"/>
      <c r="EZ190" s="136"/>
      <c r="FA190" s="161"/>
      <c r="FB190" s="161"/>
      <c r="FC190" s="161"/>
      <c r="FD190" s="161"/>
      <c r="FE190" s="161"/>
      <c r="FF190" s="161"/>
      <c r="FG190" s="135"/>
      <c r="FH190" s="135"/>
      <c r="FI190" s="135"/>
      <c r="FJ190" s="135"/>
      <c r="FK190" s="135"/>
      <c r="FL190" s="135"/>
      <c r="FM190" s="136"/>
      <c r="FN190" s="136"/>
      <c r="FO190" s="161"/>
      <c r="FP190" s="161"/>
      <c r="FQ190" s="161"/>
      <c r="FR190" s="161"/>
      <c r="FS190" s="161"/>
      <c r="FT190" s="161"/>
      <c r="FU190" s="135"/>
      <c r="FV190" s="135"/>
      <c r="FW190" s="135"/>
      <c r="FX190" s="135"/>
      <c r="FY190" s="135"/>
      <c r="FZ190" s="135"/>
      <c r="GA190" s="136"/>
      <c r="GB190" s="136"/>
      <c r="GC190" s="161"/>
      <c r="GD190" s="161"/>
      <c r="GE190" s="161"/>
      <c r="GF190" s="161"/>
      <c r="GG190" s="161"/>
      <c r="GH190" s="161"/>
      <c r="GI190" s="135"/>
      <c r="GJ190" s="135"/>
      <c r="GK190" s="135"/>
      <c r="GL190" s="135"/>
      <c r="GM190" s="135"/>
      <c r="GN190" s="135"/>
    </row>
    <row r="191" spans="1:196" hidden="1">
      <c r="A191" s="140"/>
      <c r="B191" s="128" t="s">
        <v>770</v>
      </c>
      <c r="C191" s="128" t="s">
        <v>773</v>
      </c>
      <c r="D191" s="138"/>
      <c r="E191" s="119" t="e">
        <f>VLOOKUP(C191,#REF!,5,0)</f>
        <v>#REF!</v>
      </c>
      <c r="F191" s="107"/>
      <c r="G191" s="130">
        <v>26</v>
      </c>
      <c r="H191" s="129"/>
      <c r="I191" s="110">
        <v>46184</v>
      </c>
      <c r="J191" s="111">
        <f>G191-SUM(L191:FL191)</f>
        <v>0</v>
      </c>
      <c r="K191" s="163" t="s">
        <v>775</v>
      </c>
      <c r="L191" s="135"/>
      <c r="M191" s="136"/>
      <c r="N191" s="136"/>
      <c r="O191" s="136"/>
      <c r="P191" s="136"/>
      <c r="Q191" s="136"/>
      <c r="R191" s="136"/>
      <c r="S191" s="135"/>
      <c r="T191" s="161"/>
      <c r="U191" s="161"/>
      <c r="V191" s="161"/>
      <c r="W191" s="135"/>
      <c r="X191" s="135"/>
      <c r="Y191" s="135"/>
      <c r="Z191" s="135"/>
      <c r="AA191" s="135"/>
      <c r="AB191" s="135"/>
      <c r="AC191" s="136"/>
      <c r="AD191" s="136"/>
      <c r="AE191" s="135"/>
      <c r="AF191" s="161"/>
      <c r="AG191" s="161"/>
      <c r="AH191" s="161"/>
      <c r="AI191" s="161"/>
      <c r="AJ191" s="161"/>
      <c r="AK191" s="135"/>
      <c r="AL191" s="135"/>
      <c r="AM191" s="135"/>
      <c r="AN191" s="135"/>
      <c r="AO191" s="135"/>
      <c r="AP191" s="135"/>
      <c r="AQ191" s="136"/>
      <c r="AR191" s="136"/>
      <c r="AS191" s="135"/>
      <c r="AT191" s="161"/>
      <c r="AU191" s="135"/>
      <c r="AV191" s="161"/>
      <c r="AW191" s="161"/>
      <c r="AX191" s="161"/>
      <c r="AY191" s="135"/>
      <c r="AZ191" s="161"/>
      <c r="BA191" s="161"/>
      <c r="BB191" s="161"/>
      <c r="BC191" s="135"/>
      <c r="BD191" s="135"/>
      <c r="BE191" s="136"/>
      <c r="BF191" s="136"/>
      <c r="BG191" s="135"/>
      <c r="BH191" s="161"/>
      <c r="BI191" s="135"/>
      <c r="BJ191" s="161"/>
      <c r="BK191" s="135">
        <v>9</v>
      </c>
      <c r="BL191" s="161"/>
      <c r="BM191" s="135"/>
      <c r="BN191" s="135"/>
      <c r="BO191" s="135"/>
      <c r="BP191" s="135"/>
      <c r="BQ191" s="135"/>
      <c r="BR191" s="135"/>
      <c r="BS191" s="136"/>
      <c r="BT191" s="136"/>
      <c r="BU191" s="135"/>
      <c r="BV191" s="161"/>
      <c r="BW191" s="135">
        <v>17</v>
      </c>
      <c r="BX191" s="161"/>
      <c r="BY191" s="135"/>
      <c r="BZ191" s="161"/>
      <c r="CA191" s="135"/>
      <c r="CB191" s="135"/>
      <c r="CC191" s="135"/>
      <c r="CD191" s="135"/>
      <c r="CE191" s="135"/>
      <c r="CF191" s="135"/>
      <c r="CG191" s="136"/>
      <c r="CH191" s="136"/>
      <c r="CI191" s="161"/>
      <c r="CJ191" s="161"/>
      <c r="CK191" s="161"/>
      <c r="CL191" s="161"/>
      <c r="CM191" s="161"/>
      <c r="CN191" s="161"/>
      <c r="CO191" s="135"/>
      <c r="CP191" s="135"/>
      <c r="CQ191" s="135"/>
      <c r="CR191" s="135"/>
      <c r="CS191" s="135"/>
      <c r="CT191" s="135"/>
      <c r="CU191" s="136"/>
      <c r="CV191" s="136"/>
      <c r="CW191" s="161"/>
      <c r="CX191" s="161"/>
      <c r="CY191" s="161"/>
      <c r="CZ191" s="161"/>
      <c r="DA191" s="161"/>
      <c r="DB191" s="161"/>
      <c r="DC191" s="135"/>
      <c r="DD191" s="135"/>
      <c r="DE191" s="135"/>
      <c r="DF191" s="135"/>
      <c r="DG191" s="135"/>
      <c r="DH191" s="135"/>
      <c r="DI191" s="136"/>
      <c r="DJ191" s="136"/>
      <c r="DK191" s="161"/>
      <c r="DL191" s="161"/>
      <c r="DM191" s="161"/>
      <c r="DN191" s="161"/>
      <c r="DO191" s="161"/>
      <c r="DP191" s="161"/>
      <c r="DQ191" s="135"/>
      <c r="DR191" s="135"/>
      <c r="DS191" s="135"/>
      <c r="DT191" s="135"/>
      <c r="DU191" s="135"/>
      <c r="DV191" s="135"/>
      <c r="DW191" s="136"/>
      <c r="DX191" s="136"/>
      <c r="DY191" s="161"/>
      <c r="DZ191" s="161"/>
      <c r="EA191" s="161"/>
      <c r="EB191" s="161"/>
      <c r="EC191" s="161"/>
      <c r="ED191" s="161"/>
      <c r="EE191" s="135"/>
      <c r="EF191" s="135"/>
      <c r="EG191" s="135"/>
      <c r="EH191" s="135"/>
      <c r="EI191" s="135"/>
      <c r="EJ191" s="135"/>
      <c r="EK191" s="136"/>
      <c r="EL191" s="136"/>
      <c r="EM191" s="136"/>
      <c r="EN191" s="136"/>
      <c r="EO191" s="136"/>
      <c r="EP191" s="136"/>
      <c r="EQ191" s="136"/>
      <c r="ER191" s="136"/>
      <c r="ES191" s="135"/>
      <c r="ET191" s="135"/>
      <c r="EU191" s="135"/>
      <c r="EV191" s="135"/>
      <c r="EW191" s="135"/>
      <c r="EX191" s="135"/>
      <c r="EY191" s="136"/>
      <c r="EZ191" s="136"/>
      <c r="FA191" s="161"/>
      <c r="FB191" s="161"/>
      <c r="FC191" s="161"/>
      <c r="FD191" s="161"/>
      <c r="FE191" s="161"/>
      <c r="FF191" s="161"/>
      <c r="FG191" s="135"/>
      <c r="FH191" s="135"/>
      <c r="FI191" s="135"/>
      <c r="FJ191" s="135"/>
      <c r="FK191" s="135"/>
      <c r="FL191" s="135"/>
      <c r="FM191" s="136"/>
      <c r="FN191" s="136"/>
      <c r="FO191" s="161"/>
      <c r="FP191" s="161"/>
      <c r="FQ191" s="161"/>
      <c r="FR191" s="161"/>
      <c r="FS191" s="161"/>
      <c r="FT191" s="161"/>
      <c r="FU191" s="135"/>
      <c r="FV191" s="135"/>
      <c r="FW191" s="135"/>
      <c r="FX191" s="135"/>
      <c r="FY191" s="135"/>
      <c r="FZ191" s="135"/>
      <c r="GA191" s="136"/>
      <c r="GB191" s="136"/>
      <c r="GC191" s="161"/>
      <c r="GD191" s="161"/>
      <c r="GE191" s="161"/>
      <c r="GF191" s="161"/>
      <c r="GG191" s="161"/>
      <c r="GH191" s="161"/>
      <c r="GI191" s="135"/>
      <c r="GJ191" s="135"/>
      <c r="GK191" s="135"/>
      <c r="GL191" s="135"/>
      <c r="GM191" s="135"/>
      <c r="GN191" s="135"/>
    </row>
    <row r="192" spans="1:196" hidden="1">
      <c r="A192" s="140"/>
      <c r="B192" s="126" t="s">
        <v>1199</v>
      </c>
      <c r="C192" s="126" t="s">
        <v>133</v>
      </c>
      <c r="D192" s="119"/>
      <c r="E192" s="119" t="e">
        <f>VLOOKUP(C192,#REF!,5,0)</f>
        <v>#REF!</v>
      </c>
      <c r="F192" s="107">
        <v>46230</v>
      </c>
      <c r="G192" s="127">
        <v>820</v>
      </c>
      <c r="H192" s="6"/>
      <c r="I192" s="125">
        <v>46235</v>
      </c>
      <c r="J192" s="13">
        <f t="shared" ref="J192" si="188">G192-SUM(L192:FL192)</f>
        <v>0</v>
      </c>
      <c r="K192" s="124" t="s">
        <v>1201</v>
      </c>
      <c r="L192" s="161"/>
      <c r="M192" s="136"/>
      <c r="N192" s="136"/>
      <c r="O192" s="136"/>
      <c r="P192" s="136"/>
      <c r="Q192" s="136"/>
      <c r="R192" s="136"/>
      <c r="S192" s="161"/>
      <c r="T192" s="161"/>
      <c r="U192" s="161"/>
      <c r="V192" s="161"/>
      <c r="W192" s="135"/>
      <c r="X192" s="135"/>
      <c r="Y192" s="161"/>
      <c r="Z192" s="161"/>
      <c r="AA192" s="161"/>
      <c r="AB192" s="161"/>
      <c r="AC192" s="136"/>
      <c r="AD192" s="136"/>
      <c r="AE192" s="135"/>
      <c r="AF192" s="135"/>
      <c r="AG192" s="135"/>
      <c r="AH192" s="135"/>
      <c r="AI192" s="161"/>
      <c r="AJ192" s="135"/>
      <c r="AK192" s="161"/>
      <c r="AL192" s="135"/>
      <c r="AM192" s="135"/>
      <c r="AN192" s="135"/>
      <c r="AO192" s="135"/>
      <c r="AP192" s="135"/>
      <c r="AQ192" s="136"/>
      <c r="AR192" s="136"/>
      <c r="AS192" s="161"/>
      <c r="AT192" s="161"/>
      <c r="AU192" s="161"/>
      <c r="AV192" s="161"/>
      <c r="AW192" s="161"/>
      <c r="AX192" s="161"/>
      <c r="AY192" s="161"/>
      <c r="AZ192" s="161"/>
      <c r="BA192" s="161"/>
      <c r="BB192" s="135"/>
      <c r="BC192" s="161"/>
      <c r="BD192" s="135"/>
      <c r="BE192" s="136"/>
      <c r="BF192" s="136"/>
      <c r="BG192" s="161"/>
      <c r="BH192" s="161"/>
      <c r="BI192" s="161"/>
      <c r="BJ192" s="161"/>
      <c r="BK192" s="161"/>
      <c r="BL192" s="161"/>
      <c r="BM192" s="161"/>
      <c r="BN192" s="135"/>
      <c r="BO192" s="135"/>
      <c r="BP192" s="135"/>
      <c r="BQ192" s="135"/>
      <c r="BR192" s="135"/>
      <c r="BS192" s="136"/>
      <c r="BT192" s="136"/>
      <c r="BU192" s="161"/>
      <c r="BV192" s="161"/>
      <c r="BW192" s="161">
        <v>584</v>
      </c>
      <c r="BX192" s="161"/>
      <c r="BY192" s="161">
        <v>236</v>
      </c>
      <c r="BZ192" s="161"/>
      <c r="CA192" s="161"/>
      <c r="CB192" s="161"/>
      <c r="CC192" s="135"/>
      <c r="CD192" s="135"/>
      <c r="CE192" s="135"/>
      <c r="CF192" s="135"/>
      <c r="CG192" s="136"/>
      <c r="CH192" s="136"/>
      <c r="CI192" s="161"/>
      <c r="CJ192" s="161"/>
      <c r="CK192" s="161"/>
      <c r="CL192" s="161"/>
      <c r="CM192" s="161"/>
      <c r="CN192" s="161"/>
      <c r="CO192" s="135"/>
      <c r="CP192" s="135"/>
      <c r="CQ192" s="135"/>
      <c r="CR192" s="135"/>
      <c r="CS192" s="135"/>
      <c r="CT192" s="135"/>
      <c r="CU192" s="136"/>
      <c r="CV192" s="136"/>
      <c r="CW192" s="161"/>
      <c r="CX192" s="161"/>
      <c r="CY192" s="161"/>
      <c r="CZ192" s="161"/>
      <c r="DA192" s="161"/>
      <c r="DB192" s="161"/>
      <c r="DC192" s="135"/>
      <c r="DD192" s="135"/>
      <c r="DE192" s="135"/>
      <c r="DF192" s="135"/>
      <c r="DG192" s="135"/>
      <c r="DH192" s="135"/>
      <c r="DI192" s="136"/>
      <c r="DJ192" s="136"/>
      <c r="DK192" s="161"/>
      <c r="DL192" s="161"/>
      <c r="DM192" s="161"/>
      <c r="DN192" s="161"/>
      <c r="DO192" s="161"/>
      <c r="DP192" s="161"/>
      <c r="DQ192" s="135"/>
      <c r="DR192" s="135"/>
      <c r="DS192" s="135"/>
      <c r="DT192" s="135"/>
      <c r="DU192" s="135"/>
      <c r="DV192" s="135"/>
      <c r="DW192" s="136"/>
      <c r="DX192" s="136"/>
      <c r="DY192" s="161"/>
      <c r="DZ192" s="161"/>
      <c r="EA192" s="161"/>
      <c r="EB192" s="161"/>
      <c r="EC192" s="161"/>
      <c r="ED192" s="161"/>
      <c r="EE192" s="135"/>
      <c r="EF192" s="135"/>
      <c r="EG192" s="135"/>
      <c r="EH192" s="135"/>
      <c r="EI192" s="135"/>
      <c r="EJ192" s="135"/>
      <c r="EK192" s="136"/>
      <c r="EL192" s="136"/>
      <c r="EM192" s="136"/>
      <c r="EN192" s="136"/>
      <c r="EO192" s="136"/>
      <c r="EP192" s="136"/>
      <c r="EQ192" s="136"/>
      <c r="ER192" s="136"/>
      <c r="ES192" s="135"/>
      <c r="ET192" s="135"/>
      <c r="EU192" s="135"/>
      <c r="EV192" s="135"/>
      <c r="EW192" s="135"/>
      <c r="EX192" s="135"/>
      <c r="EY192" s="136"/>
      <c r="EZ192" s="136"/>
      <c r="FA192" s="161"/>
      <c r="FB192" s="161"/>
      <c r="FC192" s="161"/>
      <c r="FD192" s="161"/>
      <c r="FE192" s="161"/>
      <c r="FF192" s="161"/>
      <c r="FG192" s="135"/>
      <c r="FH192" s="135"/>
      <c r="FI192" s="135"/>
      <c r="FJ192" s="135"/>
      <c r="FK192" s="135"/>
      <c r="FL192" s="135"/>
      <c r="FM192" s="136"/>
      <c r="FN192" s="136"/>
      <c r="FO192" s="161"/>
      <c r="FP192" s="161"/>
      <c r="FQ192" s="161"/>
      <c r="FR192" s="161"/>
      <c r="FS192" s="161"/>
      <c r="FT192" s="161"/>
      <c r="FU192" s="135"/>
      <c r="FV192" s="135"/>
      <c r="FW192" s="135"/>
      <c r="FX192" s="135"/>
      <c r="FY192" s="135"/>
      <c r="FZ192" s="135"/>
      <c r="GA192" s="136"/>
      <c r="GB192" s="136"/>
      <c r="GC192" s="161"/>
      <c r="GD192" s="161"/>
      <c r="GE192" s="161"/>
      <c r="GF192" s="161"/>
      <c r="GG192" s="161"/>
      <c r="GH192" s="161"/>
      <c r="GI192" s="135"/>
      <c r="GJ192" s="135"/>
      <c r="GK192" s="135"/>
      <c r="GL192" s="135"/>
      <c r="GM192" s="135"/>
      <c r="GN192" s="135"/>
    </row>
    <row r="193" spans="1:196" hidden="1">
      <c r="A193" s="140"/>
      <c r="B193" s="126" t="s">
        <v>951</v>
      </c>
      <c r="C193" s="126" t="s">
        <v>680</v>
      </c>
      <c r="D193" s="119"/>
      <c r="E193" s="119" t="e">
        <f>VLOOKUP(C193,#REF!,5,0)</f>
        <v>#REF!</v>
      </c>
      <c r="F193" s="107">
        <v>46230</v>
      </c>
      <c r="G193" s="127">
        <v>910</v>
      </c>
      <c r="H193" s="6" t="s">
        <v>797</v>
      </c>
      <c r="I193" s="125">
        <v>46228</v>
      </c>
      <c r="J193" s="13">
        <f>G193-SUM(L193:FL193)</f>
        <v>0</v>
      </c>
      <c r="K193" s="163"/>
      <c r="L193" s="161"/>
      <c r="M193" s="136"/>
      <c r="N193" s="136"/>
      <c r="O193" s="136"/>
      <c r="P193" s="136"/>
      <c r="Q193" s="136"/>
      <c r="R193" s="136"/>
      <c r="S193" s="161"/>
      <c r="T193" s="161"/>
      <c r="U193" s="161"/>
      <c r="V193" s="161"/>
      <c r="W193" s="135"/>
      <c r="X193" s="135"/>
      <c r="Y193" s="161"/>
      <c r="Z193" s="161"/>
      <c r="AA193" s="161"/>
      <c r="AB193" s="161"/>
      <c r="AC193" s="136"/>
      <c r="AD193" s="136"/>
      <c r="AE193" s="135"/>
      <c r="AF193" s="135"/>
      <c r="AG193" s="135"/>
      <c r="AH193" s="135"/>
      <c r="AI193" s="161"/>
      <c r="AJ193" s="135"/>
      <c r="AK193" s="161"/>
      <c r="AL193" s="135"/>
      <c r="AM193" s="135"/>
      <c r="AN193" s="135"/>
      <c r="AO193" s="135"/>
      <c r="AP193" s="135"/>
      <c r="AQ193" s="136"/>
      <c r="AR193" s="136"/>
      <c r="AS193" s="161"/>
      <c r="AT193" s="161"/>
      <c r="AU193" s="161"/>
      <c r="AV193" s="161"/>
      <c r="AW193" s="161"/>
      <c r="AX193" s="161"/>
      <c r="AY193" s="161"/>
      <c r="AZ193" s="135"/>
      <c r="BA193" s="161"/>
      <c r="BB193" s="135"/>
      <c r="BC193" s="161"/>
      <c r="BD193" s="135"/>
      <c r="BE193" s="136"/>
      <c r="BF193" s="136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35"/>
      <c r="BQ193" s="161"/>
      <c r="BR193" s="135"/>
      <c r="BS193" s="136"/>
      <c r="BT193" s="136"/>
      <c r="BU193" s="161"/>
      <c r="BV193" s="161"/>
      <c r="BW193" s="161"/>
      <c r="BX193" s="161"/>
      <c r="BY193" s="161">
        <v>910</v>
      </c>
      <c r="BZ193" s="161"/>
      <c r="CA193" s="161"/>
      <c r="CB193" s="161"/>
      <c r="CC193" s="135"/>
      <c r="CD193" s="135"/>
      <c r="CE193" s="135"/>
      <c r="CF193" s="135"/>
      <c r="CG193" s="136"/>
      <c r="CH193" s="136"/>
      <c r="CI193" s="161"/>
      <c r="CJ193" s="161"/>
      <c r="CK193" s="161"/>
      <c r="CL193" s="161"/>
      <c r="CM193" s="161"/>
      <c r="CN193" s="161"/>
      <c r="CO193" s="135"/>
      <c r="CP193" s="135"/>
      <c r="CQ193" s="135"/>
      <c r="CR193" s="135"/>
      <c r="CS193" s="135"/>
      <c r="CT193" s="135"/>
      <c r="CU193" s="136"/>
      <c r="CV193" s="136"/>
      <c r="CW193" s="161"/>
      <c r="CX193" s="161"/>
      <c r="CY193" s="161"/>
      <c r="CZ193" s="161"/>
      <c r="DA193" s="161"/>
      <c r="DB193" s="161"/>
      <c r="DC193" s="135"/>
      <c r="DD193" s="135"/>
      <c r="DE193" s="135"/>
      <c r="DF193" s="135"/>
      <c r="DG193" s="135"/>
      <c r="DH193" s="135"/>
      <c r="DI193" s="136"/>
      <c r="DJ193" s="136"/>
      <c r="DK193" s="161"/>
      <c r="DL193" s="161"/>
      <c r="DM193" s="161"/>
      <c r="DN193" s="161"/>
      <c r="DO193" s="161"/>
      <c r="DP193" s="161"/>
      <c r="DQ193" s="135"/>
      <c r="DR193" s="135"/>
      <c r="DS193" s="135"/>
      <c r="DT193" s="135"/>
      <c r="DU193" s="135"/>
      <c r="DV193" s="135"/>
      <c r="DW193" s="136"/>
      <c r="DX193" s="136"/>
      <c r="DY193" s="161"/>
      <c r="DZ193" s="161"/>
      <c r="EA193" s="161"/>
      <c r="EB193" s="161"/>
      <c r="EC193" s="161"/>
      <c r="ED193" s="161"/>
      <c r="EE193" s="135"/>
      <c r="EF193" s="135"/>
      <c r="EG193" s="135"/>
      <c r="EH193" s="135"/>
      <c r="EI193" s="135"/>
      <c r="EJ193" s="135"/>
      <c r="EK193" s="136"/>
      <c r="EL193" s="136"/>
      <c r="EM193" s="136"/>
      <c r="EN193" s="136"/>
      <c r="EO193" s="136"/>
      <c r="EP193" s="136"/>
      <c r="EQ193" s="136"/>
      <c r="ER193" s="136"/>
      <c r="ES193" s="135"/>
      <c r="ET193" s="135"/>
      <c r="EU193" s="135"/>
      <c r="EV193" s="135"/>
      <c r="EW193" s="135"/>
      <c r="EX193" s="135"/>
      <c r="EY193" s="136"/>
      <c r="EZ193" s="136"/>
      <c r="FA193" s="161"/>
      <c r="FB193" s="161"/>
      <c r="FC193" s="161"/>
      <c r="FD193" s="161"/>
      <c r="FE193" s="161"/>
      <c r="FF193" s="161"/>
      <c r="FG193" s="135"/>
      <c r="FH193" s="135"/>
      <c r="FI193" s="135"/>
      <c r="FJ193" s="135"/>
      <c r="FK193" s="135"/>
      <c r="FL193" s="135"/>
      <c r="FM193" s="136"/>
      <c r="FN193" s="136"/>
      <c r="FO193" s="161"/>
      <c r="FP193" s="161"/>
      <c r="FQ193" s="161"/>
      <c r="FR193" s="161"/>
      <c r="FS193" s="161"/>
      <c r="FT193" s="161"/>
      <c r="FU193" s="135"/>
      <c r="FV193" s="135"/>
      <c r="FW193" s="135"/>
      <c r="FX193" s="135"/>
      <c r="FY193" s="135"/>
      <c r="FZ193" s="135"/>
      <c r="GA193" s="136"/>
      <c r="GB193" s="136"/>
      <c r="GC193" s="161"/>
      <c r="GD193" s="161"/>
      <c r="GE193" s="161"/>
      <c r="GF193" s="161"/>
      <c r="GG193" s="161"/>
      <c r="GH193" s="161"/>
      <c r="GI193" s="135"/>
      <c r="GJ193" s="135"/>
      <c r="GK193" s="135"/>
      <c r="GL193" s="135"/>
      <c r="GM193" s="135"/>
      <c r="GN193" s="135"/>
    </row>
    <row r="194" spans="1:196" hidden="1">
      <c r="A194" s="140"/>
      <c r="B194" s="126" t="s">
        <v>953</v>
      </c>
      <c r="C194" s="126" t="s">
        <v>609</v>
      </c>
      <c r="D194" s="119"/>
      <c r="E194" s="119" t="e">
        <f>VLOOKUP(C194,#REF!,5,0)</f>
        <v>#REF!</v>
      </c>
      <c r="F194" s="107">
        <v>46230</v>
      </c>
      <c r="G194" s="127">
        <v>48</v>
      </c>
      <c r="H194" s="6" t="s">
        <v>756</v>
      </c>
      <c r="I194" s="125">
        <v>46235</v>
      </c>
      <c r="J194" s="13">
        <f>G194-SUM(L194:FL194)</f>
        <v>0</v>
      </c>
      <c r="K194" s="163"/>
      <c r="L194" s="161"/>
      <c r="M194" s="136"/>
      <c r="N194" s="136"/>
      <c r="O194" s="136"/>
      <c r="P194" s="136"/>
      <c r="Q194" s="136"/>
      <c r="R194" s="136"/>
      <c r="S194" s="161"/>
      <c r="T194" s="161"/>
      <c r="U194" s="161"/>
      <c r="V194" s="161"/>
      <c r="W194" s="135"/>
      <c r="X194" s="135"/>
      <c r="Y194" s="161"/>
      <c r="Z194" s="161"/>
      <c r="AA194" s="161"/>
      <c r="AB194" s="161"/>
      <c r="AC194" s="136"/>
      <c r="AD194" s="136"/>
      <c r="AE194" s="135"/>
      <c r="AF194" s="135"/>
      <c r="AG194" s="135"/>
      <c r="AH194" s="135"/>
      <c r="AI194" s="161"/>
      <c r="AJ194" s="135"/>
      <c r="AK194" s="161"/>
      <c r="AL194" s="135"/>
      <c r="AM194" s="135"/>
      <c r="AN194" s="135"/>
      <c r="AO194" s="135"/>
      <c r="AP194" s="135"/>
      <c r="AQ194" s="136"/>
      <c r="AR194" s="136"/>
      <c r="AS194" s="161"/>
      <c r="AT194" s="161"/>
      <c r="AU194" s="161"/>
      <c r="AV194" s="161"/>
      <c r="AW194" s="161"/>
      <c r="AX194" s="161"/>
      <c r="AY194" s="161"/>
      <c r="AZ194" s="161"/>
      <c r="BA194" s="161"/>
      <c r="BB194" s="161"/>
      <c r="BC194" s="161"/>
      <c r="BD194" s="135"/>
      <c r="BE194" s="136"/>
      <c r="BF194" s="136"/>
      <c r="BG194" s="161"/>
      <c r="BH194" s="161"/>
      <c r="BI194" s="161"/>
      <c r="BJ194" s="161"/>
      <c r="BK194" s="161"/>
      <c r="BL194" s="161"/>
      <c r="BM194" s="161"/>
      <c r="BN194" s="135"/>
      <c r="BO194" s="161"/>
      <c r="BP194" s="135"/>
      <c r="BQ194" s="161"/>
      <c r="BR194" s="135"/>
      <c r="BS194" s="136"/>
      <c r="BT194" s="136"/>
      <c r="BU194" s="161"/>
      <c r="BV194" s="161"/>
      <c r="BW194" s="161"/>
      <c r="BX194" s="161"/>
      <c r="BY194" s="161">
        <v>48</v>
      </c>
      <c r="BZ194" s="161"/>
      <c r="CA194" s="161"/>
      <c r="CB194" s="135"/>
      <c r="CC194" s="161"/>
      <c r="CD194" s="135"/>
      <c r="CE194" s="161"/>
      <c r="CF194" s="135"/>
      <c r="CG194" s="136"/>
      <c r="CH194" s="136"/>
      <c r="CI194" s="161"/>
      <c r="CJ194" s="161"/>
      <c r="CK194" s="161"/>
      <c r="CL194" s="161"/>
      <c r="CM194" s="161"/>
      <c r="CN194" s="161"/>
      <c r="CO194" s="135"/>
      <c r="CP194" s="135"/>
      <c r="CQ194" s="135"/>
      <c r="CR194" s="135"/>
      <c r="CS194" s="135"/>
      <c r="CT194" s="135"/>
      <c r="CU194" s="136"/>
      <c r="CV194" s="136"/>
      <c r="CW194" s="161"/>
      <c r="CX194" s="161"/>
      <c r="CY194" s="161"/>
      <c r="CZ194" s="161"/>
      <c r="DA194" s="161"/>
      <c r="DB194" s="161"/>
      <c r="DC194" s="135"/>
      <c r="DD194" s="135"/>
      <c r="DE194" s="135"/>
      <c r="DF194" s="135"/>
      <c r="DG194" s="135"/>
      <c r="DH194" s="135"/>
      <c r="DI194" s="136"/>
      <c r="DJ194" s="136"/>
      <c r="DK194" s="161"/>
      <c r="DL194" s="161"/>
      <c r="DM194" s="161"/>
      <c r="DN194" s="161"/>
      <c r="DO194" s="161"/>
      <c r="DP194" s="161"/>
      <c r="DQ194" s="135"/>
      <c r="DR194" s="135"/>
      <c r="DS194" s="135"/>
      <c r="DT194" s="135"/>
      <c r="DU194" s="135"/>
      <c r="DV194" s="135"/>
      <c r="DW194" s="136"/>
      <c r="DX194" s="136"/>
      <c r="DY194" s="161"/>
      <c r="DZ194" s="161"/>
      <c r="EA194" s="161"/>
      <c r="EB194" s="161"/>
      <c r="EC194" s="161"/>
      <c r="ED194" s="161"/>
      <c r="EE194" s="135"/>
      <c r="EF194" s="135"/>
      <c r="EG194" s="135"/>
      <c r="EH194" s="135"/>
      <c r="EI194" s="135"/>
      <c r="EJ194" s="135"/>
      <c r="EK194" s="136"/>
      <c r="EL194" s="136"/>
      <c r="EM194" s="136"/>
      <c r="EN194" s="136"/>
      <c r="EO194" s="136"/>
      <c r="EP194" s="136"/>
      <c r="EQ194" s="136"/>
      <c r="ER194" s="136"/>
      <c r="ES194" s="135"/>
      <c r="ET194" s="135"/>
      <c r="EU194" s="135"/>
      <c r="EV194" s="135"/>
      <c r="EW194" s="135"/>
      <c r="EX194" s="135"/>
      <c r="EY194" s="136"/>
      <c r="EZ194" s="136"/>
      <c r="FA194" s="161"/>
      <c r="FB194" s="161"/>
      <c r="FC194" s="161"/>
      <c r="FD194" s="161"/>
      <c r="FE194" s="161"/>
      <c r="FF194" s="161"/>
      <c r="FG194" s="135"/>
      <c r="FH194" s="135"/>
      <c r="FI194" s="135"/>
      <c r="FJ194" s="135"/>
      <c r="FK194" s="135"/>
      <c r="FL194" s="135"/>
      <c r="FM194" s="136"/>
      <c r="FN194" s="136"/>
      <c r="FO194" s="161"/>
      <c r="FP194" s="161"/>
      <c r="FQ194" s="161"/>
      <c r="FR194" s="161"/>
      <c r="FS194" s="161"/>
      <c r="FT194" s="161"/>
      <c r="FU194" s="135"/>
      <c r="FV194" s="135"/>
      <c r="FW194" s="135"/>
      <c r="FX194" s="135"/>
      <c r="FY194" s="135"/>
      <c r="FZ194" s="135"/>
      <c r="GA194" s="136"/>
      <c r="GB194" s="136"/>
      <c r="GC194" s="161"/>
      <c r="GD194" s="161"/>
      <c r="GE194" s="161"/>
      <c r="GF194" s="161"/>
      <c r="GG194" s="161"/>
      <c r="GH194" s="161"/>
      <c r="GI194" s="135"/>
      <c r="GJ194" s="135"/>
      <c r="GK194" s="135"/>
      <c r="GL194" s="135"/>
      <c r="GM194" s="135"/>
      <c r="GN194" s="135"/>
    </row>
    <row r="195" spans="1:196" hidden="1">
      <c r="A195" s="140"/>
      <c r="B195" s="126" t="s">
        <v>1001</v>
      </c>
      <c r="C195" s="126" t="s">
        <v>747</v>
      </c>
      <c r="D195" s="119"/>
      <c r="E195" s="119" t="e">
        <f>VLOOKUP(C195,#REF!,5,0)</f>
        <v>#REF!</v>
      </c>
      <c r="F195" s="107">
        <v>46230</v>
      </c>
      <c r="G195" s="127">
        <v>690</v>
      </c>
      <c r="H195" s="6" t="s">
        <v>797</v>
      </c>
      <c r="I195" s="125">
        <v>46235</v>
      </c>
      <c r="J195" s="13">
        <f t="shared" ref="J195:J269" si="189">G195-SUM(L195:FL195)</f>
        <v>0</v>
      </c>
      <c r="K195" s="163"/>
      <c r="L195" s="161"/>
      <c r="M195" s="136"/>
      <c r="N195" s="136"/>
      <c r="O195" s="136"/>
      <c r="P195" s="136"/>
      <c r="Q195" s="136"/>
      <c r="R195" s="136"/>
      <c r="S195" s="161"/>
      <c r="T195" s="161"/>
      <c r="U195" s="161"/>
      <c r="V195" s="161"/>
      <c r="W195" s="135"/>
      <c r="X195" s="135"/>
      <c r="Y195" s="161"/>
      <c r="Z195" s="161"/>
      <c r="AA195" s="161"/>
      <c r="AB195" s="161"/>
      <c r="AC195" s="136"/>
      <c r="AD195" s="136"/>
      <c r="AE195" s="135"/>
      <c r="AF195" s="135"/>
      <c r="AG195" s="135"/>
      <c r="AH195" s="135"/>
      <c r="AI195" s="161"/>
      <c r="AJ195" s="135"/>
      <c r="AK195" s="161"/>
      <c r="AL195" s="135"/>
      <c r="AM195" s="135"/>
      <c r="AN195" s="135"/>
      <c r="AO195" s="135"/>
      <c r="AP195" s="135"/>
      <c r="AQ195" s="136"/>
      <c r="AR195" s="136"/>
      <c r="AS195" s="161"/>
      <c r="AT195" s="161"/>
      <c r="AU195" s="161"/>
      <c r="AV195" s="161"/>
      <c r="AW195" s="161"/>
      <c r="AX195" s="161"/>
      <c r="AY195" s="161"/>
      <c r="AZ195" s="135"/>
      <c r="BA195" s="161"/>
      <c r="BB195" s="135"/>
      <c r="BC195" s="161"/>
      <c r="BD195" s="135"/>
      <c r="BE195" s="136"/>
      <c r="BF195" s="136"/>
      <c r="BG195" s="161"/>
      <c r="BH195" s="161"/>
      <c r="BI195" s="161"/>
      <c r="BJ195" s="161"/>
      <c r="BK195" s="161"/>
      <c r="BL195" s="161"/>
      <c r="BM195" s="161"/>
      <c r="BN195" s="135"/>
      <c r="BO195" s="135"/>
      <c r="BP195" s="135"/>
      <c r="BQ195" s="161"/>
      <c r="BR195" s="135"/>
      <c r="BS195" s="136"/>
      <c r="BT195" s="136"/>
      <c r="BU195" s="161"/>
      <c r="BV195" s="161"/>
      <c r="BW195" s="161"/>
      <c r="BX195" s="161"/>
      <c r="BY195" s="161">
        <v>137</v>
      </c>
      <c r="BZ195" s="161"/>
      <c r="CA195" s="161">
        <v>553</v>
      </c>
      <c r="CB195" s="161"/>
      <c r="CC195" s="161"/>
      <c r="CD195" s="161"/>
      <c r="CE195" s="161"/>
      <c r="CF195" s="161"/>
      <c r="CG195" s="136"/>
      <c r="CH195" s="136"/>
      <c r="CI195" s="161"/>
      <c r="CJ195" s="161"/>
      <c r="CK195" s="135"/>
      <c r="CL195" s="161"/>
      <c r="CM195" s="161"/>
      <c r="CN195" s="161"/>
      <c r="CO195" s="135"/>
      <c r="CP195" s="135"/>
      <c r="CQ195" s="135"/>
      <c r="CR195" s="135"/>
      <c r="CS195" s="135"/>
      <c r="CT195" s="135"/>
      <c r="CU195" s="136"/>
      <c r="CV195" s="136"/>
      <c r="CW195" s="161"/>
      <c r="CX195" s="161"/>
      <c r="CY195" s="161"/>
      <c r="CZ195" s="161"/>
      <c r="DA195" s="161"/>
      <c r="DB195" s="161"/>
      <c r="DC195" s="135"/>
      <c r="DD195" s="135"/>
      <c r="DE195" s="135"/>
      <c r="DF195" s="135"/>
      <c r="DG195" s="135"/>
      <c r="DH195" s="135"/>
      <c r="DI195" s="136"/>
      <c r="DJ195" s="136"/>
      <c r="DK195" s="161"/>
      <c r="DL195" s="161"/>
      <c r="DM195" s="161"/>
      <c r="DN195" s="161"/>
      <c r="DO195" s="161"/>
      <c r="DP195" s="161"/>
      <c r="DQ195" s="135"/>
      <c r="DR195" s="135"/>
      <c r="DS195" s="135"/>
      <c r="DT195" s="135"/>
      <c r="DU195" s="135"/>
      <c r="DV195" s="135"/>
      <c r="DW195" s="136"/>
      <c r="DX195" s="136"/>
      <c r="DY195" s="161"/>
      <c r="DZ195" s="161"/>
      <c r="EA195" s="161"/>
      <c r="EB195" s="161"/>
      <c r="EC195" s="161"/>
      <c r="ED195" s="161"/>
      <c r="EE195" s="135"/>
      <c r="EF195" s="135"/>
      <c r="EG195" s="135"/>
      <c r="EH195" s="135"/>
      <c r="EI195" s="135"/>
      <c r="EJ195" s="135"/>
      <c r="EK195" s="136"/>
      <c r="EL195" s="136"/>
      <c r="EM195" s="136"/>
      <c r="EN195" s="136"/>
      <c r="EO195" s="136"/>
      <c r="EP195" s="136"/>
      <c r="EQ195" s="136"/>
      <c r="ER195" s="136"/>
      <c r="ES195" s="135"/>
      <c r="ET195" s="135"/>
      <c r="EU195" s="135"/>
      <c r="EV195" s="135"/>
      <c r="EW195" s="135"/>
      <c r="EX195" s="135"/>
      <c r="EY195" s="136"/>
      <c r="EZ195" s="136"/>
      <c r="FA195" s="161"/>
      <c r="FB195" s="161"/>
      <c r="FC195" s="161"/>
      <c r="FD195" s="161"/>
      <c r="FE195" s="161"/>
      <c r="FF195" s="161"/>
      <c r="FG195" s="135"/>
      <c r="FH195" s="135"/>
      <c r="FI195" s="135"/>
      <c r="FJ195" s="135"/>
      <c r="FK195" s="135"/>
      <c r="FL195" s="135"/>
      <c r="FM195" s="136"/>
      <c r="FN195" s="136"/>
      <c r="FO195" s="161"/>
      <c r="FP195" s="161"/>
      <c r="FQ195" s="161"/>
      <c r="FR195" s="161"/>
      <c r="FS195" s="161"/>
      <c r="FT195" s="161"/>
      <c r="FU195" s="135"/>
      <c r="FV195" s="135"/>
      <c r="FW195" s="135"/>
      <c r="FX195" s="135"/>
      <c r="FY195" s="135"/>
      <c r="FZ195" s="135"/>
      <c r="GA195" s="136"/>
      <c r="GB195" s="136"/>
      <c r="GC195" s="161"/>
      <c r="GD195" s="161"/>
      <c r="GE195" s="161"/>
      <c r="GF195" s="161"/>
      <c r="GG195" s="161"/>
      <c r="GH195" s="161"/>
      <c r="GI195" s="135"/>
      <c r="GJ195" s="135"/>
      <c r="GK195" s="135"/>
      <c r="GL195" s="135"/>
      <c r="GM195" s="135"/>
      <c r="GN195" s="135"/>
    </row>
    <row r="196" spans="1:196">
      <c r="A196" s="140"/>
      <c r="B196" s="126" t="s">
        <v>1000</v>
      </c>
      <c r="C196" s="126" t="s">
        <v>640</v>
      </c>
      <c r="D196" s="119"/>
      <c r="E196" s="119" t="e">
        <f>VLOOKUP(C196,#REF!,5,0)</f>
        <v>#REF!</v>
      </c>
      <c r="F196" s="107">
        <v>46231</v>
      </c>
      <c r="G196" s="127">
        <v>6000</v>
      </c>
      <c r="H196" s="107">
        <v>46239</v>
      </c>
      <c r="I196" s="125">
        <v>46235</v>
      </c>
      <c r="J196" s="13">
        <f t="shared" si="189"/>
        <v>0</v>
      </c>
      <c r="K196" s="124" t="s">
        <v>1282</v>
      </c>
      <c r="L196" s="161"/>
      <c r="M196" s="136"/>
      <c r="N196" s="136"/>
      <c r="O196" s="136"/>
      <c r="P196" s="136"/>
      <c r="Q196" s="136"/>
      <c r="R196" s="136"/>
      <c r="S196" s="161"/>
      <c r="T196" s="161"/>
      <c r="U196" s="161"/>
      <c r="V196" s="161"/>
      <c r="W196" s="135"/>
      <c r="X196" s="135"/>
      <c r="Y196" s="161"/>
      <c r="Z196" s="161"/>
      <c r="AA196" s="161"/>
      <c r="AB196" s="161"/>
      <c r="AC196" s="136"/>
      <c r="AD196" s="136"/>
      <c r="AE196" s="135"/>
      <c r="AF196" s="135"/>
      <c r="AG196" s="135"/>
      <c r="AH196" s="135"/>
      <c r="AI196" s="161"/>
      <c r="AJ196" s="135"/>
      <c r="AK196" s="161"/>
      <c r="AL196" s="135"/>
      <c r="AM196" s="135"/>
      <c r="AN196" s="135"/>
      <c r="AO196" s="135"/>
      <c r="AP196" s="135"/>
      <c r="AQ196" s="136"/>
      <c r="AR196" s="136"/>
      <c r="AS196" s="161"/>
      <c r="AT196" s="161"/>
      <c r="AU196" s="161"/>
      <c r="AV196" s="161"/>
      <c r="AW196" s="161"/>
      <c r="AX196" s="161"/>
      <c r="AY196" s="161"/>
      <c r="AZ196" s="135"/>
      <c r="BA196" s="161"/>
      <c r="BB196" s="135"/>
      <c r="BC196" s="161"/>
      <c r="BD196" s="135"/>
      <c r="BE196" s="136"/>
      <c r="BF196" s="136"/>
      <c r="BG196" s="161"/>
      <c r="BH196" s="161"/>
      <c r="BI196" s="161"/>
      <c r="BJ196" s="161"/>
      <c r="BK196" s="161"/>
      <c r="BL196" s="161"/>
      <c r="BM196" s="161"/>
      <c r="BN196" s="135"/>
      <c r="BO196" s="135"/>
      <c r="BP196" s="135"/>
      <c r="BQ196" s="161"/>
      <c r="BR196" s="135"/>
      <c r="BS196" s="136"/>
      <c r="BT196" s="136"/>
      <c r="BU196" s="161"/>
      <c r="BV196" s="161"/>
      <c r="BW196" s="161"/>
      <c r="BX196" s="161"/>
      <c r="BY196" s="161"/>
      <c r="BZ196" s="161"/>
      <c r="CA196" s="161">
        <v>1777</v>
      </c>
      <c r="CB196" s="161"/>
      <c r="CC196" s="161">
        <v>2800</v>
      </c>
      <c r="CD196" s="161"/>
      <c r="CE196" s="161">
        <v>1423</v>
      </c>
      <c r="CF196" s="161"/>
      <c r="CG196" s="136"/>
      <c r="CH196" s="136"/>
      <c r="CI196" s="161"/>
      <c r="CJ196" s="161"/>
      <c r="CK196" s="161"/>
      <c r="CL196" s="161"/>
      <c r="CM196" s="161"/>
      <c r="CN196" s="161"/>
      <c r="CO196" s="135"/>
      <c r="CP196" s="135"/>
      <c r="CQ196" s="135"/>
      <c r="CR196" s="135"/>
      <c r="CS196" s="135"/>
      <c r="CT196" s="135"/>
      <c r="CU196" s="136"/>
      <c r="CV196" s="136"/>
      <c r="CW196" s="161"/>
      <c r="CX196" s="161"/>
      <c r="CY196" s="161"/>
      <c r="CZ196" s="161"/>
      <c r="DA196" s="161"/>
      <c r="DB196" s="161"/>
      <c r="DC196" s="135"/>
      <c r="DD196" s="135"/>
      <c r="DE196" s="135"/>
      <c r="DF196" s="135"/>
      <c r="DG196" s="135"/>
      <c r="DH196" s="135"/>
      <c r="DI196" s="136"/>
      <c r="DJ196" s="136"/>
      <c r="DK196" s="161"/>
      <c r="DL196" s="161"/>
      <c r="DM196" s="161"/>
      <c r="DN196" s="161"/>
      <c r="DO196" s="161"/>
      <c r="DP196" s="161"/>
      <c r="DQ196" s="135"/>
      <c r="DR196" s="135"/>
      <c r="DS196" s="135"/>
      <c r="DT196" s="135"/>
      <c r="DU196" s="135"/>
      <c r="DV196" s="135"/>
      <c r="DW196" s="136"/>
      <c r="DX196" s="136"/>
      <c r="DY196" s="161"/>
      <c r="DZ196" s="161"/>
      <c r="EA196" s="161"/>
      <c r="EB196" s="161"/>
      <c r="EC196" s="161"/>
      <c r="ED196" s="161"/>
      <c r="EE196" s="135"/>
      <c r="EF196" s="135"/>
      <c r="EG196" s="135"/>
      <c r="EH196" s="135"/>
      <c r="EI196" s="135"/>
      <c r="EJ196" s="135"/>
      <c r="EK196" s="136"/>
      <c r="EL196" s="136"/>
      <c r="EM196" s="136"/>
      <c r="EN196" s="136"/>
      <c r="EO196" s="136"/>
      <c r="EP196" s="136"/>
      <c r="EQ196" s="136"/>
      <c r="ER196" s="136"/>
      <c r="ES196" s="135"/>
      <c r="ET196" s="135"/>
      <c r="EU196" s="135"/>
      <c r="EV196" s="135"/>
      <c r="EW196" s="135"/>
      <c r="EX196" s="135"/>
      <c r="EY196" s="136"/>
      <c r="EZ196" s="136"/>
      <c r="FA196" s="161"/>
      <c r="FB196" s="161"/>
      <c r="FC196" s="161"/>
      <c r="FD196" s="161"/>
      <c r="FE196" s="161"/>
      <c r="FF196" s="161"/>
      <c r="FG196" s="135"/>
      <c r="FH196" s="135"/>
      <c r="FI196" s="135"/>
      <c r="FJ196" s="135"/>
      <c r="FK196" s="135"/>
      <c r="FL196" s="135"/>
      <c r="FM196" s="136"/>
      <c r="FN196" s="136"/>
      <c r="FO196" s="161"/>
      <c r="FP196" s="161"/>
      <c r="FQ196" s="161"/>
      <c r="FR196" s="161"/>
      <c r="FS196" s="161"/>
      <c r="FT196" s="161"/>
      <c r="FU196" s="135"/>
      <c r="FV196" s="135"/>
      <c r="FW196" s="135"/>
      <c r="FX196" s="135"/>
      <c r="FY196" s="135"/>
      <c r="FZ196" s="135"/>
      <c r="GA196" s="136"/>
      <c r="GB196" s="136"/>
      <c r="GC196" s="161"/>
      <c r="GD196" s="161"/>
      <c r="GE196" s="161"/>
      <c r="GF196" s="161"/>
      <c r="GG196" s="161"/>
      <c r="GH196" s="161"/>
      <c r="GI196" s="135"/>
      <c r="GJ196" s="135"/>
      <c r="GK196" s="135"/>
      <c r="GL196" s="135"/>
      <c r="GM196" s="135"/>
      <c r="GN196" s="135"/>
    </row>
    <row r="197" spans="1:196">
      <c r="A197" s="140"/>
      <c r="B197" s="128" t="s">
        <v>1227</v>
      </c>
      <c r="C197" s="128" t="s">
        <v>1257</v>
      </c>
      <c r="D197" s="138"/>
      <c r="E197" s="138"/>
      <c r="F197" s="129"/>
      <c r="G197" s="130">
        <v>18</v>
      </c>
      <c r="H197" s="129"/>
      <c r="I197" s="110">
        <v>46235</v>
      </c>
      <c r="J197" s="111">
        <f t="shared" ref="J197:J210" si="190">G197-SUM(L197:FL197)</f>
        <v>0</v>
      </c>
      <c r="K197" s="163" t="s">
        <v>1260</v>
      </c>
      <c r="L197" s="161"/>
      <c r="M197" s="136"/>
      <c r="N197" s="136"/>
      <c r="O197" s="136"/>
      <c r="P197" s="136"/>
      <c r="Q197" s="136"/>
      <c r="R197" s="136"/>
      <c r="S197" s="161"/>
      <c r="T197" s="161"/>
      <c r="U197" s="161"/>
      <c r="V197" s="161"/>
      <c r="W197" s="135"/>
      <c r="X197" s="135"/>
      <c r="Y197" s="161"/>
      <c r="Z197" s="161"/>
      <c r="AA197" s="161"/>
      <c r="AB197" s="161"/>
      <c r="AC197" s="136"/>
      <c r="AD197" s="136"/>
      <c r="AE197" s="135"/>
      <c r="AF197" s="135"/>
      <c r="AG197" s="135"/>
      <c r="AH197" s="135"/>
      <c r="AI197" s="161"/>
      <c r="AJ197" s="135"/>
      <c r="AK197" s="161"/>
      <c r="AL197" s="135"/>
      <c r="AM197" s="135"/>
      <c r="AN197" s="135"/>
      <c r="AO197" s="135"/>
      <c r="AP197" s="135"/>
      <c r="AQ197" s="136"/>
      <c r="AR197" s="136"/>
      <c r="AS197" s="161"/>
      <c r="AT197" s="161"/>
      <c r="AU197" s="161"/>
      <c r="AV197" s="161"/>
      <c r="AW197" s="161"/>
      <c r="AX197" s="161"/>
      <c r="AY197" s="161"/>
      <c r="AZ197" s="135"/>
      <c r="BA197" s="161"/>
      <c r="BB197" s="135"/>
      <c r="BC197" s="161"/>
      <c r="BD197" s="135"/>
      <c r="BE197" s="136"/>
      <c r="BF197" s="136"/>
      <c r="BG197" s="161"/>
      <c r="BH197" s="161"/>
      <c r="BI197" s="161"/>
      <c r="BJ197" s="161"/>
      <c r="BK197" s="161"/>
      <c r="BL197" s="161"/>
      <c r="BM197" s="161"/>
      <c r="BN197" s="135"/>
      <c r="BO197" s="135"/>
      <c r="BP197" s="135"/>
      <c r="BQ197" s="161"/>
      <c r="BR197" s="135"/>
      <c r="BS197" s="136"/>
      <c r="BT197" s="136"/>
      <c r="BU197" s="161"/>
      <c r="BV197" s="161"/>
      <c r="BW197" s="161"/>
      <c r="BX197" s="161"/>
      <c r="BY197" s="161"/>
      <c r="BZ197" s="161"/>
      <c r="CA197" s="161"/>
      <c r="CB197" s="161"/>
      <c r="CC197" s="161"/>
      <c r="CD197" s="161"/>
      <c r="CE197" s="161">
        <v>18</v>
      </c>
      <c r="CF197" s="161"/>
      <c r="CG197" s="136"/>
      <c r="CH197" s="136"/>
      <c r="CI197" s="161"/>
      <c r="CJ197" s="161"/>
      <c r="CK197" s="161"/>
      <c r="CL197" s="161"/>
      <c r="CM197" s="161"/>
      <c r="CN197" s="161"/>
      <c r="CO197" s="135"/>
      <c r="CP197" s="135"/>
      <c r="CQ197" s="135"/>
      <c r="CR197" s="135"/>
      <c r="CS197" s="135"/>
      <c r="CT197" s="135"/>
      <c r="CU197" s="136"/>
      <c r="CV197" s="136"/>
      <c r="CW197" s="161"/>
      <c r="CX197" s="161"/>
      <c r="CY197" s="161"/>
      <c r="CZ197" s="161"/>
      <c r="DA197" s="161"/>
      <c r="DB197" s="161"/>
      <c r="DC197" s="135"/>
      <c r="DD197" s="135"/>
      <c r="DE197" s="135"/>
      <c r="DF197" s="135"/>
      <c r="DG197" s="135"/>
      <c r="DH197" s="135"/>
      <c r="DI197" s="136"/>
      <c r="DJ197" s="136"/>
      <c r="DK197" s="161"/>
      <c r="DL197" s="161"/>
      <c r="DM197" s="161"/>
      <c r="DN197" s="161"/>
      <c r="DO197" s="161"/>
      <c r="DP197" s="161"/>
      <c r="DQ197" s="135"/>
      <c r="DR197" s="135"/>
      <c r="DS197" s="135"/>
      <c r="DT197" s="135"/>
      <c r="DU197" s="135"/>
      <c r="DV197" s="135"/>
      <c r="DW197" s="136"/>
      <c r="DX197" s="136"/>
      <c r="DY197" s="161"/>
      <c r="DZ197" s="161"/>
      <c r="EA197" s="161"/>
      <c r="EB197" s="161"/>
      <c r="EC197" s="161"/>
      <c r="ED197" s="161"/>
      <c r="EE197" s="135"/>
      <c r="EF197" s="135"/>
      <c r="EG197" s="135"/>
      <c r="EH197" s="135"/>
      <c r="EI197" s="135"/>
      <c r="EJ197" s="135"/>
      <c r="EK197" s="136"/>
      <c r="EL197" s="136"/>
      <c r="EM197" s="136"/>
      <c r="EN197" s="136"/>
      <c r="EO197" s="136"/>
      <c r="EP197" s="136"/>
      <c r="EQ197" s="136"/>
      <c r="ER197" s="136"/>
      <c r="ES197" s="135"/>
      <c r="ET197" s="135"/>
      <c r="EU197" s="135"/>
      <c r="EV197" s="135"/>
      <c r="EW197" s="135"/>
      <c r="EX197" s="135"/>
      <c r="EY197" s="136"/>
      <c r="EZ197" s="136"/>
      <c r="FA197" s="161"/>
      <c r="FB197" s="161"/>
      <c r="FC197" s="161"/>
      <c r="FD197" s="161"/>
      <c r="FE197" s="161"/>
      <c r="FF197" s="161"/>
      <c r="FG197" s="135"/>
      <c r="FH197" s="135"/>
      <c r="FI197" s="135"/>
      <c r="FJ197" s="135"/>
      <c r="FK197" s="135"/>
      <c r="FL197" s="135"/>
      <c r="FM197" s="136"/>
      <c r="FN197" s="136"/>
      <c r="FO197" s="161"/>
      <c r="FP197" s="161"/>
      <c r="FQ197" s="161"/>
      <c r="FR197" s="161"/>
      <c r="FS197" s="161"/>
      <c r="FT197" s="161"/>
      <c r="FU197" s="135"/>
      <c r="FV197" s="135"/>
      <c r="FW197" s="135"/>
      <c r="FX197" s="135"/>
      <c r="FY197" s="135"/>
      <c r="FZ197" s="135"/>
      <c r="GA197" s="136"/>
      <c r="GB197" s="136"/>
      <c r="GC197" s="161"/>
      <c r="GD197" s="161"/>
      <c r="GE197" s="161"/>
      <c r="GF197" s="161"/>
      <c r="GG197" s="161"/>
      <c r="GH197" s="161"/>
      <c r="GI197" s="135"/>
      <c r="GJ197" s="135"/>
      <c r="GK197" s="135"/>
      <c r="GL197" s="135"/>
      <c r="GM197" s="135"/>
      <c r="GN197" s="135"/>
    </row>
    <row r="198" spans="1:196">
      <c r="A198" s="140"/>
      <c r="B198" s="128" t="s">
        <v>1228</v>
      </c>
      <c r="C198" s="128" t="s">
        <v>1257</v>
      </c>
      <c r="D198" s="138"/>
      <c r="E198" s="138"/>
      <c r="F198" s="129"/>
      <c r="G198" s="130">
        <v>24</v>
      </c>
      <c r="H198" s="129"/>
      <c r="I198" s="110">
        <v>46235</v>
      </c>
      <c r="J198" s="111">
        <f t="shared" ref="J198" si="191">G198-SUM(L198:FL198)</f>
        <v>0</v>
      </c>
      <c r="K198" s="163" t="s">
        <v>1261</v>
      </c>
      <c r="L198" s="161"/>
      <c r="M198" s="136"/>
      <c r="N198" s="136"/>
      <c r="O198" s="136"/>
      <c r="P198" s="136"/>
      <c r="Q198" s="136"/>
      <c r="R198" s="136"/>
      <c r="S198" s="161"/>
      <c r="T198" s="161"/>
      <c r="U198" s="161"/>
      <c r="V198" s="161"/>
      <c r="W198" s="135"/>
      <c r="X198" s="135"/>
      <c r="Y198" s="161"/>
      <c r="Z198" s="161"/>
      <c r="AA198" s="161"/>
      <c r="AB198" s="161"/>
      <c r="AC198" s="136"/>
      <c r="AD198" s="136"/>
      <c r="AE198" s="135"/>
      <c r="AF198" s="135"/>
      <c r="AG198" s="135"/>
      <c r="AH198" s="135"/>
      <c r="AI198" s="161"/>
      <c r="AJ198" s="135"/>
      <c r="AK198" s="161"/>
      <c r="AL198" s="135"/>
      <c r="AM198" s="135"/>
      <c r="AN198" s="135"/>
      <c r="AO198" s="135"/>
      <c r="AP198" s="135"/>
      <c r="AQ198" s="136"/>
      <c r="AR198" s="136"/>
      <c r="AS198" s="161"/>
      <c r="AT198" s="161"/>
      <c r="AU198" s="161"/>
      <c r="AV198" s="161"/>
      <c r="AW198" s="161"/>
      <c r="AX198" s="161"/>
      <c r="AY198" s="161"/>
      <c r="AZ198" s="135"/>
      <c r="BA198" s="161"/>
      <c r="BB198" s="135"/>
      <c r="BC198" s="161"/>
      <c r="BD198" s="135"/>
      <c r="BE198" s="136"/>
      <c r="BF198" s="136"/>
      <c r="BG198" s="161"/>
      <c r="BH198" s="161"/>
      <c r="BI198" s="161"/>
      <c r="BJ198" s="161"/>
      <c r="BK198" s="161"/>
      <c r="BL198" s="161"/>
      <c r="BM198" s="161"/>
      <c r="BN198" s="135"/>
      <c r="BO198" s="135"/>
      <c r="BP198" s="135"/>
      <c r="BQ198" s="161"/>
      <c r="BR198" s="135"/>
      <c r="BS198" s="136"/>
      <c r="BT198" s="136"/>
      <c r="BU198" s="161"/>
      <c r="BV198" s="161"/>
      <c r="BW198" s="161"/>
      <c r="BX198" s="161"/>
      <c r="BY198" s="161"/>
      <c r="BZ198" s="161"/>
      <c r="CA198" s="161"/>
      <c r="CB198" s="161"/>
      <c r="CC198" s="161"/>
      <c r="CD198" s="161"/>
      <c r="CE198" s="161">
        <v>24</v>
      </c>
      <c r="CF198" s="161"/>
      <c r="CG198" s="136"/>
      <c r="CH198" s="136"/>
      <c r="CI198" s="161"/>
      <c r="CJ198" s="161"/>
      <c r="CK198" s="161"/>
      <c r="CL198" s="161"/>
      <c r="CM198" s="161"/>
      <c r="CN198" s="161"/>
      <c r="CO198" s="135"/>
      <c r="CP198" s="135"/>
      <c r="CQ198" s="135"/>
      <c r="CR198" s="135"/>
      <c r="CS198" s="135"/>
      <c r="CT198" s="135"/>
      <c r="CU198" s="136"/>
      <c r="CV198" s="136"/>
      <c r="CW198" s="161"/>
      <c r="CX198" s="161"/>
      <c r="CY198" s="161"/>
      <c r="CZ198" s="161"/>
      <c r="DA198" s="161"/>
      <c r="DB198" s="161"/>
      <c r="DC198" s="135"/>
      <c r="DD198" s="135"/>
      <c r="DE198" s="135"/>
      <c r="DF198" s="135"/>
      <c r="DG198" s="135"/>
      <c r="DH198" s="135"/>
      <c r="DI198" s="136"/>
      <c r="DJ198" s="136"/>
      <c r="DK198" s="161"/>
      <c r="DL198" s="161"/>
      <c r="DM198" s="161"/>
      <c r="DN198" s="161"/>
      <c r="DO198" s="161"/>
      <c r="DP198" s="161"/>
      <c r="DQ198" s="135"/>
      <c r="DR198" s="135"/>
      <c r="DS198" s="135"/>
      <c r="DT198" s="135"/>
      <c r="DU198" s="135"/>
      <c r="DV198" s="135"/>
      <c r="DW198" s="136"/>
      <c r="DX198" s="136"/>
      <c r="DY198" s="161"/>
      <c r="DZ198" s="161"/>
      <c r="EA198" s="161"/>
      <c r="EB198" s="161"/>
      <c r="EC198" s="161"/>
      <c r="ED198" s="161"/>
      <c r="EE198" s="135"/>
      <c r="EF198" s="135"/>
      <c r="EG198" s="135"/>
      <c r="EH198" s="135"/>
      <c r="EI198" s="135"/>
      <c r="EJ198" s="135"/>
      <c r="EK198" s="136"/>
      <c r="EL198" s="136"/>
      <c r="EM198" s="136"/>
      <c r="EN198" s="136"/>
      <c r="EO198" s="136"/>
      <c r="EP198" s="136"/>
      <c r="EQ198" s="136"/>
      <c r="ER198" s="136"/>
      <c r="ES198" s="135"/>
      <c r="ET198" s="135"/>
      <c r="EU198" s="135"/>
      <c r="EV198" s="135"/>
      <c r="EW198" s="135"/>
      <c r="EX198" s="135"/>
      <c r="EY198" s="136"/>
      <c r="EZ198" s="136"/>
      <c r="FA198" s="161"/>
      <c r="FB198" s="161"/>
      <c r="FC198" s="161"/>
      <c r="FD198" s="161"/>
      <c r="FE198" s="161"/>
      <c r="FF198" s="161"/>
      <c r="FG198" s="135"/>
      <c r="FH198" s="135"/>
      <c r="FI198" s="135"/>
      <c r="FJ198" s="135"/>
      <c r="FK198" s="135"/>
      <c r="FL198" s="135"/>
      <c r="FM198" s="136"/>
      <c r="FN198" s="136"/>
      <c r="FO198" s="161"/>
      <c r="FP198" s="161"/>
      <c r="FQ198" s="161"/>
      <c r="FR198" s="161"/>
      <c r="FS198" s="161"/>
      <c r="FT198" s="161"/>
      <c r="FU198" s="135"/>
      <c r="FV198" s="135"/>
      <c r="FW198" s="135"/>
      <c r="FX198" s="135"/>
      <c r="FY198" s="135"/>
      <c r="FZ198" s="135"/>
      <c r="GA198" s="136"/>
      <c r="GB198" s="136"/>
      <c r="GC198" s="161"/>
      <c r="GD198" s="161"/>
      <c r="GE198" s="161"/>
      <c r="GF198" s="161"/>
      <c r="GG198" s="161"/>
      <c r="GH198" s="161"/>
      <c r="GI198" s="135"/>
      <c r="GJ198" s="135"/>
      <c r="GK198" s="135"/>
      <c r="GL198" s="135"/>
      <c r="GM198" s="135"/>
      <c r="GN198" s="135"/>
    </row>
    <row r="199" spans="1:196">
      <c r="A199" s="140"/>
      <c r="B199" s="128" t="s">
        <v>1229</v>
      </c>
      <c r="C199" s="128" t="s">
        <v>1257</v>
      </c>
      <c r="D199" s="138"/>
      <c r="E199" s="138"/>
      <c r="F199" s="129"/>
      <c r="G199" s="130">
        <v>15</v>
      </c>
      <c r="H199" s="129"/>
      <c r="I199" s="110">
        <v>46235</v>
      </c>
      <c r="J199" s="111">
        <f t="shared" si="190"/>
        <v>0</v>
      </c>
      <c r="K199" s="163" t="s">
        <v>1262</v>
      </c>
      <c r="L199" s="161"/>
      <c r="M199" s="136"/>
      <c r="N199" s="136"/>
      <c r="O199" s="136"/>
      <c r="P199" s="136"/>
      <c r="Q199" s="136"/>
      <c r="R199" s="136"/>
      <c r="S199" s="161"/>
      <c r="T199" s="161"/>
      <c r="U199" s="161"/>
      <c r="V199" s="161"/>
      <c r="W199" s="135"/>
      <c r="X199" s="135"/>
      <c r="Y199" s="161"/>
      <c r="Z199" s="161"/>
      <c r="AA199" s="161"/>
      <c r="AB199" s="161"/>
      <c r="AC199" s="136"/>
      <c r="AD199" s="136"/>
      <c r="AE199" s="135"/>
      <c r="AF199" s="135"/>
      <c r="AG199" s="135"/>
      <c r="AH199" s="135"/>
      <c r="AI199" s="161"/>
      <c r="AJ199" s="135"/>
      <c r="AK199" s="161"/>
      <c r="AL199" s="135"/>
      <c r="AM199" s="135"/>
      <c r="AN199" s="135"/>
      <c r="AO199" s="135"/>
      <c r="AP199" s="135"/>
      <c r="AQ199" s="136"/>
      <c r="AR199" s="136"/>
      <c r="AS199" s="161"/>
      <c r="AT199" s="161"/>
      <c r="AU199" s="161"/>
      <c r="AV199" s="161"/>
      <c r="AW199" s="161"/>
      <c r="AX199" s="161"/>
      <c r="AY199" s="161"/>
      <c r="AZ199" s="135"/>
      <c r="BA199" s="161"/>
      <c r="BB199" s="135"/>
      <c r="BC199" s="161"/>
      <c r="BD199" s="135"/>
      <c r="BE199" s="136"/>
      <c r="BF199" s="136"/>
      <c r="BG199" s="161"/>
      <c r="BH199" s="161"/>
      <c r="BI199" s="161"/>
      <c r="BJ199" s="161"/>
      <c r="BK199" s="161"/>
      <c r="BL199" s="161"/>
      <c r="BM199" s="161"/>
      <c r="BN199" s="135"/>
      <c r="BO199" s="135"/>
      <c r="BP199" s="135"/>
      <c r="BQ199" s="161"/>
      <c r="BR199" s="135"/>
      <c r="BS199" s="136"/>
      <c r="BT199" s="136"/>
      <c r="BU199" s="161"/>
      <c r="BV199" s="161"/>
      <c r="BW199" s="161"/>
      <c r="BX199" s="161"/>
      <c r="BY199" s="161"/>
      <c r="BZ199" s="161"/>
      <c r="CA199" s="161"/>
      <c r="CB199" s="161"/>
      <c r="CC199" s="161"/>
      <c r="CD199" s="161"/>
      <c r="CE199" s="161">
        <v>15</v>
      </c>
      <c r="CF199" s="161"/>
      <c r="CG199" s="136"/>
      <c r="CH199" s="136"/>
      <c r="CI199" s="161"/>
      <c r="CJ199" s="161"/>
      <c r="CK199" s="161"/>
      <c r="CL199" s="161"/>
      <c r="CM199" s="161"/>
      <c r="CN199" s="161"/>
      <c r="CO199" s="135"/>
      <c r="CP199" s="135"/>
      <c r="CQ199" s="135"/>
      <c r="CR199" s="135"/>
      <c r="CS199" s="135"/>
      <c r="CT199" s="135"/>
      <c r="CU199" s="136"/>
      <c r="CV199" s="136"/>
      <c r="CW199" s="161"/>
      <c r="CX199" s="161"/>
      <c r="CY199" s="161"/>
      <c r="CZ199" s="161"/>
      <c r="DA199" s="161"/>
      <c r="DB199" s="161"/>
      <c r="DC199" s="135"/>
      <c r="DD199" s="135"/>
      <c r="DE199" s="135"/>
      <c r="DF199" s="135"/>
      <c r="DG199" s="135"/>
      <c r="DH199" s="135"/>
      <c r="DI199" s="136"/>
      <c r="DJ199" s="136"/>
      <c r="DK199" s="161"/>
      <c r="DL199" s="161"/>
      <c r="DM199" s="161"/>
      <c r="DN199" s="161"/>
      <c r="DO199" s="161"/>
      <c r="DP199" s="161"/>
      <c r="DQ199" s="135"/>
      <c r="DR199" s="135"/>
      <c r="DS199" s="135"/>
      <c r="DT199" s="135"/>
      <c r="DU199" s="135"/>
      <c r="DV199" s="135"/>
      <c r="DW199" s="136"/>
      <c r="DX199" s="136"/>
      <c r="DY199" s="161"/>
      <c r="DZ199" s="161"/>
      <c r="EA199" s="161"/>
      <c r="EB199" s="161"/>
      <c r="EC199" s="161"/>
      <c r="ED199" s="161"/>
      <c r="EE199" s="135"/>
      <c r="EF199" s="135"/>
      <c r="EG199" s="135"/>
      <c r="EH199" s="135"/>
      <c r="EI199" s="135"/>
      <c r="EJ199" s="135"/>
      <c r="EK199" s="136"/>
      <c r="EL199" s="136"/>
      <c r="EM199" s="136"/>
      <c r="EN199" s="136"/>
      <c r="EO199" s="136"/>
      <c r="EP199" s="136"/>
      <c r="EQ199" s="136"/>
      <c r="ER199" s="136"/>
      <c r="ES199" s="135"/>
      <c r="ET199" s="135"/>
      <c r="EU199" s="135"/>
      <c r="EV199" s="135"/>
      <c r="EW199" s="135"/>
      <c r="EX199" s="135"/>
      <c r="EY199" s="136"/>
      <c r="EZ199" s="136"/>
      <c r="FA199" s="161"/>
      <c r="FB199" s="161"/>
      <c r="FC199" s="161"/>
      <c r="FD199" s="161"/>
      <c r="FE199" s="161"/>
      <c r="FF199" s="161"/>
      <c r="FG199" s="135"/>
      <c r="FH199" s="135"/>
      <c r="FI199" s="135"/>
      <c r="FJ199" s="135"/>
      <c r="FK199" s="135"/>
      <c r="FL199" s="135"/>
      <c r="FM199" s="136"/>
      <c r="FN199" s="136"/>
      <c r="FO199" s="161"/>
      <c r="FP199" s="161"/>
      <c r="FQ199" s="161"/>
      <c r="FR199" s="161"/>
      <c r="FS199" s="161"/>
      <c r="FT199" s="161"/>
      <c r="FU199" s="135"/>
      <c r="FV199" s="135"/>
      <c r="FW199" s="135"/>
      <c r="FX199" s="135"/>
      <c r="FY199" s="135"/>
      <c r="FZ199" s="135"/>
      <c r="GA199" s="136"/>
      <c r="GB199" s="136"/>
      <c r="GC199" s="161"/>
      <c r="GD199" s="161"/>
      <c r="GE199" s="161"/>
      <c r="GF199" s="161"/>
      <c r="GG199" s="161"/>
      <c r="GH199" s="161"/>
      <c r="GI199" s="135"/>
      <c r="GJ199" s="135"/>
      <c r="GK199" s="135"/>
      <c r="GL199" s="135"/>
      <c r="GM199" s="135"/>
      <c r="GN199" s="135"/>
    </row>
    <row r="200" spans="1:196">
      <c r="A200" s="140"/>
      <c r="B200" s="128" t="s">
        <v>1230</v>
      </c>
      <c r="C200" s="128" t="s">
        <v>1257</v>
      </c>
      <c r="D200" s="138"/>
      <c r="E200" s="138"/>
      <c r="F200" s="129"/>
      <c r="G200" s="130">
        <v>20</v>
      </c>
      <c r="H200" s="129"/>
      <c r="I200" s="110">
        <v>46235</v>
      </c>
      <c r="J200" s="111">
        <f t="shared" si="190"/>
        <v>0</v>
      </c>
      <c r="K200" s="163" t="s">
        <v>1269</v>
      </c>
      <c r="L200" s="161"/>
      <c r="M200" s="136"/>
      <c r="N200" s="136"/>
      <c r="O200" s="136"/>
      <c r="P200" s="136"/>
      <c r="Q200" s="136"/>
      <c r="R200" s="136"/>
      <c r="S200" s="161"/>
      <c r="T200" s="161"/>
      <c r="U200" s="161"/>
      <c r="V200" s="161"/>
      <c r="W200" s="135"/>
      <c r="X200" s="135"/>
      <c r="Y200" s="161"/>
      <c r="Z200" s="161"/>
      <c r="AA200" s="161"/>
      <c r="AB200" s="161"/>
      <c r="AC200" s="136"/>
      <c r="AD200" s="136"/>
      <c r="AE200" s="135"/>
      <c r="AF200" s="135"/>
      <c r="AG200" s="135"/>
      <c r="AH200" s="135"/>
      <c r="AI200" s="161"/>
      <c r="AJ200" s="135"/>
      <c r="AK200" s="161"/>
      <c r="AL200" s="135"/>
      <c r="AM200" s="135"/>
      <c r="AN200" s="135"/>
      <c r="AO200" s="135"/>
      <c r="AP200" s="135"/>
      <c r="AQ200" s="136"/>
      <c r="AR200" s="136"/>
      <c r="AS200" s="161"/>
      <c r="AT200" s="161"/>
      <c r="AU200" s="161"/>
      <c r="AV200" s="161"/>
      <c r="AW200" s="161"/>
      <c r="AX200" s="161"/>
      <c r="AY200" s="161"/>
      <c r="AZ200" s="135"/>
      <c r="BA200" s="161"/>
      <c r="BB200" s="135"/>
      <c r="BC200" s="161"/>
      <c r="BD200" s="135"/>
      <c r="BE200" s="136"/>
      <c r="BF200" s="136"/>
      <c r="BG200" s="161"/>
      <c r="BH200" s="161"/>
      <c r="BI200" s="161"/>
      <c r="BJ200" s="161"/>
      <c r="BK200" s="161"/>
      <c r="BL200" s="161"/>
      <c r="BM200" s="161"/>
      <c r="BN200" s="135"/>
      <c r="BO200" s="135"/>
      <c r="BP200" s="135"/>
      <c r="BQ200" s="161"/>
      <c r="BR200" s="135"/>
      <c r="BS200" s="136"/>
      <c r="BT200" s="136"/>
      <c r="BU200" s="161"/>
      <c r="BV200" s="161"/>
      <c r="BW200" s="161"/>
      <c r="BX200" s="161"/>
      <c r="BY200" s="161"/>
      <c r="BZ200" s="161"/>
      <c r="CA200" s="161"/>
      <c r="CB200" s="161"/>
      <c r="CC200" s="161"/>
      <c r="CD200" s="161"/>
      <c r="CE200" s="161">
        <v>20</v>
      </c>
      <c r="CF200" s="161"/>
      <c r="CG200" s="136"/>
      <c r="CH200" s="136"/>
      <c r="CI200" s="161"/>
      <c r="CJ200" s="161"/>
      <c r="CK200" s="161"/>
      <c r="CL200" s="161"/>
      <c r="CM200" s="161"/>
      <c r="CN200" s="161"/>
      <c r="CO200" s="135"/>
      <c r="CP200" s="135"/>
      <c r="CQ200" s="135"/>
      <c r="CR200" s="135"/>
      <c r="CS200" s="135"/>
      <c r="CT200" s="135"/>
      <c r="CU200" s="136"/>
      <c r="CV200" s="136"/>
      <c r="CW200" s="161"/>
      <c r="CX200" s="161"/>
      <c r="CY200" s="161"/>
      <c r="CZ200" s="161"/>
      <c r="DA200" s="161"/>
      <c r="DB200" s="161"/>
      <c r="DC200" s="135"/>
      <c r="DD200" s="135"/>
      <c r="DE200" s="135"/>
      <c r="DF200" s="135"/>
      <c r="DG200" s="135"/>
      <c r="DH200" s="135"/>
      <c r="DI200" s="136"/>
      <c r="DJ200" s="136"/>
      <c r="DK200" s="161"/>
      <c r="DL200" s="161"/>
      <c r="DM200" s="161"/>
      <c r="DN200" s="161"/>
      <c r="DO200" s="161"/>
      <c r="DP200" s="161"/>
      <c r="DQ200" s="135"/>
      <c r="DR200" s="135"/>
      <c r="DS200" s="135"/>
      <c r="DT200" s="135"/>
      <c r="DU200" s="135"/>
      <c r="DV200" s="135"/>
      <c r="DW200" s="136"/>
      <c r="DX200" s="136"/>
      <c r="DY200" s="161"/>
      <c r="DZ200" s="161"/>
      <c r="EA200" s="161"/>
      <c r="EB200" s="161"/>
      <c r="EC200" s="161"/>
      <c r="ED200" s="161"/>
      <c r="EE200" s="135"/>
      <c r="EF200" s="135"/>
      <c r="EG200" s="135"/>
      <c r="EH200" s="135"/>
      <c r="EI200" s="135"/>
      <c r="EJ200" s="135"/>
      <c r="EK200" s="136"/>
      <c r="EL200" s="136"/>
      <c r="EM200" s="136"/>
      <c r="EN200" s="136"/>
      <c r="EO200" s="136"/>
      <c r="EP200" s="136"/>
      <c r="EQ200" s="136"/>
      <c r="ER200" s="136"/>
      <c r="ES200" s="135"/>
      <c r="ET200" s="135"/>
      <c r="EU200" s="135"/>
      <c r="EV200" s="135"/>
      <c r="EW200" s="135"/>
      <c r="EX200" s="135"/>
      <c r="EY200" s="136"/>
      <c r="EZ200" s="136"/>
      <c r="FA200" s="161"/>
      <c r="FB200" s="161"/>
      <c r="FC200" s="161"/>
      <c r="FD200" s="161"/>
      <c r="FE200" s="161"/>
      <c r="FF200" s="161"/>
      <c r="FG200" s="135"/>
      <c r="FH200" s="135"/>
      <c r="FI200" s="135"/>
      <c r="FJ200" s="135"/>
      <c r="FK200" s="135"/>
      <c r="FL200" s="135"/>
      <c r="FM200" s="136"/>
      <c r="FN200" s="136"/>
      <c r="FO200" s="161"/>
      <c r="FP200" s="161"/>
      <c r="FQ200" s="161"/>
      <c r="FR200" s="161"/>
      <c r="FS200" s="161"/>
      <c r="FT200" s="161"/>
      <c r="FU200" s="135"/>
      <c r="FV200" s="135"/>
      <c r="FW200" s="135"/>
      <c r="FX200" s="135"/>
      <c r="FY200" s="135"/>
      <c r="FZ200" s="135"/>
      <c r="GA200" s="136"/>
      <c r="GB200" s="136"/>
      <c r="GC200" s="161"/>
      <c r="GD200" s="161"/>
      <c r="GE200" s="161"/>
      <c r="GF200" s="161"/>
      <c r="GG200" s="161"/>
      <c r="GH200" s="161"/>
      <c r="GI200" s="135"/>
      <c r="GJ200" s="135"/>
      <c r="GK200" s="135"/>
      <c r="GL200" s="135"/>
      <c r="GM200" s="135"/>
      <c r="GN200" s="135"/>
    </row>
    <row r="201" spans="1:196">
      <c r="A201" s="140"/>
      <c r="B201" s="128" t="s">
        <v>1231</v>
      </c>
      <c r="C201" s="128" t="s">
        <v>1257</v>
      </c>
      <c r="D201" s="138"/>
      <c r="E201" s="138"/>
      <c r="F201" s="129"/>
      <c r="G201" s="130">
        <v>30</v>
      </c>
      <c r="H201" s="129"/>
      <c r="I201" s="110">
        <v>46235</v>
      </c>
      <c r="J201" s="111">
        <f t="shared" si="190"/>
        <v>0</v>
      </c>
      <c r="K201" s="163" t="s">
        <v>1263</v>
      </c>
      <c r="L201" s="161"/>
      <c r="M201" s="136"/>
      <c r="N201" s="136"/>
      <c r="O201" s="136"/>
      <c r="P201" s="136"/>
      <c r="Q201" s="136"/>
      <c r="R201" s="136"/>
      <c r="S201" s="161"/>
      <c r="T201" s="161"/>
      <c r="U201" s="161"/>
      <c r="V201" s="161"/>
      <c r="W201" s="135"/>
      <c r="X201" s="135"/>
      <c r="Y201" s="161"/>
      <c r="Z201" s="161"/>
      <c r="AA201" s="161"/>
      <c r="AB201" s="161"/>
      <c r="AC201" s="136"/>
      <c r="AD201" s="136"/>
      <c r="AE201" s="135"/>
      <c r="AF201" s="135"/>
      <c r="AG201" s="135"/>
      <c r="AH201" s="135"/>
      <c r="AI201" s="161"/>
      <c r="AJ201" s="135"/>
      <c r="AK201" s="161"/>
      <c r="AL201" s="135"/>
      <c r="AM201" s="135"/>
      <c r="AN201" s="135"/>
      <c r="AO201" s="135"/>
      <c r="AP201" s="135"/>
      <c r="AQ201" s="136"/>
      <c r="AR201" s="136"/>
      <c r="AS201" s="161"/>
      <c r="AT201" s="161"/>
      <c r="AU201" s="161"/>
      <c r="AV201" s="161"/>
      <c r="AW201" s="161"/>
      <c r="AX201" s="161"/>
      <c r="AY201" s="161"/>
      <c r="AZ201" s="135"/>
      <c r="BA201" s="161"/>
      <c r="BB201" s="135"/>
      <c r="BC201" s="161"/>
      <c r="BD201" s="135"/>
      <c r="BE201" s="136"/>
      <c r="BF201" s="136"/>
      <c r="BG201" s="161"/>
      <c r="BH201" s="161"/>
      <c r="BI201" s="161"/>
      <c r="BJ201" s="161"/>
      <c r="BK201" s="161"/>
      <c r="BL201" s="161"/>
      <c r="BM201" s="161"/>
      <c r="BN201" s="135"/>
      <c r="BO201" s="135"/>
      <c r="BP201" s="135"/>
      <c r="BQ201" s="161"/>
      <c r="BR201" s="135"/>
      <c r="BS201" s="136"/>
      <c r="BT201" s="136"/>
      <c r="BU201" s="161"/>
      <c r="BV201" s="161"/>
      <c r="BW201" s="161"/>
      <c r="BX201" s="161"/>
      <c r="BY201" s="161"/>
      <c r="BZ201" s="161"/>
      <c r="CA201" s="161"/>
      <c r="CB201" s="161"/>
      <c r="CC201" s="161"/>
      <c r="CD201" s="161"/>
      <c r="CE201" s="161">
        <v>30</v>
      </c>
      <c r="CF201" s="161"/>
      <c r="CG201" s="136"/>
      <c r="CH201" s="136"/>
      <c r="CI201" s="161"/>
      <c r="CJ201" s="161"/>
      <c r="CK201" s="161"/>
      <c r="CL201" s="161"/>
      <c r="CM201" s="161"/>
      <c r="CN201" s="161"/>
      <c r="CO201" s="135"/>
      <c r="CP201" s="135"/>
      <c r="CQ201" s="135"/>
      <c r="CR201" s="135"/>
      <c r="CS201" s="135"/>
      <c r="CT201" s="135"/>
      <c r="CU201" s="136"/>
      <c r="CV201" s="136"/>
      <c r="CW201" s="161"/>
      <c r="CX201" s="161"/>
      <c r="CY201" s="161"/>
      <c r="CZ201" s="161"/>
      <c r="DA201" s="161"/>
      <c r="DB201" s="161"/>
      <c r="DC201" s="135"/>
      <c r="DD201" s="135"/>
      <c r="DE201" s="135"/>
      <c r="DF201" s="135"/>
      <c r="DG201" s="135"/>
      <c r="DH201" s="135"/>
      <c r="DI201" s="136"/>
      <c r="DJ201" s="136"/>
      <c r="DK201" s="161"/>
      <c r="DL201" s="161"/>
      <c r="DM201" s="161"/>
      <c r="DN201" s="161"/>
      <c r="DO201" s="161"/>
      <c r="DP201" s="161"/>
      <c r="DQ201" s="135"/>
      <c r="DR201" s="135"/>
      <c r="DS201" s="135"/>
      <c r="DT201" s="135"/>
      <c r="DU201" s="135"/>
      <c r="DV201" s="135"/>
      <c r="DW201" s="136"/>
      <c r="DX201" s="136"/>
      <c r="DY201" s="161"/>
      <c r="DZ201" s="161"/>
      <c r="EA201" s="161"/>
      <c r="EB201" s="161"/>
      <c r="EC201" s="161"/>
      <c r="ED201" s="161"/>
      <c r="EE201" s="135"/>
      <c r="EF201" s="135"/>
      <c r="EG201" s="135"/>
      <c r="EH201" s="135"/>
      <c r="EI201" s="135"/>
      <c r="EJ201" s="135"/>
      <c r="EK201" s="136"/>
      <c r="EL201" s="136"/>
      <c r="EM201" s="136"/>
      <c r="EN201" s="136"/>
      <c r="EO201" s="136"/>
      <c r="EP201" s="136"/>
      <c r="EQ201" s="136"/>
      <c r="ER201" s="136"/>
      <c r="ES201" s="135"/>
      <c r="ET201" s="135"/>
      <c r="EU201" s="135"/>
      <c r="EV201" s="135"/>
      <c r="EW201" s="135"/>
      <c r="EX201" s="135"/>
      <c r="EY201" s="136"/>
      <c r="EZ201" s="136"/>
      <c r="FA201" s="161"/>
      <c r="FB201" s="161"/>
      <c r="FC201" s="161"/>
      <c r="FD201" s="161"/>
      <c r="FE201" s="161"/>
      <c r="FF201" s="161"/>
      <c r="FG201" s="135"/>
      <c r="FH201" s="135"/>
      <c r="FI201" s="135"/>
      <c r="FJ201" s="135"/>
      <c r="FK201" s="135"/>
      <c r="FL201" s="135"/>
      <c r="FM201" s="136"/>
      <c r="FN201" s="136"/>
      <c r="FO201" s="161"/>
      <c r="FP201" s="161"/>
      <c r="FQ201" s="161"/>
      <c r="FR201" s="161"/>
      <c r="FS201" s="161"/>
      <c r="FT201" s="161"/>
      <c r="FU201" s="135"/>
      <c r="FV201" s="135"/>
      <c r="FW201" s="135"/>
      <c r="FX201" s="135"/>
      <c r="FY201" s="135"/>
      <c r="FZ201" s="135"/>
      <c r="GA201" s="136"/>
      <c r="GB201" s="136"/>
      <c r="GC201" s="161"/>
      <c r="GD201" s="161"/>
      <c r="GE201" s="161"/>
      <c r="GF201" s="161"/>
      <c r="GG201" s="161"/>
      <c r="GH201" s="161"/>
      <c r="GI201" s="135"/>
      <c r="GJ201" s="135"/>
      <c r="GK201" s="135"/>
      <c r="GL201" s="135"/>
      <c r="GM201" s="135"/>
      <c r="GN201" s="135"/>
    </row>
    <row r="202" spans="1:196">
      <c r="A202" s="140"/>
      <c r="B202" s="128" t="s">
        <v>1233</v>
      </c>
      <c r="C202" s="128" t="s">
        <v>189</v>
      </c>
      <c r="D202" s="138"/>
      <c r="E202" s="138"/>
      <c r="F202" s="129"/>
      <c r="G202" s="130">
        <v>30</v>
      </c>
      <c r="H202" s="129"/>
      <c r="I202" s="110">
        <v>46235</v>
      </c>
      <c r="J202" s="111">
        <f t="shared" ref="J202" si="192">G202-SUM(L202:FL202)</f>
        <v>0</v>
      </c>
      <c r="K202" s="163" t="s">
        <v>1265</v>
      </c>
      <c r="L202" s="161"/>
      <c r="M202" s="136"/>
      <c r="N202" s="136"/>
      <c r="O202" s="136"/>
      <c r="P202" s="136"/>
      <c r="Q202" s="136"/>
      <c r="R202" s="136"/>
      <c r="S202" s="161"/>
      <c r="T202" s="161"/>
      <c r="U202" s="161"/>
      <c r="V202" s="161"/>
      <c r="W202" s="135"/>
      <c r="X202" s="135"/>
      <c r="Y202" s="161"/>
      <c r="Z202" s="161"/>
      <c r="AA202" s="161"/>
      <c r="AB202" s="161"/>
      <c r="AC202" s="136"/>
      <c r="AD202" s="136"/>
      <c r="AE202" s="135"/>
      <c r="AF202" s="135"/>
      <c r="AG202" s="135"/>
      <c r="AH202" s="135"/>
      <c r="AI202" s="161"/>
      <c r="AJ202" s="135"/>
      <c r="AK202" s="161"/>
      <c r="AL202" s="135"/>
      <c r="AM202" s="135"/>
      <c r="AN202" s="135"/>
      <c r="AO202" s="135"/>
      <c r="AP202" s="135"/>
      <c r="AQ202" s="136"/>
      <c r="AR202" s="136"/>
      <c r="AS202" s="161"/>
      <c r="AT202" s="161"/>
      <c r="AU202" s="161"/>
      <c r="AV202" s="161"/>
      <c r="AW202" s="161"/>
      <c r="AX202" s="161"/>
      <c r="AY202" s="161"/>
      <c r="AZ202" s="135"/>
      <c r="BA202" s="161"/>
      <c r="BB202" s="135"/>
      <c r="BC202" s="161"/>
      <c r="BD202" s="135"/>
      <c r="BE202" s="136"/>
      <c r="BF202" s="136"/>
      <c r="BG202" s="161"/>
      <c r="BH202" s="161"/>
      <c r="BI202" s="161"/>
      <c r="BJ202" s="161"/>
      <c r="BK202" s="161"/>
      <c r="BL202" s="161"/>
      <c r="BM202" s="161"/>
      <c r="BN202" s="135"/>
      <c r="BO202" s="135"/>
      <c r="BP202" s="135"/>
      <c r="BQ202" s="161"/>
      <c r="BR202" s="135"/>
      <c r="BS202" s="136"/>
      <c r="BT202" s="136"/>
      <c r="BU202" s="161"/>
      <c r="BV202" s="161"/>
      <c r="BW202" s="161"/>
      <c r="BX202" s="161"/>
      <c r="BY202" s="161"/>
      <c r="BZ202" s="161"/>
      <c r="CA202" s="161"/>
      <c r="CB202" s="161"/>
      <c r="CC202" s="161"/>
      <c r="CD202" s="161"/>
      <c r="CE202" s="161">
        <v>30</v>
      </c>
      <c r="CF202" s="161"/>
      <c r="CG202" s="136"/>
      <c r="CH202" s="136"/>
      <c r="CI202" s="161"/>
      <c r="CJ202" s="161"/>
      <c r="CK202" s="161"/>
      <c r="CL202" s="161"/>
      <c r="CM202" s="161"/>
      <c r="CN202" s="161"/>
      <c r="CO202" s="135"/>
      <c r="CP202" s="135"/>
      <c r="CQ202" s="135"/>
      <c r="CR202" s="135"/>
      <c r="CS202" s="135"/>
      <c r="CT202" s="135"/>
      <c r="CU202" s="136"/>
      <c r="CV202" s="136"/>
      <c r="CW202" s="161"/>
      <c r="CX202" s="161"/>
      <c r="CY202" s="161"/>
      <c r="CZ202" s="161"/>
      <c r="DA202" s="161"/>
      <c r="DB202" s="161"/>
      <c r="DC202" s="135"/>
      <c r="DD202" s="135"/>
      <c r="DE202" s="135"/>
      <c r="DF202" s="135"/>
      <c r="DG202" s="135"/>
      <c r="DH202" s="135"/>
      <c r="DI202" s="136"/>
      <c r="DJ202" s="136"/>
      <c r="DK202" s="161"/>
      <c r="DL202" s="161"/>
      <c r="DM202" s="161"/>
      <c r="DN202" s="161"/>
      <c r="DO202" s="161"/>
      <c r="DP202" s="161"/>
      <c r="DQ202" s="135"/>
      <c r="DR202" s="135"/>
      <c r="DS202" s="135"/>
      <c r="DT202" s="135"/>
      <c r="DU202" s="135"/>
      <c r="DV202" s="135"/>
      <c r="DW202" s="136"/>
      <c r="DX202" s="136"/>
      <c r="DY202" s="161"/>
      <c r="DZ202" s="161"/>
      <c r="EA202" s="161"/>
      <c r="EB202" s="161"/>
      <c r="EC202" s="161"/>
      <c r="ED202" s="161"/>
      <c r="EE202" s="135"/>
      <c r="EF202" s="135"/>
      <c r="EG202" s="135"/>
      <c r="EH202" s="135"/>
      <c r="EI202" s="135"/>
      <c r="EJ202" s="135"/>
      <c r="EK202" s="136"/>
      <c r="EL202" s="136"/>
      <c r="EM202" s="136"/>
      <c r="EN202" s="136"/>
      <c r="EO202" s="136"/>
      <c r="EP202" s="136"/>
      <c r="EQ202" s="136"/>
      <c r="ER202" s="136"/>
      <c r="ES202" s="135"/>
      <c r="ET202" s="135"/>
      <c r="EU202" s="135"/>
      <c r="EV202" s="135"/>
      <c r="EW202" s="135"/>
      <c r="EX202" s="135"/>
      <c r="EY202" s="136"/>
      <c r="EZ202" s="136"/>
      <c r="FA202" s="161"/>
      <c r="FB202" s="161"/>
      <c r="FC202" s="161"/>
      <c r="FD202" s="161"/>
      <c r="FE202" s="161"/>
      <c r="FF202" s="161"/>
      <c r="FG202" s="135"/>
      <c r="FH202" s="135"/>
      <c r="FI202" s="135"/>
      <c r="FJ202" s="135"/>
      <c r="FK202" s="135"/>
      <c r="FL202" s="135"/>
      <c r="FM202" s="136"/>
      <c r="FN202" s="136"/>
      <c r="FO202" s="161"/>
      <c r="FP202" s="161"/>
      <c r="FQ202" s="161"/>
      <c r="FR202" s="161"/>
      <c r="FS202" s="161"/>
      <c r="FT202" s="161"/>
      <c r="FU202" s="135"/>
      <c r="FV202" s="135"/>
      <c r="FW202" s="135"/>
      <c r="FX202" s="135"/>
      <c r="FY202" s="135"/>
      <c r="FZ202" s="135"/>
      <c r="GA202" s="136"/>
      <c r="GB202" s="136"/>
      <c r="GC202" s="161"/>
      <c r="GD202" s="161"/>
      <c r="GE202" s="161"/>
      <c r="GF202" s="161"/>
      <c r="GG202" s="161"/>
      <c r="GH202" s="161"/>
      <c r="GI202" s="135"/>
      <c r="GJ202" s="135"/>
      <c r="GK202" s="135"/>
      <c r="GL202" s="135"/>
      <c r="GM202" s="135"/>
      <c r="GN202" s="135"/>
    </row>
    <row r="203" spans="1:196">
      <c r="A203" s="140"/>
      <c r="B203" s="128" t="s">
        <v>1232</v>
      </c>
      <c r="C203" s="128" t="s">
        <v>1258</v>
      </c>
      <c r="D203" s="138"/>
      <c r="E203" s="138"/>
      <c r="F203" s="129"/>
      <c r="G203" s="130">
        <v>30</v>
      </c>
      <c r="H203" s="129"/>
      <c r="I203" s="110">
        <v>46235</v>
      </c>
      <c r="J203" s="111">
        <f t="shared" si="190"/>
        <v>0</v>
      </c>
      <c r="K203" s="163" t="s">
        <v>1264</v>
      </c>
      <c r="L203" s="161"/>
      <c r="M203" s="136"/>
      <c r="N203" s="136"/>
      <c r="O203" s="136"/>
      <c r="P203" s="136"/>
      <c r="Q203" s="136"/>
      <c r="R203" s="136"/>
      <c r="S203" s="161"/>
      <c r="T203" s="161"/>
      <c r="U203" s="161"/>
      <c r="V203" s="161"/>
      <c r="W203" s="135"/>
      <c r="X203" s="135"/>
      <c r="Y203" s="161"/>
      <c r="Z203" s="161"/>
      <c r="AA203" s="161"/>
      <c r="AB203" s="161"/>
      <c r="AC203" s="136"/>
      <c r="AD203" s="136"/>
      <c r="AE203" s="135"/>
      <c r="AF203" s="135"/>
      <c r="AG203" s="135"/>
      <c r="AH203" s="135"/>
      <c r="AI203" s="161"/>
      <c r="AJ203" s="135"/>
      <c r="AK203" s="161"/>
      <c r="AL203" s="135"/>
      <c r="AM203" s="135"/>
      <c r="AN203" s="135"/>
      <c r="AO203" s="135"/>
      <c r="AP203" s="135"/>
      <c r="AQ203" s="136"/>
      <c r="AR203" s="136"/>
      <c r="AS203" s="161"/>
      <c r="AT203" s="161"/>
      <c r="AU203" s="161"/>
      <c r="AV203" s="161"/>
      <c r="AW203" s="161"/>
      <c r="AX203" s="161"/>
      <c r="AY203" s="161"/>
      <c r="AZ203" s="135"/>
      <c r="BA203" s="161"/>
      <c r="BB203" s="135"/>
      <c r="BC203" s="161"/>
      <c r="BD203" s="135"/>
      <c r="BE203" s="136"/>
      <c r="BF203" s="136"/>
      <c r="BG203" s="161"/>
      <c r="BH203" s="161"/>
      <c r="BI203" s="161"/>
      <c r="BJ203" s="161"/>
      <c r="BK203" s="161"/>
      <c r="BL203" s="161"/>
      <c r="BM203" s="161"/>
      <c r="BN203" s="135"/>
      <c r="BO203" s="135"/>
      <c r="BP203" s="135"/>
      <c r="BQ203" s="161"/>
      <c r="BR203" s="135"/>
      <c r="BS203" s="136"/>
      <c r="BT203" s="136"/>
      <c r="BU203" s="161"/>
      <c r="BV203" s="161"/>
      <c r="BW203" s="161"/>
      <c r="BX203" s="161"/>
      <c r="BY203" s="161"/>
      <c r="BZ203" s="161"/>
      <c r="CA203" s="161"/>
      <c r="CB203" s="161"/>
      <c r="CC203" s="161"/>
      <c r="CD203" s="161"/>
      <c r="CE203" s="161">
        <v>30</v>
      </c>
      <c r="CF203" s="161"/>
      <c r="CG203" s="136"/>
      <c r="CH203" s="136"/>
      <c r="CI203" s="161"/>
      <c r="CJ203" s="161"/>
      <c r="CK203" s="161"/>
      <c r="CL203" s="161"/>
      <c r="CM203" s="161"/>
      <c r="CN203" s="161"/>
      <c r="CO203" s="135"/>
      <c r="CP203" s="135"/>
      <c r="CQ203" s="135"/>
      <c r="CR203" s="135"/>
      <c r="CS203" s="135"/>
      <c r="CT203" s="135"/>
      <c r="CU203" s="136"/>
      <c r="CV203" s="136"/>
      <c r="CW203" s="161"/>
      <c r="CX203" s="161"/>
      <c r="CY203" s="161"/>
      <c r="CZ203" s="161"/>
      <c r="DA203" s="161"/>
      <c r="DB203" s="161"/>
      <c r="DC203" s="135"/>
      <c r="DD203" s="135"/>
      <c r="DE203" s="135"/>
      <c r="DF203" s="135"/>
      <c r="DG203" s="135"/>
      <c r="DH203" s="135"/>
      <c r="DI203" s="136"/>
      <c r="DJ203" s="136"/>
      <c r="DK203" s="161"/>
      <c r="DL203" s="161"/>
      <c r="DM203" s="161"/>
      <c r="DN203" s="161"/>
      <c r="DO203" s="161"/>
      <c r="DP203" s="161"/>
      <c r="DQ203" s="135"/>
      <c r="DR203" s="135"/>
      <c r="DS203" s="135"/>
      <c r="DT203" s="135"/>
      <c r="DU203" s="135"/>
      <c r="DV203" s="135"/>
      <c r="DW203" s="136"/>
      <c r="DX203" s="136"/>
      <c r="DY203" s="161"/>
      <c r="DZ203" s="161"/>
      <c r="EA203" s="161"/>
      <c r="EB203" s="161"/>
      <c r="EC203" s="161"/>
      <c r="ED203" s="161"/>
      <c r="EE203" s="135"/>
      <c r="EF203" s="135"/>
      <c r="EG203" s="135"/>
      <c r="EH203" s="135"/>
      <c r="EI203" s="135"/>
      <c r="EJ203" s="135"/>
      <c r="EK203" s="136"/>
      <c r="EL203" s="136"/>
      <c r="EM203" s="136"/>
      <c r="EN203" s="136"/>
      <c r="EO203" s="136"/>
      <c r="EP203" s="136"/>
      <c r="EQ203" s="136"/>
      <c r="ER203" s="136"/>
      <c r="ES203" s="135"/>
      <c r="ET203" s="135"/>
      <c r="EU203" s="135"/>
      <c r="EV203" s="135"/>
      <c r="EW203" s="135"/>
      <c r="EX203" s="135"/>
      <c r="EY203" s="136"/>
      <c r="EZ203" s="136"/>
      <c r="FA203" s="161"/>
      <c r="FB203" s="161"/>
      <c r="FC203" s="161"/>
      <c r="FD203" s="161"/>
      <c r="FE203" s="161"/>
      <c r="FF203" s="161"/>
      <c r="FG203" s="135"/>
      <c r="FH203" s="135"/>
      <c r="FI203" s="135"/>
      <c r="FJ203" s="135"/>
      <c r="FK203" s="135"/>
      <c r="FL203" s="135"/>
      <c r="FM203" s="136"/>
      <c r="FN203" s="136"/>
      <c r="FO203" s="161"/>
      <c r="FP203" s="161"/>
      <c r="FQ203" s="161"/>
      <c r="FR203" s="161"/>
      <c r="FS203" s="161"/>
      <c r="FT203" s="161"/>
      <c r="FU203" s="135"/>
      <c r="FV203" s="135"/>
      <c r="FW203" s="135"/>
      <c r="FX203" s="135"/>
      <c r="FY203" s="135"/>
      <c r="FZ203" s="135"/>
      <c r="GA203" s="136"/>
      <c r="GB203" s="136"/>
      <c r="GC203" s="161"/>
      <c r="GD203" s="161"/>
      <c r="GE203" s="161"/>
      <c r="GF203" s="161"/>
      <c r="GG203" s="161"/>
      <c r="GH203" s="161"/>
      <c r="GI203" s="135"/>
      <c r="GJ203" s="135"/>
      <c r="GK203" s="135"/>
      <c r="GL203" s="135"/>
      <c r="GM203" s="135"/>
      <c r="GN203" s="135"/>
    </row>
    <row r="204" spans="1:196">
      <c r="A204" s="140"/>
      <c r="B204" s="128" t="s">
        <v>1234</v>
      </c>
      <c r="C204" s="128" t="s">
        <v>1258</v>
      </c>
      <c r="D204" s="138"/>
      <c r="E204" s="138"/>
      <c r="F204" s="129"/>
      <c r="G204" s="130">
        <v>20</v>
      </c>
      <c r="H204" s="129"/>
      <c r="I204" s="110">
        <v>46235</v>
      </c>
      <c r="J204" s="111">
        <f t="shared" si="190"/>
        <v>0</v>
      </c>
      <c r="K204" s="163" t="s">
        <v>1266</v>
      </c>
      <c r="L204" s="161"/>
      <c r="M204" s="136"/>
      <c r="N204" s="136"/>
      <c r="O204" s="136"/>
      <c r="P204" s="136"/>
      <c r="Q204" s="136"/>
      <c r="R204" s="136"/>
      <c r="S204" s="161"/>
      <c r="T204" s="161"/>
      <c r="U204" s="161"/>
      <c r="V204" s="161"/>
      <c r="W204" s="135"/>
      <c r="X204" s="135"/>
      <c r="Y204" s="161"/>
      <c r="Z204" s="161"/>
      <c r="AA204" s="161"/>
      <c r="AB204" s="161"/>
      <c r="AC204" s="136"/>
      <c r="AD204" s="136"/>
      <c r="AE204" s="135"/>
      <c r="AF204" s="135"/>
      <c r="AG204" s="135"/>
      <c r="AH204" s="135"/>
      <c r="AI204" s="161"/>
      <c r="AJ204" s="135"/>
      <c r="AK204" s="161"/>
      <c r="AL204" s="135"/>
      <c r="AM204" s="135"/>
      <c r="AN204" s="135"/>
      <c r="AO204" s="135"/>
      <c r="AP204" s="135"/>
      <c r="AQ204" s="136"/>
      <c r="AR204" s="136"/>
      <c r="AS204" s="161"/>
      <c r="AT204" s="161"/>
      <c r="AU204" s="161"/>
      <c r="AV204" s="161"/>
      <c r="AW204" s="161"/>
      <c r="AX204" s="161"/>
      <c r="AY204" s="161"/>
      <c r="AZ204" s="135"/>
      <c r="BA204" s="161"/>
      <c r="BB204" s="135"/>
      <c r="BC204" s="161"/>
      <c r="BD204" s="135"/>
      <c r="BE204" s="136"/>
      <c r="BF204" s="136"/>
      <c r="BG204" s="161"/>
      <c r="BH204" s="161"/>
      <c r="BI204" s="161"/>
      <c r="BJ204" s="161"/>
      <c r="BK204" s="161"/>
      <c r="BL204" s="161"/>
      <c r="BM204" s="161"/>
      <c r="BN204" s="135"/>
      <c r="BO204" s="135"/>
      <c r="BP204" s="135"/>
      <c r="BQ204" s="161"/>
      <c r="BR204" s="135"/>
      <c r="BS204" s="136"/>
      <c r="BT204" s="136"/>
      <c r="BU204" s="161"/>
      <c r="BV204" s="161"/>
      <c r="BW204" s="161"/>
      <c r="BX204" s="161"/>
      <c r="BY204" s="161"/>
      <c r="BZ204" s="161"/>
      <c r="CA204" s="161"/>
      <c r="CB204" s="161"/>
      <c r="CC204" s="161"/>
      <c r="CD204" s="161"/>
      <c r="CE204" s="161">
        <v>20</v>
      </c>
      <c r="CF204" s="161"/>
      <c r="CG204" s="136"/>
      <c r="CH204" s="136"/>
      <c r="CI204" s="161"/>
      <c r="CJ204" s="161"/>
      <c r="CK204" s="161"/>
      <c r="CL204" s="161"/>
      <c r="CM204" s="161"/>
      <c r="CN204" s="161"/>
      <c r="CO204" s="135"/>
      <c r="CP204" s="135"/>
      <c r="CQ204" s="135"/>
      <c r="CR204" s="135"/>
      <c r="CS204" s="135"/>
      <c r="CT204" s="135"/>
      <c r="CU204" s="136"/>
      <c r="CV204" s="136"/>
      <c r="CW204" s="161"/>
      <c r="CX204" s="161"/>
      <c r="CY204" s="161"/>
      <c r="CZ204" s="161"/>
      <c r="DA204" s="161"/>
      <c r="DB204" s="161"/>
      <c r="DC204" s="135"/>
      <c r="DD204" s="135"/>
      <c r="DE204" s="135"/>
      <c r="DF204" s="135"/>
      <c r="DG204" s="135"/>
      <c r="DH204" s="135"/>
      <c r="DI204" s="136"/>
      <c r="DJ204" s="136"/>
      <c r="DK204" s="161"/>
      <c r="DL204" s="161"/>
      <c r="DM204" s="161"/>
      <c r="DN204" s="161"/>
      <c r="DO204" s="161"/>
      <c r="DP204" s="161"/>
      <c r="DQ204" s="135"/>
      <c r="DR204" s="135"/>
      <c r="DS204" s="135"/>
      <c r="DT204" s="135"/>
      <c r="DU204" s="135"/>
      <c r="DV204" s="135"/>
      <c r="DW204" s="136"/>
      <c r="DX204" s="136"/>
      <c r="DY204" s="161"/>
      <c r="DZ204" s="161"/>
      <c r="EA204" s="161"/>
      <c r="EB204" s="161"/>
      <c r="EC204" s="161"/>
      <c r="ED204" s="161"/>
      <c r="EE204" s="135"/>
      <c r="EF204" s="135"/>
      <c r="EG204" s="135"/>
      <c r="EH204" s="135"/>
      <c r="EI204" s="135"/>
      <c r="EJ204" s="135"/>
      <c r="EK204" s="136"/>
      <c r="EL204" s="136"/>
      <c r="EM204" s="136"/>
      <c r="EN204" s="136"/>
      <c r="EO204" s="136"/>
      <c r="EP204" s="136"/>
      <c r="EQ204" s="136"/>
      <c r="ER204" s="136"/>
      <c r="ES204" s="135"/>
      <c r="ET204" s="135"/>
      <c r="EU204" s="135"/>
      <c r="EV204" s="135"/>
      <c r="EW204" s="135"/>
      <c r="EX204" s="135"/>
      <c r="EY204" s="136"/>
      <c r="EZ204" s="136"/>
      <c r="FA204" s="161"/>
      <c r="FB204" s="161"/>
      <c r="FC204" s="161"/>
      <c r="FD204" s="161"/>
      <c r="FE204" s="161"/>
      <c r="FF204" s="161"/>
      <c r="FG204" s="135"/>
      <c r="FH204" s="135"/>
      <c r="FI204" s="135"/>
      <c r="FJ204" s="135"/>
      <c r="FK204" s="135"/>
      <c r="FL204" s="135"/>
      <c r="FM204" s="136"/>
      <c r="FN204" s="136"/>
      <c r="FO204" s="161"/>
      <c r="FP204" s="161"/>
      <c r="FQ204" s="161"/>
      <c r="FR204" s="161"/>
      <c r="FS204" s="161"/>
      <c r="FT204" s="161"/>
      <c r="FU204" s="135"/>
      <c r="FV204" s="135"/>
      <c r="FW204" s="135"/>
      <c r="FX204" s="135"/>
      <c r="FY204" s="135"/>
      <c r="FZ204" s="135"/>
      <c r="GA204" s="136"/>
      <c r="GB204" s="136"/>
      <c r="GC204" s="161"/>
      <c r="GD204" s="161"/>
      <c r="GE204" s="161"/>
      <c r="GF204" s="161"/>
      <c r="GG204" s="161"/>
      <c r="GH204" s="161"/>
      <c r="GI204" s="135"/>
      <c r="GJ204" s="135"/>
      <c r="GK204" s="135"/>
      <c r="GL204" s="135"/>
      <c r="GM204" s="135"/>
      <c r="GN204" s="135"/>
    </row>
    <row r="205" spans="1:196">
      <c r="A205" s="140"/>
      <c r="B205" s="128" t="s">
        <v>1235</v>
      </c>
      <c r="C205" s="128" t="s">
        <v>1258</v>
      </c>
      <c r="D205" s="138"/>
      <c r="E205" s="138"/>
      <c r="F205" s="129"/>
      <c r="G205" s="130">
        <v>20</v>
      </c>
      <c r="H205" s="129"/>
      <c r="I205" s="110">
        <v>46235</v>
      </c>
      <c r="J205" s="111">
        <f t="shared" si="190"/>
        <v>0</v>
      </c>
      <c r="K205" s="163" t="s">
        <v>1267</v>
      </c>
      <c r="L205" s="161"/>
      <c r="M205" s="136"/>
      <c r="N205" s="136"/>
      <c r="O205" s="136"/>
      <c r="P205" s="136"/>
      <c r="Q205" s="136"/>
      <c r="R205" s="136"/>
      <c r="S205" s="161"/>
      <c r="T205" s="161"/>
      <c r="U205" s="161"/>
      <c r="V205" s="161"/>
      <c r="W205" s="135"/>
      <c r="X205" s="135"/>
      <c r="Y205" s="161"/>
      <c r="Z205" s="161"/>
      <c r="AA205" s="161"/>
      <c r="AB205" s="161"/>
      <c r="AC205" s="136"/>
      <c r="AD205" s="136"/>
      <c r="AE205" s="135"/>
      <c r="AF205" s="135"/>
      <c r="AG205" s="135"/>
      <c r="AH205" s="135"/>
      <c r="AI205" s="161"/>
      <c r="AJ205" s="135"/>
      <c r="AK205" s="161"/>
      <c r="AL205" s="135"/>
      <c r="AM205" s="135"/>
      <c r="AN205" s="135"/>
      <c r="AO205" s="135"/>
      <c r="AP205" s="135"/>
      <c r="AQ205" s="136"/>
      <c r="AR205" s="136"/>
      <c r="AS205" s="161"/>
      <c r="AT205" s="161"/>
      <c r="AU205" s="161"/>
      <c r="AV205" s="161"/>
      <c r="AW205" s="161"/>
      <c r="AX205" s="161"/>
      <c r="AY205" s="161"/>
      <c r="AZ205" s="135"/>
      <c r="BA205" s="161"/>
      <c r="BB205" s="135"/>
      <c r="BC205" s="161"/>
      <c r="BD205" s="135"/>
      <c r="BE205" s="136"/>
      <c r="BF205" s="136"/>
      <c r="BG205" s="161"/>
      <c r="BH205" s="161"/>
      <c r="BI205" s="161"/>
      <c r="BJ205" s="161"/>
      <c r="BK205" s="161"/>
      <c r="BL205" s="161"/>
      <c r="BM205" s="161"/>
      <c r="BN205" s="135"/>
      <c r="BO205" s="135"/>
      <c r="BP205" s="135"/>
      <c r="BQ205" s="161"/>
      <c r="BR205" s="135"/>
      <c r="BS205" s="136"/>
      <c r="BT205" s="136"/>
      <c r="BU205" s="161"/>
      <c r="BV205" s="161"/>
      <c r="BW205" s="161"/>
      <c r="BX205" s="161"/>
      <c r="BY205" s="161"/>
      <c r="BZ205" s="161"/>
      <c r="CA205" s="161"/>
      <c r="CB205" s="161"/>
      <c r="CC205" s="161"/>
      <c r="CD205" s="161"/>
      <c r="CE205" s="161">
        <v>20</v>
      </c>
      <c r="CF205" s="161"/>
      <c r="CG205" s="136"/>
      <c r="CH205" s="136"/>
      <c r="CI205" s="161"/>
      <c r="CJ205" s="161"/>
      <c r="CK205" s="161"/>
      <c r="CL205" s="161"/>
      <c r="CM205" s="161"/>
      <c r="CN205" s="161"/>
      <c r="CO205" s="135"/>
      <c r="CP205" s="135"/>
      <c r="CQ205" s="135"/>
      <c r="CR205" s="135"/>
      <c r="CS205" s="135"/>
      <c r="CT205" s="135"/>
      <c r="CU205" s="136"/>
      <c r="CV205" s="136"/>
      <c r="CW205" s="161"/>
      <c r="CX205" s="161"/>
      <c r="CY205" s="161"/>
      <c r="CZ205" s="161"/>
      <c r="DA205" s="161"/>
      <c r="DB205" s="161"/>
      <c r="DC205" s="135"/>
      <c r="DD205" s="135"/>
      <c r="DE205" s="135"/>
      <c r="DF205" s="135"/>
      <c r="DG205" s="135"/>
      <c r="DH205" s="135"/>
      <c r="DI205" s="136"/>
      <c r="DJ205" s="136"/>
      <c r="DK205" s="161"/>
      <c r="DL205" s="161"/>
      <c r="DM205" s="161"/>
      <c r="DN205" s="161"/>
      <c r="DO205" s="161"/>
      <c r="DP205" s="161"/>
      <c r="DQ205" s="135"/>
      <c r="DR205" s="135"/>
      <c r="DS205" s="135"/>
      <c r="DT205" s="135"/>
      <c r="DU205" s="135"/>
      <c r="DV205" s="135"/>
      <c r="DW205" s="136"/>
      <c r="DX205" s="136"/>
      <c r="DY205" s="161"/>
      <c r="DZ205" s="161"/>
      <c r="EA205" s="161"/>
      <c r="EB205" s="161"/>
      <c r="EC205" s="161"/>
      <c r="ED205" s="161"/>
      <c r="EE205" s="135"/>
      <c r="EF205" s="135"/>
      <c r="EG205" s="135"/>
      <c r="EH205" s="135"/>
      <c r="EI205" s="135"/>
      <c r="EJ205" s="135"/>
      <c r="EK205" s="136"/>
      <c r="EL205" s="136"/>
      <c r="EM205" s="136"/>
      <c r="EN205" s="136"/>
      <c r="EO205" s="136"/>
      <c r="EP205" s="136"/>
      <c r="EQ205" s="136"/>
      <c r="ER205" s="136"/>
      <c r="ES205" s="135"/>
      <c r="ET205" s="135"/>
      <c r="EU205" s="135"/>
      <c r="EV205" s="135"/>
      <c r="EW205" s="135"/>
      <c r="EX205" s="135"/>
      <c r="EY205" s="136"/>
      <c r="EZ205" s="136"/>
      <c r="FA205" s="161"/>
      <c r="FB205" s="161"/>
      <c r="FC205" s="161"/>
      <c r="FD205" s="161"/>
      <c r="FE205" s="161"/>
      <c r="FF205" s="161"/>
      <c r="FG205" s="135"/>
      <c r="FH205" s="135"/>
      <c r="FI205" s="135"/>
      <c r="FJ205" s="135"/>
      <c r="FK205" s="135"/>
      <c r="FL205" s="135"/>
      <c r="FM205" s="136"/>
      <c r="FN205" s="136"/>
      <c r="FO205" s="161"/>
      <c r="FP205" s="161"/>
      <c r="FQ205" s="161"/>
      <c r="FR205" s="161"/>
      <c r="FS205" s="161"/>
      <c r="FT205" s="161"/>
      <c r="FU205" s="135"/>
      <c r="FV205" s="135"/>
      <c r="FW205" s="135"/>
      <c r="FX205" s="135"/>
      <c r="FY205" s="135"/>
      <c r="FZ205" s="135"/>
      <c r="GA205" s="136"/>
      <c r="GB205" s="136"/>
      <c r="GC205" s="161"/>
      <c r="GD205" s="161"/>
      <c r="GE205" s="161"/>
      <c r="GF205" s="161"/>
      <c r="GG205" s="161"/>
      <c r="GH205" s="161"/>
      <c r="GI205" s="135"/>
      <c r="GJ205" s="135"/>
      <c r="GK205" s="135"/>
      <c r="GL205" s="135"/>
      <c r="GM205" s="135"/>
      <c r="GN205" s="135"/>
    </row>
    <row r="206" spans="1:196">
      <c r="A206" s="140"/>
      <c r="B206" s="128" t="s">
        <v>1236</v>
      </c>
      <c r="C206" s="128" t="s">
        <v>1259</v>
      </c>
      <c r="D206" s="138"/>
      <c r="E206" s="138"/>
      <c r="F206" s="129"/>
      <c r="G206" s="130">
        <v>14</v>
      </c>
      <c r="H206" s="129"/>
      <c r="I206" s="110">
        <v>46235</v>
      </c>
      <c r="J206" s="111">
        <f t="shared" si="190"/>
        <v>0</v>
      </c>
      <c r="K206" s="163" t="s">
        <v>1268</v>
      </c>
      <c r="L206" s="161"/>
      <c r="M206" s="136"/>
      <c r="N206" s="136"/>
      <c r="O206" s="136"/>
      <c r="P206" s="136"/>
      <c r="Q206" s="136"/>
      <c r="R206" s="136"/>
      <c r="S206" s="161"/>
      <c r="T206" s="161"/>
      <c r="U206" s="161"/>
      <c r="V206" s="161"/>
      <c r="W206" s="135"/>
      <c r="X206" s="135"/>
      <c r="Y206" s="161"/>
      <c r="Z206" s="161"/>
      <c r="AA206" s="161"/>
      <c r="AB206" s="161"/>
      <c r="AC206" s="136"/>
      <c r="AD206" s="136"/>
      <c r="AE206" s="135"/>
      <c r="AF206" s="135"/>
      <c r="AG206" s="135"/>
      <c r="AH206" s="135"/>
      <c r="AI206" s="161"/>
      <c r="AJ206" s="135"/>
      <c r="AK206" s="161"/>
      <c r="AL206" s="135"/>
      <c r="AM206" s="135"/>
      <c r="AN206" s="135"/>
      <c r="AO206" s="135"/>
      <c r="AP206" s="135"/>
      <c r="AQ206" s="136"/>
      <c r="AR206" s="136"/>
      <c r="AS206" s="161"/>
      <c r="AT206" s="161"/>
      <c r="AU206" s="161"/>
      <c r="AV206" s="161"/>
      <c r="AW206" s="161"/>
      <c r="AX206" s="161"/>
      <c r="AY206" s="161"/>
      <c r="AZ206" s="135"/>
      <c r="BA206" s="161"/>
      <c r="BB206" s="135"/>
      <c r="BC206" s="161"/>
      <c r="BD206" s="135"/>
      <c r="BE206" s="136"/>
      <c r="BF206" s="136"/>
      <c r="BG206" s="161"/>
      <c r="BH206" s="161"/>
      <c r="BI206" s="161"/>
      <c r="BJ206" s="161"/>
      <c r="BK206" s="161"/>
      <c r="BL206" s="161"/>
      <c r="BM206" s="161"/>
      <c r="BN206" s="135"/>
      <c r="BO206" s="135"/>
      <c r="BP206" s="135"/>
      <c r="BQ206" s="161"/>
      <c r="BR206" s="135"/>
      <c r="BS206" s="136"/>
      <c r="BT206" s="136"/>
      <c r="BU206" s="161"/>
      <c r="BV206" s="161"/>
      <c r="BW206" s="161"/>
      <c r="BX206" s="161"/>
      <c r="BY206" s="161"/>
      <c r="BZ206" s="161"/>
      <c r="CA206" s="161"/>
      <c r="CB206" s="161"/>
      <c r="CC206" s="161"/>
      <c r="CD206" s="161"/>
      <c r="CE206" s="161">
        <v>14</v>
      </c>
      <c r="CF206" s="161"/>
      <c r="CG206" s="136"/>
      <c r="CH206" s="136"/>
      <c r="CI206" s="161"/>
      <c r="CJ206" s="161"/>
      <c r="CK206" s="161"/>
      <c r="CL206" s="161"/>
      <c r="CM206" s="161"/>
      <c r="CN206" s="161"/>
      <c r="CO206" s="135"/>
      <c r="CP206" s="135"/>
      <c r="CQ206" s="135"/>
      <c r="CR206" s="135"/>
      <c r="CS206" s="135"/>
      <c r="CT206" s="135"/>
      <c r="CU206" s="136"/>
      <c r="CV206" s="136"/>
      <c r="CW206" s="161"/>
      <c r="CX206" s="161"/>
      <c r="CY206" s="161"/>
      <c r="CZ206" s="161"/>
      <c r="DA206" s="161"/>
      <c r="DB206" s="161"/>
      <c r="DC206" s="135"/>
      <c r="DD206" s="135"/>
      <c r="DE206" s="135"/>
      <c r="DF206" s="135"/>
      <c r="DG206" s="135"/>
      <c r="DH206" s="135"/>
      <c r="DI206" s="136"/>
      <c r="DJ206" s="136"/>
      <c r="DK206" s="161"/>
      <c r="DL206" s="161"/>
      <c r="DM206" s="161"/>
      <c r="DN206" s="161"/>
      <c r="DO206" s="161"/>
      <c r="DP206" s="161"/>
      <c r="DQ206" s="135"/>
      <c r="DR206" s="135"/>
      <c r="DS206" s="135"/>
      <c r="DT206" s="135"/>
      <c r="DU206" s="135"/>
      <c r="DV206" s="135"/>
      <c r="DW206" s="136"/>
      <c r="DX206" s="136"/>
      <c r="DY206" s="161"/>
      <c r="DZ206" s="161"/>
      <c r="EA206" s="161"/>
      <c r="EB206" s="161"/>
      <c r="EC206" s="161"/>
      <c r="ED206" s="161"/>
      <c r="EE206" s="135"/>
      <c r="EF206" s="135"/>
      <c r="EG206" s="135"/>
      <c r="EH206" s="135"/>
      <c r="EI206" s="135"/>
      <c r="EJ206" s="135"/>
      <c r="EK206" s="136"/>
      <c r="EL206" s="136"/>
      <c r="EM206" s="136"/>
      <c r="EN206" s="136"/>
      <c r="EO206" s="136"/>
      <c r="EP206" s="136"/>
      <c r="EQ206" s="136"/>
      <c r="ER206" s="136"/>
      <c r="ES206" s="135"/>
      <c r="ET206" s="135"/>
      <c r="EU206" s="135"/>
      <c r="EV206" s="135"/>
      <c r="EW206" s="135"/>
      <c r="EX206" s="135"/>
      <c r="EY206" s="136"/>
      <c r="EZ206" s="136"/>
      <c r="FA206" s="161"/>
      <c r="FB206" s="161"/>
      <c r="FC206" s="161"/>
      <c r="FD206" s="161"/>
      <c r="FE206" s="161"/>
      <c r="FF206" s="161"/>
      <c r="FG206" s="135"/>
      <c r="FH206" s="135"/>
      <c r="FI206" s="135"/>
      <c r="FJ206" s="135"/>
      <c r="FK206" s="135"/>
      <c r="FL206" s="135"/>
      <c r="FM206" s="136"/>
      <c r="FN206" s="136"/>
      <c r="FO206" s="161"/>
      <c r="FP206" s="161"/>
      <c r="FQ206" s="161"/>
      <c r="FR206" s="161"/>
      <c r="FS206" s="161"/>
      <c r="FT206" s="161"/>
      <c r="FU206" s="135"/>
      <c r="FV206" s="135"/>
      <c r="FW206" s="135"/>
      <c r="FX206" s="135"/>
      <c r="FY206" s="135"/>
      <c r="FZ206" s="135"/>
      <c r="GA206" s="136"/>
      <c r="GB206" s="136"/>
      <c r="GC206" s="161"/>
      <c r="GD206" s="161"/>
      <c r="GE206" s="161"/>
      <c r="GF206" s="161"/>
      <c r="GG206" s="161"/>
      <c r="GH206" s="161"/>
      <c r="GI206" s="135"/>
      <c r="GJ206" s="135"/>
      <c r="GK206" s="135"/>
      <c r="GL206" s="135"/>
      <c r="GM206" s="135"/>
      <c r="GN206" s="135"/>
    </row>
    <row r="207" spans="1:196">
      <c r="A207" s="140"/>
      <c r="B207" s="128" t="s">
        <v>771</v>
      </c>
      <c r="C207" s="128" t="s">
        <v>773</v>
      </c>
      <c r="D207" s="138"/>
      <c r="E207" s="119" t="e">
        <f>VLOOKUP(C207,#REF!,5,0)</f>
        <v>#REF!</v>
      </c>
      <c r="F207" s="107"/>
      <c r="G207" s="130">
        <v>9</v>
      </c>
      <c r="H207" s="129"/>
      <c r="I207" s="110">
        <v>46235</v>
      </c>
      <c r="J207" s="111">
        <f>G207-SUM(L207:FL207)</f>
        <v>0</v>
      </c>
      <c r="K207" s="163" t="s">
        <v>776</v>
      </c>
      <c r="L207" s="135"/>
      <c r="M207" s="136"/>
      <c r="N207" s="136"/>
      <c r="O207" s="136"/>
      <c r="P207" s="136"/>
      <c r="Q207" s="136"/>
      <c r="R207" s="136"/>
      <c r="S207" s="135"/>
      <c r="T207" s="161"/>
      <c r="U207" s="161"/>
      <c r="V207" s="161"/>
      <c r="W207" s="135"/>
      <c r="X207" s="135"/>
      <c r="Y207" s="135"/>
      <c r="Z207" s="135"/>
      <c r="AA207" s="135"/>
      <c r="AB207" s="135"/>
      <c r="AC207" s="136"/>
      <c r="AD207" s="136"/>
      <c r="AE207" s="135"/>
      <c r="AF207" s="161"/>
      <c r="AG207" s="161"/>
      <c r="AH207" s="161"/>
      <c r="AI207" s="161"/>
      <c r="AJ207" s="161"/>
      <c r="AK207" s="135"/>
      <c r="AL207" s="135"/>
      <c r="AM207" s="135"/>
      <c r="AN207" s="135"/>
      <c r="AO207" s="135"/>
      <c r="AP207" s="135"/>
      <c r="AQ207" s="136"/>
      <c r="AR207" s="136"/>
      <c r="AS207" s="135"/>
      <c r="AT207" s="161"/>
      <c r="AU207" s="135"/>
      <c r="AV207" s="161"/>
      <c r="AW207" s="161"/>
      <c r="AX207" s="161"/>
      <c r="AY207" s="135"/>
      <c r="AZ207" s="161"/>
      <c r="BA207" s="161"/>
      <c r="BB207" s="161"/>
      <c r="BC207" s="135"/>
      <c r="BD207" s="135"/>
      <c r="BE207" s="136"/>
      <c r="BF207" s="136"/>
      <c r="BG207" s="135"/>
      <c r="BH207" s="161"/>
      <c r="BI207" s="135"/>
      <c r="BJ207" s="161"/>
      <c r="BK207" s="135"/>
      <c r="BL207" s="161"/>
      <c r="BM207" s="135"/>
      <c r="BN207" s="135"/>
      <c r="BO207" s="135"/>
      <c r="BP207" s="135"/>
      <c r="BQ207" s="135"/>
      <c r="BR207" s="135"/>
      <c r="BS207" s="136"/>
      <c r="BT207" s="136"/>
      <c r="BU207" s="135"/>
      <c r="BV207" s="161"/>
      <c r="BW207" s="135"/>
      <c r="BX207" s="161"/>
      <c r="BY207" s="135"/>
      <c r="BZ207" s="161"/>
      <c r="CA207" s="135"/>
      <c r="CB207" s="135"/>
      <c r="CC207" s="135"/>
      <c r="CD207" s="135"/>
      <c r="CE207" s="135">
        <v>9</v>
      </c>
      <c r="CF207" s="135"/>
      <c r="CG207" s="136"/>
      <c r="CH207" s="136"/>
      <c r="CI207" s="161"/>
      <c r="CJ207" s="161"/>
      <c r="CK207" s="161"/>
      <c r="CL207" s="161"/>
      <c r="CM207" s="161"/>
      <c r="CN207" s="161"/>
      <c r="CO207" s="135"/>
      <c r="CP207" s="135"/>
      <c r="CQ207" s="135"/>
      <c r="CR207" s="135"/>
      <c r="CS207" s="135"/>
      <c r="CT207" s="135"/>
      <c r="CU207" s="136"/>
      <c r="CV207" s="136"/>
      <c r="CW207" s="161"/>
      <c r="CX207" s="161"/>
      <c r="CY207" s="161"/>
      <c r="CZ207" s="161"/>
      <c r="DA207" s="161"/>
      <c r="DB207" s="161"/>
      <c r="DC207" s="135"/>
      <c r="DD207" s="135"/>
      <c r="DE207" s="135"/>
      <c r="DF207" s="135"/>
      <c r="DG207" s="135"/>
      <c r="DH207" s="135"/>
      <c r="DI207" s="136"/>
      <c r="DJ207" s="136"/>
      <c r="DK207" s="161"/>
      <c r="DL207" s="161"/>
      <c r="DM207" s="161"/>
      <c r="DN207" s="161"/>
      <c r="DO207" s="161"/>
      <c r="DP207" s="161"/>
      <c r="DQ207" s="135"/>
      <c r="DR207" s="135"/>
      <c r="DS207" s="135"/>
      <c r="DT207" s="135"/>
      <c r="DU207" s="135"/>
      <c r="DV207" s="135"/>
      <c r="DW207" s="136"/>
      <c r="DX207" s="136"/>
      <c r="DY207" s="161"/>
      <c r="DZ207" s="161"/>
      <c r="EA207" s="161"/>
      <c r="EB207" s="161"/>
      <c r="EC207" s="161"/>
      <c r="ED207" s="161"/>
      <c r="EE207" s="135"/>
      <c r="EF207" s="135"/>
      <c r="EG207" s="135"/>
      <c r="EH207" s="135"/>
      <c r="EI207" s="135"/>
      <c r="EJ207" s="135"/>
      <c r="EK207" s="136"/>
      <c r="EL207" s="136"/>
      <c r="EM207" s="136"/>
      <c r="EN207" s="136"/>
      <c r="EO207" s="136"/>
      <c r="EP207" s="136"/>
      <c r="EQ207" s="136"/>
      <c r="ER207" s="136"/>
      <c r="ES207" s="135"/>
      <c r="ET207" s="135"/>
      <c r="EU207" s="135"/>
      <c r="EV207" s="135"/>
      <c r="EW207" s="135"/>
      <c r="EX207" s="135"/>
      <c r="EY207" s="136"/>
      <c r="EZ207" s="136"/>
      <c r="FA207" s="161"/>
      <c r="FB207" s="161"/>
      <c r="FC207" s="161"/>
      <c r="FD207" s="161"/>
      <c r="FE207" s="161"/>
      <c r="FF207" s="161"/>
      <c r="FG207" s="135"/>
      <c r="FH207" s="135"/>
      <c r="FI207" s="135"/>
      <c r="FJ207" s="135"/>
      <c r="FK207" s="135"/>
      <c r="FL207" s="135"/>
      <c r="FM207" s="136"/>
      <c r="FN207" s="136"/>
      <c r="FO207" s="161"/>
      <c r="FP207" s="161"/>
      <c r="FQ207" s="161"/>
      <c r="FR207" s="161"/>
      <c r="FS207" s="161"/>
      <c r="FT207" s="161"/>
      <c r="FU207" s="135"/>
      <c r="FV207" s="135"/>
      <c r="FW207" s="135"/>
      <c r="FX207" s="135"/>
      <c r="FY207" s="135"/>
      <c r="FZ207" s="135"/>
      <c r="GA207" s="136"/>
      <c r="GB207" s="136"/>
      <c r="GC207" s="161"/>
      <c r="GD207" s="161"/>
      <c r="GE207" s="161"/>
      <c r="GF207" s="161"/>
      <c r="GG207" s="161"/>
      <c r="GH207" s="161"/>
      <c r="GI207" s="135"/>
      <c r="GJ207" s="135"/>
      <c r="GK207" s="135"/>
      <c r="GL207" s="135"/>
      <c r="GM207" s="135"/>
      <c r="GN207" s="135"/>
    </row>
    <row r="208" spans="1:196">
      <c r="A208" s="140"/>
      <c r="B208" s="128" t="s">
        <v>1288</v>
      </c>
      <c r="C208" s="128" t="s">
        <v>133</v>
      </c>
      <c r="D208" s="138"/>
      <c r="E208" s="138"/>
      <c r="F208" s="129"/>
      <c r="G208" s="130">
        <v>20</v>
      </c>
      <c r="H208" s="129"/>
      <c r="I208" s="110">
        <v>46235</v>
      </c>
      <c r="J208" s="111">
        <f t="shared" si="190"/>
        <v>0</v>
      </c>
      <c r="K208" s="163" t="s">
        <v>1291</v>
      </c>
      <c r="L208" s="161"/>
      <c r="M208" s="136"/>
      <c r="N208" s="136"/>
      <c r="O208" s="136"/>
      <c r="P208" s="136"/>
      <c r="Q208" s="136"/>
      <c r="R208" s="136"/>
      <c r="S208" s="161"/>
      <c r="T208" s="161"/>
      <c r="U208" s="161"/>
      <c r="V208" s="161"/>
      <c r="W208" s="135"/>
      <c r="X208" s="135"/>
      <c r="Y208" s="161"/>
      <c r="Z208" s="161"/>
      <c r="AA208" s="161"/>
      <c r="AB208" s="161"/>
      <c r="AC208" s="136"/>
      <c r="AD208" s="136"/>
      <c r="AE208" s="135"/>
      <c r="AF208" s="135"/>
      <c r="AG208" s="135"/>
      <c r="AH208" s="135"/>
      <c r="AI208" s="161"/>
      <c r="AJ208" s="135"/>
      <c r="AK208" s="161"/>
      <c r="AL208" s="135"/>
      <c r="AM208" s="135"/>
      <c r="AN208" s="135"/>
      <c r="AO208" s="135"/>
      <c r="AP208" s="135"/>
      <c r="AQ208" s="136"/>
      <c r="AR208" s="136"/>
      <c r="AS208" s="161"/>
      <c r="AT208" s="161"/>
      <c r="AU208" s="161"/>
      <c r="AV208" s="161"/>
      <c r="AW208" s="161"/>
      <c r="AX208" s="161"/>
      <c r="AY208" s="161"/>
      <c r="AZ208" s="135"/>
      <c r="BA208" s="161"/>
      <c r="BB208" s="135"/>
      <c r="BC208" s="161"/>
      <c r="BD208" s="135"/>
      <c r="BE208" s="136"/>
      <c r="BF208" s="136"/>
      <c r="BG208" s="161"/>
      <c r="BH208" s="161"/>
      <c r="BI208" s="161"/>
      <c r="BJ208" s="161"/>
      <c r="BK208" s="161"/>
      <c r="BL208" s="161"/>
      <c r="BM208" s="161"/>
      <c r="BN208" s="135"/>
      <c r="BO208" s="135"/>
      <c r="BP208" s="135"/>
      <c r="BQ208" s="161"/>
      <c r="BR208" s="135"/>
      <c r="BS208" s="136"/>
      <c r="BT208" s="136"/>
      <c r="BU208" s="161"/>
      <c r="BV208" s="161"/>
      <c r="BW208" s="161"/>
      <c r="BX208" s="161"/>
      <c r="BY208" s="161"/>
      <c r="BZ208" s="161"/>
      <c r="CA208" s="161"/>
      <c r="CB208" s="161"/>
      <c r="CC208" s="161"/>
      <c r="CD208" s="161"/>
      <c r="CE208" s="161">
        <v>20</v>
      </c>
      <c r="CF208" s="161"/>
      <c r="CG208" s="136"/>
      <c r="CH208" s="136"/>
      <c r="CI208" s="161"/>
      <c r="CJ208" s="161"/>
      <c r="CK208" s="161"/>
      <c r="CL208" s="161"/>
      <c r="CM208" s="161"/>
      <c r="CN208" s="161"/>
      <c r="CO208" s="135"/>
      <c r="CP208" s="135"/>
      <c r="CQ208" s="135"/>
      <c r="CR208" s="135"/>
      <c r="CS208" s="135"/>
      <c r="CT208" s="135"/>
      <c r="CU208" s="136"/>
      <c r="CV208" s="136"/>
      <c r="CW208" s="161"/>
      <c r="CX208" s="161"/>
      <c r="CY208" s="161"/>
      <c r="CZ208" s="161"/>
      <c r="DA208" s="161"/>
      <c r="DB208" s="161"/>
      <c r="DC208" s="135"/>
      <c r="DD208" s="135"/>
      <c r="DE208" s="135"/>
      <c r="DF208" s="135"/>
      <c r="DG208" s="135"/>
      <c r="DH208" s="135"/>
      <c r="DI208" s="136"/>
      <c r="DJ208" s="136"/>
      <c r="DK208" s="161"/>
      <c r="DL208" s="161"/>
      <c r="DM208" s="161"/>
      <c r="DN208" s="161"/>
      <c r="DO208" s="161"/>
      <c r="DP208" s="161"/>
      <c r="DQ208" s="135"/>
      <c r="DR208" s="135"/>
      <c r="DS208" s="135"/>
      <c r="DT208" s="135"/>
      <c r="DU208" s="135"/>
      <c r="DV208" s="135"/>
      <c r="DW208" s="136"/>
      <c r="DX208" s="136"/>
      <c r="DY208" s="161"/>
      <c r="DZ208" s="161"/>
      <c r="EA208" s="161"/>
      <c r="EB208" s="161"/>
      <c r="EC208" s="161"/>
      <c r="ED208" s="161"/>
      <c r="EE208" s="135"/>
      <c r="EF208" s="135"/>
      <c r="EG208" s="135"/>
      <c r="EH208" s="135"/>
      <c r="EI208" s="135"/>
      <c r="EJ208" s="135"/>
      <c r="EK208" s="136"/>
      <c r="EL208" s="136"/>
      <c r="EM208" s="136"/>
      <c r="EN208" s="136"/>
      <c r="EO208" s="136"/>
      <c r="EP208" s="136"/>
      <c r="EQ208" s="136"/>
      <c r="ER208" s="136"/>
      <c r="ES208" s="135"/>
      <c r="ET208" s="135"/>
      <c r="EU208" s="135"/>
      <c r="EV208" s="135"/>
      <c r="EW208" s="135"/>
      <c r="EX208" s="135"/>
      <c r="EY208" s="136"/>
      <c r="EZ208" s="136"/>
      <c r="FA208" s="161"/>
      <c r="FB208" s="161"/>
      <c r="FC208" s="161"/>
      <c r="FD208" s="161"/>
      <c r="FE208" s="161"/>
      <c r="FF208" s="161"/>
      <c r="FG208" s="135"/>
      <c r="FH208" s="135"/>
      <c r="FI208" s="135"/>
      <c r="FJ208" s="135"/>
      <c r="FK208" s="135"/>
      <c r="FL208" s="135"/>
      <c r="FM208" s="136"/>
      <c r="FN208" s="136"/>
      <c r="FO208" s="161"/>
      <c r="FP208" s="161"/>
      <c r="FQ208" s="161"/>
      <c r="FR208" s="161"/>
      <c r="FS208" s="161"/>
      <c r="FT208" s="161"/>
      <c r="FU208" s="135"/>
      <c r="FV208" s="135"/>
      <c r="FW208" s="135"/>
      <c r="FX208" s="135"/>
      <c r="FY208" s="135"/>
      <c r="FZ208" s="135"/>
      <c r="GA208" s="136"/>
      <c r="GB208" s="136"/>
      <c r="GC208" s="161"/>
      <c r="GD208" s="161"/>
      <c r="GE208" s="161"/>
      <c r="GF208" s="161"/>
      <c r="GG208" s="161"/>
      <c r="GH208" s="161"/>
      <c r="GI208" s="135"/>
      <c r="GJ208" s="135"/>
      <c r="GK208" s="135"/>
      <c r="GL208" s="135"/>
      <c r="GM208" s="135"/>
      <c r="GN208" s="135"/>
    </row>
    <row r="209" spans="1:196">
      <c r="A209" s="140"/>
      <c r="B209" s="128" t="s">
        <v>1289</v>
      </c>
      <c r="C209" s="128" t="s">
        <v>178</v>
      </c>
      <c r="D209" s="138"/>
      <c r="E209" s="138"/>
      <c r="F209" s="129"/>
      <c r="G209" s="130">
        <v>20</v>
      </c>
      <c r="H209" s="129"/>
      <c r="I209" s="110">
        <v>46235</v>
      </c>
      <c r="J209" s="111">
        <f t="shared" si="190"/>
        <v>0</v>
      </c>
      <c r="K209" s="163" t="s">
        <v>1291</v>
      </c>
      <c r="L209" s="161"/>
      <c r="M209" s="136"/>
      <c r="N209" s="136"/>
      <c r="O209" s="136"/>
      <c r="P209" s="136"/>
      <c r="Q209" s="136"/>
      <c r="R209" s="136"/>
      <c r="S209" s="161"/>
      <c r="T209" s="161"/>
      <c r="U209" s="161"/>
      <c r="V209" s="161"/>
      <c r="W209" s="135"/>
      <c r="X209" s="135"/>
      <c r="Y209" s="161"/>
      <c r="Z209" s="161"/>
      <c r="AA209" s="161"/>
      <c r="AB209" s="161"/>
      <c r="AC209" s="136"/>
      <c r="AD209" s="136"/>
      <c r="AE209" s="135"/>
      <c r="AF209" s="135"/>
      <c r="AG209" s="135"/>
      <c r="AH209" s="135"/>
      <c r="AI209" s="161"/>
      <c r="AJ209" s="135"/>
      <c r="AK209" s="161"/>
      <c r="AL209" s="135"/>
      <c r="AM209" s="135"/>
      <c r="AN209" s="135"/>
      <c r="AO209" s="135"/>
      <c r="AP209" s="135"/>
      <c r="AQ209" s="136"/>
      <c r="AR209" s="136"/>
      <c r="AS209" s="161"/>
      <c r="AT209" s="161"/>
      <c r="AU209" s="161"/>
      <c r="AV209" s="161"/>
      <c r="AW209" s="161"/>
      <c r="AX209" s="161"/>
      <c r="AY209" s="161"/>
      <c r="AZ209" s="135"/>
      <c r="BA209" s="161"/>
      <c r="BB209" s="135"/>
      <c r="BC209" s="161"/>
      <c r="BD209" s="135"/>
      <c r="BE209" s="136"/>
      <c r="BF209" s="136"/>
      <c r="BG209" s="161"/>
      <c r="BH209" s="161"/>
      <c r="BI209" s="161"/>
      <c r="BJ209" s="161"/>
      <c r="BK209" s="161"/>
      <c r="BL209" s="161"/>
      <c r="BM209" s="161"/>
      <c r="BN209" s="135"/>
      <c r="BO209" s="135"/>
      <c r="BP209" s="135"/>
      <c r="BQ209" s="161"/>
      <c r="BR209" s="135"/>
      <c r="BS209" s="136"/>
      <c r="BT209" s="136"/>
      <c r="BU209" s="161"/>
      <c r="BV209" s="161"/>
      <c r="BW209" s="161"/>
      <c r="BX209" s="161"/>
      <c r="BY209" s="161"/>
      <c r="BZ209" s="161"/>
      <c r="CA209" s="161"/>
      <c r="CB209" s="161"/>
      <c r="CC209" s="161"/>
      <c r="CD209" s="161"/>
      <c r="CE209" s="161">
        <v>20</v>
      </c>
      <c r="CF209" s="161"/>
      <c r="CG209" s="136"/>
      <c r="CH209" s="136"/>
      <c r="CI209" s="161"/>
      <c r="CJ209" s="161"/>
      <c r="CK209" s="161"/>
      <c r="CL209" s="161"/>
      <c r="CM209" s="161"/>
      <c r="CN209" s="161"/>
      <c r="CO209" s="135"/>
      <c r="CP209" s="135"/>
      <c r="CQ209" s="135"/>
      <c r="CR209" s="135"/>
      <c r="CS209" s="135"/>
      <c r="CT209" s="135"/>
      <c r="CU209" s="136"/>
      <c r="CV209" s="136"/>
      <c r="CW209" s="161"/>
      <c r="CX209" s="161"/>
      <c r="CY209" s="161"/>
      <c r="CZ209" s="161"/>
      <c r="DA209" s="161"/>
      <c r="DB209" s="161"/>
      <c r="DC209" s="135"/>
      <c r="DD209" s="135"/>
      <c r="DE209" s="135"/>
      <c r="DF209" s="135"/>
      <c r="DG209" s="135"/>
      <c r="DH209" s="135"/>
      <c r="DI209" s="136"/>
      <c r="DJ209" s="136"/>
      <c r="DK209" s="161"/>
      <c r="DL209" s="161"/>
      <c r="DM209" s="161"/>
      <c r="DN209" s="161"/>
      <c r="DO209" s="161"/>
      <c r="DP209" s="161"/>
      <c r="DQ209" s="135"/>
      <c r="DR209" s="135"/>
      <c r="DS209" s="135"/>
      <c r="DT209" s="135"/>
      <c r="DU209" s="135"/>
      <c r="DV209" s="135"/>
      <c r="DW209" s="136"/>
      <c r="DX209" s="136"/>
      <c r="DY209" s="161"/>
      <c r="DZ209" s="161"/>
      <c r="EA209" s="161"/>
      <c r="EB209" s="161"/>
      <c r="EC209" s="161"/>
      <c r="ED209" s="161"/>
      <c r="EE209" s="135"/>
      <c r="EF209" s="135"/>
      <c r="EG209" s="135"/>
      <c r="EH209" s="135"/>
      <c r="EI209" s="135"/>
      <c r="EJ209" s="135"/>
      <c r="EK209" s="136"/>
      <c r="EL209" s="136"/>
      <c r="EM209" s="136"/>
      <c r="EN209" s="136"/>
      <c r="EO209" s="136"/>
      <c r="EP209" s="136"/>
      <c r="EQ209" s="136"/>
      <c r="ER209" s="136"/>
      <c r="ES209" s="135"/>
      <c r="ET209" s="135"/>
      <c r="EU209" s="135"/>
      <c r="EV209" s="135"/>
      <c r="EW209" s="135"/>
      <c r="EX209" s="135"/>
      <c r="EY209" s="136"/>
      <c r="EZ209" s="136"/>
      <c r="FA209" s="161"/>
      <c r="FB209" s="161"/>
      <c r="FC209" s="161"/>
      <c r="FD209" s="161"/>
      <c r="FE209" s="161"/>
      <c r="FF209" s="161"/>
      <c r="FG209" s="135"/>
      <c r="FH209" s="135"/>
      <c r="FI209" s="135"/>
      <c r="FJ209" s="135"/>
      <c r="FK209" s="135"/>
      <c r="FL209" s="135"/>
      <c r="FM209" s="136"/>
      <c r="FN209" s="136"/>
      <c r="FO209" s="161"/>
      <c r="FP209" s="161"/>
      <c r="FQ209" s="161"/>
      <c r="FR209" s="161"/>
      <c r="FS209" s="161"/>
      <c r="FT209" s="161"/>
      <c r="FU209" s="135"/>
      <c r="FV209" s="135"/>
      <c r="FW209" s="135"/>
      <c r="FX209" s="135"/>
      <c r="FY209" s="135"/>
      <c r="FZ209" s="135"/>
      <c r="GA209" s="136"/>
      <c r="GB209" s="136"/>
      <c r="GC209" s="161"/>
      <c r="GD209" s="161"/>
      <c r="GE209" s="161"/>
      <c r="GF209" s="161"/>
      <c r="GG209" s="161"/>
      <c r="GH209" s="161"/>
      <c r="GI209" s="135"/>
      <c r="GJ209" s="135"/>
      <c r="GK209" s="135"/>
      <c r="GL209" s="135"/>
      <c r="GM209" s="135"/>
      <c r="GN209" s="135"/>
    </row>
    <row r="210" spans="1:196" ht="16" customHeight="1">
      <c r="A210" s="140"/>
      <c r="B210" s="128" t="s">
        <v>1290</v>
      </c>
      <c r="C210" s="128" t="s">
        <v>609</v>
      </c>
      <c r="D210" s="138"/>
      <c r="E210" s="138"/>
      <c r="F210" s="129"/>
      <c r="G210" s="130">
        <v>16</v>
      </c>
      <c r="H210" s="129"/>
      <c r="I210" s="110">
        <v>46235</v>
      </c>
      <c r="J210" s="111">
        <f t="shared" si="190"/>
        <v>0</v>
      </c>
      <c r="K210" s="163" t="s">
        <v>1291</v>
      </c>
      <c r="L210" s="161"/>
      <c r="M210" s="136"/>
      <c r="N210" s="136"/>
      <c r="O210" s="136"/>
      <c r="P210" s="136"/>
      <c r="Q210" s="136"/>
      <c r="R210" s="136"/>
      <c r="S210" s="161"/>
      <c r="T210" s="161"/>
      <c r="U210" s="161"/>
      <c r="V210" s="161"/>
      <c r="W210" s="135"/>
      <c r="X210" s="135"/>
      <c r="Y210" s="161"/>
      <c r="Z210" s="161"/>
      <c r="AA210" s="161"/>
      <c r="AB210" s="161"/>
      <c r="AC210" s="136"/>
      <c r="AD210" s="136"/>
      <c r="AE210" s="135"/>
      <c r="AF210" s="135"/>
      <c r="AG210" s="135"/>
      <c r="AH210" s="135"/>
      <c r="AI210" s="161"/>
      <c r="AJ210" s="135"/>
      <c r="AK210" s="161"/>
      <c r="AL210" s="135"/>
      <c r="AM210" s="135"/>
      <c r="AN210" s="135"/>
      <c r="AO210" s="135"/>
      <c r="AP210" s="135"/>
      <c r="AQ210" s="136"/>
      <c r="AR210" s="136"/>
      <c r="AS210" s="161"/>
      <c r="AT210" s="161"/>
      <c r="AU210" s="161"/>
      <c r="AV210" s="161"/>
      <c r="AW210" s="161"/>
      <c r="AX210" s="161"/>
      <c r="AY210" s="161"/>
      <c r="AZ210" s="135"/>
      <c r="BA210" s="161"/>
      <c r="BB210" s="135"/>
      <c r="BC210" s="161"/>
      <c r="BD210" s="135"/>
      <c r="BE210" s="136"/>
      <c r="BF210" s="136"/>
      <c r="BG210" s="161"/>
      <c r="BH210" s="161"/>
      <c r="BI210" s="161"/>
      <c r="BJ210" s="161"/>
      <c r="BK210" s="161"/>
      <c r="BL210" s="161"/>
      <c r="BM210" s="161"/>
      <c r="BN210" s="135"/>
      <c r="BO210" s="135"/>
      <c r="BP210" s="135"/>
      <c r="BQ210" s="161"/>
      <c r="BR210" s="135"/>
      <c r="BS210" s="136"/>
      <c r="BT210" s="136"/>
      <c r="BU210" s="161"/>
      <c r="BV210" s="161"/>
      <c r="BW210" s="161"/>
      <c r="BX210" s="161"/>
      <c r="BY210" s="161"/>
      <c r="BZ210" s="161"/>
      <c r="CA210" s="161"/>
      <c r="CB210" s="161"/>
      <c r="CC210" s="161"/>
      <c r="CD210" s="161"/>
      <c r="CE210" s="161">
        <v>16</v>
      </c>
      <c r="CF210" s="161"/>
      <c r="CG210" s="136"/>
      <c r="CH210" s="136"/>
      <c r="CI210" s="161"/>
      <c r="CJ210" s="161"/>
      <c r="CK210" s="161"/>
      <c r="CL210" s="161"/>
      <c r="CM210" s="161"/>
      <c r="CN210" s="161"/>
      <c r="CO210" s="135"/>
      <c r="CP210" s="135"/>
      <c r="CQ210" s="135"/>
      <c r="CR210" s="135"/>
      <c r="CS210" s="135"/>
      <c r="CT210" s="135"/>
      <c r="CU210" s="136"/>
      <c r="CV210" s="136"/>
      <c r="CW210" s="161"/>
      <c r="CX210" s="161"/>
      <c r="CY210" s="161"/>
      <c r="CZ210" s="161"/>
      <c r="DA210" s="161"/>
      <c r="DB210" s="161"/>
      <c r="DC210" s="135"/>
      <c r="DD210" s="135"/>
      <c r="DE210" s="135"/>
      <c r="DF210" s="135"/>
      <c r="DG210" s="135"/>
      <c r="DH210" s="135"/>
      <c r="DI210" s="136"/>
      <c r="DJ210" s="136"/>
      <c r="DK210" s="161"/>
      <c r="DL210" s="161"/>
      <c r="DM210" s="161"/>
      <c r="DN210" s="161"/>
      <c r="DO210" s="161"/>
      <c r="DP210" s="161"/>
      <c r="DQ210" s="135"/>
      <c r="DR210" s="135"/>
      <c r="DS210" s="135"/>
      <c r="DT210" s="135"/>
      <c r="DU210" s="135"/>
      <c r="DV210" s="135"/>
      <c r="DW210" s="136"/>
      <c r="DX210" s="136"/>
      <c r="DY210" s="161"/>
      <c r="DZ210" s="161"/>
      <c r="EA210" s="161"/>
      <c r="EB210" s="161"/>
      <c r="EC210" s="161"/>
      <c r="ED210" s="161"/>
      <c r="EE210" s="135"/>
      <c r="EF210" s="135"/>
      <c r="EG210" s="135"/>
      <c r="EH210" s="135"/>
      <c r="EI210" s="135"/>
      <c r="EJ210" s="135"/>
      <c r="EK210" s="136"/>
      <c r="EL210" s="136"/>
      <c r="EM210" s="136"/>
      <c r="EN210" s="136"/>
      <c r="EO210" s="136"/>
      <c r="EP210" s="136"/>
      <c r="EQ210" s="136"/>
      <c r="ER210" s="136"/>
      <c r="ES210" s="135"/>
      <c r="ET210" s="135"/>
      <c r="EU210" s="135"/>
      <c r="EV210" s="135"/>
      <c r="EW210" s="135"/>
      <c r="EX210" s="135"/>
      <c r="EY210" s="136"/>
      <c r="EZ210" s="136"/>
      <c r="FA210" s="161"/>
      <c r="FB210" s="161"/>
      <c r="FC210" s="161"/>
      <c r="FD210" s="161"/>
      <c r="FE210" s="161"/>
      <c r="FF210" s="161"/>
      <c r="FG210" s="135"/>
      <c r="FH210" s="135"/>
      <c r="FI210" s="135"/>
      <c r="FJ210" s="135"/>
      <c r="FK210" s="135"/>
      <c r="FL210" s="135"/>
      <c r="FM210" s="136"/>
      <c r="FN210" s="136"/>
      <c r="FO210" s="161"/>
      <c r="FP210" s="161"/>
      <c r="FQ210" s="161"/>
      <c r="FR210" s="161"/>
      <c r="FS210" s="161"/>
      <c r="FT210" s="161"/>
      <c r="FU210" s="135"/>
      <c r="FV210" s="135"/>
      <c r="FW210" s="135"/>
      <c r="FX210" s="135"/>
      <c r="FY210" s="135"/>
      <c r="FZ210" s="135"/>
      <c r="GA210" s="136"/>
      <c r="GB210" s="136"/>
      <c r="GC210" s="161"/>
      <c r="GD210" s="161"/>
      <c r="GE210" s="161"/>
      <c r="GF210" s="161"/>
      <c r="GG210" s="161"/>
      <c r="GH210" s="161"/>
      <c r="GI210" s="135"/>
      <c r="GJ210" s="135"/>
      <c r="GK210" s="135"/>
      <c r="GL210" s="135"/>
      <c r="GM210" s="135"/>
      <c r="GN210" s="135"/>
    </row>
    <row r="211" spans="1:196">
      <c r="A211" s="140"/>
      <c r="B211" s="178" t="s">
        <v>1082</v>
      </c>
      <c r="C211" s="178" t="s">
        <v>1017</v>
      </c>
      <c r="D211" s="119"/>
      <c r="E211" s="119" t="e">
        <f>VLOOKUP(C211,#REF!,5,0)</f>
        <v>#REF!</v>
      </c>
      <c r="F211" s="107"/>
      <c r="G211" s="127">
        <v>200</v>
      </c>
      <c r="H211" s="6"/>
      <c r="I211" s="125">
        <v>46242</v>
      </c>
      <c r="J211" s="13">
        <f>G211-SUM(L211:FL211)</f>
        <v>0</v>
      </c>
      <c r="K211" s="189" t="s">
        <v>1321</v>
      </c>
      <c r="L211" s="161"/>
      <c r="M211" s="136"/>
      <c r="N211" s="136"/>
      <c r="O211" s="136"/>
      <c r="P211" s="136"/>
      <c r="Q211" s="136"/>
      <c r="R211" s="136"/>
      <c r="S211" s="161"/>
      <c r="T211" s="161"/>
      <c r="U211" s="161"/>
      <c r="V211" s="161"/>
      <c r="W211" s="135"/>
      <c r="X211" s="135"/>
      <c r="Y211" s="161"/>
      <c r="Z211" s="161"/>
      <c r="AA211" s="161"/>
      <c r="AB211" s="161"/>
      <c r="AC211" s="136"/>
      <c r="AD211" s="136"/>
      <c r="AE211" s="135"/>
      <c r="AF211" s="135"/>
      <c r="AG211" s="135"/>
      <c r="AH211" s="135"/>
      <c r="AI211" s="161"/>
      <c r="AJ211" s="135"/>
      <c r="AK211" s="161"/>
      <c r="AL211" s="135"/>
      <c r="AM211" s="135"/>
      <c r="AN211" s="135"/>
      <c r="AO211" s="135"/>
      <c r="AP211" s="135"/>
      <c r="AQ211" s="136"/>
      <c r="AR211" s="136"/>
      <c r="AS211" s="161"/>
      <c r="AT211" s="161"/>
      <c r="AU211" s="161"/>
      <c r="AV211" s="161"/>
      <c r="AW211" s="161"/>
      <c r="AX211" s="161"/>
      <c r="AY211" s="161"/>
      <c r="AZ211" s="135"/>
      <c r="BA211" s="161"/>
      <c r="BB211" s="135"/>
      <c r="BC211" s="161"/>
      <c r="BD211" s="135"/>
      <c r="BE211" s="136"/>
      <c r="BF211" s="136"/>
      <c r="BG211" s="161"/>
      <c r="BH211" s="161"/>
      <c r="BI211" s="161"/>
      <c r="BJ211" s="161"/>
      <c r="BK211" s="161"/>
      <c r="BL211" s="161"/>
      <c r="BM211" s="161"/>
      <c r="BN211" s="135"/>
      <c r="BO211" s="135"/>
      <c r="BP211" s="161"/>
      <c r="BQ211" s="135"/>
      <c r="BR211" s="135"/>
      <c r="BS211" s="136"/>
      <c r="BT211" s="136"/>
      <c r="BU211" s="161"/>
      <c r="BV211" s="161"/>
      <c r="BW211" s="161"/>
      <c r="BX211" s="161"/>
      <c r="BY211" s="161"/>
      <c r="BZ211" s="161"/>
      <c r="CA211" s="161"/>
      <c r="CB211" s="161"/>
      <c r="CC211" s="135"/>
      <c r="CD211" s="135"/>
      <c r="CE211" s="135"/>
      <c r="CF211" s="135"/>
      <c r="CG211" s="136"/>
      <c r="CH211" s="136"/>
      <c r="CI211" s="161"/>
      <c r="CJ211" s="161"/>
      <c r="CK211" s="161"/>
      <c r="CL211" s="161"/>
      <c r="CM211" s="135">
        <v>200</v>
      </c>
      <c r="CN211" s="161"/>
      <c r="CO211" s="161"/>
      <c r="CP211" s="161"/>
      <c r="CQ211" s="135"/>
      <c r="CR211" s="161"/>
      <c r="CS211" s="135"/>
      <c r="CT211" s="161"/>
      <c r="CU211" s="136"/>
      <c r="CV211" s="136"/>
      <c r="CW211" s="135"/>
      <c r="CX211" s="161"/>
      <c r="CY211" s="135"/>
      <c r="CZ211" s="161"/>
      <c r="DA211" s="135"/>
      <c r="DB211" s="161"/>
      <c r="DC211" s="135"/>
      <c r="DD211" s="161"/>
      <c r="DE211" s="161"/>
      <c r="DF211" s="161"/>
      <c r="DG211" s="135"/>
      <c r="DH211" s="135"/>
      <c r="DI211" s="136"/>
      <c r="DJ211" s="136"/>
      <c r="DK211" s="161"/>
      <c r="DL211" s="161"/>
      <c r="DM211" s="161"/>
      <c r="DN211" s="161"/>
      <c r="DO211" s="161"/>
      <c r="DP211" s="161"/>
      <c r="DQ211" s="135"/>
      <c r="DR211" s="135"/>
      <c r="DS211" s="135"/>
      <c r="DT211" s="135"/>
      <c r="DU211" s="135"/>
      <c r="DV211" s="135"/>
      <c r="DW211" s="136"/>
      <c r="DX211" s="136"/>
      <c r="DY211" s="161"/>
      <c r="DZ211" s="161"/>
      <c r="EA211" s="161"/>
      <c r="EB211" s="161"/>
      <c r="EC211" s="161"/>
      <c r="ED211" s="161"/>
      <c r="EE211" s="135"/>
      <c r="EF211" s="135"/>
      <c r="EG211" s="135"/>
      <c r="EH211" s="135"/>
      <c r="EI211" s="135"/>
      <c r="EJ211" s="135"/>
      <c r="EK211" s="136"/>
      <c r="EL211" s="136"/>
      <c r="EM211" s="136"/>
      <c r="EN211" s="136"/>
      <c r="EO211" s="136"/>
      <c r="EP211" s="136"/>
      <c r="EQ211" s="136"/>
      <c r="ER211" s="136"/>
      <c r="ES211" s="135"/>
      <c r="ET211" s="135"/>
      <c r="EU211" s="135"/>
      <c r="EV211" s="135"/>
      <c r="EW211" s="135"/>
      <c r="EX211" s="135"/>
      <c r="EY211" s="136"/>
      <c r="EZ211" s="136"/>
      <c r="FA211" s="161"/>
      <c r="FB211" s="161"/>
      <c r="FC211" s="161"/>
      <c r="FD211" s="161"/>
      <c r="FE211" s="161"/>
      <c r="FF211" s="161"/>
      <c r="FG211" s="135"/>
      <c r="FH211" s="135"/>
      <c r="FI211" s="135"/>
      <c r="FJ211" s="135"/>
      <c r="FK211" s="135"/>
      <c r="FL211" s="135"/>
      <c r="FM211" s="136"/>
      <c r="FN211" s="136"/>
      <c r="FO211" s="161"/>
      <c r="FP211" s="161"/>
      <c r="FQ211" s="161"/>
      <c r="FR211" s="161"/>
      <c r="FS211" s="161"/>
      <c r="FT211" s="161"/>
      <c r="FU211" s="135"/>
      <c r="FV211" s="135"/>
      <c r="FW211" s="135"/>
      <c r="FX211" s="135"/>
      <c r="FY211" s="135"/>
      <c r="FZ211" s="135"/>
      <c r="GA211" s="136"/>
      <c r="GB211" s="136"/>
      <c r="GC211" s="161"/>
      <c r="GD211" s="161"/>
      <c r="GE211" s="161"/>
      <c r="GF211" s="161"/>
      <c r="GG211" s="161"/>
      <c r="GH211" s="161"/>
      <c r="GI211" s="135"/>
      <c r="GJ211" s="135"/>
      <c r="GK211" s="135"/>
      <c r="GL211" s="135"/>
      <c r="GM211" s="135"/>
      <c r="GN211" s="135"/>
    </row>
    <row r="212" spans="1:196">
      <c r="A212" s="140"/>
      <c r="B212" s="178" t="s">
        <v>1083</v>
      </c>
      <c r="C212" s="178" t="s">
        <v>1019</v>
      </c>
      <c r="D212" s="119"/>
      <c r="E212" s="119" t="e">
        <f>VLOOKUP(C212,#REF!,5,0)</f>
        <v>#REF!</v>
      </c>
      <c r="F212" s="107"/>
      <c r="G212" s="127">
        <v>200</v>
      </c>
      <c r="H212" s="6"/>
      <c r="I212" s="125">
        <v>46242</v>
      </c>
      <c r="J212" s="13">
        <f>G212-SUM(L212:FL212)</f>
        <v>0</v>
      </c>
      <c r="K212" s="189" t="s">
        <v>1322</v>
      </c>
      <c r="L212" s="161"/>
      <c r="M212" s="136"/>
      <c r="N212" s="136"/>
      <c r="O212" s="136"/>
      <c r="P212" s="136"/>
      <c r="Q212" s="136"/>
      <c r="R212" s="136"/>
      <c r="S212" s="161"/>
      <c r="T212" s="161"/>
      <c r="U212" s="161"/>
      <c r="V212" s="161"/>
      <c r="W212" s="135"/>
      <c r="X212" s="135"/>
      <c r="Y212" s="161"/>
      <c r="Z212" s="161"/>
      <c r="AA212" s="161"/>
      <c r="AB212" s="161"/>
      <c r="AC212" s="136"/>
      <c r="AD212" s="136"/>
      <c r="AE212" s="135"/>
      <c r="AF212" s="135"/>
      <c r="AG212" s="135"/>
      <c r="AH212" s="135"/>
      <c r="AI212" s="161"/>
      <c r="AJ212" s="135"/>
      <c r="AK212" s="161"/>
      <c r="AL212" s="135"/>
      <c r="AM212" s="135"/>
      <c r="AN212" s="135"/>
      <c r="AO212" s="135"/>
      <c r="AP212" s="135"/>
      <c r="AQ212" s="136"/>
      <c r="AR212" s="136"/>
      <c r="AS212" s="161"/>
      <c r="AT212" s="161"/>
      <c r="AU212" s="161"/>
      <c r="AV212" s="161"/>
      <c r="AW212" s="161"/>
      <c r="AX212" s="161"/>
      <c r="AY212" s="161"/>
      <c r="AZ212" s="135"/>
      <c r="BA212" s="161"/>
      <c r="BB212" s="135"/>
      <c r="BC212" s="161"/>
      <c r="BD212" s="135"/>
      <c r="BE212" s="136"/>
      <c r="BF212" s="136"/>
      <c r="BG212" s="161"/>
      <c r="BH212" s="161"/>
      <c r="BI212" s="161"/>
      <c r="BJ212" s="161"/>
      <c r="BK212" s="161"/>
      <c r="BL212" s="161"/>
      <c r="BM212" s="161"/>
      <c r="BN212" s="135"/>
      <c r="BO212" s="135"/>
      <c r="BP212" s="161"/>
      <c r="BQ212" s="135"/>
      <c r="BR212" s="135"/>
      <c r="BS212" s="136"/>
      <c r="BT212" s="136"/>
      <c r="BU212" s="161"/>
      <c r="BV212" s="161"/>
      <c r="BW212" s="161"/>
      <c r="BX212" s="161"/>
      <c r="BY212" s="161"/>
      <c r="BZ212" s="161"/>
      <c r="CA212" s="161"/>
      <c r="CB212" s="161"/>
      <c r="CC212" s="135"/>
      <c r="CD212" s="135"/>
      <c r="CE212" s="135"/>
      <c r="CF212" s="135"/>
      <c r="CG212" s="136"/>
      <c r="CH212" s="136"/>
      <c r="CI212" s="161"/>
      <c r="CJ212" s="161"/>
      <c r="CK212" s="161"/>
      <c r="CL212" s="161"/>
      <c r="CM212" s="135"/>
      <c r="CN212" s="161"/>
      <c r="CO212" s="135">
        <v>200</v>
      </c>
      <c r="CP212" s="161"/>
      <c r="CQ212" s="135"/>
      <c r="CR212" s="161"/>
      <c r="CS212" s="135"/>
      <c r="CT212" s="161"/>
      <c r="CU212" s="136"/>
      <c r="CV212" s="136"/>
      <c r="CW212" s="135"/>
      <c r="CX212" s="161"/>
      <c r="CY212" s="135"/>
      <c r="CZ212" s="161"/>
      <c r="DA212" s="135"/>
      <c r="DB212" s="161"/>
      <c r="DC212" s="135"/>
      <c r="DD212" s="161"/>
      <c r="DE212" s="161"/>
      <c r="DF212" s="161"/>
      <c r="DG212" s="135"/>
      <c r="DH212" s="135"/>
      <c r="DI212" s="136"/>
      <c r="DJ212" s="136"/>
      <c r="DK212" s="161"/>
      <c r="DL212" s="161"/>
      <c r="DM212" s="161"/>
      <c r="DN212" s="161"/>
      <c r="DO212" s="161"/>
      <c r="DP212" s="161"/>
      <c r="DQ212" s="135"/>
      <c r="DR212" s="135"/>
      <c r="DS212" s="135"/>
      <c r="DT212" s="135"/>
      <c r="DU212" s="135"/>
      <c r="DV212" s="135"/>
      <c r="DW212" s="136"/>
      <c r="DX212" s="136"/>
      <c r="DY212" s="161"/>
      <c r="DZ212" s="161"/>
      <c r="EA212" s="161"/>
      <c r="EB212" s="161"/>
      <c r="EC212" s="161"/>
      <c r="ED212" s="161"/>
      <c r="EE212" s="135"/>
      <c r="EF212" s="135"/>
      <c r="EG212" s="135"/>
      <c r="EH212" s="135"/>
      <c r="EI212" s="135"/>
      <c r="EJ212" s="135"/>
      <c r="EK212" s="136"/>
      <c r="EL212" s="136"/>
      <c r="EM212" s="136"/>
      <c r="EN212" s="136"/>
      <c r="EO212" s="136"/>
      <c r="EP212" s="136"/>
      <c r="EQ212" s="136"/>
      <c r="ER212" s="136"/>
      <c r="ES212" s="135"/>
      <c r="ET212" s="135"/>
      <c r="EU212" s="135"/>
      <c r="EV212" s="135"/>
      <c r="EW212" s="135"/>
      <c r="EX212" s="135"/>
      <c r="EY212" s="136"/>
      <c r="EZ212" s="136"/>
      <c r="FA212" s="161"/>
      <c r="FB212" s="161"/>
      <c r="FC212" s="161"/>
      <c r="FD212" s="161"/>
      <c r="FE212" s="161"/>
      <c r="FF212" s="161"/>
      <c r="FG212" s="135"/>
      <c r="FH212" s="135"/>
      <c r="FI212" s="135"/>
      <c r="FJ212" s="135"/>
      <c r="FK212" s="135"/>
      <c r="FL212" s="135"/>
      <c r="FM212" s="136"/>
      <c r="FN212" s="136"/>
      <c r="FO212" s="161"/>
      <c r="FP212" s="161"/>
      <c r="FQ212" s="161"/>
      <c r="FR212" s="161"/>
      <c r="FS212" s="161"/>
      <c r="FT212" s="161"/>
      <c r="FU212" s="135"/>
      <c r="FV212" s="135"/>
      <c r="FW212" s="135"/>
      <c r="FX212" s="135"/>
      <c r="FY212" s="135"/>
      <c r="FZ212" s="135"/>
      <c r="GA212" s="136"/>
      <c r="GB212" s="136"/>
      <c r="GC212" s="161"/>
      <c r="GD212" s="161"/>
      <c r="GE212" s="161"/>
      <c r="GF212" s="161"/>
      <c r="GG212" s="161"/>
      <c r="GH212" s="161"/>
      <c r="GI212" s="135"/>
      <c r="GJ212" s="135"/>
      <c r="GK212" s="135"/>
      <c r="GL212" s="135"/>
      <c r="GM212" s="135"/>
      <c r="GN212" s="135"/>
    </row>
    <row r="213" spans="1:196">
      <c r="A213" s="140"/>
      <c r="B213" s="126" t="s">
        <v>952</v>
      </c>
      <c r="C213" s="126" t="s">
        <v>611</v>
      </c>
      <c r="D213" s="119"/>
      <c r="E213" s="119" t="e">
        <f>VLOOKUP(C213,#REF!,5,0)</f>
        <v>#REF!</v>
      </c>
      <c r="F213" s="107">
        <v>46230</v>
      </c>
      <c r="G213" s="127">
        <v>460</v>
      </c>
      <c r="H213" s="107">
        <v>46238</v>
      </c>
      <c r="I213" s="125">
        <v>46228</v>
      </c>
      <c r="J213" s="13">
        <f>G213-SUM(L213:FL213)</f>
        <v>0</v>
      </c>
      <c r="K213" s="163" t="s">
        <v>1256</v>
      </c>
      <c r="L213" s="161"/>
      <c r="M213" s="136"/>
      <c r="N213" s="136"/>
      <c r="O213" s="136"/>
      <c r="P213" s="136"/>
      <c r="Q213" s="136"/>
      <c r="R213" s="136"/>
      <c r="S213" s="161"/>
      <c r="T213" s="161"/>
      <c r="U213" s="161"/>
      <c r="V213" s="161"/>
      <c r="W213" s="135"/>
      <c r="X213" s="135"/>
      <c r="Y213" s="161"/>
      <c r="Z213" s="161"/>
      <c r="AA213" s="161"/>
      <c r="AB213" s="161"/>
      <c r="AC213" s="136"/>
      <c r="AD213" s="136"/>
      <c r="AE213" s="135"/>
      <c r="AF213" s="135"/>
      <c r="AG213" s="135"/>
      <c r="AH213" s="135"/>
      <c r="AI213" s="161"/>
      <c r="AJ213" s="135"/>
      <c r="AK213" s="161"/>
      <c r="AL213" s="135"/>
      <c r="AM213" s="135"/>
      <c r="AN213" s="135"/>
      <c r="AO213" s="135"/>
      <c r="AP213" s="135"/>
      <c r="AQ213" s="136"/>
      <c r="AR213" s="136"/>
      <c r="AS213" s="161"/>
      <c r="AT213" s="161"/>
      <c r="AU213" s="161"/>
      <c r="AV213" s="161"/>
      <c r="AW213" s="161"/>
      <c r="AX213" s="161"/>
      <c r="AY213" s="161"/>
      <c r="AZ213" s="135"/>
      <c r="BA213" s="161"/>
      <c r="BB213" s="135"/>
      <c r="BC213" s="161"/>
      <c r="BD213" s="135"/>
      <c r="BE213" s="136"/>
      <c r="BF213" s="136"/>
      <c r="BG213" s="161"/>
      <c r="BH213" s="161"/>
      <c r="BI213" s="161"/>
      <c r="BJ213" s="161"/>
      <c r="BK213" s="161"/>
      <c r="BL213" s="161"/>
      <c r="BM213" s="161"/>
      <c r="BN213" s="135"/>
      <c r="BO213" s="161"/>
      <c r="BP213" s="135"/>
      <c r="BQ213" s="161"/>
      <c r="BR213" s="135"/>
      <c r="BS213" s="136"/>
      <c r="BT213" s="136"/>
      <c r="BU213" s="161"/>
      <c r="BV213" s="161"/>
      <c r="BW213" s="161"/>
      <c r="BX213" s="161"/>
      <c r="BY213" s="161"/>
      <c r="BZ213" s="161"/>
      <c r="CA213" s="161"/>
      <c r="CB213" s="161"/>
      <c r="CC213" s="161"/>
      <c r="CD213" s="135"/>
      <c r="CE213" s="161"/>
      <c r="CF213" s="135"/>
      <c r="CG213" s="136"/>
      <c r="CH213" s="136"/>
      <c r="CI213" s="161"/>
      <c r="CJ213" s="161"/>
      <c r="CK213" s="161"/>
      <c r="CL213" s="161"/>
      <c r="CM213" s="161"/>
      <c r="CN213" s="161"/>
      <c r="CO213" s="161"/>
      <c r="CP213" s="135"/>
      <c r="CQ213" s="161">
        <v>460</v>
      </c>
      <c r="CR213" s="135"/>
      <c r="CS213" s="135"/>
      <c r="CT213" s="135"/>
      <c r="CU213" s="136"/>
      <c r="CV213" s="136"/>
      <c r="CW213" s="161"/>
      <c r="CX213" s="161"/>
      <c r="CY213" s="161"/>
      <c r="CZ213" s="161"/>
      <c r="DA213" s="161"/>
      <c r="DB213" s="161"/>
      <c r="DC213" s="135"/>
      <c r="DD213" s="135"/>
      <c r="DE213" s="135"/>
      <c r="DF213" s="135"/>
      <c r="DG213" s="135"/>
      <c r="DH213" s="135"/>
      <c r="DI213" s="136"/>
      <c r="DJ213" s="136"/>
      <c r="DK213" s="161"/>
      <c r="DL213" s="161"/>
      <c r="DM213" s="161"/>
      <c r="DN213" s="161"/>
      <c r="DO213" s="161"/>
      <c r="DP213" s="161"/>
      <c r="DQ213" s="135"/>
      <c r="DR213" s="135"/>
      <c r="DS213" s="135"/>
      <c r="DT213" s="135"/>
      <c r="DU213" s="135"/>
      <c r="DV213" s="135"/>
      <c r="DW213" s="136"/>
      <c r="DX213" s="136"/>
      <c r="DY213" s="161"/>
      <c r="DZ213" s="161"/>
      <c r="EA213" s="161"/>
      <c r="EB213" s="161"/>
      <c r="EC213" s="161"/>
      <c r="ED213" s="161"/>
      <c r="EE213" s="135"/>
      <c r="EF213" s="135"/>
      <c r="EG213" s="135"/>
      <c r="EH213" s="135"/>
      <c r="EI213" s="135"/>
      <c r="EJ213" s="135"/>
      <c r="EK213" s="136"/>
      <c r="EL213" s="136"/>
      <c r="EM213" s="136"/>
      <c r="EN213" s="136"/>
      <c r="EO213" s="136"/>
      <c r="EP213" s="136"/>
      <c r="EQ213" s="136"/>
      <c r="ER213" s="136"/>
      <c r="ES213" s="135"/>
      <c r="ET213" s="135"/>
      <c r="EU213" s="135"/>
      <c r="EV213" s="135"/>
      <c r="EW213" s="135"/>
      <c r="EX213" s="135"/>
      <c r="EY213" s="136"/>
      <c r="EZ213" s="136"/>
      <c r="FA213" s="161"/>
      <c r="FB213" s="161"/>
      <c r="FC213" s="161"/>
      <c r="FD213" s="161"/>
      <c r="FE213" s="161"/>
      <c r="FF213" s="161"/>
      <c r="FG213" s="135"/>
      <c r="FH213" s="135"/>
      <c r="FI213" s="135"/>
      <c r="FJ213" s="135"/>
      <c r="FK213" s="135"/>
      <c r="FL213" s="135"/>
      <c r="FM213" s="136"/>
      <c r="FN213" s="136"/>
      <c r="FO213" s="161"/>
      <c r="FP213" s="161"/>
      <c r="FQ213" s="161"/>
      <c r="FR213" s="161"/>
      <c r="FS213" s="161"/>
      <c r="FT213" s="161"/>
      <c r="FU213" s="135"/>
      <c r="FV213" s="135"/>
      <c r="FW213" s="135"/>
      <c r="FX213" s="135"/>
      <c r="FY213" s="135"/>
      <c r="FZ213" s="135"/>
      <c r="GA213" s="136"/>
      <c r="GB213" s="136"/>
      <c r="GC213" s="161"/>
      <c r="GD213" s="161"/>
      <c r="GE213" s="161"/>
      <c r="GF213" s="161"/>
      <c r="GG213" s="161"/>
      <c r="GH213" s="161"/>
      <c r="GI213" s="135"/>
      <c r="GJ213" s="135"/>
      <c r="GK213" s="135"/>
      <c r="GL213" s="135"/>
      <c r="GM213" s="135"/>
      <c r="GN213" s="135"/>
    </row>
    <row r="214" spans="1:196">
      <c r="A214" s="140"/>
      <c r="B214" s="126" t="s">
        <v>958</v>
      </c>
      <c r="C214" s="126" t="s">
        <v>709</v>
      </c>
      <c r="D214" s="119"/>
      <c r="E214" s="119" t="e">
        <f>VLOOKUP(C214,#REF!,5,0)</f>
        <v>#REF!</v>
      </c>
      <c r="F214" s="107"/>
      <c r="G214" s="127">
        <v>728</v>
      </c>
      <c r="H214" s="6"/>
      <c r="I214" s="125">
        <v>46228</v>
      </c>
      <c r="J214" s="13">
        <f>G214-SUM(L214:FL214)</f>
        <v>0</v>
      </c>
      <c r="K214" s="163"/>
      <c r="L214" s="161"/>
      <c r="M214" s="136"/>
      <c r="N214" s="136"/>
      <c r="O214" s="136"/>
      <c r="P214" s="136"/>
      <c r="Q214" s="136"/>
      <c r="R214" s="136"/>
      <c r="S214" s="161"/>
      <c r="T214" s="161"/>
      <c r="U214" s="161"/>
      <c r="V214" s="161"/>
      <c r="W214" s="135"/>
      <c r="X214" s="135"/>
      <c r="Y214" s="161"/>
      <c r="Z214" s="161"/>
      <c r="AA214" s="161"/>
      <c r="AB214" s="161"/>
      <c r="AC214" s="136"/>
      <c r="AD214" s="136"/>
      <c r="AE214" s="135"/>
      <c r="AF214" s="135"/>
      <c r="AG214" s="135"/>
      <c r="AH214" s="135"/>
      <c r="AI214" s="161"/>
      <c r="AJ214" s="135"/>
      <c r="AK214" s="161"/>
      <c r="AL214" s="135"/>
      <c r="AM214" s="135"/>
      <c r="AN214" s="135"/>
      <c r="AO214" s="135"/>
      <c r="AP214" s="135"/>
      <c r="AQ214" s="136"/>
      <c r="AR214" s="136"/>
      <c r="AS214" s="161"/>
      <c r="AT214" s="161"/>
      <c r="AU214" s="161"/>
      <c r="AV214" s="161"/>
      <c r="AW214" s="161"/>
      <c r="AX214" s="161"/>
      <c r="AY214" s="161"/>
      <c r="AZ214" s="135"/>
      <c r="BA214" s="161"/>
      <c r="BB214" s="135"/>
      <c r="BC214" s="161"/>
      <c r="BD214" s="135"/>
      <c r="BE214" s="136"/>
      <c r="BF214" s="136"/>
      <c r="BG214" s="161"/>
      <c r="BH214" s="161"/>
      <c r="BI214" s="161"/>
      <c r="BJ214" s="161"/>
      <c r="BK214" s="161"/>
      <c r="BL214" s="161"/>
      <c r="BM214" s="161"/>
      <c r="BN214" s="161"/>
      <c r="BO214" s="135"/>
      <c r="BP214" s="135"/>
      <c r="BQ214" s="135"/>
      <c r="BR214" s="135"/>
      <c r="BS214" s="136"/>
      <c r="BT214" s="136"/>
      <c r="BU214" s="135"/>
      <c r="BV214" s="161"/>
      <c r="BW214" s="161"/>
      <c r="BX214" s="161"/>
      <c r="BY214" s="161"/>
      <c r="BZ214" s="161"/>
      <c r="CA214" s="161"/>
      <c r="CB214" s="161"/>
      <c r="CC214" s="135"/>
      <c r="CD214" s="135"/>
      <c r="CE214" s="135"/>
      <c r="CF214" s="135"/>
      <c r="CG214" s="136"/>
      <c r="CH214" s="136"/>
      <c r="CI214" s="135"/>
      <c r="CJ214" s="161"/>
      <c r="CK214" s="161"/>
      <c r="CL214" s="161"/>
      <c r="CM214" s="161"/>
      <c r="CN214" s="161"/>
      <c r="CO214" s="135"/>
      <c r="CP214" s="135"/>
      <c r="CQ214" s="135">
        <v>728</v>
      </c>
      <c r="CR214" s="135"/>
      <c r="CS214" s="135"/>
      <c r="CT214" s="135"/>
      <c r="CU214" s="136"/>
      <c r="CV214" s="136"/>
      <c r="CW214" s="135"/>
      <c r="CX214" s="161"/>
      <c r="CY214" s="135"/>
      <c r="CZ214" s="161"/>
      <c r="DA214" s="161"/>
      <c r="DB214" s="161"/>
      <c r="DC214" s="161"/>
      <c r="DD214" s="161"/>
      <c r="DE214" s="135"/>
      <c r="DF214" s="135"/>
      <c r="DG214" s="135"/>
      <c r="DH214" s="135"/>
      <c r="DI214" s="136"/>
      <c r="DJ214" s="136"/>
      <c r="DK214" s="161"/>
      <c r="DL214" s="161"/>
      <c r="DM214" s="161"/>
      <c r="DN214" s="161"/>
      <c r="DO214" s="161"/>
      <c r="DP214" s="161"/>
      <c r="DQ214" s="135"/>
      <c r="DR214" s="135"/>
      <c r="DS214" s="135"/>
      <c r="DT214" s="135"/>
      <c r="DU214" s="135"/>
      <c r="DV214" s="135"/>
      <c r="DW214" s="136"/>
      <c r="DX214" s="136"/>
      <c r="DY214" s="161"/>
      <c r="DZ214" s="161"/>
      <c r="EA214" s="161"/>
      <c r="EB214" s="161"/>
      <c r="EC214" s="161"/>
      <c r="ED214" s="161"/>
      <c r="EE214" s="135"/>
      <c r="EF214" s="135"/>
      <c r="EG214" s="135"/>
      <c r="EH214" s="135"/>
      <c r="EI214" s="135"/>
      <c r="EJ214" s="135"/>
      <c r="EK214" s="136"/>
      <c r="EL214" s="136"/>
      <c r="EM214" s="136"/>
      <c r="EN214" s="136"/>
      <c r="EO214" s="136"/>
      <c r="EP214" s="136"/>
      <c r="EQ214" s="136"/>
      <c r="ER214" s="136"/>
      <c r="ES214" s="135"/>
      <c r="ET214" s="135"/>
      <c r="EU214" s="135"/>
      <c r="EV214" s="135"/>
      <c r="EW214" s="135"/>
      <c r="EX214" s="135"/>
      <c r="EY214" s="136"/>
      <c r="EZ214" s="136"/>
      <c r="FA214" s="161"/>
      <c r="FB214" s="161"/>
      <c r="FC214" s="161"/>
      <c r="FD214" s="161"/>
      <c r="FE214" s="161"/>
      <c r="FF214" s="161"/>
      <c r="FG214" s="135"/>
      <c r="FH214" s="135"/>
      <c r="FI214" s="135"/>
      <c r="FJ214" s="135"/>
      <c r="FK214" s="135"/>
      <c r="FL214" s="135"/>
      <c r="FM214" s="136"/>
      <c r="FN214" s="136"/>
      <c r="FO214" s="161"/>
      <c r="FP214" s="161"/>
      <c r="FQ214" s="161"/>
      <c r="FR214" s="161"/>
      <c r="FS214" s="161"/>
      <c r="FT214" s="161"/>
      <c r="FU214" s="135"/>
      <c r="FV214" s="135"/>
      <c r="FW214" s="135"/>
      <c r="FX214" s="135"/>
      <c r="FY214" s="135"/>
      <c r="FZ214" s="135"/>
      <c r="GA214" s="136"/>
      <c r="GB214" s="136"/>
      <c r="GC214" s="161"/>
      <c r="GD214" s="161"/>
      <c r="GE214" s="161"/>
      <c r="GF214" s="161"/>
      <c r="GG214" s="161"/>
      <c r="GH214" s="161"/>
      <c r="GI214" s="135"/>
      <c r="GJ214" s="135"/>
      <c r="GK214" s="135"/>
      <c r="GL214" s="135"/>
      <c r="GM214" s="135"/>
      <c r="GN214" s="135"/>
    </row>
    <row r="215" spans="1:196">
      <c r="A215" s="140"/>
      <c r="B215" s="126" t="s">
        <v>870</v>
      </c>
      <c r="C215" s="126" t="s">
        <v>711</v>
      </c>
      <c r="D215" s="119"/>
      <c r="E215" s="119" t="e">
        <f>VLOOKUP(C215,#REF!,5,0)</f>
        <v>#REF!</v>
      </c>
      <c r="F215" s="107"/>
      <c r="G215" s="127">
        <v>672</v>
      </c>
      <c r="H215" s="6"/>
      <c r="I215" s="125">
        <v>46235</v>
      </c>
      <c r="J215" s="13">
        <f>G215-SUM(L215:FL215)</f>
        <v>0</v>
      </c>
      <c r="K215" s="189" t="s">
        <v>1224</v>
      </c>
      <c r="L215" s="161"/>
      <c r="M215" s="136"/>
      <c r="N215" s="136"/>
      <c r="O215" s="136"/>
      <c r="P215" s="136"/>
      <c r="Q215" s="136"/>
      <c r="R215" s="136"/>
      <c r="S215" s="161"/>
      <c r="T215" s="161"/>
      <c r="U215" s="161"/>
      <c r="V215" s="161"/>
      <c r="W215" s="135"/>
      <c r="X215" s="135"/>
      <c r="Y215" s="161"/>
      <c r="Z215" s="161"/>
      <c r="AA215" s="161"/>
      <c r="AB215" s="161"/>
      <c r="AC215" s="136"/>
      <c r="AD215" s="136"/>
      <c r="AE215" s="135"/>
      <c r="AF215" s="135"/>
      <c r="AG215" s="135"/>
      <c r="AH215" s="135"/>
      <c r="AI215" s="161"/>
      <c r="AJ215" s="135"/>
      <c r="AK215" s="161"/>
      <c r="AL215" s="135"/>
      <c r="AM215" s="135"/>
      <c r="AN215" s="135"/>
      <c r="AO215" s="135"/>
      <c r="AP215" s="135"/>
      <c r="AQ215" s="136"/>
      <c r="AR215" s="136"/>
      <c r="AS215" s="161"/>
      <c r="AT215" s="161"/>
      <c r="AU215" s="161"/>
      <c r="AV215" s="161"/>
      <c r="AW215" s="161"/>
      <c r="AX215" s="161"/>
      <c r="AY215" s="161"/>
      <c r="AZ215" s="161"/>
      <c r="BA215" s="161"/>
      <c r="BB215" s="135"/>
      <c r="BC215" s="161"/>
      <c r="BD215" s="135"/>
      <c r="BE215" s="136"/>
      <c r="BF215" s="136"/>
      <c r="BG215" s="161"/>
      <c r="BH215" s="161"/>
      <c r="BI215" s="161"/>
      <c r="BJ215" s="161"/>
      <c r="BK215" s="161"/>
      <c r="BL215" s="161"/>
      <c r="BM215" s="161"/>
      <c r="BN215" s="161"/>
      <c r="BO215" s="135"/>
      <c r="BP215" s="135"/>
      <c r="BQ215" s="135"/>
      <c r="BR215" s="135"/>
      <c r="BS215" s="136"/>
      <c r="BT215" s="136"/>
      <c r="BU215" s="161"/>
      <c r="BV215" s="161"/>
      <c r="BW215" s="161"/>
      <c r="BX215" s="161"/>
      <c r="BY215" s="161"/>
      <c r="BZ215" s="161"/>
      <c r="CA215" s="161"/>
      <c r="CB215" s="161"/>
      <c r="CC215" s="135"/>
      <c r="CD215" s="135"/>
      <c r="CE215" s="161"/>
      <c r="CF215" s="135"/>
      <c r="CG215" s="136"/>
      <c r="CH215" s="136"/>
      <c r="CI215" s="161"/>
      <c r="CJ215" s="161"/>
      <c r="CK215" s="161"/>
      <c r="CL215" s="161"/>
      <c r="CM215" s="161"/>
      <c r="CN215" s="161"/>
      <c r="CO215" s="135"/>
      <c r="CP215" s="135"/>
      <c r="CQ215" s="161"/>
      <c r="CR215" s="135"/>
      <c r="CS215" s="135">
        <v>672</v>
      </c>
      <c r="CT215" s="135"/>
      <c r="CU215" s="136"/>
      <c r="CV215" s="136"/>
      <c r="CW215" s="161"/>
      <c r="CX215" s="161"/>
      <c r="CY215" s="161"/>
      <c r="CZ215" s="161"/>
      <c r="DA215" s="161"/>
      <c r="DB215" s="161"/>
      <c r="DC215" s="161"/>
      <c r="DD215" s="161"/>
      <c r="DE215" s="135"/>
      <c r="DF215" s="135"/>
      <c r="DG215" s="135"/>
      <c r="DH215" s="135"/>
      <c r="DI215" s="136"/>
      <c r="DJ215" s="136"/>
      <c r="DK215" s="161"/>
      <c r="DL215" s="161"/>
      <c r="DM215" s="161"/>
      <c r="DN215" s="161"/>
      <c r="DO215" s="161"/>
      <c r="DP215" s="161"/>
      <c r="DQ215" s="135"/>
      <c r="DR215" s="135"/>
      <c r="DS215" s="135"/>
      <c r="DT215" s="135"/>
      <c r="DU215" s="135"/>
      <c r="DV215" s="135"/>
      <c r="DW215" s="136"/>
      <c r="DX215" s="136"/>
      <c r="DY215" s="161"/>
      <c r="DZ215" s="161"/>
      <c r="EA215" s="161"/>
      <c r="EB215" s="161"/>
      <c r="EC215" s="161"/>
      <c r="ED215" s="161"/>
      <c r="EE215" s="135"/>
      <c r="EF215" s="135"/>
      <c r="EG215" s="135"/>
      <c r="EH215" s="135"/>
      <c r="EI215" s="135"/>
      <c r="EJ215" s="135"/>
      <c r="EK215" s="136"/>
      <c r="EL215" s="136"/>
      <c r="EM215" s="136"/>
      <c r="EN215" s="136"/>
      <c r="EO215" s="136"/>
      <c r="EP215" s="136"/>
      <c r="EQ215" s="136"/>
      <c r="ER215" s="136"/>
      <c r="ES215" s="135"/>
      <c r="ET215" s="135"/>
      <c r="EU215" s="135"/>
      <c r="EV215" s="135"/>
      <c r="EW215" s="135"/>
      <c r="EX215" s="135"/>
      <c r="EY215" s="136"/>
      <c r="EZ215" s="136"/>
      <c r="FA215" s="161"/>
      <c r="FB215" s="161"/>
      <c r="FC215" s="161"/>
      <c r="FD215" s="161"/>
      <c r="FE215" s="161"/>
      <c r="FF215" s="161"/>
      <c r="FG215" s="135"/>
      <c r="FH215" s="135"/>
      <c r="FI215" s="135"/>
      <c r="FJ215" s="135"/>
      <c r="FK215" s="135"/>
      <c r="FL215" s="135"/>
      <c r="FM215" s="136"/>
      <c r="FN215" s="136"/>
      <c r="FO215" s="161"/>
      <c r="FP215" s="161"/>
      <c r="FQ215" s="161"/>
      <c r="FR215" s="161"/>
      <c r="FS215" s="161"/>
      <c r="FT215" s="161"/>
      <c r="FU215" s="135"/>
      <c r="FV215" s="135"/>
      <c r="FW215" s="135"/>
      <c r="FX215" s="135"/>
      <c r="FY215" s="135"/>
      <c r="FZ215" s="135"/>
      <c r="GA215" s="136"/>
      <c r="GB215" s="136"/>
      <c r="GC215" s="161"/>
      <c r="GD215" s="161"/>
      <c r="GE215" s="161"/>
      <c r="GF215" s="161"/>
      <c r="GG215" s="161"/>
      <c r="GH215" s="161"/>
      <c r="GI215" s="135"/>
      <c r="GJ215" s="135"/>
      <c r="GK215" s="135"/>
      <c r="GL215" s="135"/>
      <c r="GM215" s="135"/>
      <c r="GN215" s="135"/>
    </row>
    <row r="216" spans="1:196" ht="25">
      <c r="A216" s="140"/>
      <c r="B216" s="126" t="s">
        <v>1003</v>
      </c>
      <c r="C216" s="126" t="s">
        <v>609</v>
      </c>
      <c r="D216" s="119"/>
      <c r="E216" s="119" t="e">
        <f>VLOOKUP(C216,#REF!,5,0)</f>
        <v>#REF!</v>
      </c>
      <c r="F216" s="107"/>
      <c r="G216" s="127">
        <v>1232</v>
      </c>
      <c r="H216" s="107">
        <v>46247</v>
      </c>
      <c r="I216" s="125">
        <v>46235</v>
      </c>
      <c r="J216" s="13">
        <f t="shared" si="189"/>
        <v>0</v>
      </c>
      <c r="K216" s="189" t="s">
        <v>1239</v>
      </c>
      <c r="L216" s="161"/>
      <c r="M216" s="136"/>
      <c r="N216" s="136"/>
      <c r="O216" s="136"/>
      <c r="P216" s="136"/>
      <c r="Q216" s="136"/>
      <c r="R216" s="136"/>
      <c r="S216" s="161"/>
      <c r="T216" s="161"/>
      <c r="U216" s="161"/>
      <c r="V216" s="161"/>
      <c r="W216" s="135"/>
      <c r="X216" s="135"/>
      <c r="Y216" s="161"/>
      <c r="Z216" s="161"/>
      <c r="AA216" s="161"/>
      <c r="AB216" s="161"/>
      <c r="AC216" s="136"/>
      <c r="AD216" s="136"/>
      <c r="AE216" s="135"/>
      <c r="AF216" s="135"/>
      <c r="AG216" s="135"/>
      <c r="AH216" s="135"/>
      <c r="AI216" s="161"/>
      <c r="AJ216" s="135"/>
      <c r="AK216" s="161"/>
      <c r="AL216" s="135"/>
      <c r="AM216" s="135"/>
      <c r="AN216" s="135"/>
      <c r="AO216" s="135"/>
      <c r="AP216" s="135"/>
      <c r="AQ216" s="136"/>
      <c r="AR216" s="136"/>
      <c r="AS216" s="161"/>
      <c r="AT216" s="161"/>
      <c r="AU216" s="161"/>
      <c r="AV216" s="161"/>
      <c r="AW216" s="161"/>
      <c r="AX216" s="161"/>
      <c r="AY216" s="161"/>
      <c r="AZ216" s="135"/>
      <c r="BA216" s="161"/>
      <c r="BB216" s="135"/>
      <c r="BC216" s="161"/>
      <c r="BD216" s="135"/>
      <c r="BE216" s="136"/>
      <c r="BF216" s="136"/>
      <c r="BG216" s="161"/>
      <c r="BH216" s="161"/>
      <c r="BI216" s="161"/>
      <c r="BJ216" s="161"/>
      <c r="BK216" s="161"/>
      <c r="BL216" s="161"/>
      <c r="BM216" s="161"/>
      <c r="BN216" s="135"/>
      <c r="BO216" s="135"/>
      <c r="BP216" s="161"/>
      <c r="BQ216" s="161"/>
      <c r="BR216" s="135"/>
      <c r="BS216" s="136"/>
      <c r="BT216" s="136"/>
      <c r="BU216" s="161"/>
      <c r="BV216" s="161"/>
      <c r="BW216" s="161"/>
      <c r="BX216" s="161"/>
      <c r="BY216" s="161"/>
      <c r="BZ216" s="161"/>
      <c r="CA216" s="161"/>
      <c r="CB216" s="161"/>
      <c r="CC216" s="161"/>
      <c r="CD216" s="135"/>
      <c r="CE216" s="161"/>
      <c r="CF216" s="135"/>
      <c r="CG216" s="136"/>
      <c r="CH216" s="136"/>
      <c r="CI216" s="161"/>
      <c r="CJ216" s="161"/>
      <c r="CK216" s="161"/>
      <c r="CL216" s="161"/>
      <c r="CM216" s="161"/>
      <c r="CN216" s="161"/>
      <c r="CO216" s="135"/>
      <c r="CP216" s="135"/>
      <c r="CQ216" s="135"/>
      <c r="CR216" s="135"/>
      <c r="CS216" s="135">
        <v>800</v>
      </c>
      <c r="CT216" s="135"/>
      <c r="CU216" s="136"/>
      <c r="CV216" s="136"/>
      <c r="CW216" s="161">
        <v>432</v>
      </c>
      <c r="CX216" s="161"/>
      <c r="CY216" s="161"/>
      <c r="CZ216" s="161"/>
      <c r="DA216" s="161"/>
      <c r="DB216" s="161"/>
      <c r="DC216" s="135"/>
      <c r="DD216" s="135"/>
      <c r="DE216" s="135"/>
      <c r="DF216" s="135"/>
      <c r="DG216" s="135"/>
      <c r="DH216" s="135"/>
      <c r="DI216" s="136"/>
      <c r="DJ216" s="136"/>
      <c r="DK216" s="161"/>
      <c r="DL216" s="161"/>
      <c r="DM216" s="161"/>
      <c r="DN216" s="161"/>
      <c r="DO216" s="161"/>
      <c r="DP216" s="161"/>
      <c r="DQ216" s="135"/>
      <c r="DR216" s="135"/>
      <c r="DS216" s="135"/>
      <c r="DT216" s="135"/>
      <c r="DU216" s="135"/>
      <c r="DV216" s="135"/>
      <c r="DW216" s="136"/>
      <c r="DX216" s="136"/>
      <c r="DY216" s="161"/>
      <c r="DZ216" s="161"/>
      <c r="EA216" s="161"/>
      <c r="EB216" s="161"/>
      <c r="EC216" s="161"/>
      <c r="ED216" s="161"/>
      <c r="EE216" s="135"/>
      <c r="EF216" s="135"/>
      <c r="EG216" s="135"/>
      <c r="EH216" s="135"/>
      <c r="EI216" s="135"/>
      <c r="EJ216" s="135"/>
      <c r="EK216" s="136"/>
      <c r="EL216" s="136"/>
      <c r="EM216" s="136"/>
      <c r="EN216" s="136"/>
      <c r="EO216" s="136"/>
      <c r="EP216" s="136"/>
      <c r="EQ216" s="136"/>
      <c r="ER216" s="136"/>
      <c r="ES216" s="135"/>
      <c r="ET216" s="135"/>
      <c r="EU216" s="135"/>
      <c r="EV216" s="135"/>
      <c r="EW216" s="135"/>
      <c r="EX216" s="135"/>
      <c r="EY216" s="136"/>
      <c r="EZ216" s="136"/>
      <c r="FA216" s="161"/>
      <c r="FB216" s="161"/>
      <c r="FC216" s="161"/>
      <c r="FD216" s="161"/>
      <c r="FE216" s="161"/>
      <c r="FF216" s="161"/>
      <c r="FG216" s="135"/>
      <c r="FH216" s="135"/>
      <c r="FI216" s="135"/>
      <c r="FJ216" s="135"/>
      <c r="FK216" s="135"/>
      <c r="FL216" s="135"/>
      <c r="FM216" s="136"/>
      <c r="FN216" s="136"/>
      <c r="FO216" s="161"/>
      <c r="FP216" s="161"/>
      <c r="FQ216" s="161"/>
      <c r="FR216" s="161"/>
      <c r="FS216" s="161"/>
      <c r="FT216" s="161"/>
      <c r="FU216" s="135"/>
      <c r="FV216" s="135"/>
      <c r="FW216" s="135"/>
      <c r="FX216" s="135"/>
      <c r="FY216" s="135"/>
      <c r="FZ216" s="135"/>
      <c r="GA216" s="136"/>
      <c r="GB216" s="136"/>
      <c r="GC216" s="161"/>
      <c r="GD216" s="161"/>
      <c r="GE216" s="161"/>
      <c r="GF216" s="161"/>
      <c r="GG216" s="161"/>
      <c r="GH216" s="161"/>
      <c r="GI216" s="135"/>
      <c r="GJ216" s="135"/>
      <c r="GK216" s="135"/>
      <c r="GL216" s="135"/>
      <c r="GM216" s="135"/>
      <c r="GN216" s="135"/>
    </row>
    <row r="217" spans="1:196">
      <c r="A217" s="140"/>
      <c r="B217" s="126" t="s">
        <v>1066</v>
      </c>
      <c r="C217" s="126" t="s">
        <v>680</v>
      </c>
      <c r="D217" s="119"/>
      <c r="E217" s="119" t="e">
        <f>VLOOKUP(C217,#REF!,5,0)</f>
        <v>#REF!</v>
      </c>
      <c r="F217" s="107"/>
      <c r="G217" s="127">
        <v>906</v>
      </c>
      <c r="H217" s="6"/>
      <c r="I217" s="125">
        <v>46242</v>
      </c>
      <c r="J217" s="13">
        <f t="shared" si="189"/>
        <v>0</v>
      </c>
      <c r="K217" s="124" t="s">
        <v>1148</v>
      </c>
      <c r="L217" s="161"/>
      <c r="M217" s="136"/>
      <c r="N217" s="136"/>
      <c r="O217" s="136"/>
      <c r="P217" s="136"/>
      <c r="Q217" s="136"/>
      <c r="R217" s="136"/>
      <c r="S217" s="161"/>
      <c r="T217" s="161"/>
      <c r="U217" s="161"/>
      <c r="V217" s="161"/>
      <c r="W217" s="135"/>
      <c r="X217" s="135"/>
      <c r="Y217" s="161"/>
      <c r="Z217" s="161"/>
      <c r="AA217" s="161"/>
      <c r="AB217" s="161"/>
      <c r="AC217" s="136"/>
      <c r="AD217" s="136"/>
      <c r="AE217" s="135"/>
      <c r="AF217" s="135"/>
      <c r="AG217" s="135"/>
      <c r="AH217" s="135"/>
      <c r="AI217" s="161"/>
      <c r="AJ217" s="135"/>
      <c r="AK217" s="161"/>
      <c r="AL217" s="135"/>
      <c r="AM217" s="135"/>
      <c r="AN217" s="135"/>
      <c r="AO217" s="135"/>
      <c r="AP217" s="135"/>
      <c r="AQ217" s="136"/>
      <c r="AR217" s="136"/>
      <c r="AS217" s="161"/>
      <c r="AT217" s="161"/>
      <c r="AU217" s="161"/>
      <c r="AV217" s="161"/>
      <c r="AW217" s="161"/>
      <c r="AX217" s="161"/>
      <c r="AY217" s="161"/>
      <c r="AZ217" s="135"/>
      <c r="BA217" s="161"/>
      <c r="BB217" s="135"/>
      <c r="BC217" s="161"/>
      <c r="BD217" s="135"/>
      <c r="BE217" s="136"/>
      <c r="BF217" s="136"/>
      <c r="BG217" s="161"/>
      <c r="BH217" s="161"/>
      <c r="BI217" s="161"/>
      <c r="BJ217" s="161"/>
      <c r="BK217" s="161"/>
      <c r="BL217" s="161"/>
      <c r="BM217" s="161"/>
      <c r="BN217" s="135"/>
      <c r="BO217" s="135"/>
      <c r="BP217" s="161"/>
      <c r="BQ217" s="135"/>
      <c r="BR217" s="135"/>
      <c r="BS217" s="136"/>
      <c r="BT217" s="136"/>
      <c r="BU217" s="161"/>
      <c r="BV217" s="161"/>
      <c r="BW217" s="161"/>
      <c r="BX217" s="161"/>
      <c r="BY217" s="161"/>
      <c r="BZ217" s="161"/>
      <c r="CA217" s="161"/>
      <c r="CB217" s="161"/>
      <c r="CC217" s="161"/>
      <c r="CD217" s="161"/>
      <c r="CE217" s="161"/>
      <c r="CF217" s="161"/>
      <c r="CG217" s="136"/>
      <c r="CH217" s="136"/>
      <c r="CI217" s="161"/>
      <c r="CJ217" s="161"/>
      <c r="CK217" s="161"/>
      <c r="CL217" s="161"/>
      <c r="CM217" s="135"/>
      <c r="CN217" s="161"/>
      <c r="CO217" s="161"/>
      <c r="CP217" s="161"/>
      <c r="CQ217" s="135"/>
      <c r="CR217" s="161"/>
      <c r="CS217" s="161"/>
      <c r="CT217" s="161"/>
      <c r="CU217" s="136"/>
      <c r="CV217" s="136"/>
      <c r="CW217" s="161">
        <v>906</v>
      </c>
      <c r="CX217" s="161"/>
      <c r="CY217" s="161"/>
      <c r="CZ217" s="161"/>
      <c r="DA217" s="161"/>
      <c r="DB217" s="161"/>
      <c r="DC217" s="135"/>
      <c r="DD217" s="161"/>
      <c r="DE217" s="161"/>
      <c r="DF217" s="161"/>
      <c r="DG217" s="135"/>
      <c r="DH217" s="135"/>
      <c r="DI217" s="136"/>
      <c r="DJ217" s="136"/>
      <c r="DK217" s="161"/>
      <c r="DL217" s="161"/>
      <c r="DM217" s="161"/>
      <c r="DN217" s="161"/>
      <c r="DO217" s="161"/>
      <c r="DP217" s="161"/>
      <c r="DQ217" s="135"/>
      <c r="DR217" s="135"/>
      <c r="DS217" s="135"/>
      <c r="DT217" s="135"/>
      <c r="DU217" s="135"/>
      <c r="DV217" s="135"/>
      <c r="DW217" s="136"/>
      <c r="DX217" s="136"/>
      <c r="DY217" s="161"/>
      <c r="DZ217" s="161"/>
      <c r="EA217" s="161"/>
      <c r="EB217" s="161"/>
      <c r="EC217" s="161"/>
      <c r="ED217" s="161"/>
      <c r="EE217" s="135"/>
      <c r="EF217" s="135"/>
      <c r="EG217" s="135"/>
      <c r="EH217" s="135"/>
      <c r="EI217" s="135"/>
      <c r="EJ217" s="135"/>
      <c r="EK217" s="136"/>
      <c r="EL217" s="136"/>
      <c r="EM217" s="136"/>
      <c r="EN217" s="136"/>
      <c r="EO217" s="136"/>
      <c r="EP217" s="136"/>
      <c r="EQ217" s="136"/>
      <c r="ER217" s="136"/>
      <c r="ES217" s="135"/>
      <c r="ET217" s="135"/>
      <c r="EU217" s="135"/>
      <c r="EV217" s="135"/>
      <c r="EW217" s="135"/>
      <c r="EX217" s="135"/>
      <c r="EY217" s="136"/>
      <c r="EZ217" s="136"/>
      <c r="FA217" s="161"/>
      <c r="FB217" s="161"/>
      <c r="FC217" s="161"/>
      <c r="FD217" s="161"/>
      <c r="FE217" s="161"/>
      <c r="FF217" s="161"/>
      <c r="FG217" s="135"/>
      <c r="FH217" s="135"/>
      <c r="FI217" s="135"/>
      <c r="FJ217" s="135"/>
      <c r="FK217" s="135"/>
      <c r="FL217" s="135"/>
      <c r="FM217" s="136"/>
      <c r="FN217" s="136"/>
      <c r="FO217" s="161"/>
      <c r="FP217" s="161"/>
      <c r="FQ217" s="161"/>
      <c r="FR217" s="161"/>
      <c r="FS217" s="161"/>
      <c r="FT217" s="161"/>
      <c r="FU217" s="135"/>
      <c r="FV217" s="135"/>
      <c r="FW217" s="135"/>
      <c r="FX217" s="135"/>
      <c r="FY217" s="135"/>
      <c r="FZ217" s="135"/>
      <c r="GA217" s="136"/>
      <c r="GB217" s="136"/>
      <c r="GC217" s="161"/>
      <c r="GD217" s="161"/>
      <c r="GE217" s="161"/>
      <c r="GF217" s="161"/>
      <c r="GG217" s="161"/>
      <c r="GH217" s="161"/>
      <c r="GI217" s="135"/>
      <c r="GJ217" s="135"/>
      <c r="GK217" s="135"/>
      <c r="GL217" s="135"/>
      <c r="GM217" s="135"/>
      <c r="GN217" s="135"/>
    </row>
    <row r="218" spans="1:196">
      <c r="A218" s="140"/>
      <c r="B218" s="142" t="s">
        <v>1105</v>
      </c>
      <c r="C218" s="143">
        <v>352761220395</v>
      </c>
      <c r="D218" s="119"/>
      <c r="E218" s="119"/>
      <c r="F218" s="148"/>
      <c r="G218" s="144">
        <v>50</v>
      </c>
      <c r="H218" s="148"/>
      <c r="I218" s="145" t="s">
        <v>1107</v>
      </c>
      <c r="J218" s="146">
        <f>G218-SUM(L218:FL218)</f>
        <v>0</v>
      </c>
      <c r="K218" s="147" t="s">
        <v>1106</v>
      </c>
      <c r="L218" s="161"/>
      <c r="M218" s="136"/>
      <c r="N218" s="136"/>
      <c r="O218" s="136"/>
      <c r="P218" s="136"/>
      <c r="Q218" s="136"/>
      <c r="R218" s="136"/>
      <c r="S218" s="161"/>
      <c r="T218" s="161"/>
      <c r="U218" s="161"/>
      <c r="V218" s="161"/>
      <c r="W218" s="135"/>
      <c r="X218" s="135"/>
      <c r="Y218" s="135"/>
      <c r="Z218" s="135"/>
      <c r="AA218" s="135"/>
      <c r="AB218" s="135"/>
      <c r="AC218" s="136"/>
      <c r="AD218" s="136"/>
      <c r="AE218" s="161"/>
      <c r="AF218" s="161"/>
      <c r="AG218" s="161"/>
      <c r="AH218" s="161"/>
      <c r="AI218" s="161"/>
      <c r="AJ218" s="161"/>
      <c r="AK218" s="135"/>
      <c r="AL218" s="135"/>
      <c r="AM218" s="135"/>
      <c r="AN218" s="135"/>
      <c r="AO218" s="135"/>
      <c r="AP218" s="135"/>
      <c r="AQ218" s="136"/>
      <c r="AR218" s="136"/>
      <c r="AS218" s="161"/>
      <c r="AT218" s="161"/>
      <c r="AU218" s="161"/>
      <c r="AV218" s="161"/>
      <c r="AW218" s="161"/>
      <c r="AX218" s="161"/>
      <c r="AY218" s="135"/>
      <c r="AZ218" s="135"/>
      <c r="BA218" s="135"/>
      <c r="BB218" s="135"/>
      <c r="BC218" s="135"/>
      <c r="BD218" s="135"/>
      <c r="BE218" s="136"/>
      <c r="BF218" s="136"/>
      <c r="BG218" s="161"/>
      <c r="BH218" s="161"/>
      <c r="BI218" s="161"/>
      <c r="BJ218" s="161"/>
      <c r="BK218" s="161"/>
      <c r="BL218" s="161"/>
      <c r="BM218" s="135"/>
      <c r="BN218" s="135"/>
      <c r="BO218" s="135"/>
      <c r="BP218" s="135"/>
      <c r="BQ218" s="135"/>
      <c r="BR218" s="135"/>
      <c r="BS218" s="136"/>
      <c r="BT218" s="136"/>
      <c r="BU218" s="161"/>
      <c r="BV218" s="161"/>
      <c r="BW218" s="161"/>
      <c r="BX218" s="161"/>
      <c r="BY218" s="161"/>
      <c r="BZ218" s="161"/>
      <c r="CA218" s="135"/>
      <c r="CB218" s="135"/>
      <c r="CC218" s="135"/>
      <c r="CD218" s="135"/>
      <c r="CE218" s="135"/>
      <c r="CF218" s="135"/>
      <c r="CG218" s="136"/>
      <c r="CH218" s="136"/>
      <c r="CI218" s="161"/>
      <c r="CJ218" s="161"/>
      <c r="CK218" s="161"/>
      <c r="CL218" s="161"/>
      <c r="CM218" s="161"/>
      <c r="CN218" s="161"/>
      <c r="CO218" s="161"/>
      <c r="CP218" s="161"/>
      <c r="CQ218" s="161"/>
      <c r="CR218" s="161"/>
      <c r="CS218" s="161"/>
      <c r="CT218" s="161"/>
      <c r="CU218" s="136"/>
      <c r="CV218" s="136"/>
      <c r="CW218" s="161">
        <v>50</v>
      </c>
      <c r="CX218" s="161"/>
      <c r="CY218" s="161"/>
      <c r="CZ218" s="161"/>
      <c r="DA218" s="161"/>
      <c r="DB218" s="161"/>
      <c r="DC218" s="161"/>
      <c r="DD218" s="161"/>
      <c r="DE218" s="161"/>
      <c r="DF218" s="161"/>
      <c r="DG218" s="161"/>
      <c r="DH218" s="161"/>
      <c r="DI218" s="136"/>
      <c r="DJ218" s="136"/>
      <c r="DK218" s="161"/>
      <c r="DL218" s="161"/>
      <c r="DM218" s="161"/>
      <c r="DN218" s="161"/>
      <c r="DO218" s="161"/>
      <c r="DP218" s="161"/>
      <c r="DQ218" s="161"/>
      <c r="DR218" s="135"/>
      <c r="DS218" s="135"/>
      <c r="DT218" s="135"/>
      <c r="DU218" s="135"/>
      <c r="DV218" s="135"/>
      <c r="DW218" s="136"/>
      <c r="DX218" s="136"/>
      <c r="DY218" s="161"/>
      <c r="DZ218" s="161"/>
      <c r="EA218" s="161"/>
      <c r="EB218" s="161"/>
      <c r="EC218" s="161"/>
      <c r="ED218" s="161"/>
      <c r="EE218" s="135"/>
      <c r="EF218" s="135"/>
      <c r="EG218" s="135"/>
      <c r="EH218" s="135"/>
      <c r="EI218" s="135"/>
      <c r="EJ218" s="135"/>
      <c r="EK218" s="136"/>
      <c r="EL218" s="136"/>
      <c r="EM218" s="136"/>
      <c r="EN218" s="136"/>
      <c r="EO218" s="136"/>
      <c r="EP218" s="136"/>
      <c r="EQ218" s="136"/>
      <c r="ER218" s="136"/>
      <c r="ES218" s="135"/>
      <c r="ET218" s="135"/>
      <c r="EU218" s="135"/>
      <c r="EV218" s="135"/>
      <c r="EW218" s="135"/>
      <c r="EX218" s="135"/>
      <c r="EY218" s="136"/>
      <c r="EZ218" s="136"/>
      <c r="FA218" s="161"/>
      <c r="FB218" s="161"/>
      <c r="FC218" s="161"/>
      <c r="FD218" s="161"/>
      <c r="FE218" s="161"/>
      <c r="FF218" s="161"/>
      <c r="FG218" s="135"/>
      <c r="FH218" s="135"/>
      <c r="FI218" s="135"/>
      <c r="FJ218" s="135"/>
      <c r="FK218" s="135"/>
      <c r="FL218" s="135"/>
      <c r="FM218" s="136"/>
      <c r="FN218" s="136"/>
      <c r="FO218" s="161"/>
      <c r="FP218" s="161"/>
      <c r="FQ218" s="161"/>
      <c r="FR218" s="161"/>
      <c r="FS218" s="161"/>
      <c r="FT218" s="161"/>
      <c r="FU218" s="135"/>
      <c r="FV218" s="135"/>
      <c r="FW218" s="135"/>
      <c r="FX218" s="135"/>
      <c r="FY218" s="135"/>
      <c r="FZ218" s="135"/>
      <c r="GA218" s="136"/>
      <c r="GB218" s="136"/>
      <c r="GC218" s="161"/>
      <c r="GD218" s="161"/>
      <c r="GE218" s="161"/>
      <c r="GF218" s="161"/>
      <c r="GG218" s="161"/>
      <c r="GH218" s="161"/>
      <c r="GI218" s="135"/>
      <c r="GJ218" s="135"/>
      <c r="GK218" s="135"/>
      <c r="GL218" s="135"/>
      <c r="GM218" s="135"/>
      <c r="GN218" s="135"/>
    </row>
    <row r="219" spans="1:196" ht="14" customHeight="1">
      <c r="A219" s="140"/>
      <c r="B219" s="126" t="s">
        <v>1064</v>
      </c>
      <c r="C219" s="126" t="s">
        <v>640</v>
      </c>
      <c r="D219" s="119"/>
      <c r="E219" s="119" t="e">
        <f>VLOOKUP(C219,#REF!,5,0)</f>
        <v>#REF!</v>
      </c>
      <c r="F219" s="107"/>
      <c r="G219" s="127">
        <v>2730</v>
      </c>
      <c r="H219" s="6" t="s">
        <v>1220</v>
      </c>
      <c r="I219" s="125">
        <v>46242</v>
      </c>
      <c r="J219" s="13">
        <f t="shared" si="189"/>
        <v>0</v>
      </c>
      <c r="K219" s="163"/>
      <c r="L219" s="161"/>
      <c r="M219" s="136"/>
      <c r="N219" s="136"/>
      <c r="O219" s="136"/>
      <c r="P219" s="136"/>
      <c r="Q219" s="136"/>
      <c r="R219" s="136"/>
      <c r="S219" s="161"/>
      <c r="T219" s="161"/>
      <c r="U219" s="161"/>
      <c r="V219" s="161"/>
      <c r="W219" s="135"/>
      <c r="X219" s="135"/>
      <c r="Y219" s="161"/>
      <c r="Z219" s="161"/>
      <c r="AA219" s="161"/>
      <c r="AB219" s="161"/>
      <c r="AC219" s="136"/>
      <c r="AD219" s="136"/>
      <c r="AE219" s="135"/>
      <c r="AF219" s="135"/>
      <c r="AG219" s="135"/>
      <c r="AH219" s="135"/>
      <c r="AI219" s="161"/>
      <c r="AJ219" s="135"/>
      <c r="AK219" s="161"/>
      <c r="AL219" s="135"/>
      <c r="AM219" s="135"/>
      <c r="AN219" s="135"/>
      <c r="AO219" s="135"/>
      <c r="AP219" s="135"/>
      <c r="AQ219" s="136"/>
      <c r="AR219" s="136"/>
      <c r="AS219" s="161"/>
      <c r="AT219" s="161"/>
      <c r="AU219" s="161"/>
      <c r="AV219" s="161"/>
      <c r="AW219" s="161"/>
      <c r="AX219" s="161"/>
      <c r="AY219" s="161"/>
      <c r="AZ219" s="135"/>
      <c r="BA219" s="161"/>
      <c r="BB219" s="135"/>
      <c r="BC219" s="161"/>
      <c r="BD219" s="135"/>
      <c r="BE219" s="136"/>
      <c r="BF219" s="136"/>
      <c r="BG219" s="161"/>
      <c r="BH219" s="161"/>
      <c r="BI219" s="161"/>
      <c r="BJ219" s="161"/>
      <c r="BK219" s="161"/>
      <c r="BL219" s="161"/>
      <c r="BM219" s="161"/>
      <c r="BN219" s="135"/>
      <c r="BO219" s="135"/>
      <c r="BP219" s="161"/>
      <c r="BQ219" s="135"/>
      <c r="BR219" s="135"/>
      <c r="BS219" s="136"/>
      <c r="BT219" s="136"/>
      <c r="BU219" s="161"/>
      <c r="BV219" s="161"/>
      <c r="BW219" s="161"/>
      <c r="BX219" s="161"/>
      <c r="BY219" s="161"/>
      <c r="BZ219" s="161"/>
      <c r="CA219" s="161"/>
      <c r="CB219" s="161"/>
      <c r="CC219" s="161"/>
      <c r="CD219" s="161"/>
      <c r="CE219" s="161"/>
      <c r="CF219" s="161"/>
      <c r="CG219" s="136"/>
      <c r="CH219" s="136"/>
      <c r="CI219" s="161"/>
      <c r="CJ219" s="161"/>
      <c r="CK219" s="161"/>
      <c r="CL219" s="161"/>
      <c r="CM219" s="161"/>
      <c r="CN219" s="161"/>
      <c r="CO219" s="161"/>
      <c r="CP219" s="161"/>
      <c r="CQ219" s="135"/>
      <c r="CR219" s="161"/>
      <c r="CS219" s="161"/>
      <c r="CT219" s="161"/>
      <c r="CU219" s="136"/>
      <c r="CV219" s="136"/>
      <c r="CW219" s="161">
        <v>200</v>
      </c>
      <c r="CX219" s="161"/>
      <c r="CY219" s="161">
        <v>2530</v>
      </c>
      <c r="CZ219" s="161"/>
      <c r="DA219" s="135"/>
      <c r="DB219" s="161"/>
      <c r="DC219" s="161"/>
      <c r="DD219" s="161"/>
      <c r="DE219" s="161"/>
      <c r="DF219" s="161"/>
      <c r="DG219" s="135"/>
      <c r="DH219" s="135"/>
      <c r="DI219" s="136"/>
      <c r="DJ219" s="136"/>
      <c r="DK219" s="161"/>
      <c r="DL219" s="161"/>
      <c r="DM219" s="161"/>
      <c r="DN219" s="161"/>
      <c r="DO219" s="161"/>
      <c r="DP219" s="161"/>
      <c r="DQ219" s="135"/>
      <c r="DR219" s="135"/>
      <c r="DS219" s="135"/>
      <c r="DT219" s="135"/>
      <c r="DU219" s="135"/>
      <c r="DV219" s="135"/>
      <c r="DW219" s="136"/>
      <c r="DX219" s="136"/>
      <c r="DY219" s="161"/>
      <c r="DZ219" s="161"/>
      <c r="EA219" s="161"/>
      <c r="EB219" s="161"/>
      <c r="EC219" s="161"/>
      <c r="ED219" s="161"/>
      <c r="EE219" s="135"/>
      <c r="EF219" s="135"/>
      <c r="EG219" s="135"/>
      <c r="EH219" s="135"/>
      <c r="EI219" s="135"/>
      <c r="EJ219" s="135"/>
      <c r="EK219" s="136"/>
      <c r="EL219" s="136"/>
      <c r="EM219" s="136"/>
      <c r="EN219" s="136"/>
      <c r="EO219" s="136"/>
      <c r="EP219" s="136"/>
      <c r="EQ219" s="136"/>
      <c r="ER219" s="136"/>
      <c r="ES219" s="135"/>
      <c r="ET219" s="135"/>
      <c r="EU219" s="135"/>
      <c r="EV219" s="135"/>
      <c r="EW219" s="135"/>
      <c r="EX219" s="135"/>
      <c r="EY219" s="136"/>
      <c r="EZ219" s="136"/>
      <c r="FA219" s="161"/>
      <c r="FB219" s="161"/>
      <c r="FC219" s="161"/>
      <c r="FD219" s="161"/>
      <c r="FE219" s="161"/>
      <c r="FF219" s="161"/>
      <c r="FG219" s="135"/>
      <c r="FH219" s="135"/>
      <c r="FI219" s="135"/>
      <c r="FJ219" s="135"/>
      <c r="FK219" s="135"/>
      <c r="FL219" s="135"/>
      <c r="FM219" s="136"/>
      <c r="FN219" s="136"/>
      <c r="FO219" s="161"/>
      <c r="FP219" s="161"/>
      <c r="FQ219" s="161"/>
      <c r="FR219" s="161"/>
      <c r="FS219" s="161"/>
      <c r="FT219" s="161"/>
      <c r="FU219" s="135"/>
      <c r="FV219" s="135"/>
      <c r="FW219" s="135"/>
      <c r="FX219" s="135"/>
      <c r="FY219" s="135"/>
      <c r="FZ219" s="135"/>
      <c r="GA219" s="136"/>
      <c r="GB219" s="136"/>
      <c r="GC219" s="161"/>
      <c r="GD219" s="161"/>
      <c r="GE219" s="161"/>
      <c r="GF219" s="161"/>
      <c r="GG219" s="161"/>
      <c r="GH219" s="161"/>
      <c r="GI219" s="135"/>
      <c r="GJ219" s="135"/>
      <c r="GK219" s="135"/>
      <c r="GL219" s="135"/>
      <c r="GM219" s="135"/>
      <c r="GN219" s="135"/>
    </row>
    <row r="220" spans="1:196">
      <c r="A220" s="140"/>
      <c r="B220" s="126" t="s">
        <v>1121</v>
      </c>
      <c r="C220" s="126" t="s">
        <v>133</v>
      </c>
      <c r="D220" s="119"/>
      <c r="E220" s="119"/>
      <c r="F220" s="107"/>
      <c r="G220" s="127">
        <v>1325</v>
      </c>
      <c r="H220" s="6"/>
      <c r="I220" s="125">
        <v>46249</v>
      </c>
      <c r="J220" s="13">
        <f t="shared" si="189"/>
        <v>0</v>
      </c>
      <c r="K220" s="163"/>
      <c r="L220" s="161"/>
      <c r="M220" s="136"/>
      <c r="N220" s="136"/>
      <c r="O220" s="136"/>
      <c r="P220" s="136"/>
      <c r="Q220" s="136"/>
      <c r="R220" s="136"/>
      <c r="S220" s="161"/>
      <c r="T220" s="161"/>
      <c r="U220" s="161"/>
      <c r="V220" s="161"/>
      <c r="W220" s="135"/>
      <c r="X220" s="135"/>
      <c r="Y220" s="161"/>
      <c r="Z220" s="161"/>
      <c r="AA220" s="161"/>
      <c r="AB220" s="161"/>
      <c r="AC220" s="136"/>
      <c r="AD220" s="136"/>
      <c r="AE220" s="135"/>
      <c r="AF220" s="135"/>
      <c r="AG220" s="135"/>
      <c r="AH220" s="135"/>
      <c r="AI220" s="161"/>
      <c r="AJ220" s="135"/>
      <c r="AK220" s="161"/>
      <c r="AL220" s="135"/>
      <c r="AM220" s="135"/>
      <c r="AN220" s="135"/>
      <c r="AO220" s="135"/>
      <c r="AP220" s="135"/>
      <c r="AQ220" s="136"/>
      <c r="AR220" s="136"/>
      <c r="AS220" s="161"/>
      <c r="AT220" s="161"/>
      <c r="AU220" s="161"/>
      <c r="AV220" s="161"/>
      <c r="AW220" s="161"/>
      <c r="AX220" s="161"/>
      <c r="AY220" s="161"/>
      <c r="AZ220" s="135"/>
      <c r="BA220" s="161"/>
      <c r="BB220" s="135"/>
      <c r="BC220" s="161"/>
      <c r="BD220" s="135"/>
      <c r="BE220" s="136"/>
      <c r="BF220" s="136"/>
      <c r="BG220" s="161"/>
      <c r="BH220" s="161"/>
      <c r="BI220" s="161"/>
      <c r="BJ220" s="161"/>
      <c r="BK220" s="161"/>
      <c r="BL220" s="161"/>
      <c r="BM220" s="161"/>
      <c r="BN220" s="135"/>
      <c r="BO220" s="135"/>
      <c r="BP220" s="135"/>
      <c r="BQ220" s="135"/>
      <c r="BR220" s="135"/>
      <c r="BS220" s="136"/>
      <c r="BT220" s="136"/>
      <c r="BU220" s="161"/>
      <c r="BV220" s="161"/>
      <c r="BW220" s="161"/>
      <c r="BX220" s="161"/>
      <c r="BY220" s="161"/>
      <c r="BZ220" s="161"/>
      <c r="CA220" s="135"/>
      <c r="CB220" s="135"/>
      <c r="CC220" s="135"/>
      <c r="CD220" s="135"/>
      <c r="CE220" s="135"/>
      <c r="CF220" s="135"/>
      <c r="CG220" s="136"/>
      <c r="CH220" s="136"/>
      <c r="CI220" s="161"/>
      <c r="CJ220" s="161"/>
      <c r="CK220" s="161"/>
      <c r="CL220" s="161"/>
      <c r="CM220" s="161"/>
      <c r="CN220" s="161"/>
      <c r="CO220" s="161"/>
      <c r="CP220" s="161"/>
      <c r="CQ220" s="135"/>
      <c r="CR220" s="161"/>
      <c r="CS220" s="135"/>
      <c r="CT220" s="161"/>
      <c r="CU220" s="136"/>
      <c r="CV220" s="136"/>
      <c r="CW220" s="161"/>
      <c r="CX220" s="161"/>
      <c r="CY220" s="161"/>
      <c r="CZ220" s="161"/>
      <c r="DA220" s="135"/>
      <c r="DB220" s="161"/>
      <c r="DC220" s="161"/>
      <c r="DD220" s="161"/>
      <c r="DE220" s="161"/>
      <c r="DF220" s="161"/>
      <c r="DG220" s="161"/>
      <c r="DH220" s="161"/>
      <c r="DI220" s="136"/>
      <c r="DJ220" s="136"/>
      <c r="DK220" s="161">
        <v>1325</v>
      </c>
      <c r="DL220" s="161"/>
      <c r="DM220" s="161"/>
      <c r="DN220" s="135"/>
      <c r="DO220" s="161"/>
      <c r="DP220" s="135"/>
      <c r="DQ220" s="135"/>
      <c r="DR220" s="135"/>
      <c r="DS220" s="135"/>
      <c r="DT220" s="135"/>
      <c r="DU220" s="135"/>
      <c r="DV220" s="135"/>
      <c r="DW220" s="136"/>
      <c r="DX220" s="136"/>
      <c r="DY220" s="161"/>
      <c r="DZ220" s="161"/>
      <c r="EA220" s="161"/>
      <c r="EB220" s="161"/>
      <c r="EC220" s="161"/>
      <c r="ED220" s="161"/>
      <c r="EE220" s="135"/>
      <c r="EF220" s="135"/>
      <c r="EG220" s="135"/>
      <c r="EH220" s="135"/>
      <c r="EI220" s="135"/>
      <c r="EJ220" s="135"/>
      <c r="EK220" s="136"/>
      <c r="EL220" s="136"/>
      <c r="EM220" s="136"/>
      <c r="EN220" s="136"/>
      <c r="EO220" s="136"/>
      <c r="EP220" s="136"/>
      <c r="EQ220" s="136"/>
      <c r="ER220" s="136"/>
      <c r="ES220" s="135"/>
      <c r="ET220" s="135"/>
      <c r="EU220" s="135"/>
      <c r="EV220" s="135"/>
      <c r="EW220" s="135"/>
      <c r="EX220" s="135"/>
      <c r="EY220" s="136"/>
      <c r="EZ220" s="136"/>
      <c r="FA220" s="161"/>
      <c r="FB220" s="161"/>
      <c r="FC220" s="161"/>
      <c r="FD220" s="161"/>
      <c r="FE220" s="161"/>
      <c r="FF220" s="161"/>
      <c r="FG220" s="135"/>
      <c r="FH220" s="135"/>
      <c r="FI220" s="135"/>
      <c r="FJ220" s="135"/>
      <c r="FK220" s="135"/>
      <c r="FL220" s="135"/>
      <c r="FM220" s="136"/>
      <c r="FN220" s="136"/>
      <c r="FO220" s="161"/>
      <c r="FP220" s="161"/>
      <c r="FQ220" s="161"/>
      <c r="FR220" s="161"/>
      <c r="FS220" s="161"/>
      <c r="FT220" s="161"/>
      <c r="FU220" s="135"/>
      <c r="FV220" s="135"/>
      <c r="FW220" s="135"/>
      <c r="FX220" s="135"/>
      <c r="FY220" s="135"/>
      <c r="FZ220" s="135"/>
      <c r="GA220" s="136"/>
      <c r="GB220" s="136"/>
      <c r="GC220" s="161"/>
      <c r="GD220" s="161"/>
      <c r="GE220" s="161"/>
      <c r="GF220" s="161"/>
      <c r="GG220" s="161"/>
      <c r="GH220" s="161"/>
      <c r="GI220" s="135"/>
      <c r="GJ220" s="135"/>
      <c r="GK220" s="135"/>
      <c r="GL220" s="135"/>
      <c r="GM220" s="135"/>
      <c r="GN220" s="135"/>
    </row>
    <row r="221" spans="1:196">
      <c r="A221" s="140"/>
      <c r="B221" s="126" t="s">
        <v>1002</v>
      </c>
      <c r="C221" s="126" t="s">
        <v>711</v>
      </c>
      <c r="D221" s="119"/>
      <c r="E221" s="119" t="e">
        <f>VLOOKUP(C221,#REF!,5,0)</f>
        <v>#REF!</v>
      </c>
      <c r="F221" s="107"/>
      <c r="G221" s="127">
        <v>664</v>
      </c>
      <c r="H221" s="6"/>
      <c r="I221" s="125">
        <v>46249</v>
      </c>
      <c r="J221" s="13">
        <f t="shared" si="189"/>
        <v>0</v>
      </c>
      <c r="K221" s="163" t="s">
        <v>1162</v>
      </c>
      <c r="L221" s="161"/>
      <c r="M221" s="136"/>
      <c r="N221" s="136"/>
      <c r="O221" s="136"/>
      <c r="P221" s="136"/>
      <c r="Q221" s="136"/>
      <c r="R221" s="136"/>
      <c r="S221" s="161"/>
      <c r="T221" s="161"/>
      <c r="U221" s="161"/>
      <c r="V221" s="161"/>
      <c r="W221" s="135"/>
      <c r="X221" s="135"/>
      <c r="Y221" s="161"/>
      <c r="Z221" s="161"/>
      <c r="AA221" s="161"/>
      <c r="AB221" s="161"/>
      <c r="AC221" s="136"/>
      <c r="AD221" s="136"/>
      <c r="AE221" s="135"/>
      <c r="AF221" s="135"/>
      <c r="AG221" s="135"/>
      <c r="AH221" s="135"/>
      <c r="AI221" s="161"/>
      <c r="AJ221" s="135"/>
      <c r="AK221" s="161"/>
      <c r="AL221" s="135"/>
      <c r="AM221" s="135"/>
      <c r="AN221" s="135"/>
      <c r="AO221" s="135"/>
      <c r="AP221" s="135"/>
      <c r="AQ221" s="136"/>
      <c r="AR221" s="136"/>
      <c r="AS221" s="161"/>
      <c r="AT221" s="161"/>
      <c r="AU221" s="161"/>
      <c r="AV221" s="161"/>
      <c r="AW221" s="161"/>
      <c r="AX221" s="161"/>
      <c r="AY221" s="161"/>
      <c r="AZ221" s="135"/>
      <c r="BA221" s="161"/>
      <c r="BB221" s="135"/>
      <c r="BC221" s="161"/>
      <c r="BD221" s="135"/>
      <c r="BE221" s="136"/>
      <c r="BF221" s="136"/>
      <c r="BG221" s="161"/>
      <c r="BH221" s="161"/>
      <c r="BI221" s="161"/>
      <c r="BJ221" s="161"/>
      <c r="BK221" s="161"/>
      <c r="BL221" s="161"/>
      <c r="BM221" s="161"/>
      <c r="BN221" s="135"/>
      <c r="BO221" s="135"/>
      <c r="BP221" s="161"/>
      <c r="BQ221" s="161"/>
      <c r="BR221" s="135"/>
      <c r="BS221" s="136"/>
      <c r="BT221" s="136"/>
      <c r="BU221" s="161"/>
      <c r="BV221" s="161"/>
      <c r="BW221" s="161"/>
      <c r="BX221" s="161"/>
      <c r="BY221" s="161"/>
      <c r="BZ221" s="161"/>
      <c r="CA221" s="161"/>
      <c r="CB221" s="161"/>
      <c r="CC221" s="135"/>
      <c r="CD221" s="135"/>
      <c r="CE221" s="135"/>
      <c r="CF221" s="135"/>
      <c r="CG221" s="136"/>
      <c r="CH221" s="136"/>
      <c r="CI221" s="161"/>
      <c r="CJ221" s="161"/>
      <c r="CK221" s="161"/>
      <c r="CL221" s="161"/>
      <c r="CM221" s="161"/>
      <c r="CN221" s="161"/>
      <c r="CO221" s="161"/>
      <c r="CP221" s="161"/>
      <c r="CQ221" s="135"/>
      <c r="CR221" s="161"/>
      <c r="CS221" s="135"/>
      <c r="CT221" s="161"/>
      <c r="CU221" s="136"/>
      <c r="CV221" s="136"/>
      <c r="CW221" s="161"/>
      <c r="CX221" s="161"/>
      <c r="CY221" s="161"/>
      <c r="CZ221" s="161"/>
      <c r="DA221" s="135"/>
      <c r="DB221" s="161"/>
      <c r="DC221" s="161"/>
      <c r="DD221" s="161"/>
      <c r="DE221" s="161"/>
      <c r="DF221" s="161"/>
      <c r="DG221" s="161"/>
      <c r="DH221" s="161"/>
      <c r="DI221" s="136"/>
      <c r="DJ221" s="136"/>
      <c r="DK221" s="161">
        <v>664</v>
      </c>
      <c r="DL221" s="161"/>
      <c r="DM221" s="161"/>
      <c r="DN221" s="135"/>
      <c r="DO221" s="161"/>
      <c r="DP221" s="135"/>
      <c r="DQ221" s="135"/>
      <c r="DR221" s="135"/>
      <c r="DS221" s="135"/>
      <c r="DT221" s="135"/>
      <c r="DU221" s="135"/>
      <c r="DV221" s="135"/>
      <c r="DW221" s="136"/>
      <c r="DX221" s="136"/>
      <c r="DY221" s="161"/>
      <c r="DZ221" s="161"/>
      <c r="EA221" s="161"/>
      <c r="EB221" s="161"/>
      <c r="EC221" s="161"/>
      <c r="ED221" s="161"/>
      <c r="EE221" s="135"/>
      <c r="EF221" s="135"/>
      <c r="EG221" s="135"/>
      <c r="EH221" s="135"/>
      <c r="EI221" s="135"/>
      <c r="EJ221" s="135"/>
      <c r="EK221" s="136"/>
      <c r="EL221" s="136"/>
      <c r="EM221" s="136"/>
      <c r="EN221" s="136"/>
      <c r="EO221" s="136"/>
      <c r="EP221" s="136"/>
      <c r="EQ221" s="136"/>
      <c r="ER221" s="136"/>
      <c r="ES221" s="135"/>
      <c r="ET221" s="135"/>
      <c r="EU221" s="135"/>
      <c r="EV221" s="135"/>
      <c r="EW221" s="135"/>
      <c r="EX221" s="135"/>
      <c r="EY221" s="136"/>
      <c r="EZ221" s="136"/>
      <c r="FA221" s="161"/>
      <c r="FB221" s="161"/>
      <c r="FC221" s="161"/>
      <c r="FD221" s="161"/>
      <c r="FE221" s="161"/>
      <c r="FF221" s="161"/>
      <c r="FG221" s="135"/>
      <c r="FH221" s="135"/>
      <c r="FI221" s="135"/>
      <c r="FJ221" s="135"/>
      <c r="FK221" s="135"/>
      <c r="FL221" s="135"/>
      <c r="FM221" s="136"/>
      <c r="FN221" s="136"/>
      <c r="FO221" s="161"/>
      <c r="FP221" s="161"/>
      <c r="FQ221" s="161"/>
      <c r="FR221" s="161"/>
      <c r="FS221" s="161"/>
      <c r="FT221" s="161"/>
      <c r="FU221" s="135"/>
      <c r="FV221" s="135"/>
      <c r="FW221" s="135"/>
      <c r="FX221" s="135"/>
      <c r="FY221" s="135"/>
      <c r="FZ221" s="135"/>
      <c r="GA221" s="136"/>
      <c r="GB221" s="136"/>
      <c r="GC221" s="161"/>
      <c r="GD221" s="161"/>
      <c r="GE221" s="161"/>
      <c r="GF221" s="161"/>
      <c r="GG221" s="161"/>
      <c r="GH221" s="161"/>
      <c r="GI221" s="135"/>
      <c r="GJ221" s="135"/>
      <c r="GK221" s="135"/>
      <c r="GL221" s="135"/>
      <c r="GM221" s="135"/>
      <c r="GN221" s="135"/>
    </row>
    <row r="222" spans="1:196">
      <c r="A222" s="140"/>
      <c r="B222" s="126" t="s">
        <v>1139</v>
      </c>
      <c r="C222" s="126" t="s">
        <v>710</v>
      </c>
      <c r="D222" s="119"/>
      <c r="E222" s="119"/>
      <c r="F222" s="107"/>
      <c r="G222" s="127">
        <v>154</v>
      </c>
      <c r="H222" s="6"/>
      <c r="I222" s="125">
        <v>46249</v>
      </c>
      <c r="J222" s="13">
        <f t="shared" si="189"/>
        <v>0</v>
      </c>
      <c r="K222" s="163" t="s">
        <v>1203</v>
      </c>
      <c r="L222" s="161"/>
      <c r="M222" s="136"/>
      <c r="N222" s="136"/>
      <c r="O222" s="136"/>
      <c r="P222" s="136"/>
      <c r="Q222" s="136"/>
      <c r="R222" s="136"/>
      <c r="S222" s="161"/>
      <c r="T222" s="161"/>
      <c r="U222" s="161"/>
      <c r="V222" s="161"/>
      <c r="W222" s="135"/>
      <c r="X222" s="135"/>
      <c r="Y222" s="135"/>
      <c r="Z222" s="135"/>
      <c r="AA222" s="135"/>
      <c r="AB222" s="135"/>
      <c r="AC222" s="136"/>
      <c r="AD222" s="136"/>
      <c r="AE222" s="161"/>
      <c r="AF222" s="161"/>
      <c r="AG222" s="161"/>
      <c r="AH222" s="161"/>
      <c r="AI222" s="161"/>
      <c r="AJ222" s="161"/>
      <c r="AK222" s="135"/>
      <c r="AL222" s="135"/>
      <c r="AM222" s="135"/>
      <c r="AN222" s="135"/>
      <c r="AO222" s="135"/>
      <c r="AP222" s="135"/>
      <c r="AQ222" s="136"/>
      <c r="AR222" s="136"/>
      <c r="AS222" s="161"/>
      <c r="AT222" s="161"/>
      <c r="AU222" s="161"/>
      <c r="AV222" s="161"/>
      <c r="AW222" s="161"/>
      <c r="AX222" s="161"/>
      <c r="AY222" s="135"/>
      <c r="AZ222" s="135"/>
      <c r="BA222" s="135"/>
      <c r="BB222" s="135"/>
      <c r="BC222" s="135"/>
      <c r="BD222" s="135"/>
      <c r="BE222" s="136"/>
      <c r="BF222" s="136"/>
      <c r="BG222" s="161"/>
      <c r="BH222" s="161"/>
      <c r="BI222" s="161"/>
      <c r="BJ222" s="161"/>
      <c r="BK222" s="161"/>
      <c r="BL222" s="161"/>
      <c r="BM222" s="135"/>
      <c r="BN222" s="135"/>
      <c r="BO222" s="135"/>
      <c r="BP222" s="135"/>
      <c r="BQ222" s="135"/>
      <c r="BR222" s="135"/>
      <c r="BS222" s="136"/>
      <c r="BT222" s="136"/>
      <c r="BU222" s="161"/>
      <c r="BV222" s="161"/>
      <c r="BW222" s="161"/>
      <c r="BX222" s="161"/>
      <c r="BY222" s="161"/>
      <c r="BZ222" s="161"/>
      <c r="CA222" s="135"/>
      <c r="CB222" s="135"/>
      <c r="CC222" s="135"/>
      <c r="CD222" s="135"/>
      <c r="CE222" s="135"/>
      <c r="CF222" s="135"/>
      <c r="CG222" s="136"/>
      <c r="CH222" s="136"/>
      <c r="CI222" s="161"/>
      <c r="CJ222" s="161"/>
      <c r="CK222" s="161"/>
      <c r="CL222" s="161"/>
      <c r="CM222" s="161"/>
      <c r="CN222" s="161"/>
      <c r="CO222" s="161"/>
      <c r="CP222" s="161"/>
      <c r="CQ222" s="161"/>
      <c r="CR222" s="161"/>
      <c r="CS222" s="161"/>
      <c r="CT222" s="161"/>
      <c r="CU222" s="136"/>
      <c r="CV222" s="136"/>
      <c r="CW222" s="161"/>
      <c r="CX222" s="161"/>
      <c r="CY222" s="161"/>
      <c r="CZ222" s="161"/>
      <c r="DA222" s="161"/>
      <c r="DB222" s="161"/>
      <c r="DC222" s="161"/>
      <c r="DD222" s="161"/>
      <c r="DE222" s="161"/>
      <c r="DF222" s="161"/>
      <c r="DG222" s="161"/>
      <c r="DH222" s="161"/>
      <c r="DI222" s="136"/>
      <c r="DJ222" s="136"/>
      <c r="DK222" s="161"/>
      <c r="DL222" s="161"/>
      <c r="DM222" s="161">
        <v>154</v>
      </c>
      <c r="DN222" s="161"/>
      <c r="DO222" s="161"/>
      <c r="DP222" s="161"/>
      <c r="DQ222" s="161"/>
      <c r="DR222" s="135"/>
      <c r="DS222" s="135"/>
      <c r="DT222" s="135"/>
      <c r="DU222" s="135"/>
      <c r="DV222" s="135"/>
      <c r="DW222" s="136"/>
      <c r="DX222" s="136"/>
      <c r="DY222" s="161"/>
      <c r="DZ222" s="161"/>
      <c r="EA222" s="161"/>
      <c r="EB222" s="161"/>
      <c r="EC222" s="161"/>
      <c r="ED222" s="161"/>
      <c r="EE222" s="135"/>
      <c r="EF222" s="135"/>
      <c r="EG222" s="135"/>
      <c r="EH222" s="135"/>
      <c r="EI222" s="135"/>
      <c r="EJ222" s="135"/>
      <c r="EK222" s="136"/>
      <c r="EL222" s="136"/>
      <c r="EM222" s="136"/>
      <c r="EN222" s="136"/>
      <c r="EO222" s="136"/>
      <c r="EP222" s="136"/>
      <c r="EQ222" s="136"/>
      <c r="ER222" s="136"/>
      <c r="ES222" s="135"/>
      <c r="ET222" s="135"/>
      <c r="EU222" s="135"/>
      <c r="EV222" s="135"/>
      <c r="EW222" s="135"/>
      <c r="EX222" s="135"/>
      <c r="EY222" s="136"/>
      <c r="EZ222" s="136"/>
      <c r="FA222" s="161"/>
      <c r="FB222" s="161"/>
      <c r="FC222" s="161"/>
      <c r="FD222" s="161"/>
      <c r="FE222" s="161"/>
      <c r="FF222" s="161"/>
      <c r="FG222" s="135"/>
      <c r="FH222" s="135"/>
      <c r="FI222" s="135"/>
      <c r="FJ222" s="135"/>
      <c r="FK222" s="135"/>
      <c r="FL222" s="135"/>
      <c r="FM222" s="136"/>
      <c r="FN222" s="136"/>
      <c r="FO222" s="161"/>
      <c r="FP222" s="161"/>
      <c r="FQ222" s="161"/>
      <c r="FR222" s="161"/>
      <c r="FS222" s="161"/>
      <c r="FT222" s="161"/>
      <c r="FU222" s="135"/>
      <c r="FV222" s="135"/>
      <c r="FW222" s="135"/>
      <c r="FX222" s="135"/>
      <c r="FY222" s="135"/>
      <c r="FZ222" s="135"/>
      <c r="GA222" s="136"/>
      <c r="GB222" s="136"/>
      <c r="GC222" s="161"/>
      <c r="GD222" s="161"/>
      <c r="GE222" s="161"/>
      <c r="GF222" s="161"/>
      <c r="GG222" s="161"/>
      <c r="GH222" s="161"/>
      <c r="GI222" s="135"/>
      <c r="GJ222" s="135"/>
      <c r="GK222" s="135"/>
      <c r="GL222" s="135"/>
      <c r="GM222" s="135"/>
      <c r="GN222" s="135"/>
    </row>
    <row r="223" spans="1:196">
      <c r="A223" s="140"/>
      <c r="B223" s="126" t="s">
        <v>1202</v>
      </c>
      <c r="C223" s="126" t="s">
        <v>710</v>
      </c>
      <c r="D223" s="119"/>
      <c r="E223" s="119"/>
      <c r="F223" s="107"/>
      <c r="G223" s="127">
        <v>461</v>
      </c>
      <c r="H223" s="6"/>
      <c r="I223" s="125">
        <v>46249</v>
      </c>
      <c r="J223" s="13">
        <f>G223-SUM(L223:FL223)</f>
        <v>0</v>
      </c>
      <c r="K223" s="163" t="s">
        <v>1204</v>
      </c>
      <c r="L223" s="161"/>
      <c r="M223" s="136"/>
      <c r="N223" s="136"/>
      <c r="O223" s="136"/>
      <c r="P223" s="136"/>
      <c r="Q223" s="136"/>
      <c r="R223" s="136"/>
      <c r="S223" s="161"/>
      <c r="T223" s="161"/>
      <c r="U223" s="161"/>
      <c r="V223" s="161"/>
      <c r="W223" s="135"/>
      <c r="X223" s="135"/>
      <c r="Y223" s="135"/>
      <c r="Z223" s="135"/>
      <c r="AA223" s="135"/>
      <c r="AB223" s="135"/>
      <c r="AC223" s="136"/>
      <c r="AD223" s="136"/>
      <c r="AE223" s="161"/>
      <c r="AF223" s="161"/>
      <c r="AG223" s="161"/>
      <c r="AH223" s="161"/>
      <c r="AI223" s="161"/>
      <c r="AJ223" s="161"/>
      <c r="AK223" s="135"/>
      <c r="AL223" s="135"/>
      <c r="AM223" s="135"/>
      <c r="AN223" s="135"/>
      <c r="AO223" s="135"/>
      <c r="AP223" s="135"/>
      <c r="AQ223" s="136"/>
      <c r="AR223" s="136"/>
      <c r="AS223" s="161"/>
      <c r="AT223" s="161"/>
      <c r="AU223" s="161"/>
      <c r="AV223" s="161"/>
      <c r="AW223" s="161"/>
      <c r="AX223" s="161"/>
      <c r="AY223" s="135"/>
      <c r="AZ223" s="135"/>
      <c r="BA223" s="135"/>
      <c r="BB223" s="135"/>
      <c r="BC223" s="135"/>
      <c r="BD223" s="135"/>
      <c r="BE223" s="136"/>
      <c r="BF223" s="136"/>
      <c r="BG223" s="161"/>
      <c r="BH223" s="161"/>
      <c r="BI223" s="161"/>
      <c r="BJ223" s="161"/>
      <c r="BK223" s="161"/>
      <c r="BL223" s="161"/>
      <c r="BM223" s="135"/>
      <c r="BN223" s="135"/>
      <c r="BO223" s="135"/>
      <c r="BP223" s="135"/>
      <c r="BQ223" s="135"/>
      <c r="BR223" s="135"/>
      <c r="BS223" s="136"/>
      <c r="BT223" s="136"/>
      <c r="BU223" s="161"/>
      <c r="BV223" s="161"/>
      <c r="BW223" s="161"/>
      <c r="BX223" s="161"/>
      <c r="BY223" s="161"/>
      <c r="BZ223" s="161"/>
      <c r="CA223" s="135"/>
      <c r="CB223" s="135"/>
      <c r="CC223" s="135"/>
      <c r="CD223" s="135"/>
      <c r="CE223" s="135"/>
      <c r="CF223" s="135"/>
      <c r="CG223" s="136"/>
      <c r="CH223" s="136"/>
      <c r="CI223" s="161"/>
      <c r="CJ223" s="161"/>
      <c r="CK223" s="161"/>
      <c r="CL223" s="161"/>
      <c r="CM223" s="161"/>
      <c r="CN223" s="161"/>
      <c r="CO223" s="161"/>
      <c r="CP223" s="161"/>
      <c r="CQ223" s="161"/>
      <c r="CR223" s="161"/>
      <c r="CS223" s="161"/>
      <c r="CT223" s="161"/>
      <c r="CU223" s="136"/>
      <c r="CV223" s="136"/>
      <c r="CW223" s="161"/>
      <c r="CX223" s="161"/>
      <c r="CY223" s="161"/>
      <c r="CZ223" s="161"/>
      <c r="DA223" s="161"/>
      <c r="DB223" s="161"/>
      <c r="DC223" s="161"/>
      <c r="DD223" s="161"/>
      <c r="DE223" s="161"/>
      <c r="DF223" s="161"/>
      <c r="DG223" s="161"/>
      <c r="DH223" s="161"/>
      <c r="DI223" s="136"/>
      <c r="DJ223" s="136"/>
      <c r="DK223" s="161"/>
      <c r="DL223" s="161"/>
      <c r="DM223" s="161">
        <v>461</v>
      </c>
      <c r="DN223" s="161"/>
      <c r="DO223" s="161"/>
      <c r="DP223" s="161"/>
      <c r="DQ223" s="161"/>
      <c r="DR223" s="135"/>
      <c r="DS223" s="135"/>
      <c r="DT223" s="135"/>
      <c r="DU223" s="135"/>
      <c r="DV223" s="135"/>
      <c r="DW223" s="136"/>
      <c r="DX223" s="136"/>
      <c r="DY223" s="161"/>
      <c r="DZ223" s="161"/>
      <c r="EA223" s="161"/>
      <c r="EB223" s="161"/>
      <c r="EC223" s="161"/>
      <c r="ED223" s="161"/>
      <c r="EE223" s="135"/>
      <c r="EF223" s="135"/>
      <c r="EG223" s="135"/>
      <c r="EH223" s="135"/>
      <c r="EI223" s="135"/>
      <c r="EJ223" s="135"/>
      <c r="EK223" s="136"/>
      <c r="EL223" s="136"/>
      <c r="EM223" s="136"/>
      <c r="EN223" s="136"/>
      <c r="EO223" s="136"/>
      <c r="EP223" s="136"/>
      <c r="EQ223" s="136"/>
      <c r="ER223" s="136"/>
      <c r="ES223" s="135"/>
      <c r="ET223" s="135"/>
      <c r="EU223" s="135"/>
      <c r="EV223" s="135"/>
      <c r="EW223" s="135"/>
      <c r="EX223" s="135"/>
      <c r="EY223" s="136"/>
      <c r="EZ223" s="136"/>
      <c r="FA223" s="161"/>
      <c r="FB223" s="161"/>
      <c r="FC223" s="161"/>
      <c r="FD223" s="161"/>
      <c r="FE223" s="161"/>
      <c r="FF223" s="161"/>
      <c r="FG223" s="135"/>
      <c r="FH223" s="135"/>
      <c r="FI223" s="135"/>
      <c r="FJ223" s="135"/>
      <c r="FK223" s="135"/>
      <c r="FL223" s="135"/>
      <c r="FM223" s="136"/>
      <c r="FN223" s="136"/>
      <c r="FO223" s="161"/>
      <c r="FP223" s="161"/>
      <c r="FQ223" s="161"/>
      <c r="FR223" s="161"/>
      <c r="FS223" s="161"/>
      <c r="FT223" s="161"/>
      <c r="FU223" s="135"/>
      <c r="FV223" s="135"/>
      <c r="FW223" s="135"/>
      <c r="FX223" s="135"/>
      <c r="FY223" s="135"/>
      <c r="FZ223" s="135"/>
      <c r="GA223" s="136"/>
      <c r="GB223" s="136"/>
      <c r="GC223" s="161"/>
      <c r="GD223" s="161"/>
      <c r="GE223" s="161"/>
      <c r="GF223" s="161"/>
      <c r="GG223" s="161"/>
      <c r="GH223" s="161"/>
      <c r="GI223" s="135"/>
      <c r="GJ223" s="135"/>
      <c r="GK223" s="135"/>
      <c r="GL223" s="135"/>
      <c r="GM223" s="135"/>
      <c r="GN223" s="135"/>
    </row>
    <row r="224" spans="1:196">
      <c r="A224" s="140"/>
      <c r="B224" s="126" t="s">
        <v>1065</v>
      </c>
      <c r="C224" s="126" t="s">
        <v>795</v>
      </c>
      <c r="D224" s="119"/>
      <c r="E224" s="119" t="e">
        <f>VLOOKUP(C224,#REF!,5,0)</f>
        <v>#REF!</v>
      </c>
      <c r="F224" s="107"/>
      <c r="G224" s="127">
        <v>495</v>
      </c>
      <c r="H224" s="6"/>
      <c r="I224" s="125">
        <v>46256</v>
      </c>
      <c r="J224" s="13">
        <f>G224-SUM(L224:FL224)</f>
        <v>0</v>
      </c>
      <c r="K224" s="163"/>
      <c r="L224" s="161"/>
      <c r="M224" s="136"/>
      <c r="N224" s="136"/>
      <c r="O224" s="136"/>
      <c r="P224" s="136"/>
      <c r="Q224" s="136"/>
      <c r="R224" s="136"/>
      <c r="S224" s="161"/>
      <c r="T224" s="161"/>
      <c r="U224" s="161"/>
      <c r="V224" s="161"/>
      <c r="W224" s="135"/>
      <c r="X224" s="135"/>
      <c r="Y224" s="161"/>
      <c r="Z224" s="161"/>
      <c r="AA224" s="161"/>
      <c r="AB224" s="161"/>
      <c r="AC224" s="136"/>
      <c r="AD224" s="136"/>
      <c r="AE224" s="135"/>
      <c r="AF224" s="135"/>
      <c r="AG224" s="135"/>
      <c r="AH224" s="135"/>
      <c r="AI224" s="161"/>
      <c r="AJ224" s="135"/>
      <c r="AK224" s="161"/>
      <c r="AL224" s="135"/>
      <c r="AM224" s="135"/>
      <c r="AN224" s="135"/>
      <c r="AO224" s="135"/>
      <c r="AP224" s="135"/>
      <c r="AQ224" s="136"/>
      <c r="AR224" s="136"/>
      <c r="AS224" s="161"/>
      <c r="AT224" s="161"/>
      <c r="AU224" s="161"/>
      <c r="AV224" s="161"/>
      <c r="AW224" s="161"/>
      <c r="AX224" s="161"/>
      <c r="AY224" s="161"/>
      <c r="AZ224" s="135"/>
      <c r="BA224" s="161"/>
      <c r="BB224" s="135"/>
      <c r="BC224" s="161"/>
      <c r="BD224" s="135"/>
      <c r="BE224" s="136"/>
      <c r="BF224" s="136"/>
      <c r="BG224" s="161"/>
      <c r="BH224" s="161"/>
      <c r="BI224" s="161"/>
      <c r="BJ224" s="161"/>
      <c r="BK224" s="161"/>
      <c r="BL224" s="161"/>
      <c r="BM224" s="161"/>
      <c r="BN224" s="135"/>
      <c r="BO224" s="135"/>
      <c r="BP224" s="161"/>
      <c r="BQ224" s="135"/>
      <c r="BR224" s="135"/>
      <c r="BS224" s="136"/>
      <c r="BT224" s="136"/>
      <c r="BU224" s="161"/>
      <c r="BV224" s="161"/>
      <c r="BW224" s="161"/>
      <c r="BX224" s="161"/>
      <c r="BY224" s="161"/>
      <c r="BZ224" s="161"/>
      <c r="CA224" s="161"/>
      <c r="CB224" s="161"/>
      <c r="CC224" s="161"/>
      <c r="CD224" s="161"/>
      <c r="CE224" s="161"/>
      <c r="CF224" s="161"/>
      <c r="CG224" s="136"/>
      <c r="CH224" s="136"/>
      <c r="CI224" s="161"/>
      <c r="CJ224" s="161"/>
      <c r="CK224" s="161"/>
      <c r="CL224" s="161"/>
      <c r="CM224" s="161"/>
      <c r="CN224" s="161"/>
      <c r="CO224" s="161"/>
      <c r="CP224" s="161"/>
      <c r="CQ224" s="161"/>
      <c r="CR224" s="161"/>
      <c r="CS224" s="135"/>
      <c r="CT224" s="161"/>
      <c r="CU224" s="136"/>
      <c r="CV224" s="136"/>
      <c r="CW224" s="161"/>
      <c r="CX224" s="161"/>
      <c r="CY224" s="161"/>
      <c r="CZ224" s="161"/>
      <c r="DA224" s="161"/>
      <c r="DB224" s="161"/>
      <c r="DC224" s="161"/>
      <c r="DD224" s="161"/>
      <c r="DE224" s="161"/>
      <c r="DF224" s="161"/>
      <c r="DG224" s="161"/>
      <c r="DH224" s="161"/>
      <c r="DI224" s="136"/>
      <c r="DJ224" s="136"/>
      <c r="DK224" s="161"/>
      <c r="DL224" s="161"/>
      <c r="DM224" s="161">
        <v>495</v>
      </c>
      <c r="DN224" s="161"/>
      <c r="DO224" s="161"/>
      <c r="DP224" s="161"/>
      <c r="DQ224" s="161"/>
      <c r="DR224" s="135"/>
      <c r="DS224" s="135"/>
      <c r="DT224" s="135"/>
      <c r="DU224" s="135"/>
      <c r="DV224" s="135"/>
      <c r="DW224" s="136"/>
      <c r="DX224" s="136"/>
      <c r="DY224" s="161"/>
      <c r="DZ224" s="161"/>
      <c r="EA224" s="161"/>
      <c r="EB224" s="161"/>
      <c r="EC224" s="161"/>
      <c r="ED224" s="161"/>
      <c r="EE224" s="135"/>
      <c r="EF224" s="135"/>
      <c r="EG224" s="135"/>
      <c r="EH224" s="135"/>
      <c r="EI224" s="135"/>
      <c r="EJ224" s="135"/>
      <c r="EK224" s="136"/>
      <c r="EL224" s="136"/>
      <c r="EM224" s="136"/>
      <c r="EN224" s="136"/>
      <c r="EO224" s="136"/>
      <c r="EP224" s="136"/>
      <c r="EQ224" s="136"/>
      <c r="ER224" s="136"/>
      <c r="ES224" s="135"/>
      <c r="ET224" s="135"/>
      <c r="EU224" s="135"/>
      <c r="EV224" s="135"/>
      <c r="EW224" s="135"/>
      <c r="EX224" s="135"/>
      <c r="EY224" s="136"/>
      <c r="EZ224" s="136"/>
      <c r="FA224" s="161"/>
      <c r="FB224" s="161"/>
      <c r="FC224" s="161"/>
      <c r="FD224" s="161"/>
      <c r="FE224" s="161"/>
      <c r="FF224" s="161"/>
      <c r="FG224" s="135"/>
      <c r="FH224" s="135"/>
      <c r="FI224" s="135"/>
      <c r="FJ224" s="135"/>
      <c r="FK224" s="135"/>
      <c r="FL224" s="135"/>
      <c r="FM224" s="136"/>
      <c r="FN224" s="136"/>
      <c r="FO224" s="161"/>
      <c r="FP224" s="161"/>
      <c r="FQ224" s="161"/>
      <c r="FR224" s="161"/>
      <c r="FS224" s="161"/>
      <c r="FT224" s="161"/>
      <c r="FU224" s="135"/>
      <c r="FV224" s="135"/>
      <c r="FW224" s="135"/>
      <c r="FX224" s="135"/>
      <c r="FY224" s="135"/>
      <c r="FZ224" s="135"/>
      <c r="GA224" s="136"/>
      <c r="GB224" s="136"/>
      <c r="GC224" s="161"/>
      <c r="GD224" s="161"/>
      <c r="GE224" s="161"/>
      <c r="GF224" s="161"/>
      <c r="GG224" s="161"/>
      <c r="GH224" s="161"/>
      <c r="GI224" s="135"/>
      <c r="GJ224" s="135"/>
      <c r="GK224" s="135"/>
      <c r="GL224" s="135"/>
      <c r="GM224" s="135"/>
      <c r="GN224" s="135"/>
    </row>
    <row r="225" spans="1:196">
      <c r="A225" s="140"/>
      <c r="B225" s="126" t="s">
        <v>1315</v>
      </c>
      <c r="C225" s="126" t="s">
        <v>648</v>
      </c>
      <c r="D225" s="119"/>
      <c r="E225" s="119"/>
      <c r="F225" s="107"/>
      <c r="G225" s="127">
        <v>410</v>
      </c>
      <c r="H225" s="6"/>
      <c r="I225" s="125">
        <v>46256</v>
      </c>
      <c r="J225" s="13">
        <f t="shared" si="189"/>
        <v>0</v>
      </c>
      <c r="K225" s="163"/>
      <c r="L225" s="161"/>
      <c r="M225" s="136"/>
      <c r="N225" s="136"/>
      <c r="O225" s="136"/>
      <c r="P225" s="136"/>
      <c r="Q225" s="136"/>
      <c r="R225" s="136"/>
      <c r="S225" s="161"/>
      <c r="T225" s="161"/>
      <c r="U225" s="161"/>
      <c r="V225" s="161"/>
      <c r="W225" s="135"/>
      <c r="X225" s="135"/>
      <c r="Y225" s="161"/>
      <c r="Z225" s="161"/>
      <c r="AA225" s="161"/>
      <c r="AB225" s="161"/>
      <c r="AC225" s="136"/>
      <c r="AD225" s="136"/>
      <c r="AE225" s="135"/>
      <c r="AF225" s="135"/>
      <c r="AG225" s="135"/>
      <c r="AH225" s="135"/>
      <c r="AI225" s="161"/>
      <c r="AJ225" s="135"/>
      <c r="AK225" s="161"/>
      <c r="AL225" s="135"/>
      <c r="AM225" s="135"/>
      <c r="AN225" s="135"/>
      <c r="AO225" s="135"/>
      <c r="AP225" s="135"/>
      <c r="AQ225" s="136"/>
      <c r="AR225" s="136"/>
      <c r="AS225" s="161"/>
      <c r="AT225" s="161"/>
      <c r="AU225" s="161"/>
      <c r="AV225" s="161"/>
      <c r="AW225" s="161"/>
      <c r="AX225" s="161"/>
      <c r="AY225" s="161"/>
      <c r="AZ225" s="135"/>
      <c r="BA225" s="161"/>
      <c r="BB225" s="135"/>
      <c r="BC225" s="161"/>
      <c r="BD225" s="135"/>
      <c r="BE225" s="136"/>
      <c r="BF225" s="136"/>
      <c r="BG225" s="161"/>
      <c r="BH225" s="161"/>
      <c r="BI225" s="161"/>
      <c r="BJ225" s="161"/>
      <c r="BK225" s="161"/>
      <c r="BL225" s="161"/>
      <c r="BM225" s="161"/>
      <c r="BN225" s="135"/>
      <c r="BO225" s="135"/>
      <c r="BP225" s="135"/>
      <c r="BQ225" s="135"/>
      <c r="BR225" s="135"/>
      <c r="BS225" s="136"/>
      <c r="BT225" s="136"/>
      <c r="BU225" s="161"/>
      <c r="BV225" s="161"/>
      <c r="BW225" s="161"/>
      <c r="BX225" s="161"/>
      <c r="BY225" s="161"/>
      <c r="BZ225" s="161"/>
      <c r="CA225" s="135"/>
      <c r="CB225" s="135"/>
      <c r="CC225" s="135"/>
      <c r="CD225" s="135"/>
      <c r="CE225" s="135"/>
      <c r="CF225" s="135"/>
      <c r="CG225" s="136"/>
      <c r="CH225" s="136"/>
      <c r="CI225" s="161"/>
      <c r="CJ225" s="161"/>
      <c r="CK225" s="161"/>
      <c r="CL225" s="161"/>
      <c r="CM225" s="161"/>
      <c r="CN225" s="161"/>
      <c r="CO225" s="161"/>
      <c r="CP225" s="161"/>
      <c r="CQ225" s="161"/>
      <c r="CR225" s="161"/>
      <c r="CS225" s="161"/>
      <c r="CT225" s="161"/>
      <c r="CU225" s="136"/>
      <c r="CV225" s="136"/>
      <c r="CW225" s="135"/>
      <c r="CX225" s="135"/>
      <c r="CY225" s="135"/>
      <c r="CZ225" s="135"/>
      <c r="DA225" s="135"/>
      <c r="DB225" s="161"/>
      <c r="DC225" s="135"/>
      <c r="DD225" s="135"/>
      <c r="DE225" s="135"/>
      <c r="DF225" s="135"/>
      <c r="DG225" s="135"/>
      <c r="DH225" s="135"/>
      <c r="DI225" s="136"/>
      <c r="DJ225" s="136"/>
      <c r="DK225" s="135"/>
      <c r="DL225" s="161"/>
      <c r="DM225" s="135">
        <v>410</v>
      </c>
      <c r="DN225" s="135"/>
      <c r="DO225" s="135"/>
      <c r="DP225" s="135"/>
      <c r="DQ225" s="135"/>
      <c r="DR225" s="135"/>
      <c r="DS225" s="135"/>
      <c r="DT225" s="135"/>
      <c r="DU225" s="135"/>
      <c r="DV225" s="135"/>
      <c r="DW225" s="136"/>
      <c r="DX225" s="136"/>
      <c r="DY225" s="161"/>
      <c r="DZ225" s="161"/>
      <c r="EA225" s="161"/>
      <c r="EB225" s="161"/>
      <c r="EC225" s="161"/>
      <c r="ED225" s="161"/>
      <c r="EE225" s="135"/>
      <c r="EF225" s="135"/>
      <c r="EG225" s="135"/>
      <c r="EH225" s="135"/>
      <c r="EI225" s="135"/>
      <c r="EJ225" s="135"/>
      <c r="EK225" s="136"/>
      <c r="EL225" s="136"/>
      <c r="EM225" s="136"/>
      <c r="EN225" s="136"/>
      <c r="EO225" s="136"/>
      <c r="EP225" s="136"/>
      <c r="EQ225" s="136"/>
      <c r="ER225" s="136"/>
      <c r="ES225" s="135"/>
      <c r="ET225" s="135"/>
      <c r="EU225" s="135"/>
      <c r="EV225" s="135"/>
      <c r="EW225" s="135"/>
      <c r="EX225" s="135"/>
      <c r="EY225" s="136"/>
      <c r="EZ225" s="136"/>
      <c r="FA225" s="161"/>
      <c r="FB225" s="161"/>
      <c r="FC225" s="161"/>
      <c r="FD225" s="161"/>
      <c r="FE225" s="161"/>
      <c r="FF225" s="161"/>
      <c r="FG225" s="135"/>
      <c r="FH225" s="135"/>
      <c r="FI225" s="135"/>
      <c r="FJ225" s="135"/>
      <c r="FK225" s="135"/>
      <c r="FL225" s="135"/>
      <c r="FM225" s="136"/>
      <c r="FN225" s="136"/>
      <c r="FO225" s="161"/>
      <c r="FP225" s="161"/>
      <c r="FQ225" s="161"/>
      <c r="FR225" s="161"/>
      <c r="FS225" s="161"/>
      <c r="FT225" s="161"/>
      <c r="FU225" s="135"/>
      <c r="FV225" s="135"/>
      <c r="FW225" s="135"/>
      <c r="FX225" s="135"/>
      <c r="FY225" s="135"/>
      <c r="FZ225" s="135"/>
      <c r="GA225" s="136"/>
      <c r="GB225" s="136"/>
      <c r="GC225" s="161"/>
      <c r="GD225" s="161"/>
      <c r="GE225" s="161"/>
      <c r="GF225" s="161"/>
      <c r="GG225" s="161"/>
      <c r="GH225" s="161"/>
      <c r="GI225" s="135"/>
      <c r="GJ225" s="135"/>
      <c r="GK225" s="135"/>
      <c r="GL225" s="135"/>
      <c r="GM225" s="135"/>
      <c r="GN225" s="135"/>
    </row>
    <row r="226" spans="1:196">
      <c r="A226" s="140"/>
      <c r="B226" s="126" t="s">
        <v>1174</v>
      </c>
      <c r="C226" s="126" t="s">
        <v>688</v>
      </c>
      <c r="D226" s="119"/>
      <c r="E226" s="119"/>
      <c r="F226" s="107"/>
      <c r="G226" s="127">
        <v>2550</v>
      </c>
      <c r="H226" s="6"/>
      <c r="I226" s="125">
        <v>46256</v>
      </c>
      <c r="J226" s="13">
        <f>G226-SUM(L226:FL226)</f>
        <v>0</v>
      </c>
      <c r="K226" s="163"/>
      <c r="L226" s="161"/>
      <c r="M226" s="136"/>
      <c r="N226" s="136"/>
      <c r="O226" s="136"/>
      <c r="P226" s="136"/>
      <c r="Q226" s="136"/>
      <c r="R226" s="136"/>
      <c r="S226" s="161"/>
      <c r="T226" s="161"/>
      <c r="U226" s="161"/>
      <c r="V226" s="161"/>
      <c r="W226" s="135"/>
      <c r="X226" s="135"/>
      <c r="Y226" s="161"/>
      <c r="Z226" s="161"/>
      <c r="AA226" s="161"/>
      <c r="AB226" s="161"/>
      <c r="AC226" s="136"/>
      <c r="AD226" s="136"/>
      <c r="AE226" s="135"/>
      <c r="AF226" s="135"/>
      <c r="AG226" s="135"/>
      <c r="AH226" s="135"/>
      <c r="AI226" s="161"/>
      <c r="AJ226" s="135"/>
      <c r="AK226" s="161"/>
      <c r="AL226" s="135"/>
      <c r="AM226" s="135"/>
      <c r="AN226" s="135"/>
      <c r="AO226" s="135"/>
      <c r="AP226" s="135"/>
      <c r="AQ226" s="136"/>
      <c r="AR226" s="136"/>
      <c r="AS226" s="161"/>
      <c r="AT226" s="161"/>
      <c r="AU226" s="161"/>
      <c r="AV226" s="161"/>
      <c r="AW226" s="161"/>
      <c r="AX226" s="161"/>
      <c r="AY226" s="161"/>
      <c r="AZ226" s="135"/>
      <c r="BA226" s="161"/>
      <c r="BB226" s="135"/>
      <c r="BC226" s="161"/>
      <c r="BD226" s="135"/>
      <c r="BE226" s="136"/>
      <c r="BF226" s="136"/>
      <c r="BG226" s="161"/>
      <c r="BH226" s="161"/>
      <c r="BI226" s="161"/>
      <c r="BJ226" s="161"/>
      <c r="BK226" s="161"/>
      <c r="BL226" s="161"/>
      <c r="BM226" s="161"/>
      <c r="BN226" s="135"/>
      <c r="BO226" s="135"/>
      <c r="BP226" s="135"/>
      <c r="BQ226" s="135"/>
      <c r="BR226" s="135"/>
      <c r="BS226" s="136"/>
      <c r="BT226" s="136"/>
      <c r="BU226" s="161"/>
      <c r="BV226" s="161"/>
      <c r="BW226" s="161"/>
      <c r="BX226" s="161"/>
      <c r="BY226" s="161"/>
      <c r="BZ226" s="161"/>
      <c r="CA226" s="135"/>
      <c r="CB226" s="135"/>
      <c r="CC226" s="135"/>
      <c r="CD226" s="135"/>
      <c r="CE226" s="135"/>
      <c r="CF226" s="135"/>
      <c r="CG226" s="136"/>
      <c r="CH226" s="136"/>
      <c r="CI226" s="161"/>
      <c r="CJ226" s="161"/>
      <c r="CK226" s="161"/>
      <c r="CL226" s="161"/>
      <c r="CM226" s="161"/>
      <c r="CN226" s="161"/>
      <c r="CO226" s="161"/>
      <c r="CP226" s="161"/>
      <c r="CQ226" s="161"/>
      <c r="CR226" s="161"/>
      <c r="CS226" s="161"/>
      <c r="CT226" s="161"/>
      <c r="CU226" s="136"/>
      <c r="CV226" s="136"/>
      <c r="CW226" s="135"/>
      <c r="CX226" s="135"/>
      <c r="CY226" s="135"/>
      <c r="CZ226" s="135"/>
      <c r="DA226" s="135"/>
      <c r="DB226" s="161"/>
      <c r="DC226" s="135"/>
      <c r="DD226" s="135"/>
      <c r="DE226" s="135"/>
      <c r="DF226" s="135"/>
      <c r="DG226" s="135"/>
      <c r="DH226" s="135"/>
      <c r="DI226" s="136"/>
      <c r="DJ226" s="136"/>
      <c r="DK226" s="135"/>
      <c r="DL226" s="161"/>
      <c r="DM226" s="135">
        <v>700</v>
      </c>
      <c r="DN226" s="135"/>
      <c r="DO226" s="135">
        <v>1850</v>
      </c>
      <c r="DP226" s="135"/>
      <c r="DQ226" s="135"/>
      <c r="DR226" s="135"/>
      <c r="DS226" s="135"/>
      <c r="DT226" s="135"/>
      <c r="DU226" s="135"/>
      <c r="DV226" s="135"/>
      <c r="DW226" s="136"/>
      <c r="DX226" s="136"/>
      <c r="DY226" s="161"/>
      <c r="DZ226" s="161"/>
      <c r="EA226" s="161"/>
      <c r="EB226" s="161"/>
      <c r="EC226" s="161"/>
      <c r="ED226" s="161"/>
      <c r="EE226" s="135"/>
      <c r="EF226" s="135"/>
      <c r="EG226" s="135"/>
      <c r="EH226" s="135"/>
      <c r="EI226" s="135"/>
      <c r="EJ226" s="135"/>
      <c r="EK226" s="136"/>
      <c r="EL226" s="136"/>
      <c r="EM226" s="136"/>
      <c r="EN226" s="136"/>
      <c r="EO226" s="136"/>
      <c r="EP226" s="136"/>
      <c r="EQ226" s="136"/>
      <c r="ER226" s="136"/>
      <c r="ES226" s="135"/>
      <c r="ET226" s="135"/>
      <c r="EU226" s="135"/>
      <c r="EV226" s="135"/>
      <c r="EW226" s="135"/>
      <c r="EX226" s="135"/>
      <c r="EY226" s="136"/>
      <c r="EZ226" s="136"/>
      <c r="FA226" s="161"/>
      <c r="FB226" s="161"/>
      <c r="FC226" s="161"/>
      <c r="FD226" s="161"/>
      <c r="FE226" s="161"/>
      <c r="FF226" s="161"/>
      <c r="FG226" s="135"/>
      <c r="FH226" s="135"/>
      <c r="FI226" s="135"/>
      <c r="FJ226" s="135"/>
      <c r="FK226" s="135"/>
      <c r="FL226" s="135"/>
      <c r="FM226" s="136"/>
      <c r="FN226" s="136"/>
      <c r="FO226" s="161"/>
      <c r="FP226" s="161"/>
      <c r="FQ226" s="161"/>
      <c r="FR226" s="161"/>
      <c r="FS226" s="161"/>
      <c r="FT226" s="161"/>
      <c r="FU226" s="135"/>
      <c r="FV226" s="135"/>
      <c r="FW226" s="135"/>
      <c r="FX226" s="135"/>
      <c r="FY226" s="135"/>
      <c r="FZ226" s="135"/>
      <c r="GA226" s="136"/>
      <c r="GB226" s="136"/>
      <c r="GC226" s="161"/>
      <c r="GD226" s="161"/>
      <c r="GE226" s="161"/>
      <c r="GF226" s="161"/>
      <c r="GG226" s="161"/>
      <c r="GH226" s="161"/>
      <c r="GI226" s="135"/>
      <c r="GJ226" s="135"/>
      <c r="GK226" s="135"/>
      <c r="GL226" s="135"/>
      <c r="GM226" s="135"/>
      <c r="GN226" s="135"/>
    </row>
    <row r="227" spans="1:196">
      <c r="A227" s="140"/>
      <c r="B227" s="126" t="s">
        <v>1175</v>
      </c>
      <c r="C227" s="126" t="s">
        <v>1017</v>
      </c>
      <c r="D227" s="119"/>
      <c r="E227" s="119"/>
      <c r="F227" s="107"/>
      <c r="G227" s="127">
        <v>2100</v>
      </c>
      <c r="H227" s="6"/>
      <c r="I227" s="125">
        <v>46256</v>
      </c>
      <c r="J227" s="13">
        <f>G227-SUM(L227:FL227)</f>
        <v>0</v>
      </c>
      <c r="K227" s="163" t="s">
        <v>1324</v>
      </c>
      <c r="L227" s="161"/>
      <c r="M227" s="136"/>
      <c r="N227" s="136"/>
      <c r="O227" s="136"/>
      <c r="P227" s="136"/>
      <c r="Q227" s="136"/>
      <c r="R227" s="136"/>
      <c r="S227" s="161"/>
      <c r="T227" s="161"/>
      <c r="U227" s="161"/>
      <c r="V227" s="161"/>
      <c r="W227" s="135"/>
      <c r="X227" s="135"/>
      <c r="Y227" s="161"/>
      <c r="Z227" s="161"/>
      <c r="AA227" s="161"/>
      <c r="AB227" s="161"/>
      <c r="AC227" s="136"/>
      <c r="AD227" s="136"/>
      <c r="AE227" s="135"/>
      <c r="AF227" s="135"/>
      <c r="AG227" s="135"/>
      <c r="AH227" s="135"/>
      <c r="AI227" s="161"/>
      <c r="AJ227" s="135"/>
      <c r="AK227" s="161"/>
      <c r="AL227" s="135"/>
      <c r="AM227" s="135"/>
      <c r="AN227" s="135"/>
      <c r="AO227" s="135"/>
      <c r="AP227" s="135"/>
      <c r="AQ227" s="136"/>
      <c r="AR227" s="136"/>
      <c r="AS227" s="161"/>
      <c r="AT227" s="161"/>
      <c r="AU227" s="161"/>
      <c r="AV227" s="161"/>
      <c r="AW227" s="161"/>
      <c r="AX227" s="161"/>
      <c r="AY227" s="161"/>
      <c r="AZ227" s="135"/>
      <c r="BA227" s="161"/>
      <c r="BB227" s="135"/>
      <c r="BC227" s="161"/>
      <c r="BD227" s="135"/>
      <c r="BE227" s="136"/>
      <c r="BF227" s="136"/>
      <c r="BG227" s="161"/>
      <c r="BH227" s="161"/>
      <c r="BI227" s="161"/>
      <c r="BJ227" s="161"/>
      <c r="BK227" s="161"/>
      <c r="BL227" s="161"/>
      <c r="BM227" s="161"/>
      <c r="BN227" s="135"/>
      <c r="BO227" s="135"/>
      <c r="BP227" s="135"/>
      <c r="BQ227" s="135"/>
      <c r="BR227" s="135"/>
      <c r="BS227" s="136"/>
      <c r="BT227" s="136"/>
      <c r="BU227" s="161"/>
      <c r="BV227" s="161"/>
      <c r="BW227" s="161"/>
      <c r="BX227" s="161"/>
      <c r="BY227" s="161"/>
      <c r="BZ227" s="161"/>
      <c r="CA227" s="135"/>
      <c r="CB227" s="135"/>
      <c r="CC227" s="135"/>
      <c r="CD227" s="135"/>
      <c r="CE227" s="135"/>
      <c r="CF227" s="135"/>
      <c r="CG227" s="136"/>
      <c r="CH227" s="136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36"/>
      <c r="CV227" s="136"/>
      <c r="CW227" s="135"/>
      <c r="CX227" s="135"/>
      <c r="CY227" s="135"/>
      <c r="CZ227" s="135"/>
      <c r="DA227" s="135"/>
      <c r="DB227" s="161"/>
      <c r="DC227" s="135"/>
      <c r="DD227" s="135"/>
      <c r="DE227" s="135"/>
      <c r="DF227" s="135"/>
      <c r="DG227" s="135"/>
      <c r="DH227" s="135"/>
      <c r="DI227" s="136"/>
      <c r="DJ227" s="136"/>
      <c r="DK227" s="135"/>
      <c r="DL227" s="161"/>
      <c r="DM227" s="135"/>
      <c r="DN227" s="135"/>
      <c r="DO227" s="135">
        <v>1000</v>
      </c>
      <c r="DP227" s="135"/>
      <c r="DQ227" s="135">
        <v>1100</v>
      </c>
      <c r="DR227" s="135"/>
      <c r="DS227" s="135"/>
      <c r="DT227" s="135"/>
      <c r="DU227" s="135"/>
      <c r="DV227" s="135"/>
      <c r="DW227" s="136"/>
      <c r="DX227" s="136"/>
      <c r="DY227" s="161"/>
      <c r="DZ227" s="161"/>
      <c r="EA227" s="161"/>
      <c r="EB227" s="161"/>
      <c r="EC227" s="161"/>
      <c r="ED227" s="161"/>
      <c r="EE227" s="135"/>
      <c r="EF227" s="135"/>
      <c r="EG227" s="135"/>
      <c r="EH227" s="135"/>
      <c r="EI227" s="135"/>
      <c r="EJ227" s="135"/>
      <c r="EK227" s="136"/>
      <c r="EL227" s="136"/>
      <c r="EM227" s="136"/>
      <c r="EN227" s="136"/>
      <c r="EO227" s="136"/>
      <c r="EP227" s="136"/>
      <c r="EQ227" s="136"/>
      <c r="ER227" s="136"/>
      <c r="ES227" s="135"/>
      <c r="ET227" s="135"/>
      <c r="EU227" s="135"/>
      <c r="EV227" s="135"/>
      <c r="EW227" s="135"/>
      <c r="EX227" s="135"/>
      <c r="EY227" s="136"/>
      <c r="EZ227" s="136"/>
      <c r="FA227" s="161"/>
      <c r="FB227" s="161"/>
      <c r="FC227" s="161"/>
      <c r="FD227" s="161"/>
      <c r="FE227" s="161"/>
      <c r="FF227" s="161"/>
      <c r="FG227" s="135"/>
      <c r="FH227" s="135"/>
      <c r="FI227" s="135"/>
      <c r="FJ227" s="135"/>
      <c r="FK227" s="135"/>
      <c r="FL227" s="135"/>
      <c r="FM227" s="136"/>
      <c r="FN227" s="136"/>
      <c r="FO227" s="161"/>
      <c r="FP227" s="161"/>
      <c r="FQ227" s="161"/>
      <c r="FR227" s="161"/>
      <c r="FS227" s="161"/>
      <c r="FT227" s="161"/>
      <c r="FU227" s="135"/>
      <c r="FV227" s="135"/>
      <c r="FW227" s="135"/>
      <c r="FX227" s="135"/>
      <c r="FY227" s="135"/>
      <c r="FZ227" s="135"/>
      <c r="GA227" s="136"/>
      <c r="GB227" s="136"/>
      <c r="GC227" s="161"/>
      <c r="GD227" s="161"/>
      <c r="GE227" s="161"/>
      <c r="GF227" s="161"/>
      <c r="GG227" s="161"/>
      <c r="GH227" s="161"/>
      <c r="GI227" s="135"/>
      <c r="GJ227" s="135"/>
      <c r="GK227" s="135"/>
      <c r="GL227" s="135"/>
      <c r="GM227" s="135"/>
      <c r="GN227" s="135"/>
    </row>
    <row r="228" spans="1:196">
      <c r="A228" s="140"/>
      <c r="B228" s="137" t="s">
        <v>1221</v>
      </c>
      <c r="C228" s="12" t="s">
        <v>1222</v>
      </c>
      <c r="D228" s="119"/>
      <c r="E228" s="119"/>
      <c r="F228" s="133"/>
      <c r="G228" s="95">
        <v>25</v>
      </c>
      <c r="H228" s="133"/>
      <c r="I228" s="108">
        <v>46251</v>
      </c>
      <c r="J228" s="134">
        <f>G228-SUM(L228:FL228)</f>
        <v>0</v>
      </c>
      <c r="K228" s="183" t="s">
        <v>1323</v>
      </c>
      <c r="L228" s="161"/>
      <c r="M228" s="136"/>
      <c r="N228" s="136"/>
      <c r="O228" s="136"/>
      <c r="P228" s="136"/>
      <c r="Q228" s="136"/>
      <c r="R228" s="136"/>
      <c r="S228" s="161"/>
      <c r="T228" s="161"/>
      <c r="U228" s="161"/>
      <c r="V228" s="161"/>
      <c r="W228" s="135"/>
      <c r="X228" s="135"/>
      <c r="Y228" s="161"/>
      <c r="Z228" s="161"/>
      <c r="AA228" s="161"/>
      <c r="AB228" s="161"/>
      <c r="AC228" s="136"/>
      <c r="AD228" s="136"/>
      <c r="AE228" s="135"/>
      <c r="AF228" s="135"/>
      <c r="AG228" s="135"/>
      <c r="AH228" s="135"/>
      <c r="AI228" s="161"/>
      <c r="AJ228" s="135"/>
      <c r="AK228" s="161"/>
      <c r="AL228" s="135"/>
      <c r="AM228" s="135"/>
      <c r="AN228" s="135"/>
      <c r="AO228" s="135"/>
      <c r="AP228" s="135"/>
      <c r="AQ228" s="136"/>
      <c r="AR228" s="136"/>
      <c r="AS228" s="161"/>
      <c r="AT228" s="161"/>
      <c r="AU228" s="161"/>
      <c r="AV228" s="161"/>
      <c r="AW228" s="161"/>
      <c r="AX228" s="161"/>
      <c r="AY228" s="161"/>
      <c r="AZ228" s="135"/>
      <c r="BA228" s="161"/>
      <c r="BB228" s="135"/>
      <c r="BC228" s="161"/>
      <c r="BD228" s="135"/>
      <c r="BE228" s="136"/>
      <c r="BF228" s="136"/>
      <c r="BG228" s="161"/>
      <c r="BH228" s="161"/>
      <c r="BI228" s="161"/>
      <c r="BJ228" s="161"/>
      <c r="BK228" s="161"/>
      <c r="BL228" s="161"/>
      <c r="BM228" s="161"/>
      <c r="BN228" s="135"/>
      <c r="BO228" s="135"/>
      <c r="BP228" s="135"/>
      <c r="BQ228" s="135"/>
      <c r="BR228" s="135"/>
      <c r="BS228" s="136"/>
      <c r="BT228" s="136"/>
      <c r="BU228" s="161"/>
      <c r="BV228" s="161"/>
      <c r="BW228" s="161"/>
      <c r="BX228" s="161"/>
      <c r="BY228" s="161"/>
      <c r="BZ228" s="161"/>
      <c r="CA228" s="135"/>
      <c r="CB228" s="135"/>
      <c r="CC228" s="135"/>
      <c r="CD228" s="135"/>
      <c r="CE228" s="135"/>
      <c r="CF228" s="135"/>
      <c r="CG228" s="136"/>
      <c r="CH228" s="136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36"/>
      <c r="CV228" s="136"/>
      <c r="CW228" s="161"/>
      <c r="CX228" s="161"/>
      <c r="CY228" s="161"/>
      <c r="CZ228" s="161"/>
      <c r="DA228" s="135"/>
      <c r="DB228" s="161"/>
      <c r="DC228" s="135"/>
      <c r="DD228" s="161"/>
      <c r="DE228" s="161"/>
      <c r="DF228" s="161"/>
      <c r="DG228" s="161"/>
      <c r="DH228" s="161"/>
      <c r="DI228" s="136"/>
      <c r="DJ228" s="136"/>
      <c r="DK228" s="135">
        <v>1</v>
      </c>
      <c r="DL228" s="161"/>
      <c r="DM228" s="135"/>
      <c r="DN228" s="161"/>
      <c r="DO228" s="161">
        <v>24</v>
      </c>
      <c r="DP228" s="161"/>
      <c r="DQ228" s="135"/>
      <c r="DR228" s="135"/>
      <c r="DS228" s="135"/>
      <c r="DT228" s="135"/>
      <c r="DU228" s="135"/>
      <c r="DV228" s="135"/>
      <c r="DW228" s="136"/>
      <c r="DX228" s="136"/>
      <c r="DY228" s="161"/>
      <c r="DZ228" s="161"/>
      <c r="EA228" s="161"/>
      <c r="EB228" s="161"/>
      <c r="EC228" s="161"/>
      <c r="ED228" s="161"/>
      <c r="EE228" s="135"/>
      <c r="EF228" s="135"/>
      <c r="EG228" s="135"/>
      <c r="EH228" s="135"/>
      <c r="EI228" s="135"/>
      <c r="EJ228" s="135"/>
      <c r="EK228" s="136"/>
      <c r="EL228" s="136"/>
      <c r="EM228" s="136"/>
      <c r="EN228" s="136"/>
      <c r="EO228" s="136"/>
      <c r="EP228" s="136"/>
      <c r="EQ228" s="136"/>
      <c r="ER228" s="136"/>
      <c r="ES228" s="135"/>
      <c r="ET228" s="135"/>
      <c r="EU228" s="135"/>
      <c r="EV228" s="135"/>
      <c r="EW228" s="135"/>
      <c r="EX228" s="135"/>
      <c r="EY228" s="136"/>
      <c r="EZ228" s="136"/>
      <c r="FA228" s="161"/>
      <c r="FB228" s="161"/>
      <c r="FC228" s="161"/>
      <c r="FD228" s="161"/>
      <c r="FE228" s="161"/>
      <c r="FF228" s="161"/>
      <c r="FG228" s="135"/>
      <c r="FH228" s="135"/>
      <c r="FI228" s="135"/>
      <c r="FJ228" s="135"/>
      <c r="FK228" s="135"/>
      <c r="FL228" s="135"/>
      <c r="FM228" s="136"/>
      <c r="FN228" s="136"/>
      <c r="FO228" s="161"/>
      <c r="FP228" s="161"/>
      <c r="FQ228" s="161"/>
      <c r="FR228" s="161"/>
      <c r="FS228" s="161"/>
      <c r="FT228" s="161"/>
      <c r="FU228" s="135"/>
      <c r="FV228" s="135"/>
      <c r="FW228" s="135"/>
      <c r="FX228" s="135"/>
      <c r="FY228" s="135"/>
      <c r="FZ228" s="135"/>
      <c r="GA228" s="136"/>
      <c r="GB228" s="136"/>
      <c r="GC228" s="161"/>
      <c r="GD228" s="161"/>
      <c r="GE228" s="161"/>
      <c r="GF228" s="161"/>
      <c r="GG228" s="161"/>
      <c r="GH228" s="161"/>
      <c r="GI228" s="135"/>
      <c r="GJ228" s="135"/>
      <c r="GK228" s="135"/>
      <c r="GL228" s="135"/>
      <c r="GM228" s="135"/>
      <c r="GN228" s="135"/>
    </row>
    <row r="229" spans="1:196">
      <c r="A229" s="140"/>
      <c r="B229" s="137" t="s">
        <v>1153</v>
      </c>
      <c r="C229" s="12" t="s">
        <v>1097</v>
      </c>
      <c r="D229" s="119"/>
      <c r="E229" s="119"/>
      <c r="F229" s="133"/>
      <c r="G229" s="95">
        <v>25</v>
      </c>
      <c r="H229" s="133"/>
      <c r="I229" s="108">
        <v>46251</v>
      </c>
      <c r="J229" s="134">
        <f>G229-SUM(L229:FL229)</f>
        <v>0</v>
      </c>
      <c r="K229" s="183" t="s">
        <v>1323</v>
      </c>
      <c r="L229" s="161"/>
      <c r="M229" s="136"/>
      <c r="N229" s="136"/>
      <c r="O229" s="136"/>
      <c r="P229" s="136"/>
      <c r="Q229" s="136"/>
      <c r="R229" s="136"/>
      <c r="S229" s="161"/>
      <c r="T229" s="161"/>
      <c r="U229" s="161"/>
      <c r="V229" s="161"/>
      <c r="W229" s="135"/>
      <c r="X229" s="135"/>
      <c r="Y229" s="161"/>
      <c r="Z229" s="161"/>
      <c r="AA229" s="161"/>
      <c r="AB229" s="161"/>
      <c r="AC229" s="136"/>
      <c r="AD229" s="136"/>
      <c r="AE229" s="135"/>
      <c r="AF229" s="135"/>
      <c r="AG229" s="135"/>
      <c r="AH229" s="135"/>
      <c r="AI229" s="161"/>
      <c r="AJ229" s="135"/>
      <c r="AK229" s="161"/>
      <c r="AL229" s="135"/>
      <c r="AM229" s="135"/>
      <c r="AN229" s="135"/>
      <c r="AO229" s="135"/>
      <c r="AP229" s="135"/>
      <c r="AQ229" s="136"/>
      <c r="AR229" s="136"/>
      <c r="AS229" s="161"/>
      <c r="AT229" s="161"/>
      <c r="AU229" s="161"/>
      <c r="AV229" s="161"/>
      <c r="AW229" s="161"/>
      <c r="AX229" s="161"/>
      <c r="AY229" s="161"/>
      <c r="AZ229" s="135"/>
      <c r="BA229" s="161"/>
      <c r="BB229" s="135"/>
      <c r="BC229" s="161"/>
      <c r="BD229" s="135"/>
      <c r="BE229" s="136"/>
      <c r="BF229" s="136"/>
      <c r="BG229" s="161"/>
      <c r="BH229" s="161"/>
      <c r="BI229" s="161"/>
      <c r="BJ229" s="161"/>
      <c r="BK229" s="161"/>
      <c r="BL229" s="161"/>
      <c r="BM229" s="161"/>
      <c r="BN229" s="135"/>
      <c r="BO229" s="135"/>
      <c r="BP229" s="135"/>
      <c r="BQ229" s="135"/>
      <c r="BR229" s="135"/>
      <c r="BS229" s="136"/>
      <c r="BT229" s="136"/>
      <c r="BU229" s="161"/>
      <c r="BV229" s="161"/>
      <c r="BW229" s="161"/>
      <c r="BX229" s="161"/>
      <c r="BY229" s="161"/>
      <c r="BZ229" s="161"/>
      <c r="CA229" s="135"/>
      <c r="CB229" s="135"/>
      <c r="CC229" s="135"/>
      <c r="CD229" s="135"/>
      <c r="CE229" s="135"/>
      <c r="CF229" s="135"/>
      <c r="CG229" s="136"/>
      <c r="CH229" s="136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36"/>
      <c r="CV229" s="136"/>
      <c r="CW229" s="161"/>
      <c r="CX229" s="161"/>
      <c r="CY229" s="161"/>
      <c r="CZ229" s="161"/>
      <c r="DA229" s="135"/>
      <c r="DB229" s="161"/>
      <c r="DC229" s="135"/>
      <c r="DD229" s="161"/>
      <c r="DE229" s="161"/>
      <c r="DF229" s="161"/>
      <c r="DG229" s="161"/>
      <c r="DH229" s="161"/>
      <c r="DI229" s="136"/>
      <c r="DJ229" s="136"/>
      <c r="DK229" s="135">
        <v>1</v>
      </c>
      <c r="DL229" s="161"/>
      <c r="DM229" s="135"/>
      <c r="DN229" s="161"/>
      <c r="DO229" s="161">
        <v>24</v>
      </c>
      <c r="DP229" s="161"/>
      <c r="DQ229" s="135"/>
      <c r="DR229" s="135"/>
      <c r="DS229" s="135"/>
      <c r="DT229" s="135"/>
      <c r="DU229" s="135"/>
      <c r="DV229" s="135"/>
      <c r="DW229" s="136"/>
      <c r="DX229" s="136"/>
      <c r="DY229" s="161"/>
      <c r="DZ229" s="161"/>
      <c r="EA229" s="161"/>
      <c r="EB229" s="161"/>
      <c r="EC229" s="161"/>
      <c r="ED229" s="161"/>
      <c r="EE229" s="135"/>
      <c r="EF229" s="135"/>
      <c r="EG229" s="135"/>
      <c r="EH229" s="135"/>
      <c r="EI229" s="135"/>
      <c r="EJ229" s="135"/>
      <c r="EK229" s="136"/>
      <c r="EL229" s="136"/>
      <c r="EM229" s="136"/>
      <c r="EN229" s="136"/>
      <c r="EO229" s="136"/>
      <c r="EP229" s="136"/>
      <c r="EQ229" s="136"/>
      <c r="ER229" s="136"/>
      <c r="ES229" s="135"/>
      <c r="ET229" s="135"/>
      <c r="EU229" s="135"/>
      <c r="EV229" s="135"/>
      <c r="EW229" s="135"/>
      <c r="EX229" s="135"/>
      <c r="EY229" s="136"/>
      <c r="EZ229" s="136"/>
      <c r="FA229" s="161"/>
      <c r="FB229" s="161"/>
      <c r="FC229" s="161"/>
      <c r="FD229" s="161"/>
      <c r="FE229" s="161"/>
      <c r="FF229" s="161"/>
      <c r="FG229" s="135"/>
      <c r="FH229" s="135"/>
      <c r="FI229" s="135"/>
      <c r="FJ229" s="135"/>
      <c r="FK229" s="135"/>
      <c r="FL229" s="135"/>
      <c r="FM229" s="136"/>
      <c r="FN229" s="136"/>
      <c r="FO229" s="161"/>
      <c r="FP229" s="161"/>
      <c r="FQ229" s="161"/>
      <c r="FR229" s="161"/>
      <c r="FS229" s="161"/>
      <c r="FT229" s="161"/>
      <c r="FU229" s="135"/>
      <c r="FV229" s="135"/>
      <c r="FW229" s="135"/>
      <c r="FX229" s="135"/>
      <c r="FY229" s="135"/>
      <c r="FZ229" s="135"/>
      <c r="GA229" s="136"/>
      <c r="GB229" s="136"/>
      <c r="GC229" s="161"/>
      <c r="GD229" s="161"/>
      <c r="GE229" s="161"/>
      <c r="GF229" s="161"/>
      <c r="GG229" s="161"/>
      <c r="GH229" s="161"/>
      <c r="GI229" s="135"/>
      <c r="GJ229" s="135"/>
      <c r="GK229" s="135"/>
      <c r="GL229" s="135"/>
      <c r="GM229" s="135"/>
      <c r="GN229" s="135"/>
    </row>
    <row r="230" spans="1:196">
      <c r="A230" s="140"/>
      <c r="B230" s="126" t="s">
        <v>1176</v>
      </c>
      <c r="C230" s="126" t="s">
        <v>1019</v>
      </c>
      <c r="D230" s="119"/>
      <c r="E230" s="119"/>
      <c r="F230" s="107"/>
      <c r="G230" s="127">
        <v>1000</v>
      </c>
      <c r="H230" s="6"/>
      <c r="I230" s="125">
        <v>46256</v>
      </c>
      <c r="J230" s="13">
        <f t="shared" si="189"/>
        <v>0</v>
      </c>
      <c r="K230" s="163" t="s">
        <v>1283</v>
      </c>
      <c r="L230" s="161"/>
      <c r="M230" s="136"/>
      <c r="N230" s="136"/>
      <c r="O230" s="136"/>
      <c r="P230" s="136"/>
      <c r="Q230" s="136"/>
      <c r="R230" s="136"/>
      <c r="S230" s="161"/>
      <c r="T230" s="161"/>
      <c r="U230" s="161"/>
      <c r="V230" s="161"/>
      <c r="W230" s="135"/>
      <c r="X230" s="135"/>
      <c r="Y230" s="161"/>
      <c r="Z230" s="161"/>
      <c r="AA230" s="161"/>
      <c r="AB230" s="161"/>
      <c r="AC230" s="136"/>
      <c r="AD230" s="136"/>
      <c r="AE230" s="135"/>
      <c r="AF230" s="135"/>
      <c r="AG230" s="135"/>
      <c r="AH230" s="135"/>
      <c r="AI230" s="161"/>
      <c r="AJ230" s="135"/>
      <c r="AK230" s="161"/>
      <c r="AL230" s="135"/>
      <c r="AM230" s="135"/>
      <c r="AN230" s="135"/>
      <c r="AO230" s="135"/>
      <c r="AP230" s="135"/>
      <c r="AQ230" s="136"/>
      <c r="AR230" s="136"/>
      <c r="AS230" s="161"/>
      <c r="AT230" s="161"/>
      <c r="AU230" s="161"/>
      <c r="AV230" s="161"/>
      <c r="AW230" s="161"/>
      <c r="AX230" s="161"/>
      <c r="AY230" s="161"/>
      <c r="AZ230" s="135"/>
      <c r="BA230" s="161"/>
      <c r="BB230" s="135"/>
      <c r="BC230" s="161"/>
      <c r="BD230" s="135"/>
      <c r="BE230" s="136"/>
      <c r="BF230" s="136"/>
      <c r="BG230" s="161"/>
      <c r="BH230" s="161"/>
      <c r="BI230" s="161"/>
      <c r="BJ230" s="161"/>
      <c r="BK230" s="161"/>
      <c r="BL230" s="161"/>
      <c r="BM230" s="161"/>
      <c r="BN230" s="135"/>
      <c r="BO230" s="135"/>
      <c r="BP230" s="135"/>
      <c r="BQ230" s="135"/>
      <c r="BR230" s="135"/>
      <c r="BS230" s="136"/>
      <c r="BT230" s="136"/>
      <c r="BU230" s="161"/>
      <c r="BV230" s="161"/>
      <c r="BW230" s="161"/>
      <c r="BX230" s="161"/>
      <c r="BY230" s="161"/>
      <c r="BZ230" s="161"/>
      <c r="CA230" s="135"/>
      <c r="CB230" s="135"/>
      <c r="CC230" s="135"/>
      <c r="CD230" s="135"/>
      <c r="CE230" s="135"/>
      <c r="CF230" s="135"/>
      <c r="CG230" s="136"/>
      <c r="CH230" s="136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36"/>
      <c r="CV230" s="136"/>
      <c r="CW230" s="135"/>
      <c r="CX230" s="135"/>
      <c r="CY230" s="135"/>
      <c r="CZ230" s="135"/>
      <c r="DA230" s="135"/>
      <c r="DB230" s="161"/>
      <c r="DC230" s="135"/>
      <c r="DD230" s="135"/>
      <c r="DE230" s="135"/>
      <c r="DF230" s="135"/>
      <c r="DG230" s="135"/>
      <c r="DH230" s="135"/>
      <c r="DI230" s="136"/>
      <c r="DJ230" s="136"/>
      <c r="DK230" s="135"/>
      <c r="DL230" s="161"/>
      <c r="DM230" s="135"/>
      <c r="DN230" s="135"/>
      <c r="DO230" s="135"/>
      <c r="DP230" s="135"/>
      <c r="DQ230" s="135">
        <v>1000</v>
      </c>
      <c r="DR230" s="135"/>
      <c r="DS230" s="135"/>
      <c r="DT230" s="135"/>
      <c r="DU230" s="135"/>
      <c r="DV230" s="135"/>
      <c r="DW230" s="136"/>
      <c r="DX230" s="136"/>
      <c r="DY230" s="161"/>
      <c r="DZ230" s="161"/>
      <c r="EA230" s="161"/>
      <c r="EB230" s="161"/>
      <c r="EC230" s="161"/>
      <c r="ED230" s="161"/>
      <c r="EE230" s="135"/>
      <c r="EF230" s="135"/>
      <c r="EG230" s="135"/>
      <c r="EH230" s="135"/>
      <c r="EI230" s="135"/>
      <c r="EJ230" s="135"/>
      <c r="EK230" s="136"/>
      <c r="EL230" s="136"/>
      <c r="EM230" s="136"/>
      <c r="EN230" s="136"/>
      <c r="EO230" s="136"/>
      <c r="EP230" s="136"/>
      <c r="EQ230" s="136"/>
      <c r="ER230" s="136"/>
      <c r="ES230" s="135"/>
      <c r="ET230" s="135"/>
      <c r="EU230" s="135"/>
      <c r="EV230" s="135"/>
      <c r="EW230" s="135"/>
      <c r="EX230" s="135"/>
      <c r="EY230" s="136"/>
      <c r="EZ230" s="136"/>
      <c r="FA230" s="161"/>
      <c r="FB230" s="161"/>
      <c r="FC230" s="161"/>
      <c r="FD230" s="161"/>
      <c r="FE230" s="161"/>
      <c r="FF230" s="161"/>
      <c r="FG230" s="135"/>
      <c r="FH230" s="135"/>
      <c r="FI230" s="135"/>
      <c r="FJ230" s="135"/>
      <c r="FK230" s="135"/>
      <c r="FL230" s="135"/>
      <c r="FM230" s="136"/>
      <c r="FN230" s="136"/>
      <c r="FO230" s="161"/>
      <c r="FP230" s="161"/>
      <c r="FQ230" s="161"/>
      <c r="FR230" s="161"/>
      <c r="FS230" s="161"/>
      <c r="FT230" s="161"/>
      <c r="FU230" s="135"/>
      <c r="FV230" s="135"/>
      <c r="FW230" s="135"/>
      <c r="FX230" s="135"/>
      <c r="FY230" s="135"/>
      <c r="FZ230" s="135"/>
      <c r="GA230" s="136"/>
      <c r="GB230" s="136"/>
      <c r="GC230" s="161"/>
      <c r="GD230" s="161"/>
      <c r="GE230" s="161"/>
      <c r="GF230" s="161"/>
      <c r="GG230" s="161"/>
      <c r="GH230" s="161"/>
      <c r="GI230" s="135"/>
      <c r="GJ230" s="135"/>
      <c r="GK230" s="135"/>
      <c r="GL230" s="135"/>
      <c r="GM230" s="135"/>
      <c r="GN230" s="135"/>
    </row>
    <row r="231" spans="1:196">
      <c r="A231" s="140"/>
      <c r="B231" s="126" t="s">
        <v>1177</v>
      </c>
      <c r="C231" s="126" t="s">
        <v>687</v>
      </c>
      <c r="D231" s="119"/>
      <c r="E231" s="119"/>
      <c r="F231" s="107"/>
      <c r="G231" s="127">
        <v>1950</v>
      </c>
      <c r="H231" s="6"/>
      <c r="I231" s="125">
        <v>46256</v>
      </c>
      <c r="J231" s="13">
        <f t="shared" si="189"/>
        <v>0</v>
      </c>
      <c r="K231" s="163" t="s">
        <v>1215</v>
      </c>
      <c r="L231" s="161"/>
      <c r="M231" s="136"/>
      <c r="N231" s="136"/>
      <c r="O231" s="136"/>
      <c r="P231" s="136"/>
      <c r="Q231" s="136"/>
      <c r="R231" s="136"/>
      <c r="S231" s="161"/>
      <c r="T231" s="161"/>
      <c r="U231" s="161"/>
      <c r="V231" s="161"/>
      <c r="W231" s="135"/>
      <c r="X231" s="135"/>
      <c r="Y231" s="161"/>
      <c r="Z231" s="161"/>
      <c r="AA231" s="161"/>
      <c r="AB231" s="161"/>
      <c r="AC231" s="136"/>
      <c r="AD231" s="136"/>
      <c r="AE231" s="135"/>
      <c r="AF231" s="135"/>
      <c r="AG231" s="135"/>
      <c r="AH231" s="135"/>
      <c r="AI231" s="161"/>
      <c r="AJ231" s="135"/>
      <c r="AK231" s="161"/>
      <c r="AL231" s="135"/>
      <c r="AM231" s="135"/>
      <c r="AN231" s="135"/>
      <c r="AO231" s="135"/>
      <c r="AP231" s="135"/>
      <c r="AQ231" s="136"/>
      <c r="AR231" s="136"/>
      <c r="AS231" s="161"/>
      <c r="AT231" s="161"/>
      <c r="AU231" s="161"/>
      <c r="AV231" s="161"/>
      <c r="AW231" s="161"/>
      <c r="AX231" s="161"/>
      <c r="AY231" s="161"/>
      <c r="AZ231" s="135"/>
      <c r="BA231" s="161"/>
      <c r="BB231" s="135"/>
      <c r="BC231" s="161"/>
      <c r="BD231" s="135"/>
      <c r="BE231" s="136"/>
      <c r="BF231" s="136"/>
      <c r="BG231" s="161"/>
      <c r="BH231" s="161"/>
      <c r="BI231" s="161"/>
      <c r="BJ231" s="161"/>
      <c r="BK231" s="161"/>
      <c r="BL231" s="161"/>
      <c r="BM231" s="161"/>
      <c r="BN231" s="135"/>
      <c r="BO231" s="135"/>
      <c r="BP231" s="135"/>
      <c r="BQ231" s="135"/>
      <c r="BR231" s="135"/>
      <c r="BS231" s="136"/>
      <c r="BT231" s="136"/>
      <c r="BU231" s="161"/>
      <c r="BV231" s="161"/>
      <c r="BW231" s="161"/>
      <c r="BX231" s="161"/>
      <c r="BY231" s="161"/>
      <c r="BZ231" s="161"/>
      <c r="CA231" s="135"/>
      <c r="CB231" s="135"/>
      <c r="CC231" s="135"/>
      <c r="CD231" s="135"/>
      <c r="CE231" s="135"/>
      <c r="CF231" s="135"/>
      <c r="CG231" s="136"/>
      <c r="CH231" s="136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36"/>
      <c r="CV231" s="136"/>
      <c r="CW231" s="135"/>
      <c r="CX231" s="135"/>
      <c r="CY231" s="135"/>
      <c r="CZ231" s="135"/>
      <c r="DA231" s="135"/>
      <c r="DB231" s="161"/>
      <c r="DC231" s="135"/>
      <c r="DD231" s="135"/>
      <c r="DE231" s="135"/>
      <c r="DF231" s="135"/>
      <c r="DG231" s="135"/>
      <c r="DH231" s="135"/>
      <c r="DI231" s="136"/>
      <c r="DJ231" s="136"/>
      <c r="DK231" s="135"/>
      <c r="DL231" s="161"/>
      <c r="DM231" s="135"/>
      <c r="DN231" s="135"/>
      <c r="DO231" s="135"/>
      <c r="DP231" s="135"/>
      <c r="DQ231" s="135">
        <v>700</v>
      </c>
      <c r="DR231" s="135"/>
      <c r="DS231" s="135">
        <v>1250</v>
      </c>
      <c r="DT231" s="135"/>
      <c r="DU231" s="135"/>
      <c r="DV231" s="135"/>
      <c r="DW231" s="136"/>
      <c r="DX231" s="136"/>
      <c r="DY231" s="161"/>
      <c r="DZ231" s="161"/>
      <c r="EA231" s="161"/>
      <c r="EB231" s="161"/>
      <c r="EC231" s="161"/>
      <c r="ED231" s="161"/>
      <c r="EE231" s="135"/>
      <c r="EF231" s="135"/>
      <c r="EG231" s="135"/>
      <c r="EH231" s="135"/>
      <c r="EI231" s="135"/>
      <c r="EJ231" s="135"/>
      <c r="EK231" s="136"/>
      <c r="EL231" s="136"/>
      <c r="EM231" s="136"/>
      <c r="EN231" s="136"/>
      <c r="EO231" s="136"/>
      <c r="EP231" s="136"/>
      <c r="EQ231" s="136"/>
      <c r="ER231" s="136"/>
      <c r="ES231" s="135"/>
      <c r="ET231" s="135"/>
      <c r="EU231" s="135"/>
      <c r="EV231" s="135"/>
      <c r="EW231" s="135"/>
      <c r="EX231" s="135"/>
      <c r="EY231" s="136"/>
      <c r="EZ231" s="136"/>
      <c r="FA231" s="161"/>
      <c r="FB231" s="161"/>
      <c r="FC231" s="161"/>
      <c r="FD231" s="161"/>
      <c r="FE231" s="161"/>
      <c r="FF231" s="161"/>
      <c r="FG231" s="135"/>
      <c r="FH231" s="135"/>
      <c r="FI231" s="135"/>
      <c r="FJ231" s="135"/>
      <c r="FK231" s="135"/>
      <c r="FL231" s="135"/>
      <c r="FM231" s="136"/>
      <c r="FN231" s="136"/>
      <c r="FO231" s="161"/>
      <c r="FP231" s="161"/>
      <c r="FQ231" s="161"/>
      <c r="FR231" s="161"/>
      <c r="FS231" s="161"/>
      <c r="FT231" s="161"/>
      <c r="FU231" s="135"/>
      <c r="FV231" s="135"/>
      <c r="FW231" s="135"/>
      <c r="FX231" s="135"/>
      <c r="FY231" s="135"/>
      <c r="FZ231" s="135"/>
      <c r="GA231" s="136"/>
      <c r="GB231" s="136"/>
      <c r="GC231" s="161"/>
      <c r="GD231" s="161"/>
      <c r="GE231" s="161"/>
      <c r="GF231" s="161"/>
      <c r="GG231" s="161"/>
      <c r="GH231" s="161"/>
      <c r="GI231" s="135"/>
      <c r="GJ231" s="135"/>
      <c r="GK231" s="135"/>
      <c r="GL231" s="135"/>
      <c r="GM231" s="135"/>
      <c r="GN231" s="135"/>
    </row>
    <row r="232" spans="1:196">
      <c r="A232" s="140"/>
      <c r="B232" s="126" t="s">
        <v>1120</v>
      </c>
      <c r="C232" s="126" t="s">
        <v>712</v>
      </c>
      <c r="D232" s="119"/>
      <c r="E232" s="119"/>
      <c r="F232" s="107"/>
      <c r="G232" s="127">
        <v>200</v>
      </c>
      <c r="H232" s="6"/>
      <c r="I232" s="125">
        <v>46249</v>
      </c>
      <c r="J232" s="13">
        <f>G232-SUM(L232:FL232)</f>
        <v>0</v>
      </c>
      <c r="K232" s="163" t="s">
        <v>1151</v>
      </c>
      <c r="L232" s="161"/>
      <c r="M232" s="136"/>
      <c r="N232" s="136"/>
      <c r="O232" s="136"/>
      <c r="P232" s="136"/>
      <c r="Q232" s="136"/>
      <c r="R232" s="136"/>
      <c r="S232" s="161"/>
      <c r="T232" s="161"/>
      <c r="U232" s="161"/>
      <c r="V232" s="161"/>
      <c r="W232" s="135"/>
      <c r="X232" s="135"/>
      <c r="Y232" s="161"/>
      <c r="Z232" s="161"/>
      <c r="AA232" s="161"/>
      <c r="AB232" s="161"/>
      <c r="AC232" s="136"/>
      <c r="AD232" s="136"/>
      <c r="AE232" s="135"/>
      <c r="AF232" s="135"/>
      <c r="AG232" s="135"/>
      <c r="AH232" s="135"/>
      <c r="AI232" s="161"/>
      <c r="AJ232" s="135"/>
      <c r="AK232" s="161"/>
      <c r="AL232" s="135"/>
      <c r="AM232" s="135"/>
      <c r="AN232" s="135"/>
      <c r="AO232" s="135"/>
      <c r="AP232" s="135"/>
      <c r="AQ232" s="136"/>
      <c r="AR232" s="136"/>
      <c r="AS232" s="161"/>
      <c r="AT232" s="161"/>
      <c r="AU232" s="161"/>
      <c r="AV232" s="161"/>
      <c r="AW232" s="161"/>
      <c r="AX232" s="161"/>
      <c r="AY232" s="161"/>
      <c r="AZ232" s="135"/>
      <c r="BA232" s="161"/>
      <c r="BB232" s="135"/>
      <c r="BC232" s="161"/>
      <c r="BD232" s="135"/>
      <c r="BE232" s="136"/>
      <c r="BF232" s="136"/>
      <c r="BG232" s="161"/>
      <c r="BH232" s="161"/>
      <c r="BI232" s="161"/>
      <c r="BJ232" s="161"/>
      <c r="BK232" s="161"/>
      <c r="BL232" s="161"/>
      <c r="BM232" s="161"/>
      <c r="BN232" s="135"/>
      <c r="BO232" s="135"/>
      <c r="BP232" s="135"/>
      <c r="BQ232" s="135"/>
      <c r="BR232" s="135"/>
      <c r="BS232" s="136"/>
      <c r="BT232" s="136"/>
      <c r="BU232" s="161"/>
      <c r="BV232" s="161"/>
      <c r="BW232" s="161"/>
      <c r="BX232" s="161"/>
      <c r="BY232" s="161"/>
      <c r="BZ232" s="161"/>
      <c r="CA232" s="135"/>
      <c r="CB232" s="135"/>
      <c r="CC232" s="135"/>
      <c r="CD232" s="135"/>
      <c r="CE232" s="135"/>
      <c r="CF232" s="135"/>
      <c r="CG232" s="136"/>
      <c r="CH232" s="136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36"/>
      <c r="CV232" s="136"/>
      <c r="CW232" s="161"/>
      <c r="CX232" s="161"/>
      <c r="CY232" s="161"/>
      <c r="CZ232" s="161"/>
      <c r="DA232" s="161"/>
      <c r="DB232" s="161"/>
      <c r="DC232" s="161"/>
      <c r="DD232" s="161"/>
      <c r="DE232" s="161"/>
      <c r="DF232" s="161"/>
      <c r="DG232" s="161"/>
      <c r="DH232" s="161"/>
      <c r="DI232" s="136"/>
      <c r="DJ232" s="136"/>
      <c r="DK232" s="161"/>
      <c r="DL232" s="161"/>
      <c r="DM232" s="161"/>
      <c r="DN232" s="161"/>
      <c r="DO232" s="161"/>
      <c r="DP232" s="161"/>
      <c r="DQ232" s="161"/>
      <c r="DR232" s="135"/>
      <c r="DS232" s="161">
        <v>200</v>
      </c>
      <c r="DT232" s="135"/>
      <c r="DU232" s="135"/>
      <c r="DV232" s="135"/>
      <c r="DW232" s="136"/>
      <c r="DX232" s="136"/>
      <c r="DY232" s="161"/>
      <c r="DZ232" s="161"/>
      <c r="EA232" s="161"/>
      <c r="EB232" s="161"/>
      <c r="EC232" s="161"/>
      <c r="ED232" s="161"/>
      <c r="EE232" s="135"/>
      <c r="EF232" s="135"/>
      <c r="EG232" s="135"/>
      <c r="EH232" s="135"/>
      <c r="EI232" s="135"/>
      <c r="EJ232" s="135"/>
      <c r="EK232" s="136"/>
      <c r="EL232" s="136"/>
      <c r="EM232" s="136"/>
      <c r="EN232" s="136"/>
      <c r="EO232" s="136"/>
      <c r="EP232" s="136"/>
      <c r="EQ232" s="136"/>
      <c r="ER232" s="136"/>
      <c r="ES232" s="135"/>
      <c r="ET232" s="135"/>
      <c r="EU232" s="135"/>
      <c r="EV232" s="135"/>
      <c r="EW232" s="135"/>
      <c r="EX232" s="135"/>
      <c r="EY232" s="136"/>
      <c r="EZ232" s="136"/>
      <c r="FA232" s="161"/>
      <c r="FB232" s="161"/>
      <c r="FC232" s="161"/>
      <c r="FD232" s="161"/>
      <c r="FE232" s="161"/>
      <c r="FF232" s="161"/>
      <c r="FG232" s="135"/>
      <c r="FH232" s="135"/>
      <c r="FI232" s="135"/>
      <c r="FJ232" s="135"/>
      <c r="FK232" s="135"/>
      <c r="FL232" s="135"/>
      <c r="FM232" s="136"/>
      <c r="FN232" s="136"/>
      <c r="FO232" s="161"/>
      <c r="FP232" s="161"/>
      <c r="FQ232" s="161"/>
      <c r="FR232" s="161"/>
      <c r="FS232" s="161"/>
      <c r="FT232" s="161"/>
      <c r="FU232" s="135"/>
      <c r="FV232" s="135"/>
      <c r="FW232" s="135"/>
      <c r="FX232" s="135"/>
      <c r="FY232" s="135"/>
      <c r="FZ232" s="135"/>
      <c r="GA232" s="136"/>
      <c r="GB232" s="136"/>
      <c r="GC232" s="161"/>
      <c r="GD232" s="161"/>
      <c r="GE232" s="161"/>
      <c r="GF232" s="161"/>
      <c r="GG232" s="161"/>
      <c r="GH232" s="161"/>
      <c r="GI232" s="135"/>
      <c r="GJ232" s="135"/>
      <c r="GK232" s="135"/>
      <c r="GL232" s="135"/>
      <c r="GM232" s="135"/>
      <c r="GN232" s="135"/>
    </row>
    <row r="233" spans="1:196">
      <c r="A233" s="140"/>
      <c r="B233" s="126" t="s">
        <v>1067</v>
      </c>
      <c r="C233" s="126" t="s">
        <v>709</v>
      </c>
      <c r="D233" s="119"/>
      <c r="E233" s="119" t="e">
        <f>VLOOKUP(C233,#REF!,5,0)</f>
        <v>#REF!</v>
      </c>
      <c r="F233" s="107"/>
      <c r="G233" s="127">
        <v>728</v>
      </c>
      <c r="H233" s="6"/>
      <c r="I233" s="125">
        <v>46256</v>
      </c>
      <c r="J233" s="13">
        <f>G233-SUM(L233:FL233)</f>
        <v>0</v>
      </c>
      <c r="K233" s="124" t="s">
        <v>1225</v>
      </c>
      <c r="L233" s="161"/>
      <c r="M233" s="136"/>
      <c r="N233" s="136"/>
      <c r="O233" s="136"/>
      <c r="P233" s="136"/>
      <c r="Q233" s="136"/>
      <c r="R233" s="136"/>
      <c r="S233" s="161"/>
      <c r="T233" s="161"/>
      <c r="U233" s="161"/>
      <c r="V233" s="161"/>
      <c r="W233" s="135"/>
      <c r="X233" s="135"/>
      <c r="Y233" s="161"/>
      <c r="Z233" s="161"/>
      <c r="AA233" s="161"/>
      <c r="AB233" s="161"/>
      <c r="AC233" s="136"/>
      <c r="AD233" s="136"/>
      <c r="AE233" s="135"/>
      <c r="AF233" s="135"/>
      <c r="AG233" s="135"/>
      <c r="AH233" s="135"/>
      <c r="AI233" s="161"/>
      <c r="AJ233" s="135"/>
      <c r="AK233" s="161"/>
      <c r="AL233" s="135"/>
      <c r="AM233" s="135"/>
      <c r="AN233" s="135"/>
      <c r="AO233" s="135"/>
      <c r="AP233" s="135"/>
      <c r="AQ233" s="136"/>
      <c r="AR233" s="136"/>
      <c r="AS233" s="161"/>
      <c r="AT233" s="161"/>
      <c r="AU233" s="161"/>
      <c r="AV233" s="161"/>
      <c r="AW233" s="161"/>
      <c r="AX233" s="161"/>
      <c r="AY233" s="161"/>
      <c r="AZ233" s="135"/>
      <c r="BA233" s="161"/>
      <c r="BB233" s="135"/>
      <c r="BC233" s="161"/>
      <c r="BD233" s="135"/>
      <c r="BE233" s="136"/>
      <c r="BF233" s="136"/>
      <c r="BG233" s="161"/>
      <c r="BH233" s="161"/>
      <c r="BI233" s="161"/>
      <c r="BJ233" s="161"/>
      <c r="BK233" s="161"/>
      <c r="BL233" s="161"/>
      <c r="BM233" s="161"/>
      <c r="BN233" s="135"/>
      <c r="BO233" s="135"/>
      <c r="BP233" s="161"/>
      <c r="BQ233" s="135"/>
      <c r="BR233" s="135"/>
      <c r="BS233" s="136"/>
      <c r="BT233" s="136"/>
      <c r="BU233" s="161"/>
      <c r="BV233" s="161"/>
      <c r="BW233" s="161"/>
      <c r="BX233" s="161"/>
      <c r="BY233" s="161"/>
      <c r="BZ233" s="161"/>
      <c r="CA233" s="161"/>
      <c r="CB233" s="161"/>
      <c r="CC233" s="161"/>
      <c r="CD233" s="161"/>
      <c r="CE233" s="161"/>
      <c r="CF233" s="161"/>
      <c r="CG233" s="136"/>
      <c r="CH233" s="136"/>
      <c r="CI233" s="161"/>
      <c r="CJ233" s="161"/>
      <c r="CK233" s="161"/>
      <c r="CL233" s="161"/>
      <c r="CM233" s="161"/>
      <c r="CN233" s="161"/>
      <c r="CO233" s="135"/>
      <c r="CP233" s="135"/>
      <c r="CQ233" s="161"/>
      <c r="CR233" s="161"/>
      <c r="CS233" s="161"/>
      <c r="CT233" s="161"/>
      <c r="CU233" s="136"/>
      <c r="CV233" s="136"/>
      <c r="CW233" s="161"/>
      <c r="CX233" s="161"/>
      <c r="CY233" s="161"/>
      <c r="CZ233" s="161"/>
      <c r="DA233" s="161"/>
      <c r="DB233" s="161"/>
      <c r="DC233" s="161"/>
      <c r="DD233" s="161"/>
      <c r="DE233" s="135"/>
      <c r="DF233" s="161"/>
      <c r="DG233" s="161"/>
      <c r="DH233" s="135"/>
      <c r="DI233" s="136"/>
      <c r="DJ233" s="136"/>
      <c r="DK233" s="161"/>
      <c r="DL233" s="161"/>
      <c r="DM233" s="161"/>
      <c r="DN233" s="161"/>
      <c r="DO233" s="161"/>
      <c r="DP233" s="161"/>
      <c r="DQ233" s="135"/>
      <c r="DR233" s="135"/>
      <c r="DS233" s="135"/>
      <c r="DT233" s="135"/>
      <c r="DU233" s="135">
        <v>728</v>
      </c>
      <c r="DV233" s="135"/>
      <c r="DW233" s="136"/>
      <c r="DX233" s="136"/>
      <c r="DY233" s="161"/>
      <c r="DZ233" s="161"/>
      <c r="EA233" s="161"/>
      <c r="EB233" s="161"/>
      <c r="EC233" s="161"/>
      <c r="ED233" s="161"/>
      <c r="EE233" s="135"/>
      <c r="EF233" s="135"/>
      <c r="EG233" s="135"/>
      <c r="EH233" s="135"/>
      <c r="EI233" s="135"/>
      <c r="EJ233" s="135"/>
      <c r="EK233" s="136"/>
      <c r="EL233" s="136"/>
      <c r="EM233" s="136"/>
      <c r="EN233" s="136"/>
      <c r="EO233" s="136"/>
      <c r="EP233" s="136"/>
      <c r="EQ233" s="136"/>
      <c r="ER233" s="136"/>
      <c r="ES233" s="135"/>
      <c r="ET233" s="135"/>
      <c r="EU233" s="135"/>
      <c r="EV233" s="135"/>
      <c r="EW233" s="135"/>
      <c r="EX233" s="135"/>
      <c r="EY233" s="136"/>
      <c r="EZ233" s="136"/>
      <c r="FA233" s="161"/>
      <c r="FB233" s="161"/>
      <c r="FC233" s="161"/>
      <c r="FD233" s="161"/>
      <c r="FE233" s="161"/>
      <c r="FF233" s="161"/>
      <c r="FG233" s="135"/>
      <c r="FH233" s="135"/>
      <c r="FI233" s="135"/>
      <c r="FJ233" s="135"/>
      <c r="FK233" s="135"/>
      <c r="FL233" s="135"/>
      <c r="FM233" s="136"/>
      <c r="FN233" s="136"/>
      <c r="FO233" s="161"/>
      <c r="FP233" s="161"/>
      <c r="FQ233" s="161"/>
      <c r="FR233" s="161"/>
      <c r="FS233" s="161"/>
      <c r="FT233" s="161"/>
      <c r="FU233" s="135"/>
      <c r="FV233" s="135"/>
      <c r="FW233" s="135"/>
      <c r="FX233" s="135"/>
      <c r="FY233" s="135"/>
      <c r="FZ233" s="135"/>
      <c r="GA233" s="136"/>
      <c r="GB233" s="136"/>
      <c r="GC233" s="161"/>
      <c r="GD233" s="161"/>
      <c r="GE233" s="161"/>
      <c r="GF233" s="161"/>
      <c r="GG233" s="161"/>
      <c r="GH233" s="161"/>
      <c r="GI233" s="135"/>
      <c r="GJ233" s="135"/>
      <c r="GK233" s="135"/>
      <c r="GL233" s="135"/>
      <c r="GM233" s="135"/>
      <c r="GN233" s="135"/>
    </row>
    <row r="234" spans="1:196">
      <c r="A234" s="140"/>
      <c r="B234" s="126" t="s">
        <v>1178</v>
      </c>
      <c r="C234" s="126" t="s">
        <v>680</v>
      </c>
      <c r="D234" s="119"/>
      <c r="E234" s="119"/>
      <c r="F234" s="107"/>
      <c r="G234" s="127">
        <v>1796</v>
      </c>
      <c r="H234" s="6"/>
      <c r="I234" s="125">
        <v>46256</v>
      </c>
      <c r="J234" s="13">
        <f t="shared" ref="J234:J241" si="193">G234-SUM(L234:FL234)</f>
        <v>0</v>
      </c>
      <c r="K234" s="163"/>
      <c r="L234" s="161"/>
      <c r="M234" s="136"/>
      <c r="N234" s="136"/>
      <c r="O234" s="136"/>
      <c r="P234" s="136"/>
      <c r="Q234" s="136"/>
      <c r="R234" s="136"/>
      <c r="S234" s="161"/>
      <c r="T234" s="161"/>
      <c r="U234" s="161"/>
      <c r="V234" s="161"/>
      <c r="W234" s="135"/>
      <c r="X234" s="135"/>
      <c r="Y234" s="161"/>
      <c r="Z234" s="161"/>
      <c r="AA234" s="161"/>
      <c r="AB234" s="161"/>
      <c r="AC234" s="136"/>
      <c r="AD234" s="136"/>
      <c r="AE234" s="135"/>
      <c r="AF234" s="135"/>
      <c r="AG234" s="135"/>
      <c r="AH234" s="135"/>
      <c r="AI234" s="161"/>
      <c r="AJ234" s="135"/>
      <c r="AK234" s="161"/>
      <c r="AL234" s="135"/>
      <c r="AM234" s="135"/>
      <c r="AN234" s="135"/>
      <c r="AO234" s="135"/>
      <c r="AP234" s="135"/>
      <c r="AQ234" s="136"/>
      <c r="AR234" s="136"/>
      <c r="AS234" s="161"/>
      <c r="AT234" s="161"/>
      <c r="AU234" s="161"/>
      <c r="AV234" s="161"/>
      <c r="AW234" s="161"/>
      <c r="AX234" s="161"/>
      <c r="AY234" s="161"/>
      <c r="AZ234" s="135"/>
      <c r="BA234" s="161"/>
      <c r="BB234" s="135"/>
      <c r="BC234" s="161"/>
      <c r="BD234" s="135"/>
      <c r="BE234" s="136"/>
      <c r="BF234" s="136"/>
      <c r="BG234" s="161"/>
      <c r="BH234" s="161"/>
      <c r="BI234" s="161"/>
      <c r="BJ234" s="161"/>
      <c r="BK234" s="161"/>
      <c r="BL234" s="161"/>
      <c r="BM234" s="161"/>
      <c r="BN234" s="135"/>
      <c r="BO234" s="135"/>
      <c r="BP234" s="135"/>
      <c r="BQ234" s="135"/>
      <c r="BR234" s="135"/>
      <c r="BS234" s="136"/>
      <c r="BT234" s="136"/>
      <c r="BU234" s="161"/>
      <c r="BV234" s="161"/>
      <c r="BW234" s="161"/>
      <c r="BX234" s="161"/>
      <c r="BY234" s="161"/>
      <c r="BZ234" s="161"/>
      <c r="CA234" s="135"/>
      <c r="CB234" s="135"/>
      <c r="CC234" s="135"/>
      <c r="CD234" s="135"/>
      <c r="CE234" s="135"/>
      <c r="CF234" s="135"/>
      <c r="CG234" s="136"/>
      <c r="CH234" s="136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36"/>
      <c r="CV234" s="136"/>
      <c r="CW234" s="135"/>
      <c r="CX234" s="135"/>
      <c r="CY234" s="135"/>
      <c r="CZ234" s="135"/>
      <c r="DA234" s="135"/>
      <c r="DB234" s="161"/>
      <c r="DC234" s="135"/>
      <c r="DD234" s="135"/>
      <c r="DE234" s="135"/>
      <c r="DF234" s="135"/>
      <c r="DG234" s="135"/>
      <c r="DH234" s="135"/>
      <c r="DI234" s="136"/>
      <c r="DJ234" s="136"/>
      <c r="DK234" s="135"/>
      <c r="DL234" s="161"/>
      <c r="DM234" s="135"/>
      <c r="DN234" s="135"/>
      <c r="DO234" s="135"/>
      <c r="DP234" s="135"/>
      <c r="DQ234" s="135"/>
      <c r="DR234" s="135"/>
      <c r="DS234" s="135"/>
      <c r="DT234" s="135"/>
      <c r="DU234" s="135">
        <v>800</v>
      </c>
      <c r="DV234" s="135"/>
      <c r="DW234" s="136"/>
      <c r="DX234" s="136"/>
      <c r="DY234" s="161">
        <v>996</v>
      </c>
      <c r="DZ234" s="161"/>
      <c r="EA234" s="161"/>
      <c r="EB234" s="161"/>
      <c r="EC234" s="161"/>
      <c r="ED234" s="161"/>
      <c r="EE234" s="135"/>
      <c r="EF234" s="135"/>
      <c r="EG234" s="135"/>
      <c r="EH234" s="135"/>
      <c r="EI234" s="135"/>
      <c r="EJ234" s="135"/>
      <c r="EK234" s="136"/>
      <c r="EL234" s="136"/>
      <c r="EM234" s="136"/>
      <c r="EN234" s="136"/>
      <c r="EO234" s="136"/>
      <c r="EP234" s="136"/>
      <c r="EQ234" s="136"/>
      <c r="ER234" s="136"/>
      <c r="ES234" s="135"/>
      <c r="ET234" s="135"/>
      <c r="EU234" s="135"/>
      <c r="EV234" s="135"/>
      <c r="EW234" s="135"/>
      <c r="EX234" s="135"/>
      <c r="EY234" s="136"/>
      <c r="EZ234" s="136"/>
      <c r="FA234" s="161"/>
      <c r="FB234" s="161"/>
      <c r="FC234" s="161"/>
      <c r="FD234" s="161"/>
      <c r="FE234" s="161"/>
      <c r="FF234" s="161"/>
      <c r="FG234" s="135"/>
      <c r="FH234" s="135"/>
      <c r="FI234" s="135"/>
      <c r="FJ234" s="135"/>
      <c r="FK234" s="135"/>
      <c r="FL234" s="135"/>
      <c r="FM234" s="136"/>
      <c r="FN234" s="136"/>
      <c r="FO234" s="161"/>
      <c r="FP234" s="161"/>
      <c r="FQ234" s="161"/>
      <c r="FR234" s="161"/>
      <c r="FS234" s="161"/>
      <c r="FT234" s="161"/>
      <c r="FU234" s="135"/>
      <c r="FV234" s="135"/>
      <c r="FW234" s="135"/>
      <c r="FX234" s="135"/>
      <c r="FY234" s="135"/>
      <c r="FZ234" s="135"/>
      <c r="GA234" s="136"/>
      <c r="GB234" s="136"/>
      <c r="GC234" s="161"/>
      <c r="GD234" s="161"/>
      <c r="GE234" s="161"/>
      <c r="GF234" s="161"/>
      <c r="GG234" s="161"/>
      <c r="GH234" s="161"/>
      <c r="GI234" s="135"/>
      <c r="GJ234" s="135"/>
      <c r="GK234" s="135"/>
      <c r="GL234" s="135"/>
      <c r="GM234" s="135"/>
      <c r="GN234" s="135"/>
    </row>
    <row r="235" spans="1:196">
      <c r="A235" s="140"/>
      <c r="B235" s="126" t="s">
        <v>1173</v>
      </c>
      <c r="C235" s="126" t="s">
        <v>747</v>
      </c>
      <c r="D235" s="119"/>
      <c r="E235" s="119"/>
      <c r="F235" s="107"/>
      <c r="G235" s="127">
        <v>570</v>
      </c>
      <c r="H235" s="6"/>
      <c r="I235" s="125">
        <v>46263</v>
      </c>
      <c r="J235" s="13">
        <f>G235-SUM(L235:FL235)</f>
        <v>0</v>
      </c>
      <c r="K235" s="163"/>
      <c r="L235" s="161"/>
      <c r="M235" s="136"/>
      <c r="N235" s="136"/>
      <c r="O235" s="136"/>
      <c r="P235" s="136"/>
      <c r="Q235" s="136"/>
      <c r="R235" s="136"/>
      <c r="S235" s="161"/>
      <c r="T235" s="161"/>
      <c r="U235" s="161"/>
      <c r="V235" s="161"/>
      <c r="W235" s="135"/>
      <c r="X235" s="135"/>
      <c r="Y235" s="161"/>
      <c r="Z235" s="161"/>
      <c r="AA235" s="161"/>
      <c r="AB235" s="161"/>
      <c r="AC235" s="136"/>
      <c r="AD235" s="136"/>
      <c r="AE235" s="135"/>
      <c r="AF235" s="135"/>
      <c r="AG235" s="135"/>
      <c r="AH235" s="135"/>
      <c r="AI235" s="161"/>
      <c r="AJ235" s="135"/>
      <c r="AK235" s="161"/>
      <c r="AL235" s="135"/>
      <c r="AM235" s="135"/>
      <c r="AN235" s="135"/>
      <c r="AO235" s="135"/>
      <c r="AP235" s="135"/>
      <c r="AQ235" s="136"/>
      <c r="AR235" s="136"/>
      <c r="AS235" s="161"/>
      <c r="AT235" s="161"/>
      <c r="AU235" s="161"/>
      <c r="AV235" s="161"/>
      <c r="AW235" s="161"/>
      <c r="AX235" s="161"/>
      <c r="AY235" s="161"/>
      <c r="AZ235" s="135"/>
      <c r="BA235" s="161"/>
      <c r="BB235" s="135"/>
      <c r="BC235" s="161"/>
      <c r="BD235" s="135"/>
      <c r="BE235" s="136"/>
      <c r="BF235" s="136"/>
      <c r="BG235" s="161"/>
      <c r="BH235" s="161"/>
      <c r="BI235" s="161"/>
      <c r="BJ235" s="161"/>
      <c r="BK235" s="161"/>
      <c r="BL235" s="161"/>
      <c r="BM235" s="161"/>
      <c r="BN235" s="135"/>
      <c r="BO235" s="135"/>
      <c r="BP235" s="135"/>
      <c r="BQ235" s="135"/>
      <c r="BR235" s="135"/>
      <c r="BS235" s="136"/>
      <c r="BT235" s="136"/>
      <c r="BU235" s="161"/>
      <c r="BV235" s="161"/>
      <c r="BW235" s="161"/>
      <c r="BX235" s="161"/>
      <c r="BY235" s="161"/>
      <c r="BZ235" s="161"/>
      <c r="CA235" s="135"/>
      <c r="CB235" s="135"/>
      <c r="CC235" s="135"/>
      <c r="CD235" s="135"/>
      <c r="CE235" s="135"/>
      <c r="CF235" s="135"/>
      <c r="CG235" s="136"/>
      <c r="CH235" s="136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36"/>
      <c r="CV235" s="136"/>
      <c r="CW235" s="161"/>
      <c r="CX235" s="161"/>
      <c r="CY235" s="161"/>
      <c r="CZ235" s="161"/>
      <c r="DA235" s="135"/>
      <c r="DB235" s="161"/>
      <c r="DC235" s="135"/>
      <c r="DD235" s="161"/>
      <c r="DE235" s="161"/>
      <c r="DF235" s="161"/>
      <c r="DG235" s="161"/>
      <c r="DH235" s="161"/>
      <c r="DI235" s="136"/>
      <c r="DJ235" s="136"/>
      <c r="DK235" s="135"/>
      <c r="DL235" s="161"/>
      <c r="DM235" s="135"/>
      <c r="DN235" s="161"/>
      <c r="DO235" s="161"/>
      <c r="DP235" s="161"/>
      <c r="DQ235" s="135"/>
      <c r="DR235" s="135"/>
      <c r="DS235" s="135"/>
      <c r="DT235" s="135"/>
      <c r="DU235" s="135"/>
      <c r="DV235" s="135"/>
      <c r="DW235" s="136"/>
      <c r="DX235" s="136"/>
      <c r="DY235" s="161"/>
      <c r="DZ235" s="135"/>
      <c r="EA235" s="135">
        <v>570</v>
      </c>
      <c r="EB235" s="161"/>
      <c r="EC235" s="161"/>
      <c r="ED235" s="161"/>
      <c r="EE235" s="135"/>
      <c r="EF235" s="135"/>
      <c r="EG235" s="135"/>
      <c r="EH235" s="135"/>
      <c r="EI235" s="135"/>
      <c r="EJ235" s="135"/>
      <c r="EK235" s="136"/>
      <c r="EL235" s="136"/>
      <c r="EM235" s="136"/>
      <c r="EN235" s="136"/>
      <c r="EO235" s="136"/>
      <c r="EP235" s="136"/>
      <c r="EQ235" s="136"/>
      <c r="ER235" s="136"/>
      <c r="ES235" s="135"/>
      <c r="ET235" s="135"/>
      <c r="EU235" s="135"/>
      <c r="EV235" s="135"/>
      <c r="EW235" s="135"/>
      <c r="EX235" s="135"/>
      <c r="EY235" s="136"/>
      <c r="EZ235" s="136"/>
      <c r="FA235" s="161"/>
      <c r="FB235" s="161"/>
      <c r="FC235" s="161"/>
      <c r="FD235" s="161"/>
      <c r="FE235" s="161"/>
      <c r="FF235" s="161"/>
      <c r="FG235" s="135"/>
      <c r="FH235" s="135"/>
      <c r="FI235" s="135"/>
      <c r="FJ235" s="135"/>
      <c r="FK235" s="135"/>
      <c r="FL235" s="135"/>
      <c r="FM235" s="136"/>
      <c r="FN235" s="136"/>
      <c r="FO235" s="161"/>
      <c r="FP235" s="161"/>
      <c r="FQ235" s="161"/>
      <c r="FR235" s="161"/>
      <c r="FS235" s="161"/>
      <c r="FT235" s="161"/>
      <c r="FU235" s="135"/>
      <c r="FV235" s="135"/>
      <c r="FW235" s="135"/>
      <c r="FX235" s="135"/>
      <c r="FY235" s="135"/>
      <c r="FZ235" s="135"/>
      <c r="GA235" s="136"/>
      <c r="GB235" s="136"/>
      <c r="GC235" s="161"/>
      <c r="GD235" s="161"/>
      <c r="GE235" s="161"/>
      <c r="GF235" s="161"/>
      <c r="GG235" s="161"/>
      <c r="GH235" s="161"/>
      <c r="GI235" s="135"/>
      <c r="GJ235" s="135"/>
      <c r="GK235" s="135"/>
      <c r="GL235" s="135"/>
      <c r="GM235" s="135"/>
      <c r="GN235" s="135"/>
    </row>
    <row r="236" spans="1:196">
      <c r="A236" s="140"/>
      <c r="B236" s="126" t="s">
        <v>1211</v>
      </c>
      <c r="C236" s="126" t="s">
        <v>1016</v>
      </c>
      <c r="D236" s="119"/>
      <c r="E236" s="119"/>
      <c r="F236" s="107"/>
      <c r="G236" s="127">
        <v>768</v>
      </c>
      <c r="H236" s="6"/>
      <c r="I236" s="125">
        <v>46263</v>
      </c>
      <c r="J236" s="13">
        <f>G236-SUM(L236:FL236)</f>
        <v>0</v>
      </c>
      <c r="K236" s="163" t="s">
        <v>1283</v>
      </c>
      <c r="L236" s="161"/>
      <c r="M236" s="136"/>
      <c r="N236" s="136"/>
      <c r="O236" s="136"/>
      <c r="P236" s="136"/>
      <c r="Q236" s="136"/>
      <c r="R236" s="136"/>
      <c r="S236" s="161"/>
      <c r="T236" s="161"/>
      <c r="U236" s="161"/>
      <c r="V236" s="161"/>
      <c r="W236" s="135"/>
      <c r="X236" s="135"/>
      <c r="Y236" s="161"/>
      <c r="Z236" s="161"/>
      <c r="AA236" s="161"/>
      <c r="AB236" s="161"/>
      <c r="AC236" s="136"/>
      <c r="AD236" s="136"/>
      <c r="AE236" s="135"/>
      <c r="AF236" s="135"/>
      <c r="AG236" s="135"/>
      <c r="AH236" s="135"/>
      <c r="AI236" s="161"/>
      <c r="AJ236" s="135"/>
      <c r="AK236" s="161"/>
      <c r="AL236" s="135"/>
      <c r="AM236" s="135"/>
      <c r="AN236" s="135"/>
      <c r="AO236" s="135"/>
      <c r="AP236" s="135"/>
      <c r="AQ236" s="136"/>
      <c r="AR236" s="136"/>
      <c r="AS236" s="161"/>
      <c r="AT236" s="161"/>
      <c r="AU236" s="161"/>
      <c r="AV236" s="161"/>
      <c r="AW236" s="161"/>
      <c r="AX236" s="161"/>
      <c r="AY236" s="161"/>
      <c r="AZ236" s="135"/>
      <c r="BA236" s="161"/>
      <c r="BB236" s="135"/>
      <c r="BC236" s="161"/>
      <c r="BD236" s="135"/>
      <c r="BE236" s="136"/>
      <c r="BF236" s="136"/>
      <c r="BG236" s="161"/>
      <c r="BH236" s="161"/>
      <c r="BI236" s="161"/>
      <c r="BJ236" s="161"/>
      <c r="BK236" s="161"/>
      <c r="BL236" s="161"/>
      <c r="BM236" s="161"/>
      <c r="BN236" s="135"/>
      <c r="BO236" s="135"/>
      <c r="BP236" s="135"/>
      <c r="BQ236" s="135"/>
      <c r="BR236" s="135"/>
      <c r="BS236" s="136"/>
      <c r="BT236" s="136"/>
      <c r="BU236" s="161"/>
      <c r="BV236" s="161"/>
      <c r="BW236" s="161"/>
      <c r="BX236" s="161"/>
      <c r="BY236" s="161"/>
      <c r="BZ236" s="161"/>
      <c r="CA236" s="135"/>
      <c r="CB236" s="135"/>
      <c r="CC236" s="135"/>
      <c r="CD236" s="135"/>
      <c r="CE236" s="135"/>
      <c r="CF236" s="135"/>
      <c r="CG236" s="136"/>
      <c r="CH236" s="136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36"/>
      <c r="CV236" s="136"/>
      <c r="CW236" s="135"/>
      <c r="CX236" s="135"/>
      <c r="CY236" s="135"/>
      <c r="CZ236" s="135"/>
      <c r="DA236" s="135"/>
      <c r="DB236" s="161"/>
      <c r="DC236" s="135"/>
      <c r="DD236" s="135"/>
      <c r="DE236" s="135"/>
      <c r="DF236" s="135"/>
      <c r="DG236" s="135"/>
      <c r="DH236" s="135"/>
      <c r="DI236" s="136"/>
      <c r="DJ236" s="136"/>
      <c r="DK236" s="135"/>
      <c r="DL236" s="161"/>
      <c r="DM236" s="135"/>
      <c r="DN236" s="135"/>
      <c r="DO236" s="135"/>
      <c r="DP236" s="135"/>
      <c r="DQ236" s="135"/>
      <c r="DR236" s="135"/>
      <c r="DS236" s="135"/>
      <c r="DT236" s="135"/>
      <c r="DU236" s="135"/>
      <c r="DV236" s="135"/>
      <c r="DW236" s="136"/>
      <c r="DX236" s="136"/>
      <c r="DY236" s="161"/>
      <c r="DZ236" s="135"/>
      <c r="EA236" s="135">
        <v>768</v>
      </c>
      <c r="EB236" s="161"/>
      <c r="EC236" s="161"/>
      <c r="ED236" s="161"/>
      <c r="EE236" s="135"/>
      <c r="EF236" s="135"/>
      <c r="EG236" s="135"/>
      <c r="EH236" s="135"/>
      <c r="EI236" s="135"/>
      <c r="EJ236" s="135"/>
      <c r="EK236" s="136"/>
      <c r="EL236" s="136"/>
      <c r="EM236" s="136"/>
      <c r="EN236" s="136"/>
      <c r="EO236" s="136"/>
      <c r="EP236" s="136"/>
      <c r="EQ236" s="136"/>
      <c r="ER236" s="136"/>
      <c r="ES236" s="135"/>
      <c r="ET236" s="135"/>
      <c r="EU236" s="135"/>
      <c r="EV236" s="135"/>
      <c r="EW236" s="135"/>
      <c r="EX236" s="135"/>
      <c r="EY236" s="136"/>
      <c r="EZ236" s="136"/>
      <c r="FA236" s="161"/>
      <c r="FB236" s="161"/>
      <c r="FC236" s="161"/>
      <c r="FD236" s="161"/>
      <c r="FE236" s="161"/>
      <c r="FF236" s="161"/>
      <c r="FG236" s="135"/>
      <c r="FH236" s="135"/>
      <c r="FI236" s="135"/>
      <c r="FJ236" s="135"/>
      <c r="FK236" s="135"/>
      <c r="FL236" s="135"/>
      <c r="FM236" s="136"/>
      <c r="FN236" s="136"/>
      <c r="FO236" s="161"/>
      <c r="FP236" s="161"/>
      <c r="FQ236" s="161"/>
      <c r="FR236" s="161"/>
      <c r="FS236" s="161"/>
      <c r="FT236" s="161"/>
      <c r="FU236" s="135"/>
      <c r="FV236" s="135"/>
      <c r="FW236" s="135"/>
      <c r="FX236" s="135"/>
      <c r="FY236" s="135"/>
      <c r="FZ236" s="135"/>
      <c r="GA236" s="136"/>
      <c r="GB236" s="136"/>
      <c r="GC236" s="161"/>
      <c r="GD236" s="161"/>
      <c r="GE236" s="161"/>
      <c r="GF236" s="161"/>
      <c r="GG236" s="161"/>
      <c r="GH236" s="161"/>
      <c r="GI236" s="135"/>
      <c r="GJ236" s="135"/>
      <c r="GK236" s="135"/>
      <c r="GL236" s="135"/>
      <c r="GM236" s="135"/>
      <c r="GN236" s="135"/>
    </row>
    <row r="237" spans="1:196">
      <c r="A237" s="140"/>
      <c r="B237" s="126" t="s">
        <v>1299</v>
      </c>
      <c r="C237" s="126" t="s">
        <v>1015</v>
      </c>
      <c r="D237" s="119"/>
      <c r="E237" s="119"/>
      <c r="F237" s="107"/>
      <c r="G237" s="127">
        <v>384</v>
      </c>
      <c r="H237" s="6"/>
      <c r="I237" s="125">
        <v>46263</v>
      </c>
      <c r="J237" s="13">
        <f t="shared" si="193"/>
        <v>0</v>
      </c>
      <c r="K237" s="163"/>
      <c r="L237" s="161"/>
      <c r="M237" s="136"/>
      <c r="N237" s="136"/>
      <c r="O237" s="136"/>
      <c r="P237" s="136"/>
      <c r="Q237" s="136"/>
      <c r="R237" s="136"/>
      <c r="S237" s="161"/>
      <c r="T237" s="161"/>
      <c r="U237" s="161"/>
      <c r="V237" s="161"/>
      <c r="W237" s="135"/>
      <c r="X237" s="135"/>
      <c r="Y237" s="161"/>
      <c r="Z237" s="161"/>
      <c r="AA237" s="161"/>
      <c r="AB237" s="161"/>
      <c r="AC237" s="136"/>
      <c r="AD237" s="136"/>
      <c r="AE237" s="135"/>
      <c r="AF237" s="135"/>
      <c r="AG237" s="135"/>
      <c r="AH237" s="135"/>
      <c r="AI237" s="161"/>
      <c r="AJ237" s="135"/>
      <c r="AK237" s="161"/>
      <c r="AL237" s="135"/>
      <c r="AM237" s="135"/>
      <c r="AN237" s="135"/>
      <c r="AO237" s="135"/>
      <c r="AP237" s="135"/>
      <c r="AQ237" s="136"/>
      <c r="AR237" s="136"/>
      <c r="AS237" s="161"/>
      <c r="AT237" s="161"/>
      <c r="AU237" s="161"/>
      <c r="AV237" s="161"/>
      <c r="AW237" s="161"/>
      <c r="AX237" s="161"/>
      <c r="AY237" s="161"/>
      <c r="AZ237" s="135"/>
      <c r="BA237" s="161"/>
      <c r="BB237" s="135"/>
      <c r="BC237" s="161"/>
      <c r="BD237" s="135"/>
      <c r="BE237" s="136"/>
      <c r="BF237" s="136"/>
      <c r="BG237" s="161"/>
      <c r="BH237" s="161"/>
      <c r="BI237" s="161"/>
      <c r="BJ237" s="161"/>
      <c r="BK237" s="161"/>
      <c r="BL237" s="161"/>
      <c r="BM237" s="161"/>
      <c r="BN237" s="135"/>
      <c r="BO237" s="135"/>
      <c r="BP237" s="135"/>
      <c r="BQ237" s="135"/>
      <c r="BR237" s="135"/>
      <c r="BS237" s="136"/>
      <c r="BT237" s="136"/>
      <c r="BU237" s="161"/>
      <c r="BV237" s="161"/>
      <c r="BW237" s="161"/>
      <c r="BX237" s="161"/>
      <c r="BY237" s="161"/>
      <c r="BZ237" s="161"/>
      <c r="CA237" s="135"/>
      <c r="CB237" s="135"/>
      <c r="CC237" s="135"/>
      <c r="CD237" s="135"/>
      <c r="CE237" s="135"/>
      <c r="CF237" s="135"/>
      <c r="CG237" s="136"/>
      <c r="CH237" s="136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36"/>
      <c r="CV237" s="136"/>
      <c r="CW237" s="161"/>
      <c r="CX237" s="161"/>
      <c r="CY237" s="161"/>
      <c r="CZ237" s="161"/>
      <c r="DA237" s="161"/>
      <c r="DB237" s="161"/>
      <c r="DC237" s="135"/>
      <c r="DD237" s="135"/>
      <c r="DE237" s="135"/>
      <c r="DF237" s="135"/>
      <c r="DG237" s="135"/>
      <c r="DH237" s="135"/>
      <c r="DI237" s="136"/>
      <c r="DJ237" s="136"/>
      <c r="DK237" s="161"/>
      <c r="DL237" s="161"/>
      <c r="DM237" s="161"/>
      <c r="DN237" s="161"/>
      <c r="DO237" s="161"/>
      <c r="DP237" s="161"/>
      <c r="DQ237" s="135"/>
      <c r="DR237" s="135"/>
      <c r="DS237" s="135"/>
      <c r="DT237" s="135"/>
      <c r="DU237" s="135"/>
      <c r="DV237" s="135"/>
      <c r="DW237" s="136"/>
      <c r="DX237" s="136"/>
      <c r="DY237" s="161"/>
      <c r="DZ237" s="135"/>
      <c r="EA237" s="135">
        <v>384</v>
      </c>
      <c r="EB237" s="161"/>
      <c r="EC237" s="161"/>
      <c r="ED237" s="161"/>
      <c r="EE237" s="135"/>
      <c r="EF237" s="135"/>
      <c r="EG237" s="135"/>
      <c r="EH237" s="135"/>
      <c r="EI237" s="135"/>
      <c r="EJ237" s="135"/>
      <c r="EK237" s="136"/>
      <c r="EL237" s="136"/>
      <c r="EM237" s="136"/>
      <c r="EN237" s="136"/>
      <c r="EO237" s="136"/>
      <c r="EP237" s="136"/>
      <c r="EQ237" s="136"/>
      <c r="ER237" s="136"/>
      <c r="ES237" s="135"/>
      <c r="ET237" s="135"/>
      <c r="EU237" s="135"/>
      <c r="EV237" s="135"/>
      <c r="EW237" s="135"/>
      <c r="EX237" s="135"/>
      <c r="EY237" s="136"/>
      <c r="EZ237" s="136"/>
      <c r="FA237" s="161"/>
      <c r="FB237" s="161"/>
      <c r="FC237" s="161"/>
      <c r="FD237" s="161"/>
      <c r="FE237" s="161"/>
      <c r="FF237" s="161"/>
      <c r="FG237" s="135"/>
      <c r="FH237" s="135"/>
      <c r="FI237" s="135"/>
      <c r="FJ237" s="135"/>
      <c r="FK237" s="135"/>
      <c r="FL237" s="135"/>
      <c r="FM237" s="136"/>
      <c r="FN237" s="136"/>
      <c r="FO237" s="161"/>
      <c r="FP237" s="161"/>
      <c r="FQ237" s="161"/>
      <c r="FR237" s="161"/>
      <c r="FS237" s="161"/>
      <c r="FT237" s="161"/>
      <c r="FU237" s="135"/>
      <c r="FV237" s="135"/>
      <c r="FW237" s="135"/>
      <c r="FX237" s="135"/>
      <c r="FY237" s="135"/>
      <c r="FZ237" s="135"/>
      <c r="GA237" s="136"/>
      <c r="GB237" s="136"/>
      <c r="GC237" s="161"/>
      <c r="GD237" s="161"/>
      <c r="GE237" s="161"/>
      <c r="GF237" s="161"/>
      <c r="GG237" s="161"/>
      <c r="GH237" s="161"/>
      <c r="GI237" s="135"/>
      <c r="GJ237" s="135"/>
      <c r="GK237" s="135"/>
      <c r="GL237" s="135"/>
      <c r="GM237" s="135"/>
      <c r="GN237" s="135"/>
    </row>
    <row r="238" spans="1:196">
      <c r="A238" s="140"/>
      <c r="B238" s="126" t="s">
        <v>1300</v>
      </c>
      <c r="C238" s="126" t="s">
        <v>688</v>
      </c>
      <c r="D238" s="119"/>
      <c r="E238" s="119"/>
      <c r="F238" s="107"/>
      <c r="G238" s="127">
        <v>3552</v>
      </c>
      <c r="H238" s="6"/>
      <c r="I238" s="125">
        <v>46263</v>
      </c>
      <c r="J238" s="13">
        <f t="shared" si="193"/>
        <v>0</v>
      </c>
      <c r="K238" s="163"/>
      <c r="L238" s="161"/>
      <c r="M238" s="136"/>
      <c r="N238" s="136"/>
      <c r="O238" s="136"/>
      <c r="P238" s="136"/>
      <c r="Q238" s="136"/>
      <c r="R238" s="136"/>
      <c r="S238" s="161"/>
      <c r="T238" s="161"/>
      <c r="U238" s="161"/>
      <c r="V238" s="161"/>
      <c r="W238" s="135"/>
      <c r="X238" s="135"/>
      <c r="Y238" s="161"/>
      <c r="Z238" s="161"/>
      <c r="AA238" s="161"/>
      <c r="AB238" s="161"/>
      <c r="AC238" s="136"/>
      <c r="AD238" s="136"/>
      <c r="AE238" s="135"/>
      <c r="AF238" s="135"/>
      <c r="AG238" s="135"/>
      <c r="AH238" s="135"/>
      <c r="AI238" s="161"/>
      <c r="AJ238" s="135"/>
      <c r="AK238" s="161"/>
      <c r="AL238" s="135"/>
      <c r="AM238" s="135"/>
      <c r="AN238" s="135"/>
      <c r="AO238" s="135"/>
      <c r="AP238" s="135"/>
      <c r="AQ238" s="136"/>
      <c r="AR238" s="136"/>
      <c r="AS238" s="161"/>
      <c r="AT238" s="161"/>
      <c r="AU238" s="161"/>
      <c r="AV238" s="161"/>
      <c r="AW238" s="161"/>
      <c r="AX238" s="161"/>
      <c r="AY238" s="161"/>
      <c r="AZ238" s="135"/>
      <c r="BA238" s="161"/>
      <c r="BB238" s="135"/>
      <c r="BC238" s="161"/>
      <c r="BD238" s="135"/>
      <c r="BE238" s="136"/>
      <c r="BF238" s="136"/>
      <c r="BG238" s="161"/>
      <c r="BH238" s="161"/>
      <c r="BI238" s="161"/>
      <c r="BJ238" s="161"/>
      <c r="BK238" s="161"/>
      <c r="BL238" s="161"/>
      <c r="BM238" s="161"/>
      <c r="BN238" s="135"/>
      <c r="BO238" s="135"/>
      <c r="BP238" s="135"/>
      <c r="BQ238" s="135"/>
      <c r="BR238" s="135"/>
      <c r="BS238" s="136"/>
      <c r="BT238" s="136"/>
      <c r="BU238" s="161"/>
      <c r="BV238" s="161"/>
      <c r="BW238" s="161"/>
      <c r="BX238" s="161"/>
      <c r="BY238" s="161"/>
      <c r="BZ238" s="161"/>
      <c r="CA238" s="135"/>
      <c r="CB238" s="135"/>
      <c r="CC238" s="135"/>
      <c r="CD238" s="135"/>
      <c r="CE238" s="135"/>
      <c r="CF238" s="135"/>
      <c r="CG238" s="136"/>
      <c r="CH238" s="136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36"/>
      <c r="CV238" s="136"/>
      <c r="CW238" s="161"/>
      <c r="CX238" s="161"/>
      <c r="CY238" s="161"/>
      <c r="CZ238" s="161"/>
      <c r="DA238" s="161"/>
      <c r="DB238" s="161"/>
      <c r="DC238" s="135"/>
      <c r="DD238" s="135"/>
      <c r="DE238" s="135"/>
      <c r="DF238" s="135"/>
      <c r="DG238" s="135"/>
      <c r="DH238" s="135"/>
      <c r="DI238" s="136"/>
      <c r="DJ238" s="136"/>
      <c r="DK238" s="161"/>
      <c r="DL238" s="161"/>
      <c r="DM238" s="161"/>
      <c r="DN238" s="161"/>
      <c r="DO238" s="161"/>
      <c r="DP238" s="161"/>
      <c r="DQ238" s="135"/>
      <c r="DR238" s="135"/>
      <c r="DS238" s="135"/>
      <c r="DT238" s="135"/>
      <c r="DU238" s="135"/>
      <c r="DV238" s="135"/>
      <c r="DW238" s="136"/>
      <c r="DX238" s="136"/>
      <c r="DY238" s="161"/>
      <c r="DZ238" s="135"/>
      <c r="EA238" s="135">
        <v>1000</v>
      </c>
      <c r="EB238" s="161"/>
      <c r="EC238" s="161">
        <v>2552</v>
      </c>
      <c r="ED238" s="161"/>
      <c r="EE238" s="135"/>
      <c r="EF238" s="135"/>
      <c r="EG238" s="135"/>
      <c r="EH238" s="135"/>
      <c r="EI238" s="135"/>
      <c r="EJ238" s="135"/>
      <c r="EK238" s="136"/>
      <c r="EL238" s="136"/>
      <c r="EM238" s="136"/>
      <c r="EN238" s="136"/>
      <c r="EO238" s="136"/>
      <c r="EP238" s="136"/>
      <c r="EQ238" s="136"/>
      <c r="ER238" s="136"/>
      <c r="ES238" s="135"/>
      <c r="ET238" s="135"/>
      <c r="EU238" s="135"/>
      <c r="EV238" s="135"/>
      <c r="EW238" s="135"/>
      <c r="EX238" s="135"/>
      <c r="EY238" s="136"/>
      <c r="EZ238" s="136"/>
      <c r="FA238" s="161"/>
      <c r="FB238" s="161"/>
      <c r="FC238" s="161"/>
      <c r="FD238" s="161"/>
      <c r="FE238" s="161"/>
      <c r="FF238" s="161"/>
      <c r="FG238" s="135"/>
      <c r="FH238" s="135"/>
      <c r="FI238" s="135"/>
      <c r="FJ238" s="135"/>
      <c r="FK238" s="135"/>
      <c r="FL238" s="135"/>
      <c r="FM238" s="136"/>
      <c r="FN238" s="136"/>
      <c r="FO238" s="161"/>
      <c r="FP238" s="161"/>
      <c r="FQ238" s="161"/>
      <c r="FR238" s="161"/>
      <c r="FS238" s="161"/>
      <c r="FT238" s="161"/>
      <c r="FU238" s="135"/>
      <c r="FV238" s="135"/>
      <c r="FW238" s="135"/>
      <c r="FX238" s="135"/>
      <c r="FY238" s="135"/>
      <c r="FZ238" s="135"/>
      <c r="GA238" s="136"/>
      <c r="GB238" s="136"/>
      <c r="GC238" s="161"/>
      <c r="GD238" s="161"/>
      <c r="GE238" s="161"/>
      <c r="GF238" s="161"/>
      <c r="GG238" s="161"/>
      <c r="GH238" s="161"/>
      <c r="GI238" s="135"/>
      <c r="GJ238" s="135"/>
      <c r="GK238" s="135"/>
      <c r="GL238" s="135"/>
      <c r="GM238" s="135"/>
      <c r="GN238" s="135"/>
    </row>
    <row r="239" spans="1:196">
      <c r="A239" s="140"/>
      <c r="B239" s="126" t="s">
        <v>1212</v>
      </c>
      <c r="C239" s="126" t="s">
        <v>1018</v>
      </c>
      <c r="D239" s="119"/>
      <c r="E239" s="119"/>
      <c r="F239" s="107"/>
      <c r="G239" s="127">
        <v>540</v>
      </c>
      <c r="H239" s="6"/>
      <c r="I239" s="125">
        <v>46263</v>
      </c>
      <c r="J239" s="13">
        <f>G239-SUM(L239:FL239)</f>
        <v>0</v>
      </c>
      <c r="K239" s="163" t="s">
        <v>1283</v>
      </c>
      <c r="L239" s="161"/>
      <c r="M239" s="136"/>
      <c r="N239" s="136"/>
      <c r="O239" s="136"/>
      <c r="P239" s="136"/>
      <c r="Q239" s="136"/>
      <c r="R239" s="136"/>
      <c r="S239" s="161"/>
      <c r="T239" s="161"/>
      <c r="U239" s="161"/>
      <c r="V239" s="161"/>
      <c r="W239" s="135"/>
      <c r="X239" s="135"/>
      <c r="Y239" s="161"/>
      <c r="Z239" s="161"/>
      <c r="AA239" s="161"/>
      <c r="AB239" s="161"/>
      <c r="AC239" s="136"/>
      <c r="AD239" s="136"/>
      <c r="AE239" s="135"/>
      <c r="AF239" s="135"/>
      <c r="AG239" s="135"/>
      <c r="AH239" s="135"/>
      <c r="AI239" s="161"/>
      <c r="AJ239" s="135"/>
      <c r="AK239" s="161"/>
      <c r="AL239" s="135"/>
      <c r="AM239" s="135"/>
      <c r="AN239" s="135"/>
      <c r="AO239" s="135"/>
      <c r="AP239" s="135"/>
      <c r="AQ239" s="136"/>
      <c r="AR239" s="136"/>
      <c r="AS239" s="161"/>
      <c r="AT239" s="161"/>
      <c r="AU239" s="161"/>
      <c r="AV239" s="161"/>
      <c r="AW239" s="161"/>
      <c r="AX239" s="161"/>
      <c r="AY239" s="161"/>
      <c r="AZ239" s="135"/>
      <c r="BA239" s="161"/>
      <c r="BB239" s="135"/>
      <c r="BC239" s="161"/>
      <c r="BD239" s="135"/>
      <c r="BE239" s="136"/>
      <c r="BF239" s="136"/>
      <c r="BG239" s="161"/>
      <c r="BH239" s="161"/>
      <c r="BI239" s="161"/>
      <c r="BJ239" s="161"/>
      <c r="BK239" s="161"/>
      <c r="BL239" s="161"/>
      <c r="BM239" s="161"/>
      <c r="BN239" s="135"/>
      <c r="BO239" s="135"/>
      <c r="BP239" s="135"/>
      <c r="BQ239" s="135"/>
      <c r="BR239" s="135"/>
      <c r="BS239" s="136"/>
      <c r="BT239" s="136"/>
      <c r="BU239" s="161"/>
      <c r="BV239" s="161"/>
      <c r="BW239" s="161"/>
      <c r="BX239" s="161"/>
      <c r="BY239" s="161"/>
      <c r="BZ239" s="161"/>
      <c r="CA239" s="135"/>
      <c r="CB239" s="135"/>
      <c r="CC239" s="135"/>
      <c r="CD239" s="135"/>
      <c r="CE239" s="135"/>
      <c r="CF239" s="135"/>
      <c r="CG239" s="136"/>
      <c r="CH239" s="136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36"/>
      <c r="CV239" s="136"/>
      <c r="CW239" s="135"/>
      <c r="CX239" s="135"/>
      <c r="CY239" s="135"/>
      <c r="CZ239" s="135"/>
      <c r="DA239" s="135"/>
      <c r="DB239" s="161"/>
      <c r="DC239" s="135"/>
      <c r="DD239" s="135"/>
      <c r="DE239" s="135"/>
      <c r="DF239" s="135"/>
      <c r="DG239" s="135"/>
      <c r="DH239" s="135"/>
      <c r="DI239" s="136"/>
      <c r="DJ239" s="136"/>
      <c r="DK239" s="135"/>
      <c r="DL239" s="161"/>
      <c r="DM239" s="135"/>
      <c r="DN239" s="135"/>
      <c r="DO239" s="135"/>
      <c r="DP239" s="135"/>
      <c r="DQ239" s="135"/>
      <c r="DR239" s="135"/>
      <c r="DS239" s="135"/>
      <c r="DT239" s="135"/>
      <c r="DU239" s="135"/>
      <c r="DV239" s="135"/>
      <c r="DW239" s="136"/>
      <c r="DX239" s="136"/>
      <c r="DY239" s="161"/>
      <c r="DZ239" s="135"/>
      <c r="EA239" s="135"/>
      <c r="EB239" s="161"/>
      <c r="EC239" s="135">
        <v>540</v>
      </c>
      <c r="ED239" s="161"/>
      <c r="EE239" s="135"/>
      <c r="EF239" s="135"/>
      <c r="EG239" s="135"/>
      <c r="EH239" s="135"/>
      <c r="EI239" s="135"/>
      <c r="EJ239" s="135"/>
      <c r="EK239" s="136"/>
      <c r="EL239" s="136"/>
      <c r="EM239" s="136"/>
      <c r="EN239" s="136"/>
      <c r="EO239" s="136"/>
      <c r="EP239" s="136"/>
      <c r="EQ239" s="136"/>
      <c r="ER239" s="136"/>
      <c r="ES239" s="135"/>
      <c r="ET239" s="135"/>
      <c r="EU239" s="135"/>
      <c r="EV239" s="135"/>
      <c r="EW239" s="135"/>
      <c r="EX239" s="135"/>
      <c r="EY239" s="136"/>
      <c r="EZ239" s="136"/>
      <c r="FA239" s="161"/>
      <c r="FB239" s="161"/>
      <c r="FC239" s="161"/>
      <c r="FD239" s="161"/>
      <c r="FE239" s="161"/>
      <c r="FF239" s="161"/>
      <c r="FG239" s="135"/>
      <c r="FH239" s="135"/>
      <c r="FI239" s="135"/>
      <c r="FJ239" s="135"/>
      <c r="FK239" s="135"/>
      <c r="FL239" s="135"/>
      <c r="FM239" s="136"/>
      <c r="FN239" s="136"/>
      <c r="FO239" s="161"/>
      <c r="FP239" s="161"/>
      <c r="FQ239" s="161"/>
      <c r="FR239" s="161"/>
      <c r="FS239" s="161"/>
      <c r="FT239" s="161"/>
      <c r="FU239" s="135"/>
      <c r="FV239" s="135"/>
      <c r="FW239" s="135"/>
      <c r="FX239" s="135"/>
      <c r="FY239" s="135"/>
      <c r="FZ239" s="135"/>
      <c r="GA239" s="136"/>
      <c r="GB239" s="136"/>
      <c r="GC239" s="161"/>
      <c r="GD239" s="161"/>
      <c r="GE239" s="161"/>
      <c r="GF239" s="161"/>
      <c r="GG239" s="161"/>
      <c r="GH239" s="161"/>
      <c r="GI239" s="135"/>
      <c r="GJ239" s="135"/>
      <c r="GK239" s="135"/>
      <c r="GL239" s="135"/>
      <c r="GM239" s="135"/>
      <c r="GN239" s="135"/>
    </row>
    <row r="240" spans="1:196">
      <c r="A240" s="140"/>
      <c r="B240" s="126" t="s">
        <v>1301</v>
      </c>
      <c r="C240" s="126" t="s">
        <v>687</v>
      </c>
      <c r="D240" s="119"/>
      <c r="E240" s="119"/>
      <c r="F240" s="107"/>
      <c r="G240" s="127">
        <v>2700</v>
      </c>
      <c r="H240" s="6"/>
      <c r="I240" s="125">
        <v>46263</v>
      </c>
      <c r="J240" s="13">
        <f t="shared" si="193"/>
        <v>0</v>
      </c>
      <c r="K240" s="163"/>
      <c r="L240" s="161"/>
      <c r="M240" s="136"/>
      <c r="N240" s="136"/>
      <c r="O240" s="136"/>
      <c r="P240" s="136"/>
      <c r="Q240" s="136"/>
      <c r="R240" s="136"/>
      <c r="S240" s="161"/>
      <c r="T240" s="161"/>
      <c r="U240" s="161"/>
      <c r="V240" s="161"/>
      <c r="W240" s="135"/>
      <c r="X240" s="135"/>
      <c r="Y240" s="161"/>
      <c r="Z240" s="161"/>
      <c r="AA240" s="161"/>
      <c r="AB240" s="161"/>
      <c r="AC240" s="136"/>
      <c r="AD240" s="136"/>
      <c r="AE240" s="135"/>
      <c r="AF240" s="135"/>
      <c r="AG240" s="135"/>
      <c r="AH240" s="135"/>
      <c r="AI240" s="161"/>
      <c r="AJ240" s="135"/>
      <c r="AK240" s="161"/>
      <c r="AL240" s="135"/>
      <c r="AM240" s="135"/>
      <c r="AN240" s="135"/>
      <c r="AO240" s="135"/>
      <c r="AP240" s="135"/>
      <c r="AQ240" s="136"/>
      <c r="AR240" s="136"/>
      <c r="AS240" s="161"/>
      <c r="AT240" s="161"/>
      <c r="AU240" s="161"/>
      <c r="AV240" s="161"/>
      <c r="AW240" s="161"/>
      <c r="AX240" s="161"/>
      <c r="AY240" s="161"/>
      <c r="AZ240" s="135"/>
      <c r="BA240" s="161"/>
      <c r="BB240" s="135"/>
      <c r="BC240" s="161"/>
      <c r="BD240" s="135"/>
      <c r="BE240" s="136"/>
      <c r="BF240" s="136"/>
      <c r="BG240" s="161"/>
      <c r="BH240" s="161"/>
      <c r="BI240" s="161"/>
      <c r="BJ240" s="161"/>
      <c r="BK240" s="161"/>
      <c r="BL240" s="161"/>
      <c r="BM240" s="161"/>
      <c r="BN240" s="135"/>
      <c r="BO240" s="135"/>
      <c r="BP240" s="135"/>
      <c r="BQ240" s="135"/>
      <c r="BR240" s="135"/>
      <c r="BS240" s="136"/>
      <c r="BT240" s="136"/>
      <c r="BU240" s="161"/>
      <c r="BV240" s="161"/>
      <c r="BW240" s="161"/>
      <c r="BX240" s="161"/>
      <c r="BY240" s="161"/>
      <c r="BZ240" s="161"/>
      <c r="CA240" s="135"/>
      <c r="CB240" s="135"/>
      <c r="CC240" s="135"/>
      <c r="CD240" s="135"/>
      <c r="CE240" s="135"/>
      <c r="CF240" s="135"/>
      <c r="CG240" s="136"/>
      <c r="CH240" s="136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36"/>
      <c r="CV240" s="136"/>
      <c r="CW240" s="161"/>
      <c r="CX240" s="161"/>
      <c r="CY240" s="161"/>
      <c r="CZ240" s="161"/>
      <c r="DA240" s="161"/>
      <c r="DB240" s="161"/>
      <c r="DC240" s="135"/>
      <c r="DD240" s="135"/>
      <c r="DE240" s="135"/>
      <c r="DF240" s="135"/>
      <c r="DG240" s="135"/>
      <c r="DH240" s="135"/>
      <c r="DI240" s="136"/>
      <c r="DJ240" s="136"/>
      <c r="DK240" s="161"/>
      <c r="DL240" s="161"/>
      <c r="DM240" s="161"/>
      <c r="DN240" s="161"/>
      <c r="DO240" s="161"/>
      <c r="DP240" s="161"/>
      <c r="DQ240" s="135"/>
      <c r="DR240" s="135"/>
      <c r="DS240" s="135"/>
      <c r="DT240" s="135"/>
      <c r="DU240" s="135"/>
      <c r="DV240" s="135"/>
      <c r="DW240" s="136"/>
      <c r="DX240" s="136"/>
      <c r="DY240" s="161"/>
      <c r="DZ240" s="135"/>
      <c r="EA240" s="135"/>
      <c r="EB240" s="161"/>
      <c r="EC240" s="161"/>
      <c r="ED240" s="161"/>
      <c r="EE240" s="135">
        <v>2700</v>
      </c>
      <c r="EF240" s="135"/>
      <c r="EG240" s="135"/>
      <c r="EH240" s="135"/>
      <c r="EI240" s="135"/>
      <c r="EJ240" s="135"/>
      <c r="EK240" s="136"/>
      <c r="EL240" s="136"/>
      <c r="EM240" s="136"/>
      <c r="EN240" s="136"/>
      <c r="EO240" s="136"/>
      <c r="EP240" s="136"/>
      <c r="EQ240" s="136"/>
      <c r="ER240" s="136"/>
      <c r="ES240" s="135"/>
      <c r="ET240" s="135"/>
      <c r="EU240" s="135"/>
      <c r="EV240" s="135"/>
      <c r="EW240" s="135"/>
      <c r="EX240" s="135"/>
      <c r="EY240" s="136"/>
      <c r="EZ240" s="136"/>
      <c r="FA240" s="161"/>
      <c r="FB240" s="161"/>
      <c r="FC240" s="161"/>
      <c r="FD240" s="161"/>
      <c r="FE240" s="161"/>
      <c r="FF240" s="161"/>
      <c r="FG240" s="135"/>
      <c r="FH240" s="135"/>
      <c r="FI240" s="135"/>
      <c r="FJ240" s="135"/>
      <c r="FK240" s="135"/>
      <c r="FL240" s="135"/>
      <c r="FM240" s="136"/>
      <c r="FN240" s="136"/>
      <c r="FO240" s="161"/>
      <c r="FP240" s="161"/>
      <c r="FQ240" s="161"/>
      <c r="FR240" s="161"/>
      <c r="FS240" s="161"/>
      <c r="FT240" s="161"/>
      <c r="FU240" s="135"/>
      <c r="FV240" s="135"/>
      <c r="FW240" s="135"/>
      <c r="FX240" s="135"/>
      <c r="FY240" s="135"/>
      <c r="FZ240" s="135"/>
      <c r="GA240" s="136"/>
      <c r="GB240" s="136"/>
      <c r="GC240" s="161"/>
      <c r="GD240" s="161"/>
      <c r="GE240" s="161"/>
      <c r="GF240" s="161"/>
      <c r="GG240" s="161"/>
      <c r="GH240" s="161"/>
      <c r="GI240" s="135"/>
      <c r="GJ240" s="135"/>
      <c r="GK240" s="135"/>
      <c r="GL240" s="135"/>
      <c r="GM240" s="135"/>
      <c r="GN240" s="135"/>
    </row>
    <row r="241" spans="1:196">
      <c r="A241" s="140"/>
      <c r="B241" s="126" t="s">
        <v>1302</v>
      </c>
      <c r="C241" s="126" t="s">
        <v>671</v>
      </c>
      <c r="D241" s="119"/>
      <c r="E241" s="119"/>
      <c r="F241" s="107"/>
      <c r="G241" s="127">
        <v>716</v>
      </c>
      <c r="H241" s="6"/>
      <c r="I241" s="125">
        <v>46263</v>
      </c>
      <c r="J241" s="13">
        <f t="shared" si="193"/>
        <v>0</v>
      </c>
      <c r="K241" s="163"/>
      <c r="L241" s="161"/>
      <c r="M241" s="136"/>
      <c r="N241" s="136"/>
      <c r="O241" s="136"/>
      <c r="P241" s="136"/>
      <c r="Q241" s="136"/>
      <c r="R241" s="136"/>
      <c r="S241" s="161"/>
      <c r="T241" s="161"/>
      <c r="U241" s="161"/>
      <c r="V241" s="161"/>
      <c r="W241" s="135"/>
      <c r="X241" s="135"/>
      <c r="Y241" s="161"/>
      <c r="Z241" s="161"/>
      <c r="AA241" s="161"/>
      <c r="AB241" s="161"/>
      <c r="AC241" s="136"/>
      <c r="AD241" s="136"/>
      <c r="AE241" s="135"/>
      <c r="AF241" s="135"/>
      <c r="AG241" s="135"/>
      <c r="AH241" s="135"/>
      <c r="AI241" s="161"/>
      <c r="AJ241" s="135"/>
      <c r="AK241" s="161"/>
      <c r="AL241" s="135"/>
      <c r="AM241" s="135"/>
      <c r="AN241" s="135"/>
      <c r="AO241" s="135"/>
      <c r="AP241" s="135"/>
      <c r="AQ241" s="136"/>
      <c r="AR241" s="136"/>
      <c r="AS241" s="161"/>
      <c r="AT241" s="161"/>
      <c r="AU241" s="161"/>
      <c r="AV241" s="161"/>
      <c r="AW241" s="161"/>
      <c r="AX241" s="161"/>
      <c r="AY241" s="161"/>
      <c r="AZ241" s="135"/>
      <c r="BA241" s="161"/>
      <c r="BB241" s="135"/>
      <c r="BC241" s="161"/>
      <c r="BD241" s="135"/>
      <c r="BE241" s="136"/>
      <c r="BF241" s="136"/>
      <c r="BG241" s="161"/>
      <c r="BH241" s="161"/>
      <c r="BI241" s="161"/>
      <c r="BJ241" s="161"/>
      <c r="BK241" s="161"/>
      <c r="BL241" s="161"/>
      <c r="BM241" s="161"/>
      <c r="BN241" s="135"/>
      <c r="BO241" s="135"/>
      <c r="BP241" s="135"/>
      <c r="BQ241" s="135"/>
      <c r="BR241" s="135"/>
      <c r="BS241" s="136"/>
      <c r="BT241" s="136"/>
      <c r="BU241" s="161"/>
      <c r="BV241" s="161"/>
      <c r="BW241" s="161"/>
      <c r="BX241" s="161"/>
      <c r="BY241" s="161"/>
      <c r="BZ241" s="161"/>
      <c r="CA241" s="135"/>
      <c r="CB241" s="135"/>
      <c r="CC241" s="135"/>
      <c r="CD241" s="135"/>
      <c r="CE241" s="135"/>
      <c r="CF241" s="135"/>
      <c r="CG241" s="136"/>
      <c r="CH241" s="136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36"/>
      <c r="CV241" s="136"/>
      <c r="CW241" s="161"/>
      <c r="CX241" s="161"/>
      <c r="CY241" s="161"/>
      <c r="CZ241" s="161"/>
      <c r="DA241" s="161"/>
      <c r="DB241" s="161"/>
      <c r="DC241" s="135"/>
      <c r="DD241" s="135"/>
      <c r="DE241" s="135"/>
      <c r="DF241" s="135"/>
      <c r="DG241" s="135"/>
      <c r="DH241" s="135"/>
      <c r="DI241" s="136"/>
      <c r="DJ241" s="136"/>
      <c r="DK241" s="161"/>
      <c r="DL241" s="161"/>
      <c r="DM241" s="161"/>
      <c r="DN241" s="161"/>
      <c r="DO241" s="161"/>
      <c r="DP241" s="161"/>
      <c r="DQ241" s="135"/>
      <c r="DR241" s="135"/>
      <c r="DS241" s="135"/>
      <c r="DT241" s="135"/>
      <c r="DU241" s="135"/>
      <c r="DV241" s="135"/>
      <c r="DW241" s="136"/>
      <c r="DX241" s="136"/>
      <c r="DY241" s="161"/>
      <c r="DZ241" s="135"/>
      <c r="EA241" s="135"/>
      <c r="EB241" s="161"/>
      <c r="EC241" s="161"/>
      <c r="ED241" s="161"/>
      <c r="EE241" s="135"/>
      <c r="EF241" s="135"/>
      <c r="EG241" s="135">
        <v>716</v>
      </c>
      <c r="EH241" s="135"/>
      <c r="EI241" s="135"/>
      <c r="EJ241" s="135"/>
      <c r="EK241" s="136"/>
      <c r="EL241" s="136"/>
      <c r="EM241" s="136"/>
      <c r="EN241" s="136"/>
      <c r="EO241" s="136"/>
      <c r="EP241" s="136"/>
      <c r="EQ241" s="136"/>
      <c r="ER241" s="136"/>
      <c r="ES241" s="135"/>
      <c r="ET241" s="135"/>
      <c r="EU241" s="135"/>
      <c r="EV241" s="135"/>
      <c r="EW241" s="135"/>
      <c r="EX241" s="135"/>
      <c r="EY241" s="136"/>
      <c r="EZ241" s="136"/>
      <c r="FA241" s="161"/>
      <c r="FB241" s="161"/>
      <c r="FC241" s="161"/>
      <c r="FD241" s="161"/>
      <c r="FE241" s="161"/>
      <c r="FF241" s="161"/>
      <c r="FG241" s="135"/>
      <c r="FH241" s="135"/>
      <c r="FI241" s="135"/>
      <c r="FJ241" s="135"/>
      <c r="FK241" s="135"/>
      <c r="FL241" s="135"/>
      <c r="FM241" s="136"/>
      <c r="FN241" s="136"/>
      <c r="FO241" s="161"/>
      <c r="FP241" s="161"/>
      <c r="FQ241" s="161"/>
      <c r="FR241" s="161"/>
      <c r="FS241" s="161"/>
      <c r="FT241" s="161"/>
      <c r="FU241" s="135"/>
      <c r="FV241" s="135"/>
      <c r="FW241" s="135"/>
      <c r="FX241" s="135"/>
      <c r="FY241" s="135"/>
      <c r="FZ241" s="135"/>
      <c r="GA241" s="136"/>
      <c r="GB241" s="136"/>
      <c r="GC241" s="161"/>
      <c r="GD241" s="161"/>
      <c r="GE241" s="161"/>
      <c r="GF241" s="161"/>
      <c r="GG241" s="161"/>
      <c r="GH241" s="161"/>
      <c r="GI241" s="135"/>
      <c r="GJ241" s="135"/>
      <c r="GK241" s="135"/>
      <c r="GL241" s="135"/>
      <c r="GM241" s="135"/>
      <c r="GN241" s="135"/>
    </row>
    <row r="242" spans="1:196">
      <c r="A242" s="140"/>
      <c r="B242" s="126" t="s">
        <v>1122</v>
      </c>
      <c r="C242" s="126" t="s">
        <v>709</v>
      </c>
      <c r="D242" s="119"/>
      <c r="E242" s="119"/>
      <c r="F242" s="107"/>
      <c r="G242" s="127">
        <v>716</v>
      </c>
      <c r="H242" s="6"/>
      <c r="I242" s="125">
        <v>46263</v>
      </c>
      <c r="J242" s="13">
        <f>G242-SUM(L242:FL242)</f>
        <v>0</v>
      </c>
      <c r="K242" s="163" t="s">
        <v>1166</v>
      </c>
      <c r="L242" s="161"/>
      <c r="M242" s="136"/>
      <c r="N242" s="136"/>
      <c r="O242" s="136"/>
      <c r="P242" s="136"/>
      <c r="Q242" s="136"/>
      <c r="R242" s="136"/>
      <c r="S242" s="161"/>
      <c r="T242" s="161"/>
      <c r="U242" s="161"/>
      <c r="V242" s="161"/>
      <c r="W242" s="135"/>
      <c r="X242" s="135"/>
      <c r="Y242" s="161"/>
      <c r="Z242" s="161"/>
      <c r="AA242" s="161"/>
      <c r="AB242" s="161"/>
      <c r="AC242" s="136"/>
      <c r="AD242" s="136"/>
      <c r="AE242" s="135"/>
      <c r="AF242" s="135"/>
      <c r="AG242" s="135"/>
      <c r="AH242" s="135"/>
      <c r="AI242" s="161"/>
      <c r="AJ242" s="135"/>
      <c r="AK242" s="161"/>
      <c r="AL242" s="135"/>
      <c r="AM242" s="135"/>
      <c r="AN242" s="135"/>
      <c r="AO242" s="135"/>
      <c r="AP242" s="135"/>
      <c r="AQ242" s="136"/>
      <c r="AR242" s="136"/>
      <c r="AS242" s="161"/>
      <c r="AT242" s="161"/>
      <c r="AU242" s="161"/>
      <c r="AV242" s="161"/>
      <c r="AW242" s="161"/>
      <c r="AX242" s="161"/>
      <c r="AY242" s="161"/>
      <c r="AZ242" s="135"/>
      <c r="BA242" s="161"/>
      <c r="BB242" s="135"/>
      <c r="BC242" s="161"/>
      <c r="BD242" s="135"/>
      <c r="BE242" s="136"/>
      <c r="BF242" s="136"/>
      <c r="BG242" s="161"/>
      <c r="BH242" s="161"/>
      <c r="BI242" s="161"/>
      <c r="BJ242" s="161"/>
      <c r="BK242" s="161"/>
      <c r="BL242" s="161"/>
      <c r="BM242" s="161"/>
      <c r="BN242" s="135"/>
      <c r="BO242" s="135"/>
      <c r="BP242" s="135"/>
      <c r="BQ242" s="135"/>
      <c r="BR242" s="135"/>
      <c r="BS242" s="136"/>
      <c r="BT242" s="136"/>
      <c r="BU242" s="161"/>
      <c r="BV242" s="161"/>
      <c r="BW242" s="161"/>
      <c r="BX242" s="161"/>
      <c r="BY242" s="161"/>
      <c r="BZ242" s="161"/>
      <c r="CA242" s="135"/>
      <c r="CB242" s="135"/>
      <c r="CC242" s="135"/>
      <c r="CD242" s="135"/>
      <c r="CE242" s="135"/>
      <c r="CF242" s="135"/>
      <c r="CG242" s="136"/>
      <c r="CH242" s="136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36"/>
      <c r="CV242" s="136"/>
      <c r="CW242" s="161"/>
      <c r="CX242" s="161"/>
      <c r="CY242" s="161"/>
      <c r="CZ242" s="161"/>
      <c r="DA242" s="161"/>
      <c r="DB242" s="161"/>
      <c r="DC242" s="161"/>
      <c r="DD242" s="161"/>
      <c r="DE242" s="161"/>
      <c r="DF242" s="161"/>
      <c r="DG242" s="161"/>
      <c r="DH242" s="161"/>
      <c r="DI242" s="136"/>
      <c r="DJ242" s="136"/>
      <c r="DK242" s="161"/>
      <c r="DL242" s="161"/>
      <c r="DM242" s="161"/>
      <c r="DN242" s="161"/>
      <c r="DO242" s="161"/>
      <c r="DP242" s="161"/>
      <c r="DQ242" s="161"/>
      <c r="DR242" s="135"/>
      <c r="DS242" s="135"/>
      <c r="DT242" s="135"/>
      <c r="DU242" s="135"/>
      <c r="DV242" s="135"/>
      <c r="DW242" s="136"/>
      <c r="DX242" s="136"/>
      <c r="DY242" s="161"/>
      <c r="DZ242" s="135"/>
      <c r="EA242" s="135"/>
      <c r="EB242" s="161"/>
      <c r="EC242" s="161"/>
      <c r="ED242" s="161"/>
      <c r="EE242" s="135"/>
      <c r="EF242" s="135"/>
      <c r="EG242" s="135">
        <v>716</v>
      </c>
      <c r="EH242" s="135"/>
      <c r="EI242" s="135"/>
      <c r="EJ242" s="135"/>
      <c r="EK242" s="136"/>
      <c r="EL242" s="136"/>
      <c r="EM242" s="136"/>
      <c r="EN242" s="136"/>
      <c r="EO242" s="136"/>
      <c r="EP242" s="136"/>
      <c r="EQ242" s="136"/>
      <c r="ER242" s="136"/>
      <c r="ES242" s="135"/>
      <c r="ET242" s="135"/>
      <c r="EU242" s="135"/>
      <c r="EV242" s="135"/>
      <c r="EW242" s="135"/>
      <c r="EX242" s="135"/>
      <c r="EY242" s="136"/>
      <c r="EZ242" s="136"/>
      <c r="FA242" s="161"/>
      <c r="FB242" s="161"/>
      <c r="FC242" s="161"/>
      <c r="FD242" s="161"/>
      <c r="FE242" s="161"/>
      <c r="FF242" s="161"/>
      <c r="FG242" s="135"/>
      <c r="FH242" s="135"/>
      <c r="FI242" s="135"/>
      <c r="FJ242" s="135"/>
      <c r="FK242" s="135"/>
      <c r="FL242" s="135"/>
      <c r="FM242" s="136"/>
      <c r="FN242" s="136"/>
      <c r="FO242" s="161"/>
      <c r="FP242" s="161"/>
      <c r="FQ242" s="161"/>
      <c r="FR242" s="161"/>
      <c r="FS242" s="161"/>
      <c r="FT242" s="161"/>
      <c r="FU242" s="135"/>
      <c r="FV242" s="135"/>
      <c r="FW242" s="135"/>
      <c r="FX242" s="135"/>
      <c r="FY242" s="135"/>
      <c r="FZ242" s="135"/>
      <c r="GA242" s="136"/>
      <c r="GB242" s="136"/>
      <c r="GC242" s="161"/>
      <c r="GD242" s="161"/>
      <c r="GE242" s="161"/>
      <c r="GF242" s="161"/>
      <c r="GG242" s="161"/>
      <c r="GH242" s="161"/>
      <c r="GI242" s="135"/>
      <c r="GJ242" s="135"/>
      <c r="GK242" s="135"/>
      <c r="GL242" s="135"/>
      <c r="GM242" s="135"/>
      <c r="GN242" s="135"/>
    </row>
    <row r="243" spans="1:196">
      <c r="A243" s="140"/>
      <c r="B243" s="126"/>
      <c r="C243" s="126"/>
      <c r="D243" s="119"/>
      <c r="E243" s="119"/>
      <c r="F243" s="107"/>
      <c r="G243" s="127"/>
      <c r="H243" s="6"/>
      <c r="I243" s="125"/>
      <c r="J243" s="13"/>
      <c r="K243" s="163"/>
      <c r="L243" s="161"/>
      <c r="M243" s="136"/>
      <c r="N243" s="136"/>
      <c r="O243" s="136"/>
      <c r="P243" s="136"/>
      <c r="Q243" s="136"/>
      <c r="R243" s="136"/>
      <c r="S243" s="161"/>
      <c r="T243" s="161"/>
      <c r="U243" s="161"/>
      <c r="V243" s="161"/>
      <c r="W243" s="135"/>
      <c r="X243" s="135"/>
      <c r="Y243" s="161"/>
      <c r="Z243" s="161"/>
      <c r="AA243" s="161"/>
      <c r="AB243" s="161"/>
      <c r="AC243" s="136"/>
      <c r="AD243" s="136"/>
      <c r="AE243" s="135"/>
      <c r="AF243" s="135"/>
      <c r="AG243" s="135"/>
      <c r="AH243" s="135"/>
      <c r="AI243" s="161"/>
      <c r="AJ243" s="135"/>
      <c r="AK243" s="161"/>
      <c r="AL243" s="135"/>
      <c r="AM243" s="135"/>
      <c r="AN243" s="135"/>
      <c r="AO243" s="135"/>
      <c r="AP243" s="135"/>
      <c r="AQ243" s="136"/>
      <c r="AR243" s="136"/>
      <c r="AS243" s="161"/>
      <c r="AT243" s="161"/>
      <c r="AU243" s="161"/>
      <c r="AV243" s="161"/>
      <c r="AW243" s="161"/>
      <c r="AX243" s="161"/>
      <c r="AY243" s="161"/>
      <c r="AZ243" s="135"/>
      <c r="BA243" s="161"/>
      <c r="BB243" s="135"/>
      <c r="BC243" s="161"/>
      <c r="BD243" s="135"/>
      <c r="BE243" s="136"/>
      <c r="BF243" s="136"/>
      <c r="BG243" s="161"/>
      <c r="BH243" s="161"/>
      <c r="BI243" s="161"/>
      <c r="BJ243" s="161"/>
      <c r="BK243" s="161"/>
      <c r="BL243" s="161"/>
      <c r="BM243" s="161"/>
      <c r="BN243" s="135"/>
      <c r="BO243" s="135"/>
      <c r="BP243" s="135"/>
      <c r="BQ243" s="135"/>
      <c r="BR243" s="135"/>
      <c r="BS243" s="136"/>
      <c r="BT243" s="136"/>
      <c r="BU243" s="161"/>
      <c r="BV243" s="161"/>
      <c r="BW243" s="161"/>
      <c r="BX243" s="161"/>
      <c r="BY243" s="161"/>
      <c r="BZ243" s="161"/>
      <c r="CA243" s="135"/>
      <c r="CB243" s="135"/>
      <c r="CC243" s="135"/>
      <c r="CD243" s="135"/>
      <c r="CE243" s="135"/>
      <c r="CF243" s="135"/>
      <c r="CG243" s="136"/>
      <c r="CH243" s="136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36"/>
      <c r="CV243" s="136"/>
      <c r="CW243" s="161"/>
      <c r="CX243" s="161"/>
      <c r="CY243" s="161"/>
      <c r="CZ243" s="161"/>
      <c r="DA243" s="161"/>
      <c r="DB243" s="161"/>
      <c r="DC243" s="135"/>
      <c r="DD243" s="135"/>
      <c r="DE243" s="135"/>
      <c r="DF243" s="135"/>
      <c r="DG243" s="135"/>
      <c r="DH243" s="135"/>
      <c r="DI243" s="136"/>
      <c r="DJ243" s="136"/>
      <c r="DK243" s="161"/>
      <c r="DL243" s="161"/>
      <c r="DM243" s="161"/>
      <c r="DN243" s="161"/>
      <c r="DO243" s="161"/>
      <c r="DP243" s="161"/>
      <c r="DQ243" s="135"/>
      <c r="DR243" s="135"/>
      <c r="DS243" s="135"/>
      <c r="DT243" s="135"/>
      <c r="DU243" s="135"/>
      <c r="DV243" s="135"/>
      <c r="DW243" s="136"/>
      <c r="DX243" s="136"/>
      <c r="DY243" s="161"/>
      <c r="DZ243" s="161"/>
      <c r="EA243" s="161"/>
      <c r="EB243" s="161"/>
      <c r="EC243" s="161"/>
      <c r="ED243" s="161"/>
      <c r="EE243" s="135"/>
      <c r="EF243" s="135"/>
      <c r="EG243" s="135"/>
      <c r="EH243" s="135"/>
      <c r="EI243" s="135"/>
      <c r="EJ243" s="135"/>
      <c r="EK243" s="136"/>
      <c r="EL243" s="136"/>
      <c r="EM243" s="136"/>
      <c r="EN243" s="136"/>
      <c r="EO243" s="136"/>
      <c r="EP243" s="136"/>
      <c r="EQ243" s="136"/>
      <c r="ER243" s="136"/>
      <c r="ES243" s="135"/>
      <c r="ET243" s="135"/>
      <c r="EU243" s="135"/>
      <c r="EV243" s="135"/>
      <c r="EW243" s="135"/>
      <c r="EX243" s="135"/>
      <c r="EY243" s="136"/>
      <c r="EZ243" s="136"/>
      <c r="FA243" s="161"/>
      <c r="FB243" s="161"/>
      <c r="FC243" s="161"/>
      <c r="FD243" s="161"/>
      <c r="FE243" s="161"/>
      <c r="FF243" s="161"/>
      <c r="FG243" s="135"/>
      <c r="FH243" s="135"/>
      <c r="FI243" s="135"/>
      <c r="FJ243" s="135"/>
      <c r="FK243" s="135"/>
      <c r="FL243" s="135"/>
      <c r="FM243" s="136"/>
      <c r="FN243" s="136"/>
      <c r="FO243" s="161"/>
      <c r="FP243" s="161"/>
      <c r="FQ243" s="161"/>
      <c r="FR243" s="161"/>
      <c r="FS243" s="161"/>
      <c r="FT243" s="161"/>
      <c r="FU243" s="135"/>
      <c r="FV243" s="135"/>
      <c r="FW243" s="135"/>
      <c r="FX243" s="135"/>
      <c r="FY243" s="135"/>
      <c r="FZ243" s="135"/>
      <c r="GA243" s="136"/>
      <c r="GB243" s="136"/>
      <c r="GC243" s="161"/>
      <c r="GD243" s="161"/>
      <c r="GE243" s="161"/>
      <c r="GF243" s="161"/>
      <c r="GG243" s="161"/>
      <c r="GH243" s="161"/>
      <c r="GI243" s="135"/>
      <c r="GJ243" s="135"/>
      <c r="GK243" s="135"/>
      <c r="GL243" s="135"/>
      <c r="GM243" s="135"/>
      <c r="GN243" s="135"/>
    </row>
    <row r="244" spans="1:196">
      <c r="A244" s="140"/>
      <c r="B244" s="126"/>
      <c r="C244" s="126"/>
      <c r="D244" s="119"/>
      <c r="E244" s="119"/>
      <c r="F244" s="107"/>
      <c r="G244" s="127"/>
      <c r="H244" s="6"/>
      <c r="I244" s="125"/>
      <c r="J244" s="13"/>
      <c r="K244" s="163"/>
      <c r="L244" s="161"/>
      <c r="M244" s="136"/>
      <c r="N244" s="136"/>
      <c r="O244" s="136"/>
      <c r="P244" s="136"/>
      <c r="Q244" s="136"/>
      <c r="R244" s="136"/>
      <c r="S244" s="161"/>
      <c r="T244" s="161"/>
      <c r="U244" s="161"/>
      <c r="V244" s="161"/>
      <c r="W244" s="135"/>
      <c r="X244" s="135"/>
      <c r="Y244" s="161"/>
      <c r="Z244" s="161"/>
      <c r="AA244" s="161"/>
      <c r="AB244" s="161"/>
      <c r="AC244" s="136"/>
      <c r="AD244" s="136"/>
      <c r="AE244" s="135"/>
      <c r="AF244" s="135"/>
      <c r="AG244" s="135"/>
      <c r="AH244" s="135"/>
      <c r="AI244" s="161"/>
      <c r="AJ244" s="135"/>
      <c r="AK244" s="161"/>
      <c r="AL244" s="135"/>
      <c r="AM244" s="135"/>
      <c r="AN244" s="135"/>
      <c r="AO244" s="135"/>
      <c r="AP244" s="135"/>
      <c r="AQ244" s="136"/>
      <c r="AR244" s="136"/>
      <c r="AS244" s="161"/>
      <c r="AT244" s="161"/>
      <c r="AU244" s="161"/>
      <c r="AV244" s="161"/>
      <c r="AW244" s="161"/>
      <c r="AX244" s="161"/>
      <c r="AY244" s="161"/>
      <c r="AZ244" s="135"/>
      <c r="BA244" s="161"/>
      <c r="BB244" s="135"/>
      <c r="BC244" s="161"/>
      <c r="BD244" s="135"/>
      <c r="BE244" s="136"/>
      <c r="BF244" s="136"/>
      <c r="BG244" s="161"/>
      <c r="BH244" s="161"/>
      <c r="BI244" s="161"/>
      <c r="BJ244" s="161"/>
      <c r="BK244" s="161"/>
      <c r="BL244" s="161"/>
      <c r="BM244" s="161"/>
      <c r="BN244" s="135"/>
      <c r="BO244" s="135"/>
      <c r="BP244" s="135"/>
      <c r="BQ244" s="135"/>
      <c r="BR244" s="135"/>
      <c r="BS244" s="136"/>
      <c r="BT244" s="136"/>
      <c r="BU244" s="161"/>
      <c r="BV244" s="161"/>
      <c r="BW244" s="161"/>
      <c r="BX244" s="161"/>
      <c r="BY244" s="161"/>
      <c r="BZ244" s="161"/>
      <c r="CA244" s="135"/>
      <c r="CB244" s="135"/>
      <c r="CC244" s="135"/>
      <c r="CD244" s="135"/>
      <c r="CE244" s="135"/>
      <c r="CF244" s="135"/>
      <c r="CG244" s="136"/>
      <c r="CH244" s="136"/>
      <c r="CI244" s="161"/>
      <c r="CJ244" s="161"/>
      <c r="CK244" s="161"/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36"/>
      <c r="CV244" s="136"/>
      <c r="CW244" s="161"/>
      <c r="CX244" s="161"/>
      <c r="CY244" s="161"/>
      <c r="CZ244" s="161"/>
      <c r="DA244" s="161"/>
      <c r="DB244" s="161"/>
      <c r="DC244" s="135"/>
      <c r="DD244" s="135"/>
      <c r="DE244" s="135"/>
      <c r="DF244" s="135"/>
      <c r="DG244" s="135"/>
      <c r="DH244" s="135"/>
      <c r="DI244" s="136"/>
      <c r="DJ244" s="136"/>
      <c r="DK244" s="161"/>
      <c r="DL244" s="161"/>
      <c r="DM244" s="161"/>
      <c r="DN244" s="161"/>
      <c r="DO244" s="161"/>
      <c r="DP244" s="161"/>
      <c r="DQ244" s="135"/>
      <c r="DR244" s="135"/>
      <c r="DS244" s="135"/>
      <c r="DT244" s="135"/>
      <c r="DU244" s="135"/>
      <c r="DV244" s="135"/>
      <c r="DW244" s="136"/>
      <c r="DX244" s="136"/>
      <c r="DY244" s="161"/>
      <c r="DZ244" s="161"/>
      <c r="EA244" s="161"/>
      <c r="EB244" s="161"/>
      <c r="EC244" s="161"/>
      <c r="ED244" s="161"/>
      <c r="EE244" s="135"/>
      <c r="EF244" s="135"/>
      <c r="EG244" s="135"/>
      <c r="EH244" s="135"/>
      <c r="EI244" s="135"/>
      <c r="EJ244" s="135"/>
      <c r="EK244" s="136"/>
      <c r="EL244" s="136"/>
      <c r="EM244" s="136"/>
      <c r="EN244" s="136"/>
      <c r="EO244" s="136"/>
      <c r="EP244" s="136"/>
      <c r="EQ244" s="136"/>
      <c r="ER244" s="136"/>
      <c r="ES244" s="135"/>
      <c r="ET244" s="135"/>
      <c r="EU244" s="135"/>
      <c r="EV244" s="135"/>
      <c r="EW244" s="135"/>
      <c r="EX244" s="135"/>
      <c r="EY244" s="136"/>
      <c r="EZ244" s="136"/>
      <c r="FA244" s="161"/>
      <c r="FB244" s="161"/>
      <c r="FC244" s="161"/>
      <c r="FD244" s="161"/>
      <c r="FE244" s="161"/>
      <c r="FF244" s="161"/>
      <c r="FG244" s="135"/>
      <c r="FH244" s="135"/>
      <c r="FI244" s="135"/>
      <c r="FJ244" s="135"/>
      <c r="FK244" s="135"/>
      <c r="FL244" s="135"/>
      <c r="FM244" s="136"/>
      <c r="FN244" s="136"/>
      <c r="FO244" s="161"/>
      <c r="FP244" s="161"/>
      <c r="FQ244" s="161"/>
      <c r="FR244" s="161"/>
      <c r="FS244" s="161"/>
      <c r="FT244" s="161"/>
      <c r="FU244" s="135"/>
      <c r="FV244" s="135"/>
      <c r="FW244" s="135"/>
      <c r="FX244" s="135"/>
      <c r="FY244" s="135"/>
      <c r="FZ244" s="135"/>
      <c r="GA244" s="136"/>
      <c r="GB244" s="136"/>
      <c r="GC244" s="161"/>
      <c r="GD244" s="161"/>
      <c r="GE244" s="161"/>
      <c r="GF244" s="161"/>
      <c r="GG244" s="161"/>
      <c r="GH244" s="161"/>
      <c r="GI244" s="135"/>
      <c r="GJ244" s="135"/>
      <c r="GK244" s="135"/>
      <c r="GL244" s="135"/>
      <c r="GM244" s="135"/>
      <c r="GN244" s="135"/>
    </row>
    <row r="245" spans="1:196">
      <c r="A245" s="140"/>
      <c r="B245" s="126"/>
      <c r="C245" s="126"/>
      <c r="D245" s="119"/>
      <c r="E245" s="119"/>
      <c r="F245" s="107"/>
      <c r="G245" s="127"/>
      <c r="H245" s="6"/>
      <c r="I245" s="125"/>
      <c r="J245" s="13"/>
      <c r="K245" s="163"/>
      <c r="L245" s="161"/>
      <c r="M245" s="136"/>
      <c r="N245" s="136"/>
      <c r="O245" s="136"/>
      <c r="P245" s="136"/>
      <c r="Q245" s="136"/>
      <c r="R245" s="136"/>
      <c r="S245" s="161"/>
      <c r="T245" s="161"/>
      <c r="U245" s="161"/>
      <c r="V245" s="161"/>
      <c r="W245" s="135"/>
      <c r="X245" s="135"/>
      <c r="Y245" s="161"/>
      <c r="Z245" s="161"/>
      <c r="AA245" s="161"/>
      <c r="AB245" s="161"/>
      <c r="AC245" s="136"/>
      <c r="AD245" s="136"/>
      <c r="AE245" s="135"/>
      <c r="AF245" s="135"/>
      <c r="AG245" s="135"/>
      <c r="AH245" s="135"/>
      <c r="AI245" s="161"/>
      <c r="AJ245" s="135"/>
      <c r="AK245" s="161"/>
      <c r="AL245" s="135"/>
      <c r="AM245" s="135"/>
      <c r="AN245" s="135"/>
      <c r="AO245" s="135"/>
      <c r="AP245" s="135"/>
      <c r="AQ245" s="136"/>
      <c r="AR245" s="136"/>
      <c r="AS245" s="161"/>
      <c r="AT245" s="161"/>
      <c r="AU245" s="161"/>
      <c r="AV245" s="161"/>
      <c r="AW245" s="161"/>
      <c r="AX245" s="161"/>
      <c r="AY245" s="161"/>
      <c r="AZ245" s="135"/>
      <c r="BA245" s="161"/>
      <c r="BB245" s="135"/>
      <c r="BC245" s="161"/>
      <c r="BD245" s="135"/>
      <c r="BE245" s="136"/>
      <c r="BF245" s="136"/>
      <c r="BG245" s="161"/>
      <c r="BH245" s="161"/>
      <c r="BI245" s="161"/>
      <c r="BJ245" s="161"/>
      <c r="BK245" s="161"/>
      <c r="BL245" s="161"/>
      <c r="BM245" s="161"/>
      <c r="BN245" s="135"/>
      <c r="BO245" s="135"/>
      <c r="BP245" s="135"/>
      <c r="BQ245" s="135"/>
      <c r="BR245" s="135"/>
      <c r="BS245" s="136"/>
      <c r="BT245" s="136"/>
      <c r="BU245" s="161"/>
      <c r="BV245" s="161"/>
      <c r="BW245" s="161"/>
      <c r="BX245" s="161"/>
      <c r="BY245" s="161"/>
      <c r="BZ245" s="161"/>
      <c r="CA245" s="135"/>
      <c r="CB245" s="135"/>
      <c r="CC245" s="135"/>
      <c r="CD245" s="135"/>
      <c r="CE245" s="135"/>
      <c r="CF245" s="135"/>
      <c r="CG245" s="136"/>
      <c r="CH245" s="136"/>
      <c r="CI245" s="161"/>
      <c r="CJ245" s="161"/>
      <c r="CK245" s="161"/>
      <c r="CL245" s="161"/>
      <c r="CM245" s="161"/>
      <c r="CN245" s="161"/>
      <c r="CO245" s="161"/>
      <c r="CP245" s="161"/>
      <c r="CQ245" s="161"/>
      <c r="CR245" s="161"/>
      <c r="CS245" s="161"/>
      <c r="CT245" s="161"/>
      <c r="CU245" s="136"/>
      <c r="CV245" s="136"/>
      <c r="CW245" s="161"/>
      <c r="CX245" s="161"/>
      <c r="CY245" s="161"/>
      <c r="CZ245" s="161"/>
      <c r="DA245" s="161"/>
      <c r="DB245" s="161"/>
      <c r="DC245" s="135"/>
      <c r="DD245" s="135"/>
      <c r="DE245" s="135"/>
      <c r="DF245" s="135"/>
      <c r="DG245" s="135"/>
      <c r="DH245" s="135"/>
      <c r="DI245" s="136"/>
      <c r="DJ245" s="136"/>
      <c r="DK245" s="161"/>
      <c r="DL245" s="161"/>
      <c r="DM245" s="161"/>
      <c r="DN245" s="161"/>
      <c r="DO245" s="161"/>
      <c r="DP245" s="161"/>
      <c r="DQ245" s="135"/>
      <c r="DR245" s="135"/>
      <c r="DS245" s="135"/>
      <c r="DT245" s="135"/>
      <c r="DU245" s="135"/>
      <c r="DV245" s="135"/>
      <c r="DW245" s="136"/>
      <c r="DX245" s="136"/>
      <c r="DY245" s="161"/>
      <c r="DZ245" s="161"/>
      <c r="EA245" s="161"/>
      <c r="EB245" s="161"/>
      <c r="EC245" s="161"/>
      <c r="ED245" s="161"/>
      <c r="EE245" s="135"/>
      <c r="EF245" s="135"/>
      <c r="EG245" s="135"/>
      <c r="EH245" s="135"/>
      <c r="EI245" s="135"/>
      <c r="EJ245" s="135"/>
      <c r="EK245" s="136"/>
      <c r="EL245" s="136"/>
      <c r="EM245" s="136"/>
      <c r="EN245" s="136"/>
      <c r="EO245" s="136"/>
      <c r="EP245" s="136"/>
      <c r="EQ245" s="136"/>
      <c r="ER245" s="136"/>
      <c r="ES245" s="135"/>
      <c r="ET245" s="135"/>
      <c r="EU245" s="135"/>
      <c r="EV245" s="135"/>
      <c r="EW245" s="135"/>
      <c r="EX245" s="135"/>
      <c r="EY245" s="136"/>
      <c r="EZ245" s="136"/>
      <c r="FA245" s="161"/>
      <c r="FB245" s="161"/>
      <c r="FC245" s="161"/>
      <c r="FD245" s="161"/>
      <c r="FE245" s="161"/>
      <c r="FF245" s="161"/>
      <c r="FG245" s="135"/>
      <c r="FH245" s="135"/>
      <c r="FI245" s="135"/>
      <c r="FJ245" s="135"/>
      <c r="FK245" s="135"/>
      <c r="FL245" s="135"/>
      <c r="FM245" s="136"/>
      <c r="FN245" s="136"/>
      <c r="FO245" s="161"/>
      <c r="FP245" s="161"/>
      <c r="FQ245" s="161"/>
      <c r="FR245" s="161"/>
      <c r="FS245" s="161"/>
      <c r="FT245" s="161"/>
      <c r="FU245" s="135"/>
      <c r="FV245" s="135"/>
      <c r="FW245" s="135"/>
      <c r="FX245" s="135"/>
      <c r="FY245" s="135"/>
      <c r="FZ245" s="135"/>
      <c r="GA245" s="136"/>
      <c r="GB245" s="136"/>
      <c r="GC245" s="161"/>
      <c r="GD245" s="161"/>
      <c r="GE245" s="161"/>
      <c r="GF245" s="161"/>
      <c r="GG245" s="161"/>
      <c r="GH245" s="161"/>
      <c r="GI245" s="135"/>
      <c r="GJ245" s="135"/>
      <c r="GK245" s="135"/>
      <c r="GL245" s="135"/>
      <c r="GM245" s="135"/>
      <c r="GN245" s="135"/>
    </row>
    <row r="246" spans="1:196">
      <c r="A246" s="140"/>
      <c r="B246" s="126"/>
      <c r="C246" s="126"/>
      <c r="D246" s="119"/>
      <c r="E246" s="119"/>
      <c r="F246" s="107"/>
      <c r="G246" s="127"/>
      <c r="H246" s="6"/>
      <c r="I246" s="125"/>
      <c r="J246" s="13"/>
      <c r="K246" s="163"/>
      <c r="L246" s="161"/>
      <c r="M246" s="136"/>
      <c r="N246" s="136"/>
      <c r="O246" s="136"/>
      <c r="P246" s="136"/>
      <c r="Q246" s="136"/>
      <c r="R246" s="136"/>
      <c r="S246" s="161"/>
      <c r="T246" s="161"/>
      <c r="U246" s="161"/>
      <c r="V246" s="161"/>
      <c r="W246" s="135"/>
      <c r="X246" s="135"/>
      <c r="Y246" s="161"/>
      <c r="Z246" s="161"/>
      <c r="AA246" s="161"/>
      <c r="AB246" s="161"/>
      <c r="AC246" s="136"/>
      <c r="AD246" s="136"/>
      <c r="AE246" s="135"/>
      <c r="AF246" s="135"/>
      <c r="AG246" s="135"/>
      <c r="AH246" s="135"/>
      <c r="AI246" s="161"/>
      <c r="AJ246" s="135"/>
      <c r="AK246" s="161"/>
      <c r="AL246" s="135"/>
      <c r="AM246" s="135"/>
      <c r="AN246" s="135"/>
      <c r="AO246" s="135"/>
      <c r="AP246" s="135"/>
      <c r="AQ246" s="136"/>
      <c r="AR246" s="136"/>
      <c r="AS246" s="161"/>
      <c r="AT246" s="161"/>
      <c r="AU246" s="161"/>
      <c r="AV246" s="161"/>
      <c r="AW246" s="161"/>
      <c r="AX246" s="161"/>
      <c r="AY246" s="161"/>
      <c r="AZ246" s="135"/>
      <c r="BA246" s="161"/>
      <c r="BB246" s="135"/>
      <c r="BC246" s="161"/>
      <c r="BD246" s="135"/>
      <c r="BE246" s="136"/>
      <c r="BF246" s="136"/>
      <c r="BG246" s="161"/>
      <c r="BH246" s="161"/>
      <c r="BI246" s="161"/>
      <c r="BJ246" s="161"/>
      <c r="BK246" s="161"/>
      <c r="BL246" s="161"/>
      <c r="BM246" s="161"/>
      <c r="BN246" s="135"/>
      <c r="BO246" s="135"/>
      <c r="BP246" s="135"/>
      <c r="BQ246" s="135"/>
      <c r="BR246" s="135"/>
      <c r="BS246" s="136"/>
      <c r="BT246" s="136"/>
      <c r="BU246" s="161"/>
      <c r="BV246" s="161"/>
      <c r="BW246" s="161"/>
      <c r="BX246" s="161"/>
      <c r="BY246" s="161"/>
      <c r="BZ246" s="161"/>
      <c r="CA246" s="135"/>
      <c r="CB246" s="135"/>
      <c r="CC246" s="135"/>
      <c r="CD246" s="135"/>
      <c r="CE246" s="135"/>
      <c r="CF246" s="135"/>
      <c r="CG246" s="136"/>
      <c r="CH246" s="136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36"/>
      <c r="CV246" s="136"/>
      <c r="CW246" s="161"/>
      <c r="CX246" s="161"/>
      <c r="CY246" s="161"/>
      <c r="CZ246" s="161"/>
      <c r="DA246" s="161"/>
      <c r="DB246" s="161"/>
      <c r="DC246" s="135"/>
      <c r="DD246" s="135"/>
      <c r="DE246" s="135"/>
      <c r="DF246" s="135"/>
      <c r="DG246" s="135"/>
      <c r="DH246" s="135"/>
      <c r="DI246" s="136"/>
      <c r="DJ246" s="136"/>
      <c r="DK246" s="161"/>
      <c r="DL246" s="161"/>
      <c r="DM246" s="161"/>
      <c r="DN246" s="161"/>
      <c r="DO246" s="161"/>
      <c r="DP246" s="161"/>
      <c r="DQ246" s="135"/>
      <c r="DR246" s="135"/>
      <c r="DS246" s="135"/>
      <c r="DT246" s="135"/>
      <c r="DU246" s="135"/>
      <c r="DV246" s="135"/>
      <c r="DW246" s="136"/>
      <c r="DX246" s="136"/>
      <c r="DY246" s="161"/>
      <c r="DZ246" s="161"/>
      <c r="EA246" s="161"/>
      <c r="EB246" s="161"/>
      <c r="EC246" s="161"/>
      <c r="ED246" s="161"/>
      <c r="EE246" s="135"/>
      <c r="EF246" s="135"/>
      <c r="EG246" s="135"/>
      <c r="EH246" s="135"/>
      <c r="EI246" s="135"/>
      <c r="EJ246" s="135"/>
      <c r="EK246" s="136"/>
      <c r="EL246" s="136"/>
      <c r="EM246" s="136"/>
      <c r="EN246" s="136"/>
      <c r="EO246" s="136"/>
      <c r="EP246" s="136"/>
      <c r="EQ246" s="136"/>
      <c r="ER246" s="136"/>
      <c r="ES246" s="135"/>
      <c r="ET246" s="135"/>
      <c r="EU246" s="135"/>
      <c r="EV246" s="135"/>
      <c r="EW246" s="135"/>
      <c r="EX246" s="135"/>
      <c r="EY246" s="136"/>
      <c r="EZ246" s="136"/>
      <c r="FA246" s="161"/>
      <c r="FB246" s="161"/>
      <c r="FC246" s="161"/>
      <c r="FD246" s="161"/>
      <c r="FE246" s="161"/>
      <c r="FF246" s="161"/>
      <c r="FG246" s="135"/>
      <c r="FH246" s="135"/>
      <c r="FI246" s="135"/>
      <c r="FJ246" s="135"/>
      <c r="FK246" s="135"/>
      <c r="FL246" s="135"/>
      <c r="FM246" s="136"/>
      <c r="FN246" s="136"/>
      <c r="FO246" s="161"/>
      <c r="FP246" s="161"/>
      <c r="FQ246" s="161"/>
      <c r="FR246" s="161"/>
      <c r="FS246" s="161"/>
      <c r="FT246" s="161"/>
      <c r="FU246" s="135"/>
      <c r="FV246" s="135"/>
      <c r="FW246" s="135"/>
      <c r="FX246" s="135"/>
      <c r="FY246" s="135"/>
      <c r="FZ246" s="135"/>
      <c r="GA246" s="136"/>
      <c r="GB246" s="136"/>
      <c r="GC246" s="161"/>
      <c r="GD246" s="161"/>
      <c r="GE246" s="161"/>
      <c r="GF246" s="161"/>
      <c r="GG246" s="161"/>
      <c r="GH246" s="161"/>
      <c r="GI246" s="135"/>
      <c r="GJ246" s="135"/>
      <c r="GK246" s="135"/>
      <c r="GL246" s="135"/>
      <c r="GM246" s="135"/>
      <c r="GN246" s="135"/>
    </row>
    <row r="247" spans="1:196">
      <c r="A247" s="140"/>
      <c r="B247" s="126"/>
      <c r="C247" s="126"/>
      <c r="D247" s="119"/>
      <c r="E247" s="119"/>
      <c r="F247" s="107"/>
      <c r="G247" s="127"/>
      <c r="H247" s="6"/>
      <c r="I247" s="125"/>
      <c r="J247" s="13"/>
      <c r="K247" s="130"/>
      <c r="L247" s="161"/>
      <c r="M247" s="136"/>
      <c r="N247" s="136"/>
      <c r="O247" s="136"/>
      <c r="P247" s="136"/>
      <c r="Q247" s="136"/>
      <c r="R247" s="136"/>
      <c r="S247" s="161"/>
      <c r="T247" s="161"/>
      <c r="U247" s="161"/>
      <c r="V247" s="161"/>
      <c r="W247" s="135"/>
      <c r="X247" s="135"/>
      <c r="Y247" s="135"/>
      <c r="Z247" s="135"/>
      <c r="AA247" s="135"/>
      <c r="AB247" s="135"/>
      <c r="AC247" s="136"/>
      <c r="AD247" s="136"/>
      <c r="AE247" s="161"/>
      <c r="AF247" s="161"/>
      <c r="AG247" s="161"/>
      <c r="AH247" s="161"/>
      <c r="AI247" s="161"/>
      <c r="AJ247" s="161"/>
      <c r="AK247" s="135"/>
      <c r="AL247" s="135"/>
      <c r="AM247" s="135"/>
      <c r="AN247" s="135"/>
      <c r="AO247" s="135"/>
      <c r="AP247" s="135"/>
      <c r="AQ247" s="136"/>
      <c r="AR247" s="136"/>
      <c r="AS247" s="161"/>
      <c r="AT247" s="161"/>
      <c r="AU247" s="161"/>
      <c r="AV247" s="161"/>
      <c r="AW247" s="161"/>
      <c r="AX247" s="161"/>
      <c r="AY247" s="135"/>
      <c r="AZ247" s="135"/>
      <c r="BA247" s="135"/>
      <c r="BB247" s="135"/>
      <c r="BC247" s="135"/>
      <c r="BD247" s="135"/>
      <c r="BE247" s="136"/>
      <c r="BF247" s="136"/>
      <c r="BG247" s="161"/>
      <c r="BH247" s="161"/>
      <c r="BI247" s="161"/>
      <c r="BJ247" s="161"/>
      <c r="BK247" s="161"/>
      <c r="BL247" s="161"/>
      <c r="BM247" s="135"/>
      <c r="BN247" s="135"/>
      <c r="BO247" s="135"/>
      <c r="BP247" s="135"/>
      <c r="BQ247" s="135"/>
      <c r="BR247" s="135"/>
      <c r="BS247" s="136"/>
      <c r="BT247" s="136"/>
      <c r="BU247" s="161"/>
      <c r="BV247" s="161"/>
      <c r="BW247" s="161"/>
      <c r="BX247" s="161"/>
      <c r="BY247" s="161"/>
      <c r="BZ247" s="161"/>
      <c r="CA247" s="135"/>
      <c r="CB247" s="135"/>
      <c r="CC247" s="135"/>
      <c r="CD247" s="135"/>
      <c r="CE247" s="135"/>
      <c r="CF247" s="135"/>
      <c r="CG247" s="136"/>
      <c r="CH247" s="136"/>
      <c r="CI247" s="161"/>
      <c r="CJ247" s="161"/>
      <c r="CK247" s="161"/>
      <c r="CL247" s="161"/>
      <c r="CM247" s="161"/>
      <c r="CN247" s="161"/>
      <c r="CO247" s="135"/>
      <c r="CP247" s="135"/>
      <c r="CQ247" s="135"/>
      <c r="CR247" s="135"/>
      <c r="CS247" s="135"/>
      <c r="CT247" s="135"/>
      <c r="CU247" s="136"/>
      <c r="CV247" s="136"/>
      <c r="CW247" s="161"/>
      <c r="CX247" s="161"/>
      <c r="CY247" s="161"/>
      <c r="CZ247" s="161"/>
      <c r="DA247" s="161"/>
      <c r="DB247" s="161"/>
      <c r="DC247" s="135"/>
      <c r="DD247" s="135"/>
      <c r="DE247" s="135"/>
      <c r="DF247" s="135"/>
      <c r="DG247" s="135"/>
      <c r="DH247" s="135"/>
      <c r="DI247" s="136"/>
      <c r="DJ247" s="136"/>
      <c r="DK247" s="161"/>
      <c r="DL247" s="161"/>
      <c r="DM247" s="161"/>
      <c r="DN247" s="161"/>
      <c r="DO247" s="161"/>
      <c r="DP247" s="161"/>
      <c r="DQ247" s="135"/>
      <c r="DR247" s="135"/>
      <c r="DS247" s="135"/>
      <c r="DT247" s="135"/>
      <c r="DU247" s="135"/>
      <c r="DV247" s="135"/>
      <c r="DW247" s="136"/>
      <c r="DX247" s="136"/>
      <c r="DY247" s="161"/>
      <c r="DZ247" s="161"/>
      <c r="EA247" s="161"/>
      <c r="EB247" s="161"/>
      <c r="EC247" s="161"/>
      <c r="ED247" s="161"/>
      <c r="EE247" s="135"/>
      <c r="EF247" s="135"/>
      <c r="EG247" s="135"/>
      <c r="EH247" s="135"/>
      <c r="EI247" s="135"/>
      <c r="EJ247" s="135"/>
      <c r="EK247" s="136"/>
      <c r="EL247" s="136"/>
      <c r="EM247" s="136"/>
      <c r="EN247" s="136"/>
      <c r="EO247" s="136"/>
      <c r="EP247" s="136"/>
      <c r="EQ247" s="136"/>
      <c r="ER247" s="136"/>
      <c r="ES247" s="135"/>
      <c r="ET247" s="135"/>
      <c r="EU247" s="135"/>
      <c r="EV247" s="135"/>
      <c r="EW247" s="135"/>
      <c r="EX247" s="135"/>
      <c r="EY247" s="136"/>
      <c r="EZ247" s="136"/>
      <c r="FA247" s="161"/>
      <c r="FB247" s="161"/>
      <c r="FC247" s="161"/>
      <c r="FD247" s="161"/>
      <c r="FE247" s="161"/>
      <c r="FF247" s="161"/>
      <c r="FG247" s="135"/>
      <c r="FH247" s="135"/>
      <c r="FI247" s="135"/>
      <c r="FJ247" s="135"/>
      <c r="FK247" s="135"/>
      <c r="FL247" s="135"/>
      <c r="FM247" s="136"/>
      <c r="FN247" s="136"/>
      <c r="FO247" s="161"/>
      <c r="FP247" s="161"/>
      <c r="FQ247" s="161"/>
      <c r="FR247" s="161"/>
      <c r="FS247" s="161"/>
      <c r="FT247" s="161"/>
      <c r="FU247" s="135"/>
      <c r="FV247" s="135"/>
      <c r="FW247" s="135"/>
      <c r="FX247" s="135"/>
      <c r="FY247" s="135"/>
      <c r="FZ247" s="135"/>
      <c r="GA247" s="136"/>
      <c r="GB247" s="136"/>
      <c r="GC247" s="161"/>
      <c r="GD247" s="161"/>
      <c r="GE247" s="161"/>
      <c r="GF247" s="161"/>
      <c r="GG247" s="161"/>
      <c r="GH247" s="161"/>
      <c r="GI247" s="135"/>
      <c r="GJ247" s="135"/>
      <c r="GK247" s="135"/>
      <c r="GL247" s="135"/>
      <c r="GM247" s="135"/>
      <c r="GN247" s="135"/>
    </row>
    <row r="248" spans="1:196">
      <c r="A248" s="7"/>
      <c r="B248" s="16"/>
      <c r="C248" s="16"/>
      <c r="D248" s="16"/>
      <c r="E248" s="152"/>
      <c r="F248" s="16"/>
      <c r="G248" s="93"/>
      <c r="H248" s="17"/>
      <c r="I248" s="22"/>
      <c r="J248" s="19"/>
      <c r="K248" s="1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</row>
    <row r="249" spans="1:196">
      <c r="A249" s="123" t="s">
        <v>136</v>
      </c>
      <c r="B249" s="116" t="s">
        <v>704</v>
      </c>
      <c r="C249" s="116" t="s">
        <v>645</v>
      </c>
      <c r="D249" s="119"/>
      <c r="E249" s="119" t="e">
        <f>VLOOKUP(C249,#REF!,5,0)</f>
        <v>#REF!</v>
      </c>
      <c r="F249" s="107">
        <v>46207</v>
      </c>
      <c r="G249" s="117">
        <v>6</v>
      </c>
      <c r="H249" s="6"/>
      <c r="I249" s="125">
        <v>46214</v>
      </c>
      <c r="J249" s="13">
        <f t="shared" si="189"/>
        <v>0</v>
      </c>
      <c r="K249" s="139" t="s">
        <v>944</v>
      </c>
      <c r="L249" s="161"/>
      <c r="M249" s="136"/>
      <c r="N249" s="136"/>
      <c r="O249" s="136"/>
      <c r="P249" s="136"/>
      <c r="Q249" s="136"/>
      <c r="R249" s="136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36"/>
      <c r="AD249" s="136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36"/>
      <c r="AR249" s="136"/>
      <c r="AS249" s="161"/>
      <c r="AT249" s="161"/>
      <c r="AU249" s="161"/>
      <c r="AV249" s="161"/>
      <c r="AW249" s="161"/>
      <c r="AX249" s="161"/>
      <c r="AY249" s="161"/>
      <c r="AZ249" s="161"/>
      <c r="BA249" s="161"/>
      <c r="BB249" s="161"/>
      <c r="BC249" s="161"/>
      <c r="BD249" s="161"/>
      <c r="BE249" s="136"/>
      <c r="BF249" s="136"/>
      <c r="BG249" s="161"/>
      <c r="BH249" s="161"/>
      <c r="BI249" s="161"/>
      <c r="BJ249" s="161"/>
      <c r="BK249" s="161">
        <v>6</v>
      </c>
      <c r="BL249" s="161"/>
      <c r="BM249" s="161"/>
      <c r="BN249" s="161"/>
      <c r="BO249" s="161"/>
      <c r="BP249" s="161"/>
      <c r="BQ249" s="161"/>
      <c r="BR249" s="161"/>
      <c r="BS249" s="136"/>
      <c r="BT249" s="136"/>
      <c r="BU249" s="161"/>
      <c r="BV249" s="161"/>
      <c r="BW249" s="161"/>
      <c r="BX249" s="161"/>
      <c r="BY249" s="161"/>
      <c r="BZ249" s="161"/>
      <c r="CA249" s="161"/>
      <c r="CB249" s="161"/>
      <c r="CC249" s="161"/>
      <c r="CD249" s="161"/>
      <c r="CE249" s="161"/>
      <c r="CF249" s="161"/>
      <c r="CG249" s="136"/>
      <c r="CH249" s="136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36"/>
      <c r="CV249" s="136"/>
      <c r="CW249" s="161"/>
      <c r="CX249" s="161"/>
      <c r="CY249" s="161"/>
      <c r="CZ249" s="161"/>
      <c r="DA249" s="161"/>
      <c r="DB249" s="161"/>
      <c r="DC249" s="161"/>
      <c r="DD249" s="161"/>
      <c r="DE249" s="161"/>
      <c r="DF249" s="161"/>
      <c r="DG249" s="161"/>
      <c r="DH249" s="161"/>
      <c r="DI249" s="136"/>
      <c r="DJ249" s="136"/>
      <c r="DK249" s="161"/>
      <c r="DL249" s="161"/>
      <c r="DM249" s="161"/>
      <c r="DN249" s="161"/>
      <c r="DO249" s="161"/>
      <c r="DP249" s="161"/>
      <c r="DQ249" s="161"/>
      <c r="DR249" s="161"/>
      <c r="DS249" s="161"/>
      <c r="DT249" s="161"/>
      <c r="DU249" s="161"/>
      <c r="DV249" s="161"/>
      <c r="DW249" s="136"/>
      <c r="DX249" s="136"/>
      <c r="DY249" s="161"/>
      <c r="DZ249" s="161"/>
      <c r="EA249" s="161"/>
      <c r="EB249" s="161"/>
      <c r="EC249" s="161"/>
      <c r="ED249" s="161"/>
      <c r="EE249" s="161"/>
      <c r="EF249" s="161"/>
      <c r="EG249" s="161"/>
      <c r="EH249" s="161"/>
      <c r="EI249" s="161"/>
      <c r="EJ249" s="161"/>
      <c r="EK249" s="136"/>
      <c r="EL249" s="136"/>
      <c r="EM249" s="136"/>
      <c r="EN249" s="136"/>
      <c r="EO249" s="136"/>
      <c r="EP249" s="136"/>
      <c r="EQ249" s="136"/>
      <c r="ER249" s="136"/>
      <c r="ES249" s="161"/>
      <c r="ET249" s="161"/>
      <c r="EU249" s="161"/>
      <c r="EV249" s="161"/>
      <c r="EW249" s="161"/>
      <c r="EX249" s="161"/>
      <c r="EY249" s="136"/>
      <c r="EZ249" s="136"/>
      <c r="FA249" s="161"/>
      <c r="FB249" s="161"/>
      <c r="FC249" s="161"/>
      <c r="FD249" s="161"/>
      <c r="FE249" s="161"/>
      <c r="FF249" s="161"/>
      <c r="FG249" s="161"/>
      <c r="FH249" s="161"/>
      <c r="FI249" s="161"/>
      <c r="FJ249" s="161"/>
      <c r="FK249" s="161"/>
      <c r="FL249" s="161"/>
      <c r="FM249" s="136"/>
      <c r="FN249" s="136"/>
      <c r="FO249" s="161"/>
      <c r="FP249" s="161"/>
      <c r="FQ249" s="161"/>
      <c r="FR249" s="161"/>
      <c r="FS249" s="161"/>
      <c r="FT249" s="161"/>
      <c r="FU249" s="161"/>
      <c r="FV249" s="161"/>
      <c r="FW249" s="161"/>
      <c r="FX249" s="161"/>
      <c r="FY249" s="161"/>
      <c r="FZ249" s="161"/>
      <c r="GA249" s="136"/>
      <c r="GB249" s="136"/>
      <c r="GC249" s="161"/>
      <c r="GD249" s="161"/>
      <c r="GE249" s="161"/>
      <c r="GF249" s="161"/>
      <c r="GG249" s="161"/>
      <c r="GH249" s="161"/>
      <c r="GI249" s="161"/>
      <c r="GJ249" s="161"/>
      <c r="GK249" s="161"/>
      <c r="GL249" s="161"/>
      <c r="GM249" s="161"/>
      <c r="GN249" s="161"/>
    </row>
    <row r="250" spans="1:196">
      <c r="A250" s="123"/>
      <c r="B250" s="116"/>
      <c r="C250" s="116"/>
      <c r="D250" s="119"/>
      <c r="E250" s="119"/>
      <c r="F250" s="6"/>
      <c r="G250" s="117"/>
      <c r="H250" s="6"/>
      <c r="I250" s="125"/>
      <c r="J250" s="13"/>
      <c r="K250" s="139"/>
      <c r="L250" s="161"/>
      <c r="M250" s="136"/>
      <c r="N250" s="136"/>
      <c r="O250" s="136"/>
      <c r="P250" s="136"/>
      <c r="Q250" s="136"/>
      <c r="R250" s="136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36"/>
      <c r="AD250" s="136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36"/>
      <c r="AR250" s="136"/>
      <c r="AS250" s="161"/>
      <c r="AT250" s="161"/>
      <c r="AU250" s="161"/>
      <c r="AV250" s="161"/>
      <c r="AW250" s="161"/>
      <c r="AX250" s="161"/>
      <c r="AY250" s="161"/>
      <c r="AZ250" s="161"/>
      <c r="BA250" s="161"/>
      <c r="BB250" s="161"/>
      <c r="BC250" s="161"/>
      <c r="BD250" s="161"/>
      <c r="BE250" s="136"/>
      <c r="BF250" s="136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36"/>
      <c r="BT250" s="136"/>
      <c r="BU250" s="161"/>
      <c r="BV250" s="161"/>
      <c r="BW250" s="161"/>
      <c r="BX250" s="161"/>
      <c r="BY250" s="161"/>
      <c r="BZ250" s="161"/>
      <c r="CA250" s="161"/>
      <c r="CB250" s="161"/>
      <c r="CC250" s="161"/>
      <c r="CD250" s="161"/>
      <c r="CE250" s="161"/>
      <c r="CF250" s="161"/>
      <c r="CG250" s="136"/>
      <c r="CH250" s="136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36"/>
      <c r="CV250" s="136"/>
      <c r="CW250" s="161"/>
      <c r="CX250" s="161"/>
      <c r="CY250" s="161"/>
      <c r="CZ250" s="161"/>
      <c r="DA250" s="161"/>
      <c r="DB250" s="161"/>
      <c r="DC250" s="161"/>
      <c r="DD250" s="161"/>
      <c r="DE250" s="161"/>
      <c r="DF250" s="161"/>
      <c r="DG250" s="161"/>
      <c r="DH250" s="161"/>
      <c r="DI250" s="136"/>
      <c r="DJ250" s="136"/>
      <c r="DK250" s="161"/>
      <c r="DL250" s="161"/>
      <c r="DM250" s="161"/>
      <c r="DN250" s="161"/>
      <c r="DO250" s="161"/>
      <c r="DP250" s="161"/>
      <c r="DQ250" s="161"/>
      <c r="DR250" s="161"/>
      <c r="DS250" s="161"/>
      <c r="DT250" s="161"/>
      <c r="DU250" s="161"/>
      <c r="DV250" s="161"/>
      <c r="DW250" s="136"/>
      <c r="DX250" s="136"/>
      <c r="DY250" s="161"/>
      <c r="DZ250" s="161"/>
      <c r="EA250" s="161"/>
      <c r="EB250" s="161"/>
      <c r="EC250" s="161"/>
      <c r="ED250" s="161"/>
      <c r="EE250" s="161"/>
      <c r="EF250" s="161"/>
      <c r="EG250" s="161"/>
      <c r="EH250" s="161"/>
      <c r="EI250" s="161"/>
      <c r="EJ250" s="161"/>
      <c r="EK250" s="136"/>
      <c r="EL250" s="136"/>
      <c r="EM250" s="136"/>
      <c r="EN250" s="136"/>
      <c r="EO250" s="136"/>
      <c r="EP250" s="136"/>
      <c r="EQ250" s="136"/>
      <c r="ER250" s="136"/>
      <c r="ES250" s="161"/>
      <c r="ET250" s="161"/>
      <c r="EU250" s="161"/>
      <c r="EV250" s="161"/>
      <c r="EW250" s="161"/>
      <c r="EX250" s="161"/>
      <c r="EY250" s="136"/>
      <c r="EZ250" s="136"/>
      <c r="FA250" s="161"/>
      <c r="FB250" s="161"/>
      <c r="FC250" s="161"/>
      <c r="FD250" s="161"/>
      <c r="FE250" s="161"/>
      <c r="FF250" s="161"/>
      <c r="FG250" s="161"/>
      <c r="FH250" s="161"/>
      <c r="FI250" s="161"/>
      <c r="FJ250" s="161"/>
      <c r="FK250" s="161"/>
      <c r="FL250" s="161"/>
      <c r="FM250" s="136"/>
      <c r="FN250" s="136"/>
      <c r="FO250" s="161"/>
      <c r="FP250" s="161"/>
      <c r="FQ250" s="161"/>
      <c r="FR250" s="161"/>
      <c r="FS250" s="161"/>
      <c r="FT250" s="161"/>
      <c r="FU250" s="161"/>
      <c r="FV250" s="161"/>
      <c r="FW250" s="161"/>
      <c r="FX250" s="161"/>
      <c r="FY250" s="161"/>
      <c r="FZ250" s="161"/>
      <c r="GA250" s="136"/>
      <c r="GB250" s="136"/>
      <c r="GC250" s="161"/>
      <c r="GD250" s="161"/>
      <c r="GE250" s="161"/>
      <c r="GF250" s="161"/>
      <c r="GG250" s="161"/>
      <c r="GH250" s="161"/>
      <c r="GI250" s="161"/>
      <c r="GJ250" s="161"/>
      <c r="GK250" s="161"/>
      <c r="GL250" s="161"/>
      <c r="GM250" s="161"/>
      <c r="GN250" s="161"/>
    </row>
    <row r="251" spans="1:196">
      <c r="A251" s="123"/>
      <c r="B251" s="116"/>
      <c r="C251" s="116"/>
      <c r="D251" s="119"/>
      <c r="E251" s="119"/>
      <c r="F251" s="160"/>
      <c r="G251" s="117"/>
      <c r="H251" s="6"/>
      <c r="I251" s="125"/>
      <c r="J251" s="13"/>
      <c r="K251" s="132"/>
      <c r="L251" s="161"/>
      <c r="M251" s="136"/>
      <c r="N251" s="136"/>
      <c r="O251" s="136"/>
      <c r="P251" s="136"/>
      <c r="Q251" s="136"/>
      <c r="R251" s="136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36"/>
      <c r="AD251" s="136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36"/>
      <c r="AR251" s="136"/>
      <c r="AS251" s="161"/>
      <c r="AT251" s="161"/>
      <c r="AU251" s="161"/>
      <c r="AV251" s="161"/>
      <c r="AW251" s="161"/>
      <c r="AX251" s="161"/>
      <c r="AY251" s="161"/>
      <c r="AZ251" s="161"/>
      <c r="BA251" s="161"/>
      <c r="BB251" s="161"/>
      <c r="BC251" s="161"/>
      <c r="BD251" s="161"/>
      <c r="BE251" s="136"/>
      <c r="BF251" s="136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36"/>
      <c r="BT251" s="136"/>
      <c r="BU251" s="161"/>
      <c r="BV251" s="161"/>
      <c r="BW251" s="161"/>
      <c r="BX251" s="161"/>
      <c r="BY251" s="161"/>
      <c r="BZ251" s="161"/>
      <c r="CA251" s="161"/>
      <c r="CB251" s="161"/>
      <c r="CC251" s="161"/>
      <c r="CD251" s="161"/>
      <c r="CE251" s="161"/>
      <c r="CF251" s="161"/>
      <c r="CG251" s="136"/>
      <c r="CH251" s="136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36"/>
      <c r="CV251" s="136"/>
      <c r="CW251" s="161"/>
      <c r="CX251" s="161"/>
      <c r="CY251" s="161"/>
      <c r="CZ251" s="161"/>
      <c r="DA251" s="161"/>
      <c r="DB251" s="161"/>
      <c r="DC251" s="161"/>
      <c r="DD251" s="161"/>
      <c r="DE251" s="161"/>
      <c r="DF251" s="161"/>
      <c r="DG251" s="161"/>
      <c r="DH251" s="161"/>
      <c r="DI251" s="136"/>
      <c r="DJ251" s="136"/>
      <c r="DK251" s="161"/>
      <c r="DL251" s="161"/>
      <c r="DM251" s="161"/>
      <c r="DN251" s="161"/>
      <c r="DO251" s="161"/>
      <c r="DP251" s="161"/>
      <c r="DQ251" s="161"/>
      <c r="DR251" s="161"/>
      <c r="DS251" s="161"/>
      <c r="DT251" s="161"/>
      <c r="DU251" s="161"/>
      <c r="DV251" s="161"/>
      <c r="DW251" s="136"/>
      <c r="DX251" s="136"/>
      <c r="DY251" s="161"/>
      <c r="DZ251" s="161"/>
      <c r="EA251" s="161"/>
      <c r="EB251" s="161"/>
      <c r="EC251" s="161"/>
      <c r="ED251" s="161"/>
      <c r="EE251" s="161"/>
      <c r="EF251" s="161"/>
      <c r="EG251" s="161"/>
      <c r="EH251" s="161"/>
      <c r="EI251" s="161"/>
      <c r="EJ251" s="161"/>
      <c r="EK251" s="136"/>
      <c r="EL251" s="136"/>
      <c r="EM251" s="136"/>
      <c r="EN251" s="136"/>
      <c r="EO251" s="136"/>
      <c r="EP251" s="136"/>
      <c r="EQ251" s="136"/>
      <c r="ER251" s="136"/>
      <c r="ES251" s="161"/>
      <c r="ET251" s="161"/>
      <c r="EU251" s="161"/>
      <c r="EV251" s="161"/>
      <c r="EW251" s="161"/>
      <c r="EX251" s="161"/>
      <c r="EY251" s="136"/>
      <c r="EZ251" s="136"/>
      <c r="FA251" s="161"/>
      <c r="FB251" s="161"/>
      <c r="FC251" s="161"/>
      <c r="FD251" s="161"/>
      <c r="FE251" s="161"/>
      <c r="FF251" s="161"/>
      <c r="FG251" s="161"/>
      <c r="FH251" s="161"/>
      <c r="FI251" s="161"/>
      <c r="FJ251" s="161"/>
      <c r="FK251" s="161"/>
      <c r="FL251" s="161"/>
      <c r="FM251" s="136"/>
      <c r="FN251" s="136"/>
      <c r="FO251" s="161"/>
      <c r="FP251" s="161"/>
      <c r="FQ251" s="161"/>
      <c r="FR251" s="161"/>
      <c r="FS251" s="161"/>
      <c r="FT251" s="161"/>
      <c r="FU251" s="161"/>
      <c r="FV251" s="161"/>
      <c r="FW251" s="161"/>
      <c r="FX251" s="161"/>
      <c r="FY251" s="161"/>
      <c r="FZ251" s="161"/>
      <c r="GA251" s="136"/>
      <c r="GB251" s="136"/>
      <c r="GC251" s="161"/>
      <c r="GD251" s="161"/>
      <c r="GE251" s="161"/>
      <c r="GF251" s="161"/>
      <c r="GG251" s="161"/>
      <c r="GH251" s="161"/>
      <c r="GI251" s="161"/>
      <c r="GJ251" s="161"/>
      <c r="GK251" s="161"/>
      <c r="GL251" s="161"/>
      <c r="GM251" s="161"/>
      <c r="GN251" s="161"/>
    </row>
    <row r="252" spans="1:196">
      <c r="A252" s="123"/>
      <c r="B252" s="116"/>
      <c r="C252" s="116"/>
      <c r="D252" s="119"/>
      <c r="E252" s="119"/>
      <c r="F252" s="160"/>
      <c r="G252" s="117"/>
      <c r="H252" s="6"/>
      <c r="I252" s="125"/>
      <c r="J252" s="13"/>
      <c r="K252" s="132"/>
      <c r="L252" s="161"/>
      <c r="M252" s="136"/>
      <c r="N252" s="136"/>
      <c r="O252" s="136"/>
      <c r="P252" s="136"/>
      <c r="Q252" s="136"/>
      <c r="R252" s="136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36"/>
      <c r="AD252" s="136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36"/>
      <c r="AR252" s="136"/>
      <c r="AS252" s="161"/>
      <c r="AT252" s="161"/>
      <c r="AU252" s="161"/>
      <c r="AV252" s="161"/>
      <c r="AW252" s="161"/>
      <c r="AX252" s="161"/>
      <c r="AY252" s="161"/>
      <c r="AZ252" s="161"/>
      <c r="BA252" s="161"/>
      <c r="BB252" s="161"/>
      <c r="BC252" s="161"/>
      <c r="BD252" s="161"/>
      <c r="BE252" s="136"/>
      <c r="BF252" s="136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36"/>
      <c r="BT252" s="136"/>
      <c r="BU252" s="161"/>
      <c r="BV252" s="161"/>
      <c r="BW252" s="161"/>
      <c r="BX252" s="161"/>
      <c r="BY252" s="161"/>
      <c r="BZ252" s="161"/>
      <c r="CA252" s="161"/>
      <c r="CB252" s="161"/>
      <c r="CC252" s="161"/>
      <c r="CD252" s="161"/>
      <c r="CE252" s="161"/>
      <c r="CF252" s="161"/>
      <c r="CG252" s="136"/>
      <c r="CH252" s="136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36"/>
      <c r="CV252" s="136"/>
      <c r="CW252" s="161"/>
      <c r="CX252" s="161"/>
      <c r="CY252" s="161"/>
      <c r="CZ252" s="161"/>
      <c r="DA252" s="161"/>
      <c r="DB252" s="161"/>
      <c r="DC252" s="161"/>
      <c r="DD252" s="161"/>
      <c r="DE252" s="161"/>
      <c r="DF252" s="161"/>
      <c r="DG252" s="161"/>
      <c r="DH252" s="161"/>
      <c r="DI252" s="136"/>
      <c r="DJ252" s="136"/>
      <c r="DK252" s="161"/>
      <c r="DL252" s="161"/>
      <c r="DM252" s="161"/>
      <c r="DN252" s="161"/>
      <c r="DO252" s="161"/>
      <c r="DP252" s="161"/>
      <c r="DQ252" s="161"/>
      <c r="DR252" s="161"/>
      <c r="DS252" s="161"/>
      <c r="DT252" s="161"/>
      <c r="DU252" s="161"/>
      <c r="DV252" s="161"/>
      <c r="DW252" s="136"/>
      <c r="DX252" s="136"/>
      <c r="DY252" s="161"/>
      <c r="DZ252" s="161"/>
      <c r="EA252" s="161"/>
      <c r="EB252" s="161"/>
      <c r="EC252" s="161"/>
      <c r="ED252" s="161"/>
      <c r="EE252" s="161"/>
      <c r="EF252" s="161"/>
      <c r="EG252" s="161"/>
      <c r="EH252" s="161"/>
      <c r="EI252" s="161"/>
      <c r="EJ252" s="161"/>
      <c r="EK252" s="136"/>
      <c r="EL252" s="136"/>
      <c r="EM252" s="136"/>
      <c r="EN252" s="136"/>
      <c r="EO252" s="136"/>
      <c r="EP252" s="136"/>
      <c r="EQ252" s="136"/>
      <c r="ER252" s="136"/>
      <c r="ES252" s="161"/>
      <c r="ET252" s="161"/>
      <c r="EU252" s="161"/>
      <c r="EV252" s="161"/>
      <c r="EW252" s="161"/>
      <c r="EX252" s="161"/>
      <c r="EY252" s="136"/>
      <c r="EZ252" s="136"/>
      <c r="FA252" s="161"/>
      <c r="FB252" s="161"/>
      <c r="FC252" s="161"/>
      <c r="FD252" s="161"/>
      <c r="FE252" s="161"/>
      <c r="FF252" s="161"/>
      <c r="FG252" s="161"/>
      <c r="FH252" s="161"/>
      <c r="FI252" s="161"/>
      <c r="FJ252" s="161"/>
      <c r="FK252" s="161"/>
      <c r="FL252" s="161"/>
      <c r="FM252" s="136"/>
      <c r="FN252" s="136"/>
      <c r="FO252" s="161"/>
      <c r="FP252" s="161"/>
      <c r="FQ252" s="161"/>
      <c r="FR252" s="161"/>
      <c r="FS252" s="161"/>
      <c r="FT252" s="161"/>
      <c r="FU252" s="161"/>
      <c r="FV252" s="161"/>
      <c r="FW252" s="161"/>
      <c r="FX252" s="161"/>
      <c r="FY252" s="161"/>
      <c r="FZ252" s="161"/>
      <c r="GA252" s="136"/>
      <c r="GB252" s="136"/>
      <c r="GC252" s="161"/>
      <c r="GD252" s="161"/>
      <c r="GE252" s="161"/>
      <c r="GF252" s="161"/>
      <c r="GG252" s="161"/>
      <c r="GH252" s="161"/>
      <c r="GI252" s="161"/>
      <c r="GJ252" s="161"/>
      <c r="GK252" s="161"/>
      <c r="GL252" s="161"/>
      <c r="GM252" s="161"/>
      <c r="GN252" s="161"/>
    </row>
    <row r="253" spans="1:196">
      <c r="A253" s="123"/>
      <c r="B253" s="109"/>
      <c r="C253" s="107"/>
      <c r="D253" s="119"/>
      <c r="E253" s="119"/>
      <c r="F253" s="107"/>
      <c r="G253" s="127"/>
      <c r="H253" s="6"/>
      <c r="I253" s="125"/>
      <c r="J253" s="13"/>
      <c r="K253" s="124"/>
      <c r="L253" s="112"/>
      <c r="M253" s="113"/>
      <c r="N253" s="113"/>
      <c r="O253" s="113"/>
      <c r="P253" s="113"/>
      <c r="Q253" s="113"/>
      <c r="R253" s="113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3"/>
      <c r="AD253" s="113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3"/>
      <c r="AR253" s="113"/>
      <c r="AS253" s="112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2"/>
      <c r="BE253" s="113"/>
      <c r="BF253" s="113"/>
      <c r="BG253" s="112"/>
      <c r="BH253" s="112"/>
      <c r="BI253" s="112"/>
      <c r="BJ253" s="112"/>
      <c r="BK253" s="112"/>
      <c r="BL253" s="112"/>
      <c r="BM253" s="112"/>
      <c r="BN253" s="112"/>
      <c r="BO253" s="112"/>
      <c r="BP253" s="112"/>
      <c r="BQ253" s="112"/>
      <c r="BR253" s="112"/>
      <c r="BS253" s="113"/>
      <c r="BT253" s="113"/>
      <c r="BU253" s="112"/>
      <c r="BV253" s="112"/>
      <c r="BW253" s="112"/>
      <c r="BX253" s="112"/>
      <c r="BY253" s="112"/>
      <c r="BZ253" s="112"/>
      <c r="CA253" s="112"/>
      <c r="CB253" s="112"/>
      <c r="CC253" s="112"/>
      <c r="CD253" s="112"/>
      <c r="CE253" s="112"/>
      <c r="CF253" s="112"/>
      <c r="CG253" s="113"/>
      <c r="CH253" s="113"/>
      <c r="CI253" s="112"/>
      <c r="CJ253" s="112"/>
      <c r="CK253" s="112"/>
      <c r="CL253" s="112"/>
      <c r="CM253" s="112"/>
      <c r="CN253" s="112"/>
      <c r="CO253" s="112"/>
      <c r="CP253" s="112"/>
      <c r="CQ253" s="112"/>
      <c r="CR253" s="112"/>
      <c r="CS253" s="112"/>
      <c r="CT253" s="112"/>
      <c r="CU253" s="113"/>
      <c r="CV253" s="113"/>
      <c r="CW253" s="112"/>
      <c r="CX253" s="112"/>
      <c r="CY253" s="112"/>
      <c r="CZ253" s="112"/>
      <c r="DA253" s="112"/>
      <c r="DB253" s="112"/>
      <c r="DC253" s="112"/>
      <c r="DD253" s="112"/>
      <c r="DE253" s="112"/>
      <c r="DF253" s="112"/>
      <c r="DG253" s="112"/>
      <c r="DH253" s="112"/>
      <c r="DI253" s="113"/>
      <c r="DJ253" s="113"/>
      <c r="DK253" s="112"/>
      <c r="DL253" s="112"/>
      <c r="DM253" s="112"/>
      <c r="DN253" s="112"/>
      <c r="DO253" s="112"/>
      <c r="DP253" s="112"/>
      <c r="DQ253" s="112"/>
      <c r="DR253" s="112"/>
      <c r="DS253" s="112"/>
      <c r="DT253" s="112"/>
      <c r="DU253" s="112"/>
      <c r="DV253" s="112"/>
      <c r="DW253" s="113"/>
      <c r="DX253" s="113"/>
      <c r="DY253" s="112"/>
      <c r="DZ253" s="112"/>
      <c r="EA253" s="112"/>
      <c r="EB253" s="112"/>
      <c r="EC253" s="112"/>
      <c r="ED253" s="112"/>
      <c r="EE253" s="112"/>
      <c r="EF253" s="112"/>
      <c r="EG253" s="112"/>
      <c r="EH253" s="112"/>
      <c r="EI253" s="112"/>
      <c r="EJ253" s="112"/>
      <c r="EK253" s="113"/>
      <c r="EL253" s="113"/>
      <c r="EM253" s="113"/>
      <c r="EN253" s="113"/>
      <c r="EO253" s="113"/>
      <c r="EP253" s="113"/>
      <c r="EQ253" s="113"/>
      <c r="ER253" s="113"/>
      <c r="ES253" s="112"/>
      <c r="ET253" s="112"/>
      <c r="EU253" s="112"/>
      <c r="EV253" s="112"/>
      <c r="EW253" s="112"/>
      <c r="EX253" s="112"/>
      <c r="EY253" s="113"/>
      <c r="EZ253" s="113"/>
      <c r="FA253" s="112"/>
      <c r="FB253" s="112"/>
      <c r="FC253" s="112"/>
      <c r="FD253" s="112"/>
      <c r="FE253" s="112"/>
      <c r="FF253" s="112"/>
      <c r="FG253" s="112"/>
      <c r="FH253" s="112"/>
      <c r="FI253" s="112"/>
      <c r="FJ253" s="112"/>
      <c r="FK253" s="112"/>
      <c r="FL253" s="112"/>
      <c r="FM253" s="113"/>
      <c r="FN253" s="113"/>
      <c r="FO253" s="112"/>
      <c r="FP253" s="112"/>
      <c r="FQ253" s="112"/>
      <c r="FR253" s="112"/>
      <c r="FS253" s="112"/>
      <c r="FT253" s="112"/>
      <c r="FU253" s="112"/>
      <c r="FV253" s="112"/>
      <c r="FW253" s="112"/>
      <c r="FX253" s="112"/>
      <c r="FY253" s="112"/>
      <c r="FZ253" s="112"/>
      <c r="GA253" s="113"/>
      <c r="GB253" s="113"/>
      <c r="GC253" s="112"/>
      <c r="GD253" s="112"/>
      <c r="GE253" s="112"/>
      <c r="GF253" s="112"/>
      <c r="GG253" s="112"/>
      <c r="GH253" s="112"/>
      <c r="GI253" s="112"/>
      <c r="GJ253" s="112"/>
      <c r="GK253" s="112"/>
      <c r="GL253" s="112"/>
      <c r="GM253" s="112"/>
      <c r="GN253" s="112"/>
    </row>
    <row r="254" spans="1:196" ht="16" customHeight="1">
      <c r="A254" s="7"/>
      <c r="B254" s="16"/>
      <c r="C254" s="16"/>
      <c r="D254" s="16"/>
      <c r="E254" s="152"/>
      <c r="F254" s="93"/>
      <c r="G254" s="93"/>
      <c r="H254" s="17"/>
      <c r="I254" s="23"/>
      <c r="J254" s="16"/>
      <c r="K254" s="1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</row>
    <row r="255" spans="1:196" hidden="1">
      <c r="A255" s="164"/>
      <c r="B255" s="109" t="s">
        <v>847</v>
      </c>
      <c r="C255" s="107" t="s">
        <v>610</v>
      </c>
      <c r="D255" s="160"/>
      <c r="E255" s="119"/>
      <c r="F255" s="107">
        <v>46207</v>
      </c>
      <c r="G255" s="115">
        <v>1000</v>
      </c>
      <c r="H255" s="6"/>
      <c r="I255" s="125">
        <v>46172</v>
      </c>
      <c r="J255" s="13">
        <f t="shared" si="189"/>
        <v>0</v>
      </c>
      <c r="K255" s="141" t="s">
        <v>1014</v>
      </c>
      <c r="L255" s="161"/>
      <c r="M255" s="136"/>
      <c r="N255" s="136"/>
      <c r="O255" s="136"/>
      <c r="P255" s="136"/>
      <c r="Q255" s="136"/>
      <c r="R255" s="136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36"/>
      <c r="AD255" s="136"/>
      <c r="AE255" s="161">
        <v>291</v>
      </c>
      <c r="AF255" s="161"/>
      <c r="AG255" s="161">
        <v>241</v>
      </c>
      <c r="AH255" s="161"/>
      <c r="AI255" s="161">
        <v>240</v>
      </c>
      <c r="AJ255" s="161"/>
      <c r="AK255" s="161">
        <v>228</v>
      </c>
      <c r="AL255" s="161"/>
      <c r="AM255" s="161"/>
      <c r="AN255" s="161"/>
      <c r="AO255" s="161"/>
      <c r="AP255" s="161"/>
      <c r="AQ255" s="136"/>
      <c r="AR255" s="136"/>
      <c r="AS255" s="161"/>
      <c r="AT255" s="161"/>
      <c r="AU255" s="161"/>
      <c r="AV255" s="161"/>
      <c r="AW255" s="161"/>
      <c r="AX255" s="161"/>
      <c r="AY255" s="161"/>
      <c r="AZ255" s="161"/>
      <c r="BA255" s="161"/>
      <c r="BB255" s="161"/>
      <c r="BC255" s="161"/>
      <c r="BD255" s="161"/>
      <c r="BE255" s="136"/>
      <c r="BF255" s="136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36"/>
      <c r="BT255" s="136"/>
      <c r="BU255" s="161"/>
      <c r="BV255" s="161"/>
      <c r="BW255" s="161"/>
      <c r="BX255" s="161"/>
      <c r="BY255" s="161"/>
      <c r="BZ255" s="161"/>
      <c r="CA255" s="161"/>
      <c r="CB255" s="161"/>
      <c r="CC255" s="161"/>
      <c r="CD255" s="161"/>
      <c r="CE255" s="161"/>
      <c r="CF255" s="161"/>
      <c r="CG255" s="136"/>
      <c r="CH255" s="136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36"/>
      <c r="CV255" s="136"/>
      <c r="CW255" s="161"/>
      <c r="CX255" s="161"/>
      <c r="CY255" s="161"/>
      <c r="CZ255" s="161"/>
      <c r="DA255" s="161"/>
      <c r="DB255" s="161"/>
      <c r="DC255" s="161"/>
      <c r="DD255" s="161"/>
      <c r="DE255" s="161"/>
      <c r="DF255" s="161"/>
      <c r="DG255" s="161"/>
      <c r="DH255" s="161"/>
      <c r="DI255" s="136"/>
      <c r="DJ255" s="136"/>
      <c r="DK255" s="161"/>
      <c r="DL255" s="161"/>
      <c r="DM255" s="161"/>
      <c r="DN255" s="161"/>
      <c r="DO255" s="161"/>
      <c r="DP255" s="161"/>
      <c r="DQ255" s="161"/>
      <c r="DR255" s="161"/>
      <c r="DS255" s="161"/>
      <c r="DT255" s="161"/>
      <c r="DU255" s="161"/>
      <c r="DV255" s="161"/>
      <c r="DW255" s="136"/>
      <c r="DX255" s="136"/>
      <c r="DY255" s="161"/>
      <c r="DZ255" s="161"/>
      <c r="EA255" s="161"/>
      <c r="EB255" s="161"/>
      <c r="EC255" s="161"/>
      <c r="ED255" s="161"/>
      <c r="EE255" s="161"/>
      <c r="EF255" s="161"/>
      <c r="EG255" s="161"/>
      <c r="EH255" s="161"/>
      <c r="EI255" s="161"/>
      <c r="EJ255" s="161"/>
      <c r="EK255" s="136"/>
      <c r="EL255" s="136"/>
      <c r="EM255" s="136"/>
      <c r="EN255" s="136"/>
      <c r="EO255" s="136"/>
      <c r="EP255" s="136"/>
      <c r="EQ255" s="136"/>
      <c r="ER255" s="136"/>
      <c r="ES255" s="161"/>
      <c r="ET255" s="161"/>
      <c r="EU255" s="161"/>
      <c r="EV255" s="161"/>
      <c r="EW255" s="161"/>
      <c r="EX255" s="161"/>
      <c r="EY255" s="136"/>
      <c r="EZ255" s="136"/>
      <c r="FA255" s="161"/>
      <c r="FB255" s="161"/>
      <c r="FC255" s="161"/>
      <c r="FD255" s="161"/>
      <c r="FE255" s="161"/>
      <c r="FF255" s="161"/>
      <c r="FG255" s="161"/>
      <c r="FH255" s="161"/>
      <c r="FI255" s="161"/>
      <c r="FJ255" s="161"/>
      <c r="FK255" s="161"/>
      <c r="FL255" s="161"/>
      <c r="FM255" s="136"/>
      <c r="FN255" s="136"/>
      <c r="FO255" s="161"/>
      <c r="FP255" s="161"/>
      <c r="FQ255" s="161"/>
      <c r="FR255" s="161"/>
      <c r="FS255" s="161"/>
      <c r="FT255" s="161"/>
      <c r="FU255" s="161"/>
      <c r="FV255" s="161"/>
      <c r="FW255" s="161"/>
      <c r="FX255" s="161"/>
      <c r="FY255" s="161"/>
      <c r="FZ255" s="161"/>
      <c r="GA255" s="136"/>
      <c r="GB255" s="136"/>
      <c r="GC255" s="161"/>
      <c r="GD255" s="161"/>
      <c r="GE255" s="161"/>
      <c r="GF255" s="161"/>
      <c r="GG255" s="161"/>
      <c r="GH255" s="161"/>
      <c r="GI255" s="161"/>
      <c r="GJ255" s="161"/>
      <c r="GK255" s="161"/>
      <c r="GL255" s="161"/>
      <c r="GM255" s="161"/>
      <c r="GN255" s="161"/>
    </row>
    <row r="256" spans="1:196" hidden="1">
      <c r="A256" s="164"/>
      <c r="B256" s="116" t="s">
        <v>818</v>
      </c>
      <c r="C256" s="116" t="s">
        <v>632</v>
      </c>
      <c r="D256" s="119"/>
      <c r="E256" s="119"/>
      <c r="F256" s="107">
        <v>46212</v>
      </c>
      <c r="G256" s="117">
        <v>500</v>
      </c>
      <c r="H256" s="121"/>
      <c r="I256" s="125">
        <v>46214</v>
      </c>
      <c r="J256" s="13">
        <f t="shared" si="189"/>
        <v>0</v>
      </c>
      <c r="K256" s="153" t="s">
        <v>992</v>
      </c>
      <c r="L256" s="161"/>
      <c r="M256" s="136"/>
      <c r="N256" s="136"/>
      <c r="O256" s="136"/>
      <c r="P256" s="136"/>
      <c r="Q256" s="136"/>
      <c r="R256" s="136"/>
      <c r="S256" s="161"/>
      <c r="T256" s="161"/>
      <c r="U256" s="161"/>
      <c r="V256" s="161"/>
      <c r="W256" s="135"/>
      <c r="X256" s="135"/>
      <c r="Y256" s="135"/>
      <c r="Z256" s="135"/>
      <c r="AA256" s="135"/>
      <c r="AB256" s="135"/>
      <c r="AC256" s="136"/>
      <c r="AD256" s="136"/>
      <c r="AE256" s="161"/>
      <c r="AF256" s="161"/>
      <c r="AG256" s="161"/>
      <c r="AH256" s="161"/>
      <c r="AI256" s="161"/>
      <c r="AJ256" s="161"/>
      <c r="AK256" s="135"/>
      <c r="AL256" s="135"/>
      <c r="AM256" s="135">
        <v>200</v>
      </c>
      <c r="AN256" s="135"/>
      <c r="AO256" s="135">
        <v>200</v>
      </c>
      <c r="AP256" s="135"/>
      <c r="AQ256" s="136"/>
      <c r="AR256" s="136"/>
      <c r="AS256" s="135">
        <v>100</v>
      </c>
      <c r="AT256" s="135"/>
      <c r="AU256" s="135"/>
      <c r="AV256" s="161"/>
      <c r="AW256" s="161"/>
      <c r="AX256" s="161"/>
      <c r="AY256" s="135"/>
      <c r="AZ256" s="135"/>
      <c r="BA256" s="135"/>
      <c r="BB256" s="135"/>
      <c r="BC256" s="135"/>
      <c r="BD256" s="135"/>
      <c r="BE256" s="136"/>
      <c r="BF256" s="136"/>
      <c r="BG256" s="135"/>
      <c r="BH256" s="161"/>
      <c r="BI256" s="161"/>
      <c r="BJ256" s="161"/>
      <c r="BK256" s="135"/>
      <c r="BL256" s="161"/>
      <c r="BM256" s="161"/>
      <c r="BN256" s="161"/>
      <c r="BO256" s="135"/>
      <c r="BP256" s="161"/>
      <c r="BQ256" s="135"/>
      <c r="BR256" s="135"/>
      <c r="BS256" s="136"/>
      <c r="BT256" s="136"/>
      <c r="BU256" s="161"/>
      <c r="BV256" s="161"/>
      <c r="BW256" s="161"/>
      <c r="BX256" s="161"/>
      <c r="BY256" s="161"/>
      <c r="BZ256" s="161"/>
      <c r="CA256" s="135"/>
      <c r="CB256" s="135"/>
      <c r="CC256" s="135"/>
      <c r="CD256" s="135"/>
      <c r="CE256" s="135"/>
      <c r="CF256" s="135"/>
      <c r="CG256" s="136"/>
      <c r="CH256" s="136"/>
      <c r="CI256" s="161"/>
      <c r="CJ256" s="161"/>
      <c r="CK256" s="161"/>
      <c r="CL256" s="161"/>
      <c r="CM256" s="161"/>
      <c r="CN256" s="161"/>
      <c r="CO256" s="135"/>
      <c r="CP256" s="135"/>
      <c r="CQ256" s="135"/>
      <c r="CR256" s="135"/>
      <c r="CS256" s="135"/>
      <c r="CT256" s="135"/>
      <c r="CU256" s="136"/>
      <c r="CV256" s="136"/>
      <c r="CW256" s="161"/>
      <c r="CX256" s="161"/>
      <c r="CY256" s="161"/>
      <c r="CZ256" s="161"/>
      <c r="DA256" s="161"/>
      <c r="DB256" s="161"/>
      <c r="DC256" s="135"/>
      <c r="DD256" s="135"/>
      <c r="DE256" s="135"/>
      <c r="DF256" s="135"/>
      <c r="DG256" s="135"/>
      <c r="DH256" s="135"/>
      <c r="DI256" s="136"/>
      <c r="DJ256" s="136"/>
      <c r="DK256" s="161"/>
      <c r="DL256" s="161"/>
      <c r="DM256" s="161"/>
      <c r="DN256" s="161"/>
      <c r="DO256" s="161"/>
      <c r="DP256" s="161"/>
      <c r="DQ256" s="135"/>
      <c r="DR256" s="135"/>
      <c r="DS256" s="135"/>
      <c r="DT256" s="135"/>
      <c r="DU256" s="135"/>
      <c r="DV256" s="135"/>
      <c r="DW256" s="136"/>
      <c r="DX256" s="136"/>
      <c r="DY256" s="161"/>
      <c r="DZ256" s="161"/>
      <c r="EA256" s="161"/>
      <c r="EB256" s="161"/>
      <c r="EC256" s="161"/>
      <c r="ED256" s="161"/>
      <c r="EE256" s="135"/>
      <c r="EF256" s="135"/>
      <c r="EG256" s="135"/>
      <c r="EH256" s="135"/>
      <c r="EI256" s="135"/>
      <c r="EJ256" s="135"/>
      <c r="EK256" s="136"/>
      <c r="EL256" s="136"/>
      <c r="EM256" s="136"/>
      <c r="EN256" s="136"/>
      <c r="EO256" s="136"/>
      <c r="EP256" s="136"/>
      <c r="EQ256" s="136"/>
      <c r="ER256" s="136"/>
      <c r="ES256" s="135"/>
      <c r="ET256" s="135"/>
      <c r="EU256" s="135"/>
      <c r="EV256" s="135"/>
      <c r="EW256" s="135"/>
      <c r="EX256" s="135"/>
      <c r="EY256" s="136"/>
      <c r="EZ256" s="136"/>
      <c r="FA256" s="161"/>
      <c r="FB256" s="161"/>
      <c r="FC256" s="161"/>
      <c r="FD256" s="161"/>
      <c r="FE256" s="161"/>
      <c r="FF256" s="161"/>
      <c r="FG256" s="135"/>
      <c r="FH256" s="135"/>
      <c r="FI256" s="135"/>
      <c r="FJ256" s="135"/>
      <c r="FK256" s="135"/>
      <c r="FL256" s="135"/>
      <c r="FM256" s="136"/>
      <c r="FN256" s="136"/>
      <c r="FO256" s="161"/>
      <c r="FP256" s="161"/>
      <c r="FQ256" s="161"/>
      <c r="FR256" s="161"/>
      <c r="FS256" s="161"/>
      <c r="FT256" s="161"/>
      <c r="FU256" s="135"/>
      <c r="FV256" s="135"/>
      <c r="FW256" s="135"/>
      <c r="FX256" s="135"/>
      <c r="FY256" s="135"/>
      <c r="FZ256" s="135"/>
      <c r="GA256" s="136"/>
      <c r="GB256" s="136"/>
      <c r="GC256" s="161"/>
      <c r="GD256" s="161"/>
      <c r="GE256" s="161"/>
      <c r="GF256" s="161"/>
      <c r="GG256" s="161"/>
      <c r="GH256" s="161"/>
      <c r="GI256" s="135"/>
      <c r="GJ256" s="135"/>
      <c r="GK256" s="135"/>
      <c r="GL256" s="135"/>
      <c r="GM256" s="135"/>
      <c r="GN256" s="135"/>
    </row>
    <row r="257" spans="1:196" ht="29" hidden="1" customHeight="1">
      <c r="A257" s="164"/>
      <c r="B257" s="116" t="s">
        <v>862</v>
      </c>
      <c r="C257" s="116" t="s">
        <v>632</v>
      </c>
      <c r="D257" s="119"/>
      <c r="E257" s="119"/>
      <c r="F257" s="107">
        <v>46220</v>
      </c>
      <c r="G257" s="117">
        <v>1000</v>
      </c>
      <c r="H257" s="6"/>
      <c r="I257" s="125">
        <v>46228</v>
      </c>
      <c r="J257" s="13">
        <f t="shared" si="189"/>
        <v>0</v>
      </c>
      <c r="K257" s="153" t="s">
        <v>1164</v>
      </c>
      <c r="L257" s="161"/>
      <c r="M257" s="136"/>
      <c r="N257" s="136"/>
      <c r="O257" s="136"/>
      <c r="P257" s="136"/>
      <c r="Q257" s="136"/>
      <c r="R257" s="136"/>
      <c r="S257" s="161"/>
      <c r="T257" s="161"/>
      <c r="U257" s="161"/>
      <c r="V257" s="161"/>
      <c r="W257" s="135"/>
      <c r="X257" s="135"/>
      <c r="Y257" s="135"/>
      <c r="Z257" s="135"/>
      <c r="AA257" s="135"/>
      <c r="AB257" s="135"/>
      <c r="AC257" s="136"/>
      <c r="AD257" s="136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35"/>
      <c r="AQ257" s="136"/>
      <c r="AR257" s="136"/>
      <c r="AS257" s="135"/>
      <c r="AT257" s="135"/>
      <c r="AU257" s="161"/>
      <c r="AV257" s="161"/>
      <c r="AW257" s="161"/>
      <c r="AX257" s="161"/>
      <c r="AY257" s="161"/>
      <c r="AZ257" s="161"/>
      <c r="BA257" s="161"/>
      <c r="BB257" s="161"/>
      <c r="BC257" s="161">
        <v>210</v>
      </c>
      <c r="BD257" s="161"/>
      <c r="BE257" s="136"/>
      <c r="BF257" s="136"/>
      <c r="BG257" s="161">
        <v>250</v>
      </c>
      <c r="BH257" s="135"/>
      <c r="BI257" s="161">
        <v>330</v>
      </c>
      <c r="BJ257" s="135"/>
      <c r="BK257" s="161">
        <v>210</v>
      </c>
      <c r="BL257" s="161"/>
      <c r="BM257" s="161"/>
      <c r="BN257" s="161"/>
      <c r="BO257" s="161"/>
      <c r="BP257" s="161"/>
      <c r="BQ257" s="161"/>
      <c r="BR257" s="161"/>
      <c r="BS257" s="136"/>
      <c r="BT257" s="136"/>
      <c r="BU257" s="161"/>
      <c r="BV257" s="135"/>
      <c r="BW257" s="161"/>
      <c r="BX257" s="161"/>
      <c r="BY257" s="161"/>
      <c r="BZ257" s="161"/>
      <c r="CA257" s="161"/>
      <c r="CB257" s="161"/>
      <c r="CC257" s="161"/>
      <c r="CD257" s="135"/>
      <c r="CE257" s="135"/>
      <c r="CF257" s="135"/>
      <c r="CG257" s="136"/>
      <c r="CH257" s="136"/>
      <c r="CI257" s="161"/>
      <c r="CJ257" s="161"/>
      <c r="CK257" s="161"/>
      <c r="CL257" s="161"/>
      <c r="CM257" s="161"/>
      <c r="CN257" s="161"/>
      <c r="CO257" s="135"/>
      <c r="CP257" s="135"/>
      <c r="CQ257" s="135"/>
      <c r="CR257" s="135"/>
      <c r="CS257" s="135"/>
      <c r="CT257" s="135"/>
      <c r="CU257" s="136"/>
      <c r="CV257" s="136"/>
      <c r="CW257" s="161"/>
      <c r="CX257" s="161"/>
      <c r="CY257" s="161"/>
      <c r="CZ257" s="161"/>
      <c r="DA257" s="161"/>
      <c r="DB257" s="161"/>
      <c r="DC257" s="135"/>
      <c r="DD257" s="135"/>
      <c r="DE257" s="135"/>
      <c r="DF257" s="135"/>
      <c r="DG257" s="135"/>
      <c r="DH257" s="135"/>
      <c r="DI257" s="136"/>
      <c r="DJ257" s="136"/>
      <c r="DK257" s="161"/>
      <c r="DL257" s="161"/>
      <c r="DM257" s="161"/>
      <c r="DN257" s="161"/>
      <c r="DO257" s="161"/>
      <c r="DP257" s="161"/>
      <c r="DQ257" s="135"/>
      <c r="DR257" s="135"/>
      <c r="DS257" s="135"/>
      <c r="DT257" s="135"/>
      <c r="DU257" s="135"/>
      <c r="DV257" s="135"/>
      <c r="DW257" s="136"/>
      <c r="DX257" s="136"/>
      <c r="DY257" s="161"/>
      <c r="DZ257" s="161"/>
      <c r="EA257" s="161"/>
      <c r="EB257" s="161"/>
      <c r="EC257" s="161"/>
      <c r="ED257" s="161"/>
      <c r="EE257" s="135"/>
      <c r="EF257" s="135"/>
      <c r="EG257" s="135"/>
      <c r="EH257" s="135"/>
      <c r="EI257" s="135"/>
      <c r="EJ257" s="135"/>
      <c r="EK257" s="136"/>
      <c r="EL257" s="136"/>
      <c r="EM257" s="136"/>
      <c r="EN257" s="136"/>
      <c r="EO257" s="136"/>
      <c r="EP257" s="136"/>
      <c r="EQ257" s="136"/>
      <c r="ER257" s="136"/>
      <c r="ES257" s="135"/>
      <c r="ET257" s="135"/>
      <c r="EU257" s="135"/>
      <c r="EV257" s="135"/>
      <c r="EW257" s="135"/>
      <c r="EX257" s="135"/>
      <c r="EY257" s="136"/>
      <c r="EZ257" s="136"/>
      <c r="FA257" s="161"/>
      <c r="FB257" s="161"/>
      <c r="FC257" s="161"/>
      <c r="FD257" s="161"/>
      <c r="FE257" s="161"/>
      <c r="FF257" s="161"/>
      <c r="FG257" s="135"/>
      <c r="FH257" s="135"/>
      <c r="FI257" s="135"/>
      <c r="FJ257" s="135"/>
      <c r="FK257" s="135"/>
      <c r="FL257" s="135"/>
      <c r="FM257" s="136"/>
      <c r="FN257" s="136"/>
      <c r="FO257" s="161"/>
      <c r="FP257" s="161"/>
      <c r="FQ257" s="161"/>
      <c r="FR257" s="161"/>
      <c r="FS257" s="161"/>
      <c r="FT257" s="161"/>
      <c r="FU257" s="135"/>
      <c r="FV257" s="135"/>
      <c r="FW257" s="135"/>
      <c r="FX257" s="135"/>
      <c r="FY257" s="135"/>
      <c r="FZ257" s="135"/>
      <c r="GA257" s="136"/>
      <c r="GB257" s="136"/>
      <c r="GC257" s="161"/>
      <c r="GD257" s="161"/>
      <c r="GE257" s="161"/>
      <c r="GF257" s="161"/>
      <c r="GG257" s="161"/>
      <c r="GH257" s="161"/>
      <c r="GI257" s="135"/>
      <c r="GJ257" s="135"/>
      <c r="GK257" s="135"/>
      <c r="GL257" s="135"/>
      <c r="GM257" s="135"/>
      <c r="GN257" s="135"/>
    </row>
    <row r="258" spans="1:196" ht="29" hidden="1" customHeight="1">
      <c r="A258" s="164"/>
      <c r="B258" s="116" t="s">
        <v>1109</v>
      </c>
      <c r="C258" s="116" t="s">
        <v>632</v>
      </c>
      <c r="D258" s="119"/>
      <c r="E258" s="119"/>
      <c r="F258" s="107">
        <v>46224</v>
      </c>
      <c r="G258" s="117">
        <v>500</v>
      </c>
      <c r="H258" s="6"/>
      <c r="I258" s="125">
        <v>46228</v>
      </c>
      <c r="J258" s="13">
        <f t="shared" si="189"/>
        <v>0</v>
      </c>
      <c r="K258" s="153" t="s">
        <v>1163</v>
      </c>
      <c r="L258" s="161"/>
      <c r="M258" s="136"/>
      <c r="N258" s="136"/>
      <c r="O258" s="136"/>
      <c r="P258" s="136"/>
      <c r="Q258" s="136"/>
      <c r="R258" s="136"/>
      <c r="S258" s="161"/>
      <c r="T258" s="161"/>
      <c r="U258" s="161"/>
      <c r="V258" s="161"/>
      <c r="W258" s="135"/>
      <c r="X258" s="135"/>
      <c r="Y258" s="135"/>
      <c r="Z258" s="135"/>
      <c r="AA258" s="135"/>
      <c r="AB258" s="135"/>
      <c r="AC258" s="136"/>
      <c r="AD258" s="136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35"/>
      <c r="AQ258" s="136"/>
      <c r="AR258" s="136"/>
      <c r="AS258" s="135"/>
      <c r="AT258" s="135"/>
      <c r="AU258" s="161"/>
      <c r="AV258" s="161"/>
      <c r="AW258" s="161"/>
      <c r="AX258" s="161"/>
      <c r="AY258" s="161"/>
      <c r="AZ258" s="161"/>
      <c r="BA258" s="161"/>
      <c r="BB258" s="161"/>
      <c r="BC258" s="161"/>
      <c r="BD258" s="161"/>
      <c r="BE258" s="136"/>
      <c r="BF258" s="136"/>
      <c r="BG258" s="161"/>
      <c r="BH258" s="135"/>
      <c r="BI258" s="161"/>
      <c r="BJ258" s="135"/>
      <c r="BK258" s="161">
        <v>110</v>
      </c>
      <c r="BL258" s="161"/>
      <c r="BM258" s="161">
        <v>350</v>
      </c>
      <c r="BN258" s="161"/>
      <c r="BO258" s="161">
        <v>40</v>
      </c>
      <c r="BP258" s="161"/>
      <c r="BQ258" s="161"/>
      <c r="BR258" s="161"/>
      <c r="BS258" s="136"/>
      <c r="BT258" s="136"/>
      <c r="BU258" s="161"/>
      <c r="BV258" s="161"/>
      <c r="BW258" s="161"/>
      <c r="BX258" s="161"/>
      <c r="BY258" s="161"/>
      <c r="BZ258" s="161"/>
      <c r="CA258" s="161"/>
      <c r="CB258" s="161"/>
      <c r="CC258" s="161"/>
      <c r="CD258" s="161"/>
      <c r="CE258" s="161"/>
      <c r="CF258" s="135"/>
      <c r="CG258" s="136"/>
      <c r="CH258" s="136"/>
      <c r="CI258" s="161"/>
      <c r="CJ258" s="161"/>
      <c r="CK258" s="161"/>
      <c r="CL258" s="161"/>
      <c r="CM258" s="161"/>
      <c r="CN258" s="161"/>
      <c r="CO258" s="135"/>
      <c r="CP258" s="135"/>
      <c r="CQ258" s="135"/>
      <c r="CR258" s="135"/>
      <c r="CS258" s="135"/>
      <c r="CT258" s="135"/>
      <c r="CU258" s="136"/>
      <c r="CV258" s="136"/>
      <c r="CW258" s="161"/>
      <c r="CX258" s="161"/>
      <c r="CY258" s="161"/>
      <c r="CZ258" s="161"/>
      <c r="DA258" s="161"/>
      <c r="DB258" s="161"/>
      <c r="DC258" s="135"/>
      <c r="DD258" s="135"/>
      <c r="DE258" s="135"/>
      <c r="DF258" s="135"/>
      <c r="DG258" s="135"/>
      <c r="DH258" s="135"/>
      <c r="DI258" s="136"/>
      <c r="DJ258" s="136"/>
      <c r="DK258" s="161"/>
      <c r="DL258" s="161"/>
      <c r="DM258" s="161"/>
      <c r="DN258" s="161"/>
      <c r="DO258" s="161"/>
      <c r="DP258" s="161"/>
      <c r="DQ258" s="135"/>
      <c r="DR258" s="135"/>
      <c r="DS258" s="135"/>
      <c r="DT258" s="135"/>
      <c r="DU258" s="135"/>
      <c r="DV258" s="135"/>
      <c r="DW258" s="136"/>
      <c r="DX258" s="136"/>
      <c r="DY258" s="161"/>
      <c r="DZ258" s="161"/>
      <c r="EA258" s="161"/>
      <c r="EB258" s="161"/>
      <c r="EC258" s="161"/>
      <c r="ED258" s="161"/>
      <c r="EE258" s="135"/>
      <c r="EF258" s="135"/>
      <c r="EG258" s="135"/>
      <c r="EH258" s="135"/>
      <c r="EI258" s="135"/>
      <c r="EJ258" s="135"/>
      <c r="EK258" s="136"/>
      <c r="EL258" s="136"/>
      <c r="EM258" s="136"/>
      <c r="EN258" s="136"/>
      <c r="EO258" s="136"/>
      <c r="EP258" s="136"/>
      <c r="EQ258" s="136"/>
      <c r="ER258" s="136"/>
      <c r="ES258" s="135"/>
      <c r="ET258" s="135"/>
      <c r="EU258" s="135"/>
      <c r="EV258" s="135"/>
      <c r="EW258" s="135"/>
      <c r="EX258" s="135"/>
      <c r="EY258" s="136"/>
      <c r="EZ258" s="136"/>
      <c r="FA258" s="161"/>
      <c r="FB258" s="161"/>
      <c r="FC258" s="161"/>
      <c r="FD258" s="161"/>
      <c r="FE258" s="161"/>
      <c r="FF258" s="161"/>
      <c r="FG258" s="135"/>
      <c r="FH258" s="135"/>
      <c r="FI258" s="135"/>
      <c r="FJ258" s="135"/>
      <c r="FK258" s="135"/>
      <c r="FL258" s="135"/>
      <c r="FM258" s="136"/>
      <c r="FN258" s="136"/>
      <c r="FO258" s="161"/>
      <c r="FP258" s="161"/>
      <c r="FQ258" s="161"/>
      <c r="FR258" s="161"/>
      <c r="FS258" s="161"/>
      <c r="FT258" s="161"/>
      <c r="FU258" s="135"/>
      <c r="FV258" s="135"/>
      <c r="FW258" s="135"/>
      <c r="FX258" s="135"/>
      <c r="FY258" s="135"/>
      <c r="FZ258" s="135"/>
      <c r="GA258" s="136"/>
      <c r="GB258" s="136"/>
      <c r="GC258" s="161"/>
      <c r="GD258" s="161"/>
      <c r="GE258" s="161"/>
      <c r="GF258" s="161"/>
      <c r="GG258" s="161"/>
      <c r="GH258" s="161"/>
      <c r="GI258" s="135"/>
      <c r="GJ258" s="135"/>
      <c r="GK258" s="135"/>
      <c r="GL258" s="135"/>
      <c r="GM258" s="135"/>
      <c r="GN258" s="135"/>
    </row>
    <row r="259" spans="1:196">
      <c r="A259" s="164"/>
      <c r="B259" s="109" t="s">
        <v>994</v>
      </c>
      <c r="C259" s="107" t="s">
        <v>610</v>
      </c>
      <c r="D259" s="160"/>
      <c r="E259" s="119"/>
      <c r="F259" s="107">
        <v>46225</v>
      </c>
      <c r="G259" s="115">
        <v>750</v>
      </c>
      <c r="H259" s="6"/>
      <c r="I259" s="125">
        <v>46172</v>
      </c>
      <c r="J259" s="13">
        <f t="shared" si="189"/>
        <v>0</v>
      </c>
      <c r="K259" s="141" t="s">
        <v>1147</v>
      </c>
      <c r="L259" s="161"/>
      <c r="M259" s="136"/>
      <c r="N259" s="136"/>
      <c r="O259" s="136"/>
      <c r="P259" s="136"/>
      <c r="Q259" s="136"/>
      <c r="R259" s="136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36"/>
      <c r="AD259" s="136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36"/>
      <c r="AR259" s="136"/>
      <c r="AS259" s="161"/>
      <c r="AT259" s="161"/>
      <c r="AU259" s="161"/>
      <c r="AV259" s="161"/>
      <c r="AW259" s="161"/>
      <c r="AX259" s="161"/>
      <c r="AY259" s="161"/>
      <c r="AZ259" s="161"/>
      <c r="BA259" s="161"/>
      <c r="BB259" s="161"/>
      <c r="BC259" s="161"/>
      <c r="BD259" s="161"/>
      <c r="BE259" s="136"/>
      <c r="BF259" s="136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12"/>
      <c r="BR259" s="161"/>
      <c r="BS259" s="136"/>
      <c r="BT259" s="136"/>
      <c r="BU259" s="161"/>
      <c r="BV259" s="161"/>
      <c r="BW259" s="161">
        <v>84</v>
      </c>
      <c r="BX259" s="161"/>
      <c r="BY259" s="161">
        <v>227</v>
      </c>
      <c r="BZ259" s="161"/>
      <c r="CA259" s="161">
        <v>241</v>
      </c>
      <c r="CB259" s="161"/>
      <c r="CC259" s="161">
        <v>198</v>
      </c>
      <c r="CD259" s="161"/>
      <c r="CE259" s="161"/>
      <c r="CF259" s="161"/>
      <c r="CG259" s="136"/>
      <c r="CH259" s="136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36"/>
      <c r="CV259" s="136"/>
      <c r="CW259" s="161"/>
      <c r="CX259" s="161"/>
      <c r="CY259" s="161"/>
      <c r="CZ259" s="161"/>
      <c r="DA259" s="161"/>
      <c r="DB259" s="161"/>
      <c r="DC259" s="161"/>
      <c r="DD259" s="161"/>
      <c r="DE259" s="161"/>
      <c r="DF259" s="161"/>
      <c r="DG259" s="161"/>
      <c r="DH259" s="161"/>
      <c r="DI259" s="136"/>
      <c r="DJ259" s="136"/>
      <c r="DK259" s="161"/>
      <c r="DL259" s="161"/>
      <c r="DM259" s="161"/>
      <c r="DN259" s="161"/>
      <c r="DO259" s="161"/>
      <c r="DP259" s="161"/>
      <c r="DQ259" s="161"/>
      <c r="DR259" s="161"/>
      <c r="DS259" s="161"/>
      <c r="DT259" s="161"/>
      <c r="DU259" s="161"/>
      <c r="DV259" s="161"/>
      <c r="DW259" s="136"/>
      <c r="DX259" s="136"/>
      <c r="DY259" s="161"/>
      <c r="DZ259" s="161"/>
      <c r="EA259" s="161"/>
      <c r="EB259" s="161"/>
      <c r="EC259" s="161"/>
      <c r="ED259" s="161"/>
      <c r="EE259" s="161"/>
      <c r="EF259" s="161"/>
      <c r="EG259" s="161"/>
      <c r="EH259" s="161"/>
      <c r="EI259" s="161"/>
      <c r="EJ259" s="161"/>
      <c r="EK259" s="136"/>
      <c r="EL259" s="136"/>
      <c r="EM259" s="136"/>
      <c r="EN259" s="136"/>
      <c r="EO259" s="136"/>
      <c r="EP259" s="136"/>
      <c r="EQ259" s="136"/>
      <c r="ER259" s="136"/>
      <c r="ES259" s="161"/>
      <c r="ET259" s="161"/>
      <c r="EU259" s="161"/>
      <c r="EV259" s="161"/>
      <c r="EW259" s="161"/>
      <c r="EX259" s="161"/>
      <c r="EY259" s="136"/>
      <c r="EZ259" s="136"/>
      <c r="FA259" s="161"/>
      <c r="FB259" s="161"/>
      <c r="FC259" s="161"/>
      <c r="FD259" s="161"/>
      <c r="FE259" s="161"/>
      <c r="FF259" s="161"/>
      <c r="FG259" s="161"/>
      <c r="FH259" s="161"/>
      <c r="FI259" s="161"/>
      <c r="FJ259" s="161"/>
      <c r="FK259" s="161"/>
      <c r="FL259" s="161"/>
      <c r="FM259" s="136"/>
      <c r="FN259" s="136"/>
      <c r="FO259" s="161"/>
      <c r="FP259" s="161"/>
      <c r="FQ259" s="161"/>
      <c r="FR259" s="161"/>
      <c r="FS259" s="161"/>
      <c r="FT259" s="161"/>
      <c r="FU259" s="161"/>
      <c r="FV259" s="161"/>
      <c r="FW259" s="161"/>
      <c r="FX259" s="161"/>
      <c r="FY259" s="161"/>
      <c r="FZ259" s="161"/>
      <c r="GA259" s="136"/>
      <c r="GB259" s="136"/>
      <c r="GC259" s="161"/>
      <c r="GD259" s="161"/>
      <c r="GE259" s="161"/>
      <c r="GF259" s="161"/>
      <c r="GG259" s="161"/>
      <c r="GH259" s="161"/>
      <c r="GI259" s="161"/>
      <c r="GJ259" s="161"/>
      <c r="GK259" s="161"/>
      <c r="GL259" s="161"/>
      <c r="GM259" s="161"/>
      <c r="GN259" s="161"/>
    </row>
    <row r="260" spans="1:196">
      <c r="A260" s="164"/>
      <c r="B260" s="109" t="s">
        <v>816</v>
      </c>
      <c r="C260" s="107" t="s">
        <v>610</v>
      </c>
      <c r="D260" s="160"/>
      <c r="E260" s="119"/>
      <c r="F260" s="107">
        <v>46230</v>
      </c>
      <c r="G260" s="115">
        <v>1000</v>
      </c>
      <c r="H260" s="6"/>
      <c r="I260" s="125">
        <v>46190</v>
      </c>
      <c r="J260" s="13">
        <f t="shared" si="189"/>
        <v>0</v>
      </c>
      <c r="K260" s="141" t="s">
        <v>1270</v>
      </c>
      <c r="L260" s="161"/>
      <c r="M260" s="136"/>
      <c r="N260" s="136"/>
      <c r="O260" s="136"/>
      <c r="P260" s="136"/>
      <c r="Q260" s="136"/>
      <c r="R260" s="136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36"/>
      <c r="AD260" s="136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36"/>
      <c r="AR260" s="136"/>
      <c r="AS260" s="161"/>
      <c r="AT260" s="161"/>
      <c r="AU260" s="161"/>
      <c r="AV260" s="161"/>
      <c r="AW260" s="161"/>
      <c r="AX260" s="161"/>
      <c r="AY260" s="161"/>
      <c r="AZ260" s="161"/>
      <c r="BA260" s="161"/>
      <c r="BB260" s="161"/>
      <c r="BC260" s="161"/>
      <c r="BD260" s="161"/>
      <c r="BE260" s="136"/>
      <c r="BF260" s="136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36"/>
      <c r="BT260" s="136"/>
      <c r="BU260" s="161"/>
      <c r="BV260" s="161"/>
      <c r="BW260" s="161"/>
      <c r="BX260" s="161"/>
      <c r="BY260" s="161"/>
      <c r="BZ260" s="161"/>
      <c r="CA260" s="161"/>
      <c r="CB260" s="161"/>
      <c r="CC260" s="161">
        <v>52</v>
      </c>
      <c r="CD260" s="161"/>
      <c r="CE260" s="161">
        <v>250</v>
      </c>
      <c r="CF260" s="161"/>
      <c r="CG260" s="136"/>
      <c r="CH260" s="136"/>
      <c r="CI260" s="161">
        <v>250</v>
      </c>
      <c r="CJ260" s="161"/>
      <c r="CK260" s="161">
        <v>250</v>
      </c>
      <c r="CL260" s="161"/>
      <c r="CM260" s="161">
        <v>198</v>
      </c>
      <c r="CN260" s="161"/>
      <c r="CO260" s="161"/>
      <c r="CP260" s="161"/>
      <c r="CQ260" s="161"/>
      <c r="CR260" s="161"/>
      <c r="CS260" s="161"/>
      <c r="CT260" s="161"/>
      <c r="CU260" s="136"/>
      <c r="CV260" s="136"/>
      <c r="CW260" s="161"/>
      <c r="CX260" s="161"/>
      <c r="CY260" s="161"/>
      <c r="CZ260" s="161"/>
      <c r="DA260" s="161"/>
      <c r="DB260" s="161"/>
      <c r="DC260" s="161"/>
      <c r="DD260" s="161"/>
      <c r="DE260" s="161"/>
      <c r="DF260" s="161"/>
      <c r="DG260" s="161"/>
      <c r="DH260" s="161"/>
      <c r="DI260" s="136"/>
      <c r="DJ260" s="136"/>
      <c r="DK260" s="161"/>
      <c r="DL260" s="161"/>
      <c r="DM260" s="161"/>
      <c r="DN260" s="161"/>
      <c r="DO260" s="161"/>
      <c r="DP260" s="161"/>
      <c r="DQ260" s="161"/>
      <c r="DR260" s="161"/>
      <c r="DS260" s="161"/>
      <c r="DT260" s="161"/>
      <c r="DU260" s="161"/>
      <c r="DV260" s="161"/>
      <c r="DW260" s="136"/>
      <c r="DX260" s="136"/>
      <c r="DY260" s="161"/>
      <c r="DZ260" s="161"/>
      <c r="EA260" s="161"/>
      <c r="EB260" s="161"/>
      <c r="EC260" s="161"/>
      <c r="ED260" s="161"/>
      <c r="EE260" s="161"/>
      <c r="EF260" s="161"/>
      <c r="EG260" s="161"/>
      <c r="EH260" s="161"/>
      <c r="EI260" s="161"/>
      <c r="EJ260" s="161"/>
      <c r="EK260" s="136"/>
      <c r="EL260" s="136"/>
      <c r="EM260" s="136"/>
      <c r="EN260" s="136"/>
      <c r="EO260" s="136"/>
      <c r="EP260" s="136"/>
      <c r="EQ260" s="136"/>
      <c r="ER260" s="136"/>
      <c r="ES260" s="161"/>
      <c r="ET260" s="161"/>
      <c r="EU260" s="161"/>
      <c r="EV260" s="161"/>
      <c r="EW260" s="161"/>
      <c r="EX260" s="161"/>
      <c r="EY260" s="136"/>
      <c r="EZ260" s="136"/>
      <c r="FA260" s="161"/>
      <c r="FB260" s="161"/>
      <c r="FC260" s="161"/>
      <c r="FD260" s="161"/>
      <c r="FE260" s="161"/>
      <c r="FF260" s="161"/>
      <c r="FG260" s="161"/>
      <c r="FH260" s="161"/>
      <c r="FI260" s="161"/>
      <c r="FJ260" s="161"/>
      <c r="FK260" s="161"/>
      <c r="FL260" s="161"/>
      <c r="FM260" s="136"/>
      <c r="FN260" s="136"/>
      <c r="FO260" s="161"/>
      <c r="FP260" s="161"/>
      <c r="FQ260" s="161"/>
      <c r="FR260" s="161"/>
      <c r="FS260" s="161"/>
      <c r="FT260" s="161"/>
      <c r="FU260" s="161"/>
      <c r="FV260" s="161"/>
      <c r="FW260" s="161"/>
      <c r="FX260" s="161"/>
      <c r="FY260" s="161"/>
      <c r="FZ260" s="161"/>
      <c r="GA260" s="136"/>
      <c r="GB260" s="136"/>
      <c r="GC260" s="161"/>
      <c r="GD260" s="161"/>
      <c r="GE260" s="161"/>
      <c r="GF260" s="161"/>
      <c r="GG260" s="161"/>
      <c r="GH260" s="161"/>
      <c r="GI260" s="161"/>
      <c r="GJ260" s="161"/>
      <c r="GK260" s="161"/>
      <c r="GL260" s="161"/>
      <c r="GM260" s="161"/>
      <c r="GN260" s="161"/>
    </row>
    <row r="261" spans="1:196" ht="29" customHeight="1">
      <c r="A261" s="164"/>
      <c r="B261" s="116" t="s">
        <v>1341</v>
      </c>
      <c r="C261" s="116" t="s">
        <v>632</v>
      </c>
      <c r="D261" s="119"/>
      <c r="E261" s="119"/>
      <c r="F261" s="107">
        <v>46226</v>
      </c>
      <c r="G261" s="117">
        <v>500</v>
      </c>
      <c r="H261" s="6"/>
      <c r="I261" s="125">
        <v>46228</v>
      </c>
      <c r="J261" s="13">
        <f>G261-SUM(L261:FL261)</f>
        <v>0</v>
      </c>
      <c r="K261" s="153" t="s">
        <v>1110</v>
      </c>
      <c r="L261" s="161"/>
      <c r="M261" s="136"/>
      <c r="N261" s="136"/>
      <c r="O261" s="136"/>
      <c r="P261" s="136"/>
      <c r="Q261" s="136"/>
      <c r="R261" s="136"/>
      <c r="S261" s="161"/>
      <c r="T261" s="161"/>
      <c r="U261" s="161"/>
      <c r="V261" s="161"/>
      <c r="W261" s="135"/>
      <c r="X261" s="135"/>
      <c r="Y261" s="135"/>
      <c r="Z261" s="135"/>
      <c r="AA261" s="135"/>
      <c r="AB261" s="135"/>
      <c r="AC261" s="136"/>
      <c r="AD261" s="136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35"/>
      <c r="AQ261" s="136"/>
      <c r="AR261" s="136"/>
      <c r="AS261" s="135"/>
      <c r="AT261" s="135"/>
      <c r="AU261" s="161"/>
      <c r="AV261" s="161"/>
      <c r="AW261" s="161"/>
      <c r="AX261" s="161"/>
      <c r="AY261" s="161"/>
      <c r="AZ261" s="161"/>
      <c r="BA261" s="161"/>
      <c r="BB261" s="161"/>
      <c r="BC261" s="161"/>
      <c r="BD261" s="161"/>
      <c r="BE261" s="136"/>
      <c r="BF261" s="136"/>
      <c r="BG261" s="161"/>
      <c r="BH261" s="135"/>
      <c r="BI261" s="161"/>
      <c r="BJ261" s="135"/>
      <c r="BK261" s="161"/>
      <c r="BL261" s="161"/>
      <c r="BM261" s="161"/>
      <c r="BN261" s="161"/>
      <c r="BO261" s="161"/>
      <c r="BP261" s="161"/>
      <c r="BQ261" s="161"/>
      <c r="BR261" s="161"/>
      <c r="BS261" s="136"/>
      <c r="BT261" s="136"/>
      <c r="BU261" s="161"/>
      <c r="BV261" s="161"/>
      <c r="BW261" s="161"/>
      <c r="BX261" s="161"/>
      <c r="BY261" s="161"/>
      <c r="BZ261" s="161"/>
      <c r="CA261" s="161"/>
      <c r="CB261" s="161"/>
      <c r="CC261" s="161"/>
      <c r="CD261" s="161"/>
      <c r="CE261" s="161"/>
      <c r="CF261" s="135"/>
      <c r="CG261" s="136"/>
      <c r="CH261" s="136"/>
      <c r="CI261" s="161"/>
      <c r="CJ261" s="161"/>
      <c r="CK261" s="161"/>
      <c r="CL261" s="161"/>
      <c r="CM261" s="161">
        <v>50</v>
      </c>
      <c r="CN261" s="161"/>
      <c r="CO261" s="135">
        <v>400</v>
      </c>
      <c r="CP261" s="135"/>
      <c r="CQ261" s="135">
        <v>50</v>
      </c>
      <c r="CR261" s="135"/>
      <c r="CS261" s="135"/>
      <c r="CT261" s="135"/>
      <c r="CU261" s="136"/>
      <c r="CV261" s="136"/>
      <c r="CW261" s="161"/>
      <c r="CX261" s="161"/>
      <c r="CY261" s="161"/>
      <c r="CZ261" s="161"/>
      <c r="DA261" s="161"/>
      <c r="DB261" s="161"/>
      <c r="DC261" s="135"/>
      <c r="DD261" s="135"/>
      <c r="DE261" s="135"/>
      <c r="DF261" s="135"/>
      <c r="DG261" s="135"/>
      <c r="DH261" s="135"/>
      <c r="DI261" s="136"/>
      <c r="DJ261" s="136"/>
      <c r="DK261" s="161"/>
      <c r="DL261" s="161"/>
      <c r="DM261" s="161"/>
      <c r="DN261" s="161"/>
      <c r="DO261" s="161"/>
      <c r="DP261" s="161"/>
      <c r="DQ261" s="135"/>
      <c r="DR261" s="135"/>
      <c r="DS261" s="135"/>
      <c r="DT261" s="135"/>
      <c r="DU261" s="135"/>
      <c r="DV261" s="135"/>
      <c r="DW261" s="136"/>
      <c r="DX261" s="136"/>
      <c r="DY261" s="161"/>
      <c r="DZ261" s="161"/>
      <c r="EA261" s="161"/>
      <c r="EB261" s="161"/>
      <c r="EC261" s="161"/>
      <c r="ED261" s="161"/>
      <c r="EE261" s="135"/>
      <c r="EF261" s="135"/>
      <c r="EG261" s="135"/>
      <c r="EH261" s="135"/>
      <c r="EI261" s="135"/>
      <c r="EJ261" s="135"/>
      <c r="EK261" s="136"/>
      <c r="EL261" s="136"/>
      <c r="EM261" s="136"/>
      <c r="EN261" s="136"/>
      <c r="EO261" s="136"/>
      <c r="EP261" s="136"/>
      <c r="EQ261" s="136"/>
      <c r="ER261" s="136"/>
      <c r="ES261" s="135"/>
      <c r="ET261" s="135"/>
      <c r="EU261" s="135"/>
      <c r="EV261" s="135"/>
      <c r="EW261" s="135"/>
      <c r="EX261" s="135"/>
      <c r="EY261" s="136"/>
      <c r="EZ261" s="136"/>
      <c r="FA261" s="161"/>
      <c r="FB261" s="161"/>
      <c r="FC261" s="161"/>
      <c r="FD261" s="161"/>
      <c r="FE261" s="161"/>
      <c r="FF261" s="161"/>
      <c r="FG261" s="135"/>
      <c r="FH261" s="135"/>
      <c r="FI261" s="135"/>
      <c r="FJ261" s="135"/>
      <c r="FK261" s="135"/>
      <c r="FL261" s="135"/>
      <c r="FM261" s="136"/>
      <c r="FN261" s="136"/>
      <c r="FO261" s="161"/>
      <c r="FP261" s="161"/>
      <c r="FQ261" s="161"/>
      <c r="FR261" s="161"/>
      <c r="FS261" s="161"/>
      <c r="FT261" s="161"/>
      <c r="FU261" s="135"/>
      <c r="FV261" s="135"/>
      <c r="FW261" s="135"/>
      <c r="FX261" s="135"/>
      <c r="FY261" s="135"/>
      <c r="FZ261" s="135"/>
      <c r="GA261" s="136"/>
      <c r="GB261" s="136"/>
      <c r="GC261" s="161"/>
      <c r="GD261" s="161"/>
      <c r="GE261" s="161"/>
      <c r="GF261" s="161"/>
      <c r="GG261" s="161"/>
      <c r="GH261" s="161"/>
      <c r="GI261" s="135"/>
      <c r="GJ261" s="135"/>
      <c r="GK261" s="135"/>
      <c r="GL261" s="135"/>
      <c r="GM261" s="135"/>
      <c r="GN261" s="135"/>
    </row>
    <row r="262" spans="1:196">
      <c r="A262" s="164"/>
      <c r="B262" s="109" t="s">
        <v>699</v>
      </c>
      <c r="C262" s="107" t="s">
        <v>97</v>
      </c>
      <c r="D262" s="160"/>
      <c r="E262" s="119" t="e">
        <f>VLOOKUP(C262,#REF!,5,0)</f>
        <v>#REF!</v>
      </c>
      <c r="F262" s="107"/>
      <c r="G262" s="115">
        <v>100</v>
      </c>
      <c r="H262" s="6"/>
      <c r="I262" s="125">
        <v>46130</v>
      </c>
      <c r="J262" s="13">
        <f t="shared" si="189"/>
        <v>0</v>
      </c>
      <c r="K262" s="106" t="s">
        <v>1137</v>
      </c>
      <c r="L262" s="161"/>
      <c r="M262" s="136"/>
      <c r="N262" s="136"/>
      <c r="O262" s="136"/>
      <c r="P262" s="136"/>
      <c r="Q262" s="136"/>
      <c r="R262" s="136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36"/>
      <c r="AD262" s="136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36"/>
      <c r="AR262" s="136"/>
      <c r="AS262" s="161"/>
      <c r="AT262" s="161"/>
      <c r="AU262" s="161"/>
      <c r="AV262" s="161"/>
      <c r="AW262" s="161"/>
      <c r="AX262" s="161"/>
      <c r="AY262" s="161"/>
      <c r="AZ262" s="161"/>
      <c r="BA262" s="161"/>
      <c r="BB262" s="161"/>
      <c r="BC262" s="161"/>
      <c r="BD262" s="161"/>
      <c r="BE262" s="136"/>
      <c r="BF262" s="136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36"/>
      <c r="BT262" s="136"/>
      <c r="BU262" s="161"/>
      <c r="BV262" s="161"/>
      <c r="BW262" s="161"/>
      <c r="BX262" s="161"/>
      <c r="BY262" s="161"/>
      <c r="BZ262" s="161"/>
      <c r="CA262" s="161"/>
      <c r="CB262" s="161"/>
      <c r="CC262" s="161"/>
      <c r="CD262" s="161"/>
      <c r="CE262" s="161"/>
      <c r="CF262" s="161"/>
      <c r="CG262" s="136"/>
      <c r="CH262" s="136"/>
      <c r="CI262" s="161"/>
      <c r="CJ262" s="161"/>
      <c r="CK262" s="161"/>
      <c r="CL262" s="161"/>
      <c r="CM262" s="161"/>
      <c r="CN262" s="161"/>
      <c r="CO262" s="161"/>
      <c r="CP262" s="161"/>
      <c r="CQ262" s="161">
        <v>100</v>
      </c>
      <c r="CR262" s="161"/>
      <c r="CS262" s="161"/>
      <c r="CT262" s="161"/>
      <c r="CU262" s="136"/>
      <c r="CV262" s="136"/>
      <c r="CW262" s="161"/>
      <c r="CX262" s="161"/>
      <c r="CY262" s="161"/>
      <c r="CZ262" s="161"/>
      <c r="DA262" s="161"/>
      <c r="DB262" s="161"/>
      <c r="DC262" s="161"/>
      <c r="DD262" s="161"/>
      <c r="DE262" s="161"/>
      <c r="DF262" s="161"/>
      <c r="DG262" s="161"/>
      <c r="DH262" s="161"/>
      <c r="DI262" s="136"/>
      <c r="DJ262" s="136"/>
      <c r="DK262" s="161"/>
      <c r="DL262" s="161"/>
      <c r="DM262" s="161"/>
      <c r="DN262" s="161"/>
      <c r="DO262" s="161"/>
      <c r="DP262" s="161"/>
      <c r="DQ262" s="161"/>
      <c r="DR262" s="161"/>
      <c r="DS262" s="161"/>
      <c r="DT262" s="161"/>
      <c r="DU262" s="161"/>
      <c r="DV262" s="161"/>
      <c r="DW262" s="136"/>
      <c r="DX262" s="136"/>
      <c r="DY262" s="161"/>
      <c r="DZ262" s="161"/>
      <c r="EA262" s="161"/>
      <c r="EB262" s="161"/>
      <c r="EC262" s="161"/>
      <c r="ED262" s="161"/>
      <c r="EE262" s="161"/>
      <c r="EF262" s="161"/>
      <c r="EG262" s="161"/>
      <c r="EH262" s="161"/>
      <c r="EI262" s="161"/>
      <c r="EJ262" s="161"/>
      <c r="EK262" s="136"/>
      <c r="EL262" s="136"/>
      <c r="EM262" s="136"/>
      <c r="EN262" s="136"/>
      <c r="EO262" s="136"/>
      <c r="EP262" s="136"/>
      <c r="EQ262" s="136"/>
      <c r="ER262" s="136"/>
      <c r="ES262" s="161"/>
      <c r="ET262" s="161"/>
      <c r="EU262" s="161"/>
      <c r="EV262" s="161"/>
      <c r="EW262" s="161"/>
      <c r="EX262" s="161"/>
      <c r="EY262" s="136"/>
      <c r="EZ262" s="136"/>
      <c r="FA262" s="161"/>
      <c r="FB262" s="161"/>
      <c r="FC262" s="161"/>
      <c r="FD262" s="161"/>
      <c r="FE262" s="161"/>
      <c r="FF262" s="161"/>
      <c r="FG262" s="161"/>
      <c r="FH262" s="161"/>
      <c r="FI262" s="161"/>
      <c r="FJ262" s="161"/>
      <c r="FK262" s="161"/>
      <c r="FL262" s="161"/>
      <c r="FM262" s="136"/>
      <c r="FN262" s="136"/>
      <c r="FO262" s="161"/>
      <c r="FP262" s="161"/>
      <c r="FQ262" s="161"/>
      <c r="FR262" s="161"/>
      <c r="FS262" s="161"/>
      <c r="FT262" s="161"/>
      <c r="FU262" s="161"/>
      <c r="FV262" s="161"/>
      <c r="FW262" s="161"/>
      <c r="FX262" s="161"/>
      <c r="FY262" s="161"/>
      <c r="FZ262" s="161"/>
      <c r="GA262" s="136"/>
      <c r="GB262" s="136"/>
      <c r="GC262" s="161"/>
      <c r="GD262" s="161"/>
      <c r="GE262" s="161"/>
      <c r="GF262" s="161"/>
      <c r="GG262" s="161"/>
      <c r="GH262" s="161"/>
      <c r="GI262" s="161"/>
      <c r="GJ262" s="161"/>
      <c r="GK262" s="161"/>
      <c r="GL262" s="161"/>
      <c r="GM262" s="161"/>
      <c r="GN262" s="161"/>
    </row>
    <row r="263" spans="1:196">
      <c r="A263" s="164" t="s">
        <v>1318</v>
      </c>
      <c r="B263" s="109" t="s">
        <v>700</v>
      </c>
      <c r="C263" s="107" t="s">
        <v>99</v>
      </c>
      <c r="D263" s="160"/>
      <c r="E263" s="119" t="e">
        <f>VLOOKUP(C263,#REF!,5,0)</f>
        <v>#REF!</v>
      </c>
      <c r="F263" s="160"/>
      <c r="G263" s="115">
        <v>100</v>
      </c>
      <c r="H263" s="6"/>
      <c r="I263" s="125">
        <v>46130</v>
      </c>
      <c r="J263" s="13">
        <f t="shared" si="189"/>
        <v>0</v>
      </c>
      <c r="K263" s="106" t="s">
        <v>1137</v>
      </c>
      <c r="L263" s="161"/>
      <c r="M263" s="136"/>
      <c r="N263" s="136"/>
      <c r="O263" s="136"/>
      <c r="P263" s="136"/>
      <c r="Q263" s="136"/>
      <c r="R263" s="136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36"/>
      <c r="AD263" s="136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36"/>
      <c r="AR263" s="136"/>
      <c r="AS263" s="161"/>
      <c r="AT263" s="161"/>
      <c r="AU263" s="161"/>
      <c r="AV263" s="161"/>
      <c r="AW263" s="161"/>
      <c r="AX263" s="161"/>
      <c r="AY263" s="161"/>
      <c r="AZ263" s="161"/>
      <c r="BA263" s="161"/>
      <c r="BB263" s="161"/>
      <c r="BC263" s="161"/>
      <c r="BD263" s="161"/>
      <c r="BE263" s="136"/>
      <c r="BF263" s="136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36"/>
      <c r="BT263" s="136"/>
      <c r="BU263" s="161"/>
      <c r="BV263" s="161"/>
      <c r="BW263" s="161"/>
      <c r="BX263" s="161"/>
      <c r="BY263" s="161"/>
      <c r="BZ263" s="161"/>
      <c r="CA263" s="161"/>
      <c r="CB263" s="161"/>
      <c r="CC263" s="161"/>
      <c r="CD263" s="161"/>
      <c r="CE263" s="161"/>
      <c r="CF263" s="161"/>
      <c r="CG263" s="136"/>
      <c r="CH263" s="136"/>
      <c r="CI263" s="161"/>
      <c r="CJ263" s="161"/>
      <c r="CK263" s="161"/>
      <c r="CL263" s="161"/>
      <c r="CM263" s="161"/>
      <c r="CN263" s="161"/>
      <c r="CO263" s="161"/>
      <c r="CP263" s="161"/>
      <c r="CQ263" s="161">
        <v>100</v>
      </c>
      <c r="CR263" s="161"/>
      <c r="CS263" s="161"/>
      <c r="CT263" s="161"/>
      <c r="CU263" s="136"/>
      <c r="CV263" s="136"/>
      <c r="CW263" s="161"/>
      <c r="CX263" s="161"/>
      <c r="CY263" s="161"/>
      <c r="CZ263" s="161"/>
      <c r="DA263" s="161"/>
      <c r="DB263" s="161"/>
      <c r="DC263" s="161"/>
      <c r="DD263" s="161"/>
      <c r="DE263" s="161"/>
      <c r="DF263" s="161"/>
      <c r="DG263" s="161"/>
      <c r="DH263" s="161"/>
      <c r="DI263" s="136"/>
      <c r="DJ263" s="136"/>
      <c r="DK263" s="161"/>
      <c r="DL263" s="161"/>
      <c r="DM263" s="161"/>
      <c r="DN263" s="161"/>
      <c r="DO263" s="161"/>
      <c r="DP263" s="161"/>
      <c r="DQ263" s="161"/>
      <c r="DR263" s="161"/>
      <c r="DS263" s="161"/>
      <c r="DT263" s="161"/>
      <c r="DU263" s="161"/>
      <c r="DV263" s="161"/>
      <c r="DW263" s="136"/>
      <c r="DX263" s="136"/>
      <c r="DY263" s="161"/>
      <c r="DZ263" s="161"/>
      <c r="EA263" s="161"/>
      <c r="EB263" s="161"/>
      <c r="EC263" s="161"/>
      <c r="ED263" s="161"/>
      <c r="EE263" s="161"/>
      <c r="EF263" s="161"/>
      <c r="EG263" s="161"/>
      <c r="EH263" s="161"/>
      <c r="EI263" s="161"/>
      <c r="EJ263" s="161"/>
      <c r="EK263" s="136"/>
      <c r="EL263" s="136"/>
      <c r="EM263" s="136"/>
      <c r="EN263" s="136"/>
      <c r="EO263" s="136"/>
      <c r="EP263" s="136"/>
      <c r="EQ263" s="136"/>
      <c r="ER263" s="136"/>
      <c r="ES263" s="161"/>
      <c r="ET263" s="161"/>
      <c r="EU263" s="161"/>
      <c r="EV263" s="161"/>
      <c r="EW263" s="161"/>
      <c r="EX263" s="161"/>
      <c r="EY263" s="136"/>
      <c r="EZ263" s="136"/>
      <c r="FA263" s="161"/>
      <c r="FB263" s="161"/>
      <c r="FC263" s="161"/>
      <c r="FD263" s="161"/>
      <c r="FE263" s="161"/>
      <c r="FF263" s="161"/>
      <c r="FG263" s="161"/>
      <c r="FH263" s="161"/>
      <c r="FI263" s="161"/>
      <c r="FJ263" s="161"/>
      <c r="FK263" s="161"/>
      <c r="FL263" s="161"/>
      <c r="FM263" s="136"/>
      <c r="FN263" s="136"/>
      <c r="FO263" s="161"/>
      <c r="FP263" s="161"/>
      <c r="FQ263" s="161"/>
      <c r="FR263" s="161"/>
      <c r="FS263" s="161"/>
      <c r="FT263" s="161"/>
      <c r="FU263" s="161"/>
      <c r="FV263" s="161"/>
      <c r="FW263" s="161"/>
      <c r="FX263" s="161"/>
      <c r="FY263" s="161"/>
      <c r="FZ263" s="161"/>
      <c r="GA263" s="136"/>
      <c r="GB263" s="136"/>
      <c r="GC263" s="161"/>
      <c r="GD263" s="161"/>
      <c r="GE263" s="161"/>
      <c r="GF263" s="161"/>
      <c r="GG263" s="161"/>
      <c r="GH263" s="161"/>
      <c r="GI263" s="161"/>
      <c r="GJ263" s="161"/>
      <c r="GK263" s="161"/>
      <c r="GL263" s="161"/>
      <c r="GM263" s="161"/>
      <c r="GN263" s="161"/>
    </row>
    <row r="264" spans="1:196">
      <c r="A264" s="164"/>
      <c r="B264" s="109" t="s">
        <v>697</v>
      </c>
      <c r="C264" s="107" t="s">
        <v>98</v>
      </c>
      <c r="D264" s="160"/>
      <c r="E264" s="119" t="e">
        <f>VLOOKUP(C264,#REF!,5,0)</f>
        <v>#REF!</v>
      </c>
      <c r="F264" s="107"/>
      <c r="G264" s="115">
        <v>110</v>
      </c>
      <c r="H264" s="6"/>
      <c r="I264" s="125">
        <v>46130</v>
      </c>
      <c r="J264" s="13">
        <f>G264-SUM(L264:FL264)</f>
        <v>0</v>
      </c>
      <c r="K264" s="106" t="s">
        <v>1138</v>
      </c>
      <c r="L264" s="161"/>
      <c r="M264" s="136"/>
      <c r="N264" s="136"/>
      <c r="O264" s="136"/>
      <c r="P264" s="136"/>
      <c r="Q264" s="136"/>
      <c r="R264" s="136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36"/>
      <c r="AD264" s="136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36"/>
      <c r="AR264" s="136"/>
      <c r="AS264" s="161"/>
      <c r="AT264" s="161"/>
      <c r="AU264" s="161"/>
      <c r="AV264" s="161"/>
      <c r="AW264" s="161"/>
      <c r="AX264" s="161"/>
      <c r="AY264" s="161"/>
      <c r="AZ264" s="161"/>
      <c r="BA264" s="161"/>
      <c r="BB264" s="161"/>
      <c r="BC264" s="161"/>
      <c r="BD264" s="161"/>
      <c r="BE264" s="136"/>
      <c r="BF264" s="136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36"/>
      <c r="BT264" s="136"/>
      <c r="BU264" s="161"/>
      <c r="BV264" s="161"/>
      <c r="BW264" s="161"/>
      <c r="BX264" s="161"/>
      <c r="BY264" s="161"/>
      <c r="BZ264" s="161"/>
      <c r="CA264" s="161"/>
      <c r="CB264" s="161"/>
      <c r="CC264" s="161"/>
      <c r="CD264" s="161"/>
      <c r="CE264" s="161"/>
      <c r="CF264" s="161"/>
      <c r="CG264" s="136"/>
      <c r="CH264" s="136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>
        <v>110</v>
      </c>
      <c r="CT264" s="161"/>
      <c r="CU264" s="136"/>
      <c r="CV264" s="136"/>
      <c r="CW264" s="161"/>
      <c r="CX264" s="161"/>
      <c r="CY264" s="161"/>
      <c r="CZ264" s="161"/>
      <c r="DA264" s="161"/>
      <c r="DB264" s="161"/>
      <c r="DC264" s="161"/>
      <c r="DD264" s="161"/>
      <c r="DE264" s="161"/>
      <c r="DF264" s="161"/>
      <c r="DG264" s="161"/>
      <c r="DH264" s="161"/>
      <c r="DI264" s="136"/>
      <c r="DJ264" s="136"/>
      <c r="DK264" s="161"/>
      <c r="DL264" s="161"/>
      <c r="DM264" s="161"/>
      <c r="DN264" s="161"/>
      <c r="DO264" s="161"/>
      <c r="DP264" s="161"/>
      <c r="DQ264" s="161"/>
      <c r="DR264" s="161"/>
      <c r="DS264" s="161"/>
      <c r="DT264" s="161"/>
      <c r="DU264" s="161"/>
      <c r="DV264" s="161"/>
      <c r="DW264" s="136"/>
      <c r="DX264" s="136"/>
      <c r="DY264" s="161"/>
      <c r="DZ264" s="161"/>
      <c r="EA264" s="161"/>
      <c r="EB264" s="161"/>
      <c r="EC264" s="161"/>
      <c r="ED264" s="161"/>
      <c r="EE264" s="161"/>
      <c r="EF264" s="161"/>
      <c r="EG264" s="161"/>
      <c r="EH264" s="161"/>
      <c r="EI264" s="161"/>
      <c r="EJ264" s="161"/>
      <c r="EK264" s="136"/>
      <c r="EL264" s="136"/>
      <c r="EM264" s="136"/>
      <c r="EN264" s="136"/>
      <c r="EO264" s="136"/>
      <c r="EP264" s="136"/>
      <c r="EQ264" s="136"/>
      <c r="ER264" s="136"/>
      <c r="ES264" s="161"/>
      <c r="ET264" s="161"/>
      <c r="EU264" s="161"/>
      <c r="EV264" s="161"/>
      <c r="EW264" s="161"/>
      <c r="EX264" s="161"/>
      <c r="EY264" s="136"/>
      <c r="EZ264" s="136"/>
      <c r="FA264" s="161"/>
      <c r="FB264" s="161"/>
      <c r="FC264" s="161"/>
      <c r="FD264" s="161"/>
      <c r="FE264" s="161"/>
      <c r="FF264" s="161"/>
      <c r="FG264" s="161"/>
      <c r="FH264" s="161"/>
      <c r="FI264" s="161"/>
      <c r="FJ264" s="161"/>
      <c r="FK264" s="161"/>
      <c r="FL264" s="161"/>
      <c r="FM264" s="136"/>
      <c r="FN264" s="136"/>
      <c r="FO264" s="161"/>
      <c r="FP264" s="161"/>
      <c r="FQ264" s="161"/>
      <c r="FR264" s="161"/>
      <c r="FS264" s="161"/>
      <c r="FT264" s="161"/>
      <c r="FU264" s="161"/>
      <c r="FV264" s="161"/>
      <c r="FW264" s="161"/>
      <c r="FX264" s="161"/>
      <c r="FY264" s="161"/>
      <c r="FZ264" s="161"/>
      <c r="GA264" s="136"/>
      <c r="GB264" s="136"/>
      <c r="GC264" s="161"/>
      <c r="GD264" s="161"/>
      <c r="GE264" s="161"/>
      <c r="GF264" s="161"/>
      <c r="GG264" s="161"/>
      <c r="GH264" s="161"/>
      <c r="GI264" s="161"/>
      <c r="GJ264" s="161"/>
      <c r="GK264" s="161"/>
      <c r="GL264" s="161"/>
      <c r="GM264" s="161"/>
      <c r="GN264" s="161"/>
    </row>
    <row r="265" spans="1:196">
      <c r="A265" s="164"/>
      <c r="B265" s="109" t="s">
        <v>698</v>
      </c>
      <c r="C265" s="107" t="s">
        <v>100</v>
      </c>
      <c r="D265" s="160"/>
      <c r="E265" s="119" t="e">
        <f>VLOOKUP(C265,#REF!,5,0)</f>
        <v>#REF!</v>
      </c>
      <c r="F265" s="107"/>
      <c r="G265" s="115">
        <v>110</v>
      </c>
      <c r="H265" s="6"/>
      <c r="I265" s="125">
        <v>46130</v>
      </c>
      <c r="J265" s="13">
        <f>G265-SUM(L265:FL265)</f>
        <v>0</v>
      </c>
      <c r="K265" s="106" t="s">
        <v>1138</v>
      </c>
      <c r="L265" s="161"/>
      <c r="M265" s="136"/>
      <c r="N265" s="136"/>
      <c r="O265" s="136"/>
      <c r="P265" s="136"/>
      <c r="Q265" s="136"/>
      <c r="R265" s="136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36"/>
      <c r="AD265" s="136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36"/>
      <c r="AR265" s="136"/>
      <c r="AS265" s="161"/>
      <c r="AT265" s="161"/>
      <c r="AU265" s="161"/>
      <c r="AV265" s="161"/>
      <c r="AW265" s="161"/>
      <c r="AX265" s="161"/>
      <c r="AY265" s="161"/>
      <c r="AZ265" s="161"/>
      <c r="BA265" s="161"/>
      <c r="BB265" s="161"/>
      <c r="BC265" s="161"/>
      <c r="BD265" s="161"/>
      <c r="BE265" s="136"/>
      <c r="BF265" s="136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36"/>
      <c r="BT265" s="136"/>
      <c r="BU265" s="161"/>
      <c r="BV265" s="161"/>
      <c r="BW265" s="161"/>
      <c r="BX265" s="161"/>
      <c r="BY265" s="161"/>
      <c r="BZ265" s="161"/>
      <c r="CA265" s="161"/>
      <c r="CB265" s="161"/>
      <c r="CC265" s="161"/>
      <c r="CD265" s="161"/>
      <c r="CE265" s="161"/>
      <c r="CF265" s="161"/>
      <c r="CG265" s="136"/>
      <c r="CH265" s="136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>
        <v>110</v>
      </c>
      <c r="CT265" s="161"/>
      <c r="CU265" s="136"/>
      <c r="CV265" s="136"/>
      <c r="CW265" s="161"/>
      <c r="CX265" s="161"/>
      <c r="CY265" s="161"/>
      <c r="CZ265" s="161"/>
      <c r="DA265" s="161"/>
      <c r="DB265" s="161"/>
      <c r="DC265" s="161"/>
      <c r="DD265" s="161"/>
      <c r="DE265" s="161"/>
      <c r="DF265" s="161"/>
      <c r="DG265" s="161"/>
      <c r="DH265" s="161"/>
      <c r="DI265" s="136"/>
      <c r="DJ265" s="136"/>
      <c r="DK265" s="161"/>
      <c r="DL265" s="161"/>
      <c r="DM265" s="161"/>
      <c r="DN265" s="161"/>
      <c r="DO265" s="161"/>
      <c r="DP265" s="161"/>
      <c r="DQ265" s="161"/>
      <c r="DR265" s="161"/>
      <c r="DS265" s="161"/>
      <c r="DT265" s="161"/>
      <c r="DU265" s="161"/>
      <c r="DV265" s="161"/>
      <c r="DW265" s="136"/>
      <c r="DX265" s="136"/>
      <c r="DY265" s="161"/>
      <c r="DZ265" s="161"/>
      <c r="EA265" s="161"/>
      <c r="EB265" s="161"/>
      <c r="EC265" s="161"/>
      <c r="ED265" s="161"/>
      <c r="EE265" s="161"/>
      <c r="EF265" s="161"/>
      <c r="EG265" s="161"/>
      <c r="EH265" s="161"/>
      <c r="EI265" s="161"/>
      <c r="EJ265" s="161"/>
      <c r="EK265" s="136"/>
      <c r="EL265" s="136"/>
      <c r="EM265" s="136"/>
      <c r="EN265" s="136"/>
      <c r="EO265" s="136"/>
      <c r="EP265" s="136"/>
      <c r="EQ265" s="136"/>
      <c r="ER265" s="136"/>
      <c r="ES265" s="161"/>
      <c r="ET265" s="161"/>
      <c r="EU265" s="161"/>
      <c r="EV265" s="161"/>
      <c r="EW265" s="161"/>
      <c r="EX265" s="161"/>
      <c r="EY265" s="136"/>
      <c r="EZ265" s="136"/>
      <c r="FA265" s="161"/>
      <c r="FB265" s="161"/>
      <c r="FC265" s="161"/>
      <c r="FD265" s="161"/>
      <c r="FE265" s="161"/>
      <c r="FF265" s="161"/>
      <c r="FG265" s="161"/>
      <c r="FH265" s="161"/>
      <c r="FI265" s="161"/>
      <c r="FJ265" s="161"/>
      <c r="FK265" s="161"/>
      <c r="FL265" s="161"/>
      <c r="FM265" s="136"/>
      <c r="FN265" s="136"/>
      <c r="FO265" s="161"/>
      <c r="FP265" s="161"/>
      <c r="FQ265" s="161"/>
      <c r="FR265" s="161"/>
      <c r="FS265" s="161"/>
      <c r="FT265" s="161"/>
      <c r="FU265" s="161"/>
      <c r="FV265" s="161"/>
      <c r="FW265" s="161"/>
      <c r="FX265" s="161"/>
      <c r="FY265" s="161"/>
      <c r="FZ265" s="161"/>
      <c r="GA265" s="136"/>
      <c r="GB265" s="136"/>
      <c r="GC265" s="161"/>
      <c r="GD265" s="161"/>
      <c r="GE265" s="161"/>
      <c r="GF265" s="161"/>
      <c r="GG265" s="161"/>
      <c r="GH265" s="161"/>
      <c r="GI265" s="161"/>
      <c r="GJ265" s="161"/>
      <c r="GK265" s="161"/>
      <c r="GL265" s="161"/>
      <c r="GM265" s="161"/>
      <c r="GN265" s="161"/>
    </row>
    <row r="266" spans="1:196">
      <c r="A266" s="164"/>
      <c r="B266" s="109" t="s">
        <v>702</v>
      </c>
      <c r="C266" s="107" t="s">
        <v>97</v>
      </c>
      <c r="D266" s="160"/>
      <c r="E266" s="119" t="e">
        <f>VLOOKUP(C266,#REF!,5,0)</f>
        <v>#REF!</v>
      </c>
      <c r="F266" s="107"/>
      <c r="G266" s="115">
        <v>170</v>
      </c>
      <c r="H266" s="6"/>
      <c r="I266" s="125">
        <v>46130</v>
      </c>
      <c r="J266" s="13">
        <f>G266-SUM(L266:FL266)</f>
        <v>0</v>
      </c>
      <c r="K266" s="106" t="s">
        <v>1137</v>
      </c>
      <c r="L266" s="161"/>
      <c r="M266" s="136"/>
      <c r="N266" s="136"/>
      <c r="O266" s="136"/>
      <c r="P266" s="136"/>
      <c r="Q266" s="136"/>
      <c r="R266" s="136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36"/>
      <c r="AD266" s="136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36"/>
      <c r="AR266" s="136"/>
      <c r="AS266" s="161"/>
      <c r="AT266" s="161"/>
      <c r="AU266" s="161"/>
      <c r="AV266" s="161"/>
      <c r="AW266" s="161"/>
      <c r="AX266" s="161"/>
      <c r="AY266" s="161"/>
      <c r="AZ266" s="161"/>
      <c r="BA266" s="161"/>
      <c r="BB266" s="161"/>
      <c r="BC266" s="161"/>
      <c r="BD266" s="161"/>
      <c r="BE266" s="136"/>
      <c r="BF266" s="136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36"/>
      <c r="BT266" s="136"/>
      <c r="BU266" s="161"/>
      <c r="BV266" s="161"/>
      <c r="BW266" s="161"/>
      <c r="BX266" s="161"/>
      <c r="BY266" s="161"/>
      <c r="BZ266" s="161"/>
      <c r="CA266" s="161"/>
      <c r="CB266" s="161"/>
      <c r="CC266" s="161"/>
      <c r="CD266" s="161"/>
      <c r="CE266" s="161"/>
      <c r="CF266" s="161"/>
      <c r="CG266" s="136"/>
      <c r="CH266" s="136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36"/>
      <c r="CV266" s="136"/>
      <c r="CW266" s="161">
        <v>100</v>
      </c>
      <c r="CX266" s="161"/>
      <c r="CY266" s="161">
        <v>70</v>
      </c>
      <c r="CZ266" s="161"/>
      <c r="DA266" s="161"/>
      <c r="DB266" s="161"/>
      <c r="DC266" s="161"/>
      <c r="DD266" s="161"/>
      <c r="DE266" s="161"/>
      <c r="DF266" s="161"/>
      <c r="DG266" s="161"/>
      <c r="DH266" s="161"/>
      <c r="DI266" s="136"/>
      <c r="DJ266" s="136"/>
      <c r="DK266" s="161"/>
      <c r="DL266" s="161"/>
      <c r="DM266" s="161"/>
      <c r="DN266" s="161"/>
      <c r="DO266" s="161"/>
      <c r="DP266" s="161"/>
      <c r="DQ266" s="161"/>
      <c r="DR266" s="161"/>
      <c r="DS266" s="161"/>
      <c r="DT266" s="161"/>
      <c r="DU266" s="161"/>
      <c r="DV266" s="161"/>
      <c r="DW266" s="136"/>
      <c r="DX266" s="136"/>
      <c r="DY266" s="161"/>
      <c r="DZ266" s="161"/>
      <c r="EA266" s="161"/>
      <c r="EB266" s="161"/>
      <c r="EC266" s="161"/>
      <c r="ED266" s="161"/>
      <c r="EE266" s="161"/>
      <c r="EF266" s="161"/>
      <c r="EG266" s="161"/>
      <c r="EH266" s="161"/>
      <c r="EI266" s="161"/>
      <c r="EJ266" s="161"/>
      <c r="EK266" s="136"/>
      <c r="EL266" s="136"/>
      <c r="EM266" s="136"/>
      <c r="EN266" s="136"/>
      <c r="EO266" s="136"/>
      <c r="EP266" s="136"/>
      <c r="EQ266" s="136"/>
      <c r="ER266" s="136"/>
      <c r="ES266" s="161"/>
      <c r="ET266" s="161"/>
      <c r="EU266" s="161"/>
      <c r="EV266" s="161"/>
      <c r="EW266" s="161"/>
      <c r="EX266" s="161"/>
      <c r="EY266" s="136"/>
      <c r="EZ266" s="136"/>
      <c r="FA266" s="161"/>
      <c r="FB266" s="161"/>
      <c r="FC266" s="161"/>
      <c r="FD266" s="161"/>
      <c r="FE266" s="161"/>
      <c r="FF266" s="161"/>
      <c r="FG266" s="161"/>
      <c r="FH266" s="161"/>
      <c r="FI266" s="161"/>
      <c r="FJ266" s="161"/>
      <c r="FK266" s="161"/>
      <c r="FL266" s="161"/>
      <c r="FM266" s="136"/>
      <c r="FN266" s="136"/>
      <c r="FO266" s="161"/>
      <c r="FP266" s="161"/>
      <c r="FQ266" s="161"/>
      <c r="FR266" s="161"/>
      <c r="FS266" s="161"/>
      <c r="FT266" s="161"/>
      <c r="FU266" s="161"/>
      <c r="FV266" s="161"/>
      <c r="FW266" s="161"/>
      <c r="FX266" s="161"/>
      <c r="FY266" s="161"/>
      <c r="FZ266" s="161"/>
      <c r="GA266" s="136"/>
      <c r="GB266" s="136"/>
      <c r="GC266" s="161"/>
      <c r="GD266" s="161"/>
      <c r="GE266" s="161"/>
      <c r="GF266" s="161"/>
      <c r="GG266" s="161"/>
      <c r="GH266" s="161"/>
      <c r="GI266" s="161"/>
      <c r="GJ266" s="161"/>
      <c r="GK266" s="161"/>
      <c r="GL266" s="161"/>
      <c r="GM266" s="161"/>
      <c r="GN266" s="161"/>
    </row>
    <row r="267" spans="1:196">
      <c r="A267" s="164"/>
      <c r="B267" s="109" t="s">
        <v>703</v>
      </c>
      <c r="C267" s="107" t="s">
        <v>99</v>
      </c>
      <c r="D267" s="160"/>
      <c r="E267" s="119" t="e">
        <f>VLOOKUP(C267,#REF!,5,0)</f>
        <v>#REF!</v>
      </c>
      <c r="F267" s="107"/>
      <c r="G267" s="115">
        <v>170</v>
      </c>
      <c r="H267" s="6"/>
      <c r="I267" s="125">
        <v>46130</v>
      </c>
      <c r="J267" s="13">
        <f>G267-SUM(L267:FL267)</f>
        <v>0</v>
      </c>
      <c r="K267" s="106" t="s">
        <v>1137</v>
      </c>
      <c r="L267" s="161"/>
      <c r="M267" s="136"/>
      <c r="N267" s="136"/>
      <c r="O267" s="136"/>
      <c r="P267" s="136"/>
      <c r="Q267" s="136"/>
      <c r="R267" s="136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36"/>
      <c r="AD267" s="136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36"/>
      <c r="AR267" s="136"/>
      <c r="AS267" s="161"/>
      <c r="AT267" s="161"/>
      <c r="AU267" s="161"/>
      <c r="AV267" s="161"/>
      <c r="AW267" s="161"/>
      <c r="AX267" s="161"/>
      <c r="AY267" s="161"/>
      <c r="AZ267" s="161"/>
      <c r="BA267" s="161"/>
      <c r="BB267" s="161"/>
      <c r="BC267" s="161"/>
      <c r="BD267" s="161"/>
      <c r="BE267" s="136"/>
      <c r="BF267" s="136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36"/>
      <c r="BT267" s="136"/>
      <c r="BU267" s="161"/>
      <c r="BV267" s="161"/>
      <c r="BW267" s="161"/>
      <c r="BX267" s="161"/>
      <c r="BY267" s="161"/>
      <c r="BZ267" s="161"/>
      <c r="CA267" s="161"/>
      <c r="CB267" s="161"/>
      <c r="CC267" s="161"/>
      <c r="CD267" s="161"/>
      <c r="CE267" s="161"/>
      <c r="CF267" s="161"/>
      <c r="CG267" s="136"/>
      <c r="CH267" s="136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36"/>
      <c r="CV267" s="136"/>
      <c r="CW267" s="161">
        <v>100</v>
      </c>
      <c r="CX267" s="161"/>
      <c r="CY267" s="161">
        <v>70</v>
      </c>
      <c r="CZ267" s="161"/>
      <c r="DA267" s="161"/>
      <c r="DB267" s="161"/>
      <c r="DC267" s="161"/>
      <c r="DD267" s="161"/>
      <c r="DE267" s="161"/>
      <c r="DF267" s="161"/>
      <c r="DG267" s="161"/>
      <c r="DH267" s="161"/>
      <c r="DI267" s="136"/>
      <c r="DJ267" s="136"/>
      <c r="DK267" s="161"/>
      <c r="DL267" s="161"/>
      <c r="DM267" s="161"/>
      <c r="DN267" s="161"/>
      <c r="DO267" s="161"/>
      <c r="DP267" s="161"/>
      <c r="DQ267" s="161"/>
      <c r="DR267" s="161"/>
      <c r="DS267" s="161"/>
      <c r="DT267" s="161"/>
      <c r="DU267" s="161"/>
      <c r="DV267" s="161"/>
      <c r="DW267" s="136"/>
      <c r="DX267" s="136"/>
      <c r="DY267" s="161"/>
      <c r="DZ267" s="161"/>
      <c r="EA267" s="161"/>
      <c r="EB267" s="161"/>
      <c r="EC267" s="161"/>
      <c r="ED267" s="161"/>
      <c r="EE267" s="161"/>
      <c r="EF267" s="161"/>
      <c r="EG267" s="161"/>
      <c r="EH267" s="161"/>
      <c r="EI267" s="161"/>
      <c r="EJ267" s="161"/>
      <c r="EK267" s="136"/>
      <c r="EL267" s="136"/>
      <c r="EM267" s="136"/>
      <c r="EN267" s="136"/>
      <c r="EO267" s="136"/>
      <c r="EP267" s="136"/>
      <c r="EQ267" s="136"/>
      <c r="ER267" s="136"/>
      <c r="ES267" s="161"/>
      <c r="ET267" s="161"/>
      <c r="EU267" s="161"/>
      <c r="EV267" s="161"/>
      <c r="EW267" s="161"/>
      <c r="EX267" s="161"/>
      <c r="EY267" s="136"/>
      <c r="EZ267" s="136"/>
      <c r="FA267" s="161"/>
      <c r="FB267" s="161"/>
      <c r="FC267" s="161"/>
      <c r="FD267" s="161"/>
      <c r="FE267" s="161"/>
      <c r="FF267" s="161"/>
      <c r="FG267" s="161"/>
      <c r="FH267" s="161"/>
      <c r="FI267" s="161"/>
      <c r="FJ267" s="161"/>
      <c r="FK267" s="161"/>
      <c r="FL267" s="161"/>
      <c r="FM267" s="136"/>
      <c r="FN267" s="136"/>
      <c r="FO267" s="161"/>
      <c r="FP267" s="161"/>
      <c r="FQ267" s="161"/>
      <c r="FR267" s="161"/>
      <c r="FS267" s="161"/>
      <c r="FT267" s="161"/>
      <c r="FU267" s="161"/>
      <c r="FV267" s="161"/>
      <c r="FW267" s="161"/>
      <c r="FX267" s="161"/>
      <c r="FY267" s="161"/>
      <c r="FZ267" s="161"/>
      <c r="GA267" s="136"/>
      <c r="GB267" s="136"/>
      <c r="GC267" s="161"/>
      <c r="GD267" s="161"/>
      <c r="GE267" s="161"/>
      <c r="GF267" s="161"/>
      <c r="GG267" s="161"/>
      <c r="GH267" s="161"/>
      <c r="GI267" s="161"/>
      <c r="GJ267" s="161"/>
      <c r="GK267" s="161"/>
      <c r="GL267" s="161"/>
      <c r="GM267" s="161"/>
      <c r="GN267" s="161"/>
    </row>
    <row r="268" spans="1:196" ht="29" customHeight="1">
      <c r="A268" s="164"/>
      <c r="B268" s="116" t="s">
        <v>996</v>
      </c>
      <c r="C268" s="116" t="s">
        <v>632</v>
      </c>
      <c r="D268" s="119"/>
      <c r="E268" s="119"/>
      <c r="F268" s="160"/>
      <c r="G268" s="117">
        <v>2000</v>
      </c>
      <c r="H268" s="6"/>
      <c r="I268" s="125">
        <v>46235</v>
      </c>
      <c r="J268" s="13">
        <f t="shared" si="189"/>
        <v>0</v>
      </c>
      <c r="K268" s="153" t="s">
        <v>1226</v>
      </c>
      <c r="L268" s="161"/>
      <c r="M268" s="136"/>
      <c r="N268" s="136"/>
      <c r="O268" s="136"/>
      <c r="P268" s="136"/>
      <c r="Q268" s="136"/>
      <c r="R268" s="136"/>
      <c r="S268" s="161"/>
      <c r="T268" s="161"/>
      <c r="U268" s="161"/>
      <c r="V268" s="161"/>
      <c r="W268" s="135"/>
      <c r="X268" s="135"/>
      <c r="Y268" s="135"/>
      <c r="Z268" s="135"/>
      <c r="AA268" s="135"/>
      <c r="AB268" s="135"/>
      <c r="AC268" s="136"/>
      <c r="AD268" s="136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35"/>
      <c r="AQ268" s="136"/>
      <c r="AR268" s="136"/>
      <c r="AS268" s="135"/>
      <c r="AT268" s="135"/>
      <c r="AU268" s="161"/>
      <c r="AV268" s="161"/>
      <c r="AW268" s="161"/>
      <c r="AX268" s="161"/>
      <c r="AY268" s="161"/>
      <c r="AZ268" s="161"/>
      <c r="BA268" s="161"/>
      <c r="BB268" s="161"/>
      <c r="BC268" s="161"/>
      <c r="BD268" s="161"/>
      <c r="BE268" s="136"/>
      <c r="BF268" s="136"/>
      <c r="BG268" s="161"/>
      <c r="BH268" s="161"/>
      <c r="BI268" s="161"/>
      <c r="BJ268" s="161"/>
      <c r="BK268" s="161"/>
      <c r="BL268" s="161"/>
      <c r="BM268" s="135"/>
      <c r="BN268" s="135"/>
      <c r="BO268" s="135"/>
      <c r="BP268" s="135"/>
      <c r="BQ268" s="135"/>
      <c r="BR268" s="135"/>
      <c r="BS268" s="136"/>
      <c r="BT268" s="136"/>
      <c r="BU268" s="135"/>
      <c r="BV268" s="135"/>
      <c r="BW268" s="161"/>
      <c r="BX268" s="161"/>
      <c r="BY268" s="161"/>
      <c r="BZ268" s="161"/>
      <c r="CA268" s="161"/>
      <c r="CB268" s="161"/>
      <c r="CC268" s="161"/>
      <c r="CD268" s="135"/>
      <c r="CE268" s="161"/>
      <c r="CF268" s="135"/>
      <c r="CG268" s="136"/>
      <c r="CH268" s="136"/>
      <c r="CI268" s="161"/>
      <c r="CJ268" s="161"/>
      <c r="CK268" s="161"/>
      <c r="CL268" s="161"/>
      <c r="CM268" s="161"/>
      <c r="CN268" s="161"/>
      <c r="CO268" s="161"/>
      <c r="CP268" s="161"/>
      <c r="CQ268" s="161">
        <v>350</v>
      </c>
      <c r="CR268" s="161"/>
      <c r="CS268" s="161">
        <v>400</v>
      </c>
      <c r="CT268" s="161"/>
      <c r="CU268" s="136"/>
      <c r="CV268" s="136"/>
      <c r="CW268" s="161">
        <v>400</v>
      </c>
      <c r="CX268" s="161">
        <v>400</v>
      </c>
      <c r="CY268" s="161">
        <v>400</v>
      </c>
      <c r="CZ268" s="161">
        <v>50</v>
      </c>
      <c r="DA268" s="161"/>
      <c r="DB268" s="161"/>
      <c r="DC268" s="135"/>
      <c r="DD268" s="135"/>
      <c r="DE268" s="135"/>
      <c r="DF268" s="135"/>
      <c r="DG268" s="135"/>
      <c r="DH268" s="135"/>
      <c r="DI268" s="136"/>
      <c r="DJ268" s="136"/>
      <c r="DK268" s="161"/>
      <c r="DL268" s="161"/>
      <c r="DM268" s="161"/>
      <c r="DN268" s="161"/>
      <c r="DO268" s="161"/>
      <c r="DP268" s="161"/>
      <c r="DQ268" s="135"/>
      <c r="DR268" s="135"/>
      <c r="DS268" s="135"/>
      <c r="DT268" s="135"/>
      <c r="DU268" s="135"/>
      <c r="DV268" s="135"/>
      <c r="DW268" s="136"/>
      <c r="DX268" s="136"/>
      <c r="DY268" s="161"/>
      <c r="DZ268" s="161"/>
      <c r="EA268" s="161"/>
      <c r="EB268" s="161"/>
      <c r="EC268" s="161"/>
      <c r="ED268" s="161"/>
      <c r="EE268" s="135"/>
      <c r="EF268" s="135"/>
      <c r="EG268" s="135"/>
      <c r="EH268" s="135"/>
      <c r="EI268" s="135"/>
      <c r="EJ268" s="135"/>
      <c r="EK268" s="136"/>
      <c r="EL268" s="136"/>
      <c r="EM268" s="136"/>
      <c r="EN268" s="136"/>
      <c r="EO268" s="136"/>
      <c r="EP268" s="136"/>
      <c r="EQ268" s="136"/>
      <c r="ER268" s="136"/>
      <c r="ES268" s="135"/>
      <c r="ET268" s="135"/>
      <c r="EU268" s="135"/>
      <c r="EV268" s="135"/>
      <c r="EW268" s="135"/>
      <c r="EX268" s="135"/>
      <c r="EY268" s="136"/>
      <c r="EZ268" s="136"/>
      <c r="FA268" s="161"/>
      <c r="FB268" s="161"/>
      <c r="FC268" s="161"/>
      <c r="FD268" s="161"/>
      <c r="FE268" s="161"/>
      <c r="FF268" s="161"/>
      <c r="FG268" s="135"/>
      <c r="FH268" s="135"/>
      <c r="FI268" s="135"/>
      <c r="FJ268" s="135"/>
      <c r="FK268" s="135"/>
      <c r="FL268" s="135"/>
      <c r="FM268" s="136"/>
      <c r="FN268" s="136"/>
      <c r="FO268" s="161"/>
      <c r="FP268" s="161"/>
      <c r="FQ268" s="161"/>
      <c r="FR268" s="161"/>
      <c r="FS268" s="161"/>
      <c r="FT268" s="161"/>
      <c r="FU268" s="135"/>
      <c r="FV268" s="135"/>
      <c r="FW268" s="135"/>
      <c r="FX268" s="135"/>
      <c r="FY268" s="135"/>
      <c r="FZ268" s="135"/>
      <c r="GA268" s="136"/>
      <c r="GB268" s="136"/>
      <c r="GC268" s="161"/>
      <c r="GD268" s="161"/>
      <c r="GE268" s="161"/>
      <c r="GF268" s="161"/>
      <c r="GG268" s="161"/>
      <c r="GH268" s="161"/>
      <c r="GI268" s="135"/>
      <c r="GJ268" s="135"/>
      <c r="GK268" s="135"/>
      <c r="GL268" s="135"/>
      <c r="GM268" s="135"/>
      <c r="GN268" s="135"/>
    </row>
    <row r="269" spans="1:196" ht="29" customHeight="1">
      <c r="A269" s="164"/>
      <c r="B269" s="116" t="s">
        <v>1062</v>
      </c>
      <c r="C269" s="116" t="s">
        <v>632</v>
      </c>
      <c r="D269" s="119"/>
      <c r="E269" s="119"/>
      <c r="F269" s="160"/>
      <c r="G269" s="117">
        <v>2500</v>
      </c>
      <c r="H269" s="6"/>
      <c r="I269" s="125">
        <v>46242</v>
      </c>
      <c r="J269" s="13">
        <f t="shared" si="189"/>
        <v>0</v>
      </c>
      <c r="K269" s="153"/>
      <c r="L269" s="161"/>
      <c r="M269" s="136"/>
      <c r="N269" s="136"/>
      <c r="O269" s="136"/>
      <c r="P269" s="136"/>
      <c r="Q269" s="136"/>
      <c r="R269" s="136"/>
      <c r="S269" s="161"/>
      <c r="T269" s="161"/>
      <c r="U269" s="161"/>
      <c r="V269" s="161"/>
      <c r="W269" s="135"/>
      <c r="X269" s="135"/>
      <c r="Y269" s="135"/>
      <c r="Z269" s="135"/>
      <c r="AA269" s="135"/>
      <c r="AB269" s="135"/>
      <c r="AC269" s="136"/>
      <c r="AD269" s="136"/>
      <c r="AE269" s="161"/>
      <c r="AF269" s="161"/>
      <c r="AG269" s="161"/>
      <c r="AH269" s="161"/>
      <c r="AI269" s="161"/>
      <c r="AJ269" s="161"/>
      <c r="AK269" s="135"/>
      <c r="AL269" s="135"/>
      <c r="AM269" s="135"/>
      <c r="AN269" s="135"/>
      <c r="AO269" s="135"/>
      <c r="AP269" s="135"/>
      <c r="AQ269" s="136"/>
      <c r="AR269" s="136"/>
      <c r="AS269" s="161"/>
      <c r="AT269" s="161"/>
      <c r="AU269" s="161"/>
      <c r="AV269" s="161"/>
      <c r="AW269" s="161"/>
      <c r="AX269" s="161"/>
      <c r="AY269" s="135"/>
      <c r="AZ269" s="135"/>
      <c r="BA269" s="135"/>
      <c r="BB269" s="135"/>
      <c r="BC269" s="135"/>
      <c r="BD269" s="135"/>
      <c r="BE269" s="136"/>
      <c r="BF269" s="136"/>
      <c r="BG269" s="161"/>
      <c r="BH269" s="161"/>
      <c r="BI269" s="161"/>
      <c r="BJ269" s="161"/>
      <c r="BK269" s="161"/>
      <c r="BL269" s="161"/>
      <c r="BM269" s="135"/>
      <c r="BN269" s="135"/>
      <c r="BO269" s="135"/>
      <c r="BP269" s="135"/>
      <c r="BQ269" s="135"/>
      <c r="BR269" s="135"/>
      <c r="BS269" s="136"/>
      <c r="BT269" s="136"/>
      <c r="BU269" s="161"/>
      <c r="BV269" s="161"/>
      <c r="BW269" s="161"/>
      <c r="BX269" s="161"/>
      <c r="BY269" s="161"/>
      <c r="BZ269" s="161"/>
      <c r="CA269" s="135"/>
      <c r="CB269" s="135"/>
      <c r="CC269" s="135"/>
      <c r="CD269" s="135"/>
      <c r="CE269" s="135"/>
      <c r="CF269" s="135"/>
      <c r="CG269" s="136"/>
      <c r="CH269" s="136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35"/>
      <c r="CS269" s="161"/>
      <c r="CT269" s="161"/>
      <c r="CU269" s="136"/>
      <c r="CV269" s="136"/>
      <c r="CW269" s="161"/>
      <c r="CX269" s="161"/>
      <c r="CY269" s="161"/>
      <c r="CZ269" s="161">
        <v>350</v>
      </c>
      <c r="DA269" s="161">
        <v>400</v>
      </c>
      <c r="DB269" s="161">
        <v>400</v>
      </c>
      <c r="DC269" s="161">
        <v>400</v>
      </c>
      <c r="DD269" s="161">
        <v>400</v>
      </c>
      <c r="DE269" s="161">
        <v>400</v>
      </c>
      <c r="DF269" s="161">
        <v>150</v>
      </c>
      <c r="DG269" s="161"/>
      <c r="DH269" s="135"/>
      <c r="DI269" s="136"/>
      <c r="DJ269" s="136"/>
      <c r="DK269" s="161"/>
      <c r="DL269" s="161"/>
      <c r="DM269" s="161"/>
      <c r="DN269" s="161"/>
      <c r="DO269" s="161"/>
      <c r="DP269" s="161"/>
      <c r="DQ269" s="135"/>
      <c r="DR269" s="135"/>
      <c r="DS269" s="135"/>
      <c r="DT269" s="135"/>
      <c r="DU269" s="135"/>
      <c r="DV269" s="135"/>
      <c r="DW269" s="136"/>
      <c r="DX269" s="136"/>
      <c r="DY269" s="161"/>
      <c r="DZ269" s="161"/>
      <c r="EA269" s="161"/>
      <c r="EB269" s="161"/>
      <c r="EC269" s="161"/>
      <c r="ED269" s="161"/>
      <c r="EE269" s="135"/>
      <c r="EF269" s="135"/>
      <c r="EG269" s="135"/>
      <c r="EH269" s="135"/>
      <c r="EI269" s="135"/>
      <c r="EJ269" s="135"/>
      <c r="EK269" s="136"/>
      <c r="EL269" s="136"/>
      <c r="EM269" s="136"/>
      <c r="EN269" s="136"/>
      <c r="EO269" s="136"/>
      <c r="EP269" s="136"/>
      <c r="EQ269" s="136"/>
      <c r="ER269" s="136"/>
      <c r="ES269" s="135"/>
      <c r="ET269" s="135"/>
      <c r="EU269" s="135"/>
      <c r="EV269" s="135"/>
      <c r="EW269" s="135"/>
      <c r="EX269" s="135"/>
      <c r="EY269" s="136"/>
      <c r="EZ269" s="136"/>
      <c r="FA269" s="161"/>
      <c r="FB269" s="161"/>
      <c r="FC269" s="161"/>
      <c r="FD269" s="161"/>
      <c r="FE269" s="161"/>
      <c r="FF269" s="161"/>
      <c r="FG269" s="135"/>
      <c r="FH269" s="135"/>
      <c r="FI269" s="135"/>
      <c r="FJ269" s="135"/>
      <c r="FK269" s="135"/>
      <c r="FL269" s="135"/>
      <c r="FM269" s="136"/>
      <c r="FN269" s="136"/>
      <c r="FO269" s="161"/>
      <c r="FP269" s="161"/>
      <c r="FQ269" s="161"/>
      <c r="FR269" s="161"/>
      <c r="FS269" s="161"/>
      <c r="FT269" s="161"/>
      <c r="FU269" s="135"/>
      <c r="FV269" s="135"/>
      <c r="FW269" s="135"/>
      <c r="FX269" s="135"/>
      <c r="FY269" s="135"/>
      <c r="FZ269" s="135"/>
      <c r="GA269" s="136"/>
      <c r="GB269" s="136"/>
      <c r="GC269" s="161"/>
      <c r="GD269" s="161"/>
      <c r="GE269" s="161"/>
      <c r="GF269" s="161"/>
      <c r="GG269" s="161"/>
      <c r="GH269" s="161"/>
      <c r="GI269" s="135"/>
      <c r="GJ269" s="135"/>
      <c r="GK269" s="135"/>
      <c r="GL269" s="135"/>
      <c r="GM269" s="135"/>
      <c r="GN269" s="135"/>
    </row>
    <row r="270" spans="1:196">
      <c r="A270" s="164"/>
      <c r="B270" s="116" t="s">
        <v>1116</v>
      </c>
      <c r="C270" s="116" t="s">
        <v>632</v>
      </c>
      <c r="D270" s="119"/>
      <c r="E270" s="119"/>
      <c r="F270" s="160"/>
      <c r="G270" s="117">
        <v>3000</v>
      </c>
      <c r="H270" s="6"/>
      <c r="I270" s="125">
        <v>46249</v>
      </c>
      <c r="J270" s="13">
        <f>G270-SUM(L270:FL270)</f>
        <v>0</v>
      </c>
      <c r="K270" s="153" t="s">
        <v>1132</v>
      </c>
      <c r="L270" s="161"/>
      <c r="M270" s="136"/>
      <c r="N270" s="136"/>
      <c r="O270" s="136"/>
      <c r="P270" s="136"/>
      <c r="Q270" s="136"/>
      <c r="R270" s="136"/>
      <c r="S270" s="161"/>
      <c r="T270" s="161"/>
      <c r="U270" s="161"/>
      <c r="V270" s="161"/>
      <c r="W270" s="135"/>
      <c r="X270" s="135"/>
      <c r="Y270" s="135"/>
      <c r="Z270" s="135"/>
      <c r="AA270" s="135"/>
      <c r="AB270" s="135"/>
      <c r="AC270" s="136"/>
      <c r="AD270" s="136"/>
      <c r="AE270" s="161"/>
      <c r="AF270" s="161"/>
      <c r="AG270" s="161"/>
      <c r="AH270" s="161"/>
      <c r="AI270" s="161"/>
      <c r="AJ270" s="161"/>
      <c r="AK270" s="135"/>
      <c r="AL270" s="135"/>
      <c r="AM270" s="135"/>
      <c r="AN270" s="135"/>
      <c r="AO270" s="135"/>
      <c r="AP270" s="135"/>
      <c r="AQ270" s="136"/>
      <c r="AR270" s="136"/>
      <c r="AS270" s="161"/>
      <c r="AT270" s="161"/>
      <c r="AU270" s="161"/>
      <c r="AV270" s="161"/>
      <c r="AW270" s="161"/>
      <c r="AX270" s="161"/>
      <c r="AY270" s="135"/>
      <c r="AZ270" s="135"/>
      <c r="BA270" s="135"/>
      <c r="BB270" s="135"/>
      <c r="BC270" s="135"/>
      <c r="BD270" s="135"/>
      <c r="BE270" s="136"/>
      <c r="BF270" s="136"/>
      <c r="BG270" s="161"/>
      <c r="BH270" s="161"/>
      <c r="BI270" s="161"/>
      <c r="BJ270" s="161"/>
      <c r="BK270" s="161"/>
      <c r="BL270" s="161"/>
      <c r="BM270" s="135"/>
      <c r="BN270" s="135"/>
      <c r="BO270" s="135"/>
      <c r="BP270" s="135"/>
      <c r="BQ270" s="135"/>
      <c r="BR270" s="135"/>
      <c r="BS270" s="136"/>
      <c r="BT270" s="136"/>
      <c r="BU270" s="161"/>
      <c r="BV270" s="161"/>
      <c r="BW270" s="161"/>
      <c r="BX270" s="161"/>
      <c r="BY270" s="161"/>
      <c r="BZ270" s="161"/>
      <c r="CA270" s="135"/>
      <c r="CB270" s="135"/>
      <c r="CC270" s="135"/>
      <c r="CD270" s="135"/>
      <c r="CE270" s="135"/>
      <c r="CF270" s="135"/>
      <c r="CG270" s="136"/>
      <c r="CH270" s="136"/>
      <c r="CI270" s="161"/>
      <c r="CJ270" s="161"/>
      <c r="CK270" s="161"/>
      <c r="CL270" s="161"/>
      <c r="CM270" s="161"/>
      <c r="CN270" s="161"/>
      <c r="CO270" s="135"/>
      <c r="CP270" s="135"/>
      <c r="CQ270" s="135"/>
      <c r="CR270" s="135"/>
      <c r="CS270" s="135"/>
      <c r="CT270" s="135"/>
      <c r="CU270" s="136"/>
      <c r="CV270" s="136"/>
      <c r="CW270" s="135"/>
      <c r="CX270" s="161"/>
      <c r="CY270" s="135"/>
      <c r="CZ270" s="161"/>
      <c r="DA270" s="161"/>
      <c r="DB270" s="161"/>
      <c r="DC270" s="161"/>
      <c r="DD270" s="161"/>
      <c r="DE270" s="161"/>
      <c r="DF270" s="161">
        <v>250</v>
      </c>
      <c r="DG270" s="161">
        <v>400</v>
      </c>
      <c r="DH270" s="161">
        <v>400</v>
      </c>
      <c r="DI270" s="136"/>
      <c r="DJ270" s="136"/>
      <c r="DK270" s="161">
        <v>400</v>
      </c>
      <c r="DL270" s="161"/>
      <c r="DM270" s="161">
        <v>400</v>
      </c>
      <c r="DN270" s="161"/>
      <c r="DO270" s="161">
        <v>400</v>
      </c>
      <c r="DP270" s="135"/>
      <c r="DQ270" s="161">
        <v>400</v>
      </c>
      <c r="DR270" s="161"/>
      <c r="DS270" s="161">
        <v>350</v>
      </c>
      <c r="DT270" s="161"/>
      <c r="DU270" s="135"/>
      <c r="DV270" s="161"/>
      <c r="DW270" s="136"/>
      <c r="DX270" s="136"/>
      <c r="DY270" s="161"/>
      <c r="DZ270" s="161"/>
      <c r="EA270" s="161"/>
      <c r="EB270" s="161"/>
      <c r="EC270" s="161"/>
      <c r="ED270" s="161"/>
      <c r="EE270" s="135"/>
      <c r="EF270" s="135"/>
      <c r="EG270" s="135"/>
      <c r="EH270" s="135"/>
      <c r="EI270" s="135"/>
      <c r="EJ270" s="135"/>
      <c r="EK270" s="136"/>
      <c r="EL270" s="136"/>
      <c r="EM270" s="136"/>
      <c r="EN270" s="136"/>
      <c r="EO270" s="136"/>
      <c r="EP270" s="136"/>
      <c r="EQ270" s="136"/>
      <c r="ER270" s="136"/>
      <c r="ES270" s="135"/>
      <c r="ET270" s="135"/>
      <c r="EU270" s="135"/>
      <c r="EV270" s="135"/>
      <c r="EW270" s="135"/>
      <c r="EX270" s="135"/>
      <c r="EY270" s="136"/>
      <c r="EZ270" s="136"/>
      <c r="FA270" s="161"/>
      <c r="FB270" s="161"/>
      <c r="FC270" s="161"/>
      <c r="FD270" s="161"/>
      <c r="FE270" s="161"/>
      <c r="FF270" s="161"/>
      <c r="FG270" s="135"/>
      <c r="FH270" s="135"/>
      <c r="FI270" s="135"/>
      <c r="FJ270" s="135"/>
      <c r="FK270" s="135"/>
      <c r="FL270" s="135"/>
      <c r="FM270" s="136"/>
      <c r="FN270" s="136"/>
      <c r="FO270" s="161"/>
      <c r="FP270" s="161"/>
      <c r="FQ270" s="161"/>
      <c r="FR270" s="161"/>
      <c r="FS270" s="161"/>
      <c r="FT270" s="161"/>
      <c r="FU270" s="135"/>
      <c r="FV270" s="135"/>
      <c r="FW270" s="135"/>
      <c r="FX270" s="135"/>
      <c r="FY270" s="135"/>
      <c r="FZ270" s="135"/>
      <c r="GA270" s="136"/>
      <c r="GB270" s="136"/>
      <c r="GC270" s="161"/>
      <c r="GD270" s="161"/>
      <c r="GE270" s="161"/>
      <c r="GF270" s="161"/>
      <c r="GG270" s="161"/>
      <c r="GH270" s="161"/>
      <c r="GI270" s="135"/>
      <c r="GJ270" s="135"/>
      <c r="GK270" s="135"/>
      <c r="GL270" s="135"/>
      <c r="GM270" s="135"/>
      <c r="GN270" s="135"/>
    </row>
    <row r="271" spans="1:196">
      <c r="A271" s="164"/>
      <c r="B271" s="109" t="s">
        <v>848</v>
      </c>
      <c r="C271" s="107" t="s">
        <v>610</v>
      </c>
      <c r="D271" s="160"/>
      <c r="E271" s="119"/>
      <c r="F271" s="107"/>
      <c r="G271" s="115">
        <v>1000</v>
      </c>
      <c r="H271" s="6"/>
      <c r="I271" s="125">
        <v>46214</v>
      </c>
      <c r="J271" s="13">
        <f t="shared" ref="J271:J360" si="194">G271-SUM(L271:FL271)</f>
        <v>0</v>
      </c>
      <c r="K271" s="141" t="s">
        <v>1325</v>
      </c>
      <c r="L271" s="161"/>
      <c r="M271" s="136"/>
      <c r="N271" s="136"/>
      <c r="O271" s="136"/>
      <c r="P271" s="136"/>
      <c r="Q271" s="136"/>
      <c r="R271" s="136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36"/>
      <c r="AD271" s="136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36"/>
      <c r="AR271" s="136"/>
      <c r="AS271" s="161"/>
      <c r="AT271" s="161"/>
      <c r="AU271" s="161"/>
      <c r="AV271" s="161"/>
      <c r="AW271" s="161"/>
      <c r="AX271" s="161"/>
      <c r="AY271" s="161"/>
      <c r="AZ271" s="161"/>
      <c r="BA271" s="161"/>
      <c r="BB271" s="161"/>
      <c r="BC271" s="161"/>
      <c r="BD271" s="161"/>
      <c r="BE271" s="136"/>
      <c r="BF271" s="136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36"/>
      <c r="BT271" s="136"/>
      <c r="BU271" s="161"/>
      <c r="BV271" s="161"/>
      <c r="BW271" s="161"/>
      <c r="BX271" s="161"/>
      <c r="BY271" s="161"/>
      <c r="BZ271" s="161"/>
      <c r="CA271" s="161"/>
      <c r="CB271" s="161"/>
      <c r="CC271" s="161"/>
      <c r="CD271" s="161"/>
      <c r="CE271" s="161"/>
      <c r="CF271" s="161"/>
      <c r="CG271" s="136"/>
      <c r="CH271" s="136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36"/>
      <c r="CV271" s="136"/>
      <c r="CW271" s="161"/>
      <c r="CX271" s="161"/>
      <c r="CY271" s="161"/>
      <c r="CZ271" s="161"/>
      <c r="DA271" s="161"/>
      <c r="DB271" s="161"/>
      <c r="DC271" s="161"/>
      <c r="DD271" s="161"/>
      <c r="DE271" s="161"/>
      <c r="DF271" s="161">
        <v>250</v>
      </c>
      <c r="DG271" s="161">
        <v>250</v>
      </c>
      <c r="DH271" s="161">
        <v>250</v>
      </c>
      <c r="DI271" s="136"/>
      <c r="DJ271" s="136"/>
      <c r="DK271" s="161">
        <v>250</v>
      </c>
      <c r="DL271" s="161"/>
      <c r="DM271" s="161"/>
      <c r="DN271" s="161"/>
      <c r="DO271" s="161"/>
      <c r="DP271" s="161"/>
      <c r="DQ271" s="161"/>
      <c r="DR271" s="161"/>
      <c r="DS271" s="161"/>
      <c r="DT271" s="161"/>
      <c r="DU271" s="161"/>
      <c r="DV271" s="161"/>
      <c r="DW271" s="136"/>
      <c r="DX271" s="136"/>
      <c r="DY271" s="161"/>
      <c r="DZ271" s="161"/>
      <c r="EA271" s="161"/>
      <c r="EB271" s="161"/>
      <c r="EC271" s="161"/>
      <c r="ED271" s="161"/>
      <c r="EE271" s="161"/>
      <c r="EF271" s="161"/>
      <c r="EG271" s="161"/>
      <c r="EH271" s="161"/>
      <c r="EI271" s="161"/>
      <c r="EJ271" s="161"/>
      <c r="EK271" s="136"/>
      <c r="EL271" s="136"/>
      <c r="EM271" s="136"/>
      <c r="EN271" s="136"/>
      <c r="EO271" s="136"/>
      <c r="EP271" s="136"/>
      <c r="EQ271" s="136"/>
      <c r="ER271" s="136"/>
      <c r="ES271" s="161"/>
      <c r="ET271" s="161"/>
      <c r="EU271" s="161"/>
      <c r="EV271" s="161"/>
      <c r="EW271" s="161"/>
      <c r="EX271" s="161"/>
      <c r="EY271" s="136"/>
      <c r="EZ271" s="136"/>
      <c r="FA271" s="161"/>
      <c r="FB271" s="161"/>
      <c r="FC271" s="161"/>
      <c r="FD271" s="161"/>
      <c r="FE271" s="161"/>
      <c r="FF271" s="161"/>
      <c r="FG271" s="161"/>
      <c r="FH271" s="161"/>
      <c r="FI271" s="161"/>
      <c r="FJ271" s="161"/>
      <c r="FK271" s="161"/>
      <c r="FL271" s="161"/>
      <c r="FM271" s="136"/>
      <c r="FN271" s="136"/>
      <c r="FO271" s="161"/>
      <c r="FP271" s="161"/>
      <c r="FQ271" s="161"/>
      <c r="FR271" s="161"/>
      <c r="FS271" s="161"/>
      <c r="FT271" s="161"/>
      <c r="FU271" s="161"/>
      <c r="FV271" s="161"/>
      <c r="FW271" s="161"/>
      <c r="FX271" s="161"/>
      <c r="FY271" s="161"/>
      <c r="FZ271" s="161"/>
      <c r="GA271" s="136"/>
      <c r="GB271" s="136"/>
      <c r="GC271" s="161"/>
      <c r="GD271" s="161"/>
      <c r="GE271" s="161"/>
      <c r="GF271" s="161"/>
      <c r="GG271" s="161"/>
      <c r="GH271" s="161"/>
      <c r="GI271" s="161"/>
      <c r="GJ271" s="161"/>
      <c r="GK271" s="161"/>
      <c r="GL271" s="161"/>
      <c r="GM271" s="161"/>
      <c r="GN271" s="161"/>
    </row>
    <row r="272" spans="1:196">
      <c r="A272" s="164"/>
      <c r="B272" s="109" t="s">
        <v>879</v>
      </c>
      <c r="C272" s="107" t="s">
        <v>610</v>
      </c>
      <c r="D272" s="160"/>
      <c r="E272" s="119"/>
      <c r="F272" s="107"/>
      <c r="G272" s="115">
        <v>400</v>
      </c>
      <c r="H272" s="6"/>
      <c r="I272" s="125">
        <v>46221</v>
      </c>
      <c r="J272" s="13">
        <f t="shared" si="194"/>
        <v>0</v>
      </c>
      <c r="K272" s="141" t="s">
        <v>1326</v>
      </c>
      <c r="L272" s="161"/>
      <c r="M272" s="136"/>
      <c r="N272" s="136"/>
      <c r="O272" s="136"/>
      <c r="P272" s="136"/>
      <c r="Q272" s="136"/>
      <c r="R272" s="136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36"/>
      <c r="AD272" s="136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36"/>
      <c r="AR272" s="136"/>
      <c r="AS272" s="161"/>
      <c r="AT272" s="161"/>
      <c r="AU272" s="161"/>
      <c r="AV272" s="161"/>
      <c r="AW272" s="161"/>
      <c r="AX272" s="161"/>
      <c r="AY272" s="161"/>
      <c r="AZ272" s="161"/>
      <c r="BA272" s="161"/>
      <c r="BB272" s="161"/>
      <c r="BC272" s="161"/>
      <c r="BD272" s="161"/>
      <c r="BE272" s="136"/>
      <c r="BF272" s="136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36"/>
      <c r="BT272" s="136"/>
      <c r="BU272" s="161"/>
      <c r="BV272" s="161"/>
      <c r="BW272" s="161"/>
      <c r="BX272" s="161"/>
      <c r="BY272" s="161"/>
      <c r="BZ272" s="161"/>
      <c r="CA272" s="161"/>
      <c r="CB272" s="161"/>
      <c r="CC272" s="161"/>
      <c r="CD272" s="161"/>
      <c r="CE272" s="161"/>
      <c r="CF272" s="161"/>
      <c r="CG272" s="136"/>
      <c r="CH272" s="136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36"/>
      <c r="CV272" s="136"/>
      <c r="CW272" s="161"/>
      <c r="CX272" s="161"/>
      <c r="CY272" s="161"/>
      <c r="CZ272" s="161"/>
      <c r="DA272" s="161"/>
      <c r="DB272" s="161"/>
      <c r="DC272" s="161"/>
      <c r="DD272" s="161"/>
      <c r="DE272" s="161"/>
      <c r="DF272" s="161"/>
      <c r="DG272" s="161"/>
      <c r="DH272" s="161"/>
      <c r="DI272" s="136"/>
      <c r="DJ272" s="136"/>
      <c r="DK272" s="161"/>
      <c r="DL272" s="161"/>
      <c r="DM272" s="161">
        <v>250</v>
      </c>
      <c r="DN272" s="161"/>
      <c r="DO272" s="161">
        <v>150</v>
      </c>
      <c r="DP272" s="161"/>
      <c r="DQ272" s="161"/>
      <c r="DR272" s="161"/>
      <c r="DS272" s="161"/>
      <c r="DT272" s="161"/>
      <c r="DU272" s="161"/>
      <c r="DV272" s="161"/>
      <c r="DW272" s="136"/>
      <c r="DX272" s="136"/>
      <c r="DY272" s="161"/>
      <c r="DZ272" s="161"/>
      <c r="EA272" s="161"/>
      <c r="EB272" s="161"/>
      <c r="EC272" s="161"/>
      <c r="ED272" s="161"/>
      <c r="EE272" s="161"/>
      <c r="EF272" s="161"/>
      <c r="EG272" s="161"/>
      <c r="EH272" s="161"/>
      <c r="EI272" s="161"/>
      <c r="EJ272" s="161"/>
      <c r="EK272" s="136"/>
      <c r="EL272" s="136"/>
      <c r="EM272" s="136"/>
      <c r="EN272" s="136"/>
      <c r="EO272" s="136"/>
      <c r="EP272" s="136"/>
      <c r="EQ272" s="136"/>
      <c r="ER272" s="136"/>
      <c r="ES272" s="161"/>
      <c r="ET272" s="161"/>
      <c r="EU272" s="161"/>
      <c r="EV272" s="161"/>
      <c r="EW272" s="161"/>
      <c r="EX272" s="161"/>
      <c r="EY272" s="136"/>
      <c r="EZ272" s="136"/>
      <c r="FA272" s="161"/>
      <c r="FB272" s="161"/>
      <c r="FC272" s="161"/>
      <c r="FD272" s="161"/>
      <c r="FE272" s="161"/>
      <c r="FF272" s="161"/>
      <c r="FG272" s="161"/>
      <c r="FH272" s="161"/>
      <c r="FI272" s="161"/>
      <c r="FJ272" s="161"/>
      <c r="FK272" s="161"/>
      <c r="FL272" s="161"/>
      <c r="FM272" s="136"/>
      <c r="FN272" s="136"/>
      <c r="FO272" s="161"/>
      <c r="FP272" s="161"/>
      <c r="FQ272" s="161"/>
      <c r="FR272" s="161"/>
      <c r="FS272" s="161"/>
      <c r="FT272" s="161"/>
      <c r="FU272" s="161"/>
      <c r="FV272" s="161"/>
      <c r="FW272" s="161"/>
      <c r="FX272" s="161"/>
      <c r="FY272" s="161"/>
      <c r="FZ272" s="161"/>
      <c r="GA272" s="136"/>
      <c r="GB272" s="136"/>
      <c r="GC272" s="161"/>
      <c r="GD272" s="161"/>
      <c r="GE272" s="161"/>
      <c r="GF272" s="161"/>
      <c r="GG272" s="161"/>
      <c r="GH272" s="161"/>
      <c r="GI272" s="161"/>
      <c r="GJ272" s="161"/>
      <c r="GK272" s="161"/>
      <c r="GL272" s="161"/>
      <c r="GM272" s="161"/>
      <c r="GN272" s="161"/>
    </row>
    <row r="273" spans="1:196">
      <c r="A273" s="164"/>
      <c r="B273" s="109" t="s">
        <v>1070</v>
      </c>
      <c r="C273" s="107" t="s">
        <v>610</v>
      </c>
      <c r="D273" s="160"/>
      <c r="E273" s="119"/>
      <c r="F273" s="107"/>
      <c r="G273" s="115">
        <v>800</v>
      </c>
      <c r="H273" s="6"/>
      <c r="I273" s="125">
        <v>46242</v>
      </c>
      <c r="J273" s="13">
        <f t="shared" si="194"/>
        <v>0</v>
      </c>
      <c r="K273" s="141" t="s">
        <v>1327</v>
      </c>
      <c r="L273" s="161"/>
      <c r="M273" s="136"/>
      <c r="N273" s="136"/>
      <c r="O273" s="136"/>
      <c r="P273" s="136"/>
      <c r="Q273" s="136"/>
      <c r="R273" s="136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36"/>
      <c r="AD273" s="136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36"/>
      <c r="AR273" s="136"/>
      <c r="AS273" s="161"/>
      <c r="AT273" s="161"/>
      <c r="AU273" s="161"/>
      <c r="AV273" s="161"/>
      <c r="AW273" s="161"/>
      <c r="AX273" s="161"/>
      <c r="AY273" s="161"/>
      <c r="AZ273" s="161"/>
      <c r="BA273" s="161"/>
      <c r="BB273" s="161"/>
      <c r="BC273" s="161"/>
      <c r="BD273" s="161"/>
      <c r="BE273" s="136"/>
      <c r="BF273" s="136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36"/>
      <c r="BT273" s="136"/>
      <c r="BU273" s="161"/>
      <c r="BV273" s="161"/>
      <c r="BW273" s="161"/>
      <c r="BX273" s="161"/>
      <c r="BY273" s="161"/>
      <c r="BZ273" s="161"/>
      <c r="CA273" s="161"/>
      <c r="CB273" s="161"/>
      <c r="CC273" s="161"/>
      <c r="CD273" s="161"/>
      <c r="CE273" s="161"/>
      <c r="CF273" s="161"/>
      <c r="CG273" s="136"/>
      <c r="CH273" s="136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36"/>
      <c r="CV273" s="136"/>
      <c r="CW273" s="161"/>
      <c r="CX273" s="161"/>
      <c r="CY273" s="161"/>
      <c r="CZ273" s="161"/>
      <c r="DA273" s="161"/>
      <c r="DB273" s="161"/>
      <c r="DC273" s="161"/>
      <c r="DD273" s="161"/>
      <c r="DE273" s="161"/>
      <c r="DF273" s="161"/>
      <c r="DG273" s="161"/>
      <c r="DH273" s="161"/>
      <c r="DI273" s="136"/>
      <c r="DJ273" s="136"/>
      <c r="DK273" s="161"/>
      <c r="DL273" s="161"/>
      <c r="DM273" s="161"/>
      <c r="DN273" s="161"/>
      <c r="DO273" s="161">
        <v>100</v>
      </c>
      <c r="DP273" s="161"/>
      <c r="DQ273" s="161">
        <v>250</v>
      </c>
      <c r="DR273" s="161"/>
      <c r="DS273" s="161">
        <v>250</v>
      </c>
      <c r="DT273" s="161"/>
      <c r="DU273" s="161">
        <v>200</v>
      </c>
      <c r="DV273" s="161"/>
      <c r="DW273" s="136"/>
      <c r="DX273" s="136"/>
      <c r="DY273" s="161"/>
      <c r="DZ273" s="161"/>
      <c r="EA273" s="161"/>
      <c r="EB273" s="161"/>
      <c r="EC273" s="161"/>
      <c r="ED273" s="161"/>
      <c r="EE273" s="161"/>
      <c r="EF273" s="161"/>
      <c r="EG273" s="161"/>
      <c r="EH273" s="161"/>
      <c r="EI273" s="161"/>
      <c r="EJ273" s="161"/>
      <c r="EK273" s="136"/>
      <c r="EL273" s="136"/>
      <c r="EM273" s="136"/>
      <c r="EN273" s="136"/>
      <c r="EO273" s="136"/>
      <c r="EP273" s="136"/>
      <c r="EQ273" s="136"/>
      <c r="ER273" s="136"/>
      <c r="ES273" s="161"/>
      <c r="ET273" s="161"/>
      <c r="EU273" s="161"/>
      <c r="EV273" s="161"/>
      <c r="EW273" s="161"/>
      <c r="EX273" s="161"/>
      <c r="EY273" s="136"/>
      <c r="EZ273" s="136"/>
      <c r="FA273" s="161"/>
      <c r="FB273" s="161"/>
      <c r="FC273" s="161"/>
      <c r="FD273" s="161"/>
      <c r="FE273" s="161"/>
      <c r="FF273" s="161"/>
      <c r="FG273" s="161"/>
      <c r="FH273" s="161"/>
      <c r="FI273" s="161"/>
      <c r="FJ273" s="161"/>
      <c r="FK273" s="161"/>
      <c r="FL273" s="161"/>
      <c r="FM273" s="136"/>
      <c r="FN273" s="136"/>
      <c r="FO273" s="161"/>
      <c r="FP273" s="161"/>
      <c r="FQ273" s="161"/>
      <c r="FR273" s="161"/>
      <c r="FS273" s="161"/>
      <c r="FT273" s="161"/>
      <c r="FU273" s="161"/>
      <c r="FV273" s="161"/>
      <c r="FW273" s="161"/>
      <c r="FX273" s="161"/>
      <c r="FY273" s="161"/>
      <c r="FZ273" s="161"/>
      <c r="GA273" s="136"/>
      <c r="GB273" s="136"/>
      <c r="GC273" s="161"/>
      <c r="GD273" s="161"/>
      <c r="GE273" s="161"/>
      <c r="GF273" s="161"/>
      <c r="GG273" s="161"/>
      <c r="GH273" s="161"/>
      <c r="GI273" s="161"/>
      <c r="GJ273" s="161"/>
      <c r="GK273" s="161"/>
      <c r="GL273" s="161"/>
      <c r="GM273" s="161"/>
      <c r="GN273" s="161"/>
    </row>
    <row r="274" spans="1:196">
      <c r="A274" s="164"/>
      <c r="B274" s="109"/>
      <c r="C274" s="107"/>
      <c r="D274" s="160"/>
      <c r="E274" s="119"/>
      <c r="F274" s="107"/>
      <c r="G274" s="115"/>
      <c r="H274" s="6"/>
      <c r="I274" s="125"/>
      <c r="J274" s="13"/>
      <c r="K274" s="141"/>
      <c r="L274" s="161"/>
      <c r="M274" s="136"/>
      <c r="N274" s="136"/>
      <c r="O274" s="136"/>
      <c r="P274" s="136"/>
      <c r="Q274" s="136"/>
      <c r="R274" s="136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36"/>
      <c r="AD274" s="136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36"/>
      <c r="AR274" s="136"/>
      <c r="AS274" s="161"/>
      <c r="AT274" s="161"/>
      <c r="AU274" s="161"/>
      <c r="AV274" s="161"/>
      <c r="AW274" s="161"/>
      <c r="AX274" s="161"/>
      <c r="AY274" s="161"/>
      <c r="AZ274" s="161"/>
      <c r="BA274" s="161"/>
      <c r="BB274" s="161"/>
      <c r="BC274" s="161"/>
      <c r="BD274" s="161"/>
      <c r="BE274" s="136"/>
      <c r="BF274" s="136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36"/>
      <c r="BT274" s="136"/>
      <c r="BU274" s="161"/>
      <c r="BV274" s="161"/>
      <c r="BW274" s="161"/>
      <c r="BX274" s="161"/>
      <c r="BY274" s="161"/>
      <c r="BZ274" s="161"/>
      <c r="CA274" s="161"/>
      <c r="CB274" s="161"/>
      <c r="CC274" s="161"/>
      <c r="CD274" s="161"/>
      <c r="CE274" s="161"/>
      <c r="CF274" s="161"/>
      <c r="CG274" s="136"/>
      <c r="CH274" s="136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36"/>
      <c r="CV274" s="136"/>
      <c r="CW274" s="161"/>
      <c r="CX274" s="161"/>
      <c r="CY274" s="161"/>
      <c r="CZ274" s="161"/>
      <c r="DA274" s="161"/>
      <c r="DB274" s="161"/>
      <c r="DC274" s="161"/>
      <c r="DD274" s="161"/>
      <c r="DE274" s="161"/>
      <c r="DF274" s="161"/>
      <c r="DG274" s="161"/>
      <c r="DH274" s="161"/>
      <c r="DI274" s="136"/>
      <c r="DJ274" s="136"/>
      <c r="DK274" s="161"/>
      <c r="DL274" s="161"/>
      <c r="DM274" s="161"/>
      <c r="DN274" s="161"/>
      <c r="DO274" s="161"/>
      <c r="DP274" s="161"/>
      <c r="DQ274" s="161"/>
      <c r="DR274" s="161"/>
      <c r="DS274" s="161"/>
      <c r="DT274" s="161"/>
      <c r="DU274" s="161"/>
      <c r="DV274" s="161"/>
      <c r="DW274" s="136"/>
      <c r="DX274" s="136"/>
      <c r="DY274" s="161"/>
      <c r="DZ274" s="161"/>
      <c r="EA274" s="161"/>
      <c r="EB274" s="161"/>
      <c r="EC274" s="161"/>
      <c r="ED274" s="161"/>
      <c r="EE274" s="161"/>
      <c r="EF274" s="161"/>
      <c r="EG274" s="161"/>
      <c r="EH274" s="161"/>
      <c r="EI274" s="161"/>
      <c r="EJ274" s="161"/>
      <c r="EK274" s="136"/>
      <c r="EL274" s="136"/>
      <c r="EM274" s="136"/>
      <c r="EN274" s="136"/>
      <c r="EO274" s="136"/>
      <c r="EP274" s="136"/>
      <c r="EQ274" s="136"/>
      <c r="ER274" s="136"/>
      <c r="ES274" s="161"/>
      <c r="ET274" s="161"/>
      <c r="EU274" s="161"/>
      <c r="EV274" s="161"/>
      <c r="EW274" s="161"/>
      <c r="EX274" s="161"/>
      <c r="EY274" s="136"/>
      <c r="EZ274" s="136"/>
      <c r="FA274" s="161"/>
      <c r="FB274" s="161"/>
      <c r="FC274" s="161"/>
      <c r="FD274" s="161"/>
      <c r="FE274" s="161"/>
      <c r="FF274" s="161"/>
      <c r="FG274" s="161"/>
      <c r="FH274" s="161"/>
      <c r="FI274" s="161"/>
      <c r="FJ274" s="161"/>
      <c r="FK274" s="161"/>
      <c r="FL274" s="161"/>
      <c r="FM274" s="136"/>
      <c r="FN274" s="136"/>
      <c r="FO274" s="161"/>
      <c r="FP274" s="161"/>
      <c r="FQ274" s="161"/>
      <c r="FR274" s="161"/>
      <c r="FS274" s="161"/>
      <c r="FT274" s="161"/>
      <c r="FU274" s="161"/>
      <c r="FV274" s="161"/>
      <c r="FW274" s="161"/>
      <c r="FX274" s="161"/>
      <c r="FY274" s="161"/>
      <c r="FZ274" s="161"/>
      <c r="GA274" s="136"/>
      <c r="GB274" s="136"/>
      <c r="GC274" s="161"/>
      <c r="GD274" s="161"/>
      <c r="GE274" s="161"/>
      <c r="GF274" s="161"/>
      <c r="GG274" s="161"/>
      <c r="GH274" s="161"/>
      <c r="GI274" s="161"/>
      <c r="GJ274" s="161"/>
      <c r="GK274" s="161"/>
      <c r="GL274" s="161"/>
      <c r="GM274" s="161"/>
      <c r="GN274" s="161"/>
    </row>
    <row r="275" spans="1:196">
      <c r="A275" s="164"/>
      <c r="B275" s="109"/>
      <c r="C275" s="107"/>
      <c r="D275" s="160"/>
      <c r="E275" s="119"/>
      <c r="F275" s="107"/>
      <c r="G275" s="115"/>
      <c r="H275" s="6"/>
      <c r="I275" s="125"/>
      <c r="J275" s="13"/>
      <c r="K275" s="141"/>
      <c r="L275" s="161"/>
      <c r="M275" s="136"/>
      <c r="N275" s="136"/>
      <c r="O275" s="136"/>
      <c r="P275" s="136"/>
      <c r="Q275" s="136"/>
      <c r="R275" s="136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36"/>
      <c r="AD275" s="136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36"/>
      <c r="AR275" s="136"/>
      <c r="AS275" s="161"/>
      <c r="AT275" s="161"/>
      <c r="AU275" s="161"/>
      <c r="AV275" s="161"/>
      <c r="AW275" s="161"/>
      <c r="AX275" s="161"/>
      <c r="AY275" s="161"/>
      <c r="AZ275" s="161"/>
      <c r="BA275" s="161"/>
      <c r="BB275" s="161"/>
      <c r="BC275" s="161"/>
      <c r="BD275" s="161"/>
      <c r="BE275" s="136"/>
      <c r="BF275" s="136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36"/>
      <c r="BT275" s="136"/>
      <c r="BU275" s="161"/>
      <c r="BV275" s="161"/>
      <c r="BW275" s="161"/>
      <c r="BX275" s="161"/>
      <c r="BY275" s="161"/>
      <c r="BZ275" s="161"/>
      <c r="CA275" s="161"/>
      <c r="CB275" s="161"/>
      <c r="CC275" s="161"/>
      <c r="CD275" s="161"/>
      <c r="CE275" s="161"/>
      <c r="CF275" s="161"/>
      <c r="CG275" s="136"/>
      <c r="CH275" s="136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36"/>
      <c r="CV275" s="136"/>
      <c r="CW275" s="161"/>
      <c r="CX275" s="161"/>
      <c r="CY275" s="161"/>
      <c r="CZ275" s="161"/>
      <c r="DA275" s="161"/>
      <c r="DB275" s="161"/>
      <c r="DC275" s="161"/>
      <c r="DD275" s="161"/>
      <c r="DE275" s="161"/>
      <c r="DF275" s="161"/>
      <c r="DG275" s="161"/>
      <c r="DH275" s="161"/>
      <c r="DI275" s="136"/>
      <c r="DJ275" s="136"/>
      <c r="DK275" s="161"/>
      <c r="DL275" s="161"/>
      <c r="DM275" s="161"/>
      <c r="DN275" s="161"/>
      <c r="DO275" s="161"/>
      <c r="DP275" s="161"/>
      <c r="DQ275" s="161"/>
      <c r="DR275" s="161"/>
      <c r="DS275" s="161"/>
      <c r="DT275" s="161"/>
      <c r="DU275" s="161"/>
      <c r="DV275" s="161"/>
      <c r="DW275" s="136"/>
      <c r="DX275" s="136"/>
      <c r="DY275" s="161"/>
      <c r="DZ275" s="161"/>
      <c r="EA275" s="161"/>
      <c r="EB275" s="161"/>
      <c r="EC275" s="161"/>
      <c r="ED275" s="161"/>
      <c r="EE275" s="161"/>
      <c r="EF275" s="161"/>
      <c r="EG275" s="161"/>
      <c r="EH275" s="161"/>
      <c r="EI275" s="161"/>
      <c r="EJ275" s="161"/>
      <c r="EK275" s="136"/>
      <c r="EL275" s="136"/>
      <c r="EM275" s="136"/>
      <c r="EN275" s="136"/>
      <c r="EO275" s="136"/>
      <c r="EP275" s="136"/>
      <c r="EQ275" s="136"/>
      <c r="ER275" s="136"/>
      <c r="ES275" s="161"/>
      <c r="ET275" s="161"/>
      <c r="EU275" s="161"/>
      <c r="EV275" s="161"/>
      <c r="EW275" s="161"/>
      <c r="EX275" s="161"/>
      <c r="EY275" s="136"/>
      <c r="EZ275" s="136"/>
      <c r="FA275" s="161"/>
      <c r="FB275" s="161"/>
      <c r="FC275" s="161"/>
      <c r="FD275" s="161"/>
      <c r="FE275" s="161"/>
      <c r="FF275" s="161"/>
      <c r="FG275" s="161"/>
      <c r="FH275" s="161"/>
      <c r="FI275" s="161"/>
      <c r="FJ275" s="161"/>
      <c r="FK275" s="161"/>
      <c r="FL275" s="161"/>
      <c r="FM275" s="136"/>
      <c r="FN275" s="136"/>
      <c r="FO275" s="161"/>
      <c r="FP275" s="161"/>
      <c r="FQ275" s="161"/>
      <c r="FR275" s="161"/>
      <c r="FS275" s="161"/>
      <c r="FT275" s="161"/>
      <c r="FU275" s="161"/>
      <c r="FV275" s="161"/>
      <c r="FW275" s="161"/>
      <c r="FX275" s="161"/>
      <c r="FY275" s="161"/>
      <c r="FZ275" s="161"/>
      <c r="GA275" s="136"/>
      <c r="GB275" s="136"/>
      <c r="GC275" s="161"/>
      <c r="GD275" s="161"/>
      <c r="GE275" s="161"/>
      <c r="GF275" s="161"/>
      <c r="GG275" s="161"/>
      <c r="GH275" s="161"/>
      <c r="GI275" s="161"/>
      <c r="GJ275" s="161"/>
      <c r="GK275" s="161"/>
      <c r="GL275" s="161"/>
      <c r="GM275" s="161"/>
      <c r="GN275" s="161"/>
    </row>
    <row r="276" spans="1:196">
      <c r="A276" s="164"/>
      <c r="B276" s="126"/>
      <c r="C276" s="157"/>
      <c r="D276" s="138"/>
      <c r="E276" s="138"/>
      <c r="F276" s="129"/>
      <c r="G276" s="130"/>
      <c r="H276" s="129"/>
      <c r="I276" s="110"/>
      <c r="J276" s="111"/>
      <c r="K276" s="141"/>
      <c r="L276" s="161"/>
      <c r="M276" s="136"/>
      <c r="N276" s="136"/>
      <c r="O276" s="136"/>
      <c r="P276" s="136"/>
      <c r="Q276" s="136"/>
      <c r="R276" s="136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36"/>
      <c r="AD276" s="136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36"/>
      <c r="AR276" s="136"/>
      <c r="AS276" s="161"/>
      <c r="AT276" s="161"/>
      <c r="AU276" s="161"/>
      <c r="AV276" s="161"/>
      <c r="AW276" s="161"/>
      <c r="AX276" s="161"/>
      <c r="AY276" s="161"/>
      <c r="AZ276" s="161"/>
      <c r="BA276" s="161"/>
      <c r="BB276" s="161"/>
      <c r="BC276" s="161"/>
      <c r="BD276" s="161"/>
      <c r="BE276" s="136"/>
      <c r="BF276" s="136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36"/>
      <c r="BT276" s="136"/>
      <c r="BU276" s="161"/>
      <c r="BV276" s="161"/>
      <c r="BW276" s="161"/>
      <c r="BX276" s="161"/>
      <c r="BY276" s="161"/>
      <c r="BZ276" s="161"/>
      <c r="CA276" s="161"/>
      <c r="CB276" s="161"/>
      <c r="CC276" s="161"/>
      <c r="CD276" s="161"/>
      <c r="CE276" s="161"/>
      <c r="CF276" s="161"/>
      <c r="CG276" s="136"/>
      <c r="CH276" s="136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36"/>
      <c r="CV276" s="136"/>
      <c r="CW276" s="161"/>
      <c r="CX276" s="161"/>
      <c r="CY276" s="161"/>
      <c r="CZ276" s="161"/>
      <c r="DA276" s="161"/>
      <c r="DB276" s="161"/>
      <c r="DC276" s="161"/>
      <c r="DD276" s="161"/>
      <c r="DE276" s="161"/>
      <c r="DF276" s="161"/>
      <c r="DG276" s="161"/>
      <c r="DH276" s="161"/>
      <c r="DI276" s="136"/>
      <c r="DJ276" s="136"/>
      <c r="DK276" s="161"/>
      <c r="DL276" s="161"/>
      <c r="DM276" s="161"/>
      <c r="DN276" s="161"/>
      <c r="DO276" s="161"/>
      <c r="DP276" s="161"/>
      <c r="DQ276" s="161"/>
      <c r="DR276" s="161"/>
      <c r="DS276" s="161"/>
      <c r="DT276" s="161"/>
      <c r="DU276" s="161"/>
      <c r="DV276" s="161"/>
      <c r="DW276" s="136"/>
      <c r="DX276" s="136"/>
      <c r="DY276" s="161"/>
      <c r="DZ276" s="161"/>
      <c r="EA276" s="161"/>
      <c r="EB276" s="161"/>
      <c r="EC276" s="161"/>
      <c r="ED276" s="161"/>
      <c r="EE276" s="161"/>
      <c r="EF276" s="161"/>
      <c r="EG276" s="161"/>
      <c r="EH276" s="161"/>
      <c r="EI276" s="161"/>
      <c r="EJ276" s="161"/>
      <c r="EK276" s="136"/>
      <c r="EL276" s="136"/>
      <c r="EM276" s="136"/>
      <c r="EN276" s="136"/>
      <c r="EO276" s="136"/>
      <c r="EP276" s="136"/>
      <c r="EQ276" s="136"/>
      <c r="ER276" s="136"/>
      <c r="ES276" s="161"/>
      <c r="ET276" s="161"/>
      <c r="EU276" s="161"/>
      <c r="EV276" s="161"/>
      <c r="EW276" s="161"/>
      <c r="EX276" s="161"/>
      <c r="EY276" s="136"/>
      <c r="EZ276" s="136"/>
      <c r="FA276" s="161"/>
      <c r="FB276" s="161"/>
      <c r="FC276" s="161"/>
      <c r="FD276" s="161"/>
      <c r="FE276" s="161"/>
      <c r="FF276" s="161"/>
      <c r="FG276" s="161"/>
      <c r="FH276" s="161"/>
      <c r="FI276" s="161"/>
      <c r="FJ276" s="161"/>
      <c r="FK276" s="161"/>
      <c r="FL276" s="161"/>
      <c r="FM276" s="136"/>
      <c r="FN276" s="136"/>
      <c r="FO276" s="161"/>
      <c r="FP276" s="161"/>
      <c r="FQ276" s="161"/>
      <c r="FR276" s="161"/>
      <c r="FS276" s="161"/>
      <c r="FT276" s="161"/>
      <c r="FU276" s="161"/>
      <c r="FV276" s="161"/>
      <c r="FW276" s="161"/>
      <c r="FX276" s="161"/>
      <c r="FY276" s="161"/>
      <c r="FZ276" s="161"/>
      <c r="GA276" s="136"/>
      <c r="GB276" s="136"/>
      <c r="GC276" s="161"/>
      <c r="GD276" s="161"/>
      <c r="GE276" s="161"/>
      <c r="GF276" s="161"/>
      <c r="GG276" s="161"/>
      <c r="GH276" s="161"/>
      <c r="GI276" s="161"/>
      <c r="GJ276" s="161"/>
      <c r="GK276" s="161"/>
      <c r="GL276" s="161"/>
      <c r="GM276" s="161"/>
      <c r="GN276" s="161"/>
    </row>
    <row r="277" spans="1:196">
      <c r="A277" s="7"/>
      <c r="B277" s="16"/>
      <c r="C277" s="16"/>
      <c r="D277" s="16"/>
      <c r="E277" s="152"/>
      <c r="F277" s="16"/>
      <c r="G277" s="93"/>
      <c r="H277" s="17"/>
      <c r="I277" s="23"/>
      <c r="J277" s="16"/>
      <c r="K277" s="1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</row>
    <row r="278" spans="1:196" hidden="1">
      <c r="A278" s="155"/>
      <c r="B278" s="128" t="s">
        <v>767</v>
      </c>
      <c r="C278" s="157" t="s">
        <v>749</v>
      </c>
      <c r="D278" s="138"/>
      <c r="E278" s="138"/>
      <c r="F278" s="129"/>
      <c r="G278" s="130">
        <v>20</v>
      </c>
      <c r="H278" s="129"/>
      <c r="I278" s="110">
        <v>46174</v>
      </c>
      <c r="J278" s="111">
        <f t="shared" ref="J278:J296" si="195">G278-SUM(L278:FL278)</f>
        <v>0</v>
      </c>
      <c r="K278" s="141" t="s">
        <v>777</v>
      </c>
      <c r="L278" s="161">
        <v>20</v>
      </c>
      <c r="M278" s="136"/>
      <c r="N278" s="136"/>
      <c r="O278" s="136"/>
      <c r="P278" s="136"/>
      <c r="Q278" s="136"/>
      <c r="R278" s="136"/>
      <c r="S278" s="161"/>
      <c r="T278" s="161"/>
      <c r="U278" s="161"/>
      <c r="V278" s="161"/>
      <c r="W278" s="135"/>
      <c r="X278" s="135"/>
      <c r="Y278" s="135"/>
      <c r="Z278" s="135"/>
      <c r="AA278" s="135"/>
      <c r="AB278" s="135"/>
      <c r="AC278" s="136"/>
      <c r="AD278" s="136"/>
      <c r="AE278" s="161"/>
      <c r="AF278" s="161"/>
      <c r="AG278" s="161"/>
      <c r="AH278" s="161"/>
      <c r="AI278" s="161"/>
      <c r="AJ278" s="161"/>
      <c r="AK278" s="135"/>
      <c r="AL278" s="135"/>
      <c r="AM278" s="135"/>
      <c r="AN278" s="135"/>
      <c r="AO278" s="135"/>
      <c r="AP278" s="135"/>
      <c r="AQ278" s="136"/>
      <c r="AR278" s="136"/>
      <c r="AS278" s="161"/>
      <c r="AT278" s="161"/>
      <c r="AU278" s="161"/>
      <c r="AV278" s="161"/>
      <c r="AW278" s="161"/>
      <c r="AX278" s="161"/>
      <c r="AY278" s="135"/>
      <c r="AZ278" s="135"/>
      <c r="BA278" s="135"/>
      <c r="BB278" s="135"/>
      <c r="BC278" s="135"/>
      <c r="BD278" s="135"/>
      <c r="BE278" s="136"/>
      <c r="BF278" s="136"/>
      <c r="BG278" s="161"/>
      <c r="BH278" s="161"/>
      <c r="BI278" s="161"/>
      <c r="BJ278" s="161"/>
      <c r="BK278" s="161"/>
      <c r="BL278" s="161"/>
      <c r="BM278" s="135"/>
      <c r="BN278" s="135"/>
      <c r="BO278" s="135"/>
      <c r="BP278" s="135"/>
      <c r="BQ278" s="135"/>
      <c r="BR278" s="135"/>
      <c r="BS278" s="136"/>
      <c r="BT278" s="136"/>
      <c r="BU278" s="161"/>
      <c r="BV278" s="161"/>
      <c r="BW278" s="161"/>
      <c r="BX278" s="161"/>
      <c r="BY278" s="161"/>
      <c r="BZ278" s="161"/>
      <c r="CA278" s="135"/>
      <c r="CB278" s="135"/>
      <c r="CC278" s="135"/>
      <c r="CD278" s="135"/>
      <c r="CE278" s="135"/>
      <c r="CF278" s="135"/>
      <c r="CG278" s="136"/>
      <c r="CH278" s="136"/>
      <c r="CI278" s="161"/>
      <c r="CJ278" s="161"/>
      <c r="CK278" s="161"/>
      <c r="CL278" s="161"/>
      <c r="CM278" s="161"/>
      <c r="CN278" s="161"/>
      <c r="CO278" s="135"/>
      <c r="CP278" s="135"/>
      <c r="CQ278" s="135"/>
      <c r="CR278" s="135"/>
      <c r="CS278" s="135"/>
      <c r="CT278" s="135"/>
      <c r="CU278" s="136"/>
      <c r="CV278" s="136"/>
      <c r="CW278" s="161"/>
      <c r="CX278" s="161"/>
      <c r="CY278" s="161"/>
      <c r="CZ278" s="161"/>
      <c r="DA278" s="161"/>
      <c r="DB278" s="161"/>
      <c r="DC278" s="135"/>
      <c r="DD278" s="135"/>
      <c r="DE278" s="135"/>
      <c r="DF278" s="135"/>
      <c r="DG278" s="135"/>
      <c r="DH278" s="135"/>
      <c r="DI278" s="136"/>
      <c r="DJ278" s="136"/>
      <c r="DK278" s="161"/>
      <c r="DL278" s="161"/>
      <c r="DM278" s="161"/>
      <c r="DN278" s="161"/>
      <c r="DO278" s="161"/>
      <c r="DP278" s="161"/>
      <c r="DQ278" s="135"/>
      <c r="DR278" s="135"/>
      <c r="DS278" s="135"/>
      <c r="DT278" s="135"/>
      <c r="DU278" s="135"/>
      <c r="DV278" s="135"/>
      <c r="DW278" s="136"/>
      <c r="DX278" s="136"/>
      <c r="DY278" s="161"/>
      <c r="DZ278" s="161"/>
      <c r="EA278" s="161"/>
      <c r="EB278" s="161"/>
      <c r="EC278" s="161"/>
      <c r="ED278" s="161"/>
      <c r="EE278" s="135"/>
      <c r="EF278" s="135"/>
      <c r="EG278" s="135"/>
      <c r="EH278" s="135"/>
      <c r="EI278" s="135"/>
      <c r="EJ278" s="135"/>
      <c r="EK278" s="136"/>
      <c r="EL278" s="136"/>
      <c r="EM278" s="136"/>
      <c r="EN278" s="136"/>
      <c r="EO278" s="136"/>
      <c r="EP278" s="136"/>
      <c r="EQ278" s="136"/>
      <c r="ER278" s="136"/>
      <c r="ES278" s="135"/>
      <c r="ET278" s="135"/>
      <c r="EU278" s="135"/>
      <c r="EV278" s="135"/>
      <c r="EW278" s="135"/>
      <c r="EX278" s="135"/>
      <c r="EY278" s="136"/>
      <c r="EZ278" s="136"/>
      <c r="FA278" s="161"/>
      <c r="FB278" s="161"/>
      <c r="FC278" s="161"/>
      <c r="FD278" s="161"/>
      <c r="FE278" s="161"/>
      <c r="FF278" s="161"/>
      <c r="FG278" s="135"/>
      <c r="FH278" s="135"/>
      <c r="FI278" s="135"/>
      <c r="FJ278" s="135"/>
      <c r="FK278" s="135"/>
      <c r="FL278" s="135"/>
      <c r="FM278" s="136"/>
      <c r="FN278" s="136"/>
      <c r="FO278" s="161"/>
      <c r="FP278" s="161"/>
      <c r="FQ278" s="161"/>
      <c r="FR278" s="161"/>
      <c r="FS278" s="161"/>
      <c r="FT278" s="161"/>
      <c r="FU278" s="135"/>
      <c r="FV278" s="135"/>
      <c r="FW278" s="135"/>
      <c r="FX278" s="135"/>
      <c r="FY278" s="135"/>
      <c r="FZ278" s="135"/>
      <c r="GA278" s="136"/>
      <c r="GB278" s="136"/>
      <c r="GC278" s="161"/>
      <c r="GD278" s="161"/>
      <c r="GE278" s="161"/>
      <c r="GF278" s="161"/>
      <c r="GG278" s="161"/>
      <c r="GH278" s="161"/>
      <c r="GI278" s="135"/>
      <c r="GJ278" s="135"/>
      <c r="GK278" s="135"/>
      <c r="GL278" s="135"/>
      <c r="GM278" s="135"/>
      <c r="GN278" s="135"/>
    </row>
    <row r="279" spans="1:196" hidden="1">
      <c r="A279" s="155"/>
      <c r="B279" s="128" t="s">
        <v>768</v>
      </c>
      <c r="C279" s="157" t="s">
        <v>749</v>
      </c>
      <c r="D279" s="138"/>
      <c r="E279" s="138"/>
      <c r="F279" s="129"/>
      <c r="G279" s="130">
        <v>17</v>
      </c>
      <c r="H279" s="129"/>
      <c r="I279" s="110">
        <v>46174</v>
      </c>
      <c r="J279" s="111">
        <f t="shared" si="195"/>
        <v>0</v>
      </c>
      <c r="K279" s="141" t="s">
        <v>777</v>
      </c>
      <c r="L279" s="161">
        <v>17</v>
      </c>
      <c r="M279" s="136"/>
      <c r="N279" s="136"/>
      <c r="O279" s="136"/>
      <c r="P279" s="136"/>
      <c r="Q279" s="136"/>
      <c r="R279" s="136"/>
      <c r="S279" s="161"/>
      <c r="T279" s="161"/>
      <c r="U279" s="161"/>
      <c r="V279" s="161"/>
      <c r="W279" s="135"/>
      <c r="X279" s="135"/>
      <c r="Y279" s="135"/>
      <c r="Z279" s="135"/>
      <c r="AA279" s="135"/>
      <c r="AB279" s="135"/>
      <c r="AC279" s="136"/>
      <c r="AD279" s="136"/>
      <c r="AE279" s="161"/>
      <c r="AF279" s="161"/>
      <c r="AG279" s="161"/>
      <c r="AH279" s="161"/>
      <c r="AI279" s="161"/>
      <c r="AJ279" s="161"/>
      <c r="AK279" s="135"/>
      <c r="AL279" s="135"/>
      <c r="AM279" s="135"/>
      <c r="AN279" s="135"/>
      <c r="AO279" s="135"/>
      <c r="AP279" s="135"/>
      <c r="AQ279" s="136"/>
      <c r="AR279" s="136"/>
      <c r="AS279" s="161"/>
      <c r="AT279" s="161"/>
      <c r="AU279" s="161"/>
      <c r="AV279" s="161"/>
      <c r="AW279" s="161"/>
      <c r="AX279" s="161"/>
      <c r="AY279" s="135"/>
      <c r="AZ279" s="135"/>
      <c r="BA279" s="135"/>
      <c r="BB279" s="135"/>
      <c r="BC279" s="135"/>
      <c r="BD279" s="135"/>
      <c r="BE279" s="136"/>
      <c r="BF279" s="136"/>
      <c r="BG279" s="161"/>
      <c r="BH279" s="161"/>
      <c r="BI279" s="161"/>
      <c r="BJ279" s="161"/>
      <c r="BK279" s="161"/>
      <c r="BL279" s="161"/>
      <c r="BM279" s="135"/>
      <c r="BN279" s="135"/>
      <c r="BO279" s="135"/>
      <c r="BP279" s="135"/>
      <c r="BQ279" s="135"/>
      <c r="BR279" s="135"/>
      <c r="BS279" s="136"/>
      <c r="BT279" s="136"/>
      <c r="BU279" s="161"/>
      <c r="BV279" s="161"/>
      <c r="BW279" s="161"/>
      <c r="BX279" s="161"/>
      <c r="BY279" s="161"/>
      <c r="BZ279" s="161"/>
      <c r="CA279" s="135"/>
      <c r="CB279" s="135"/>
      <c r="CC279" s="135"/>
      <c r="CD279" s="135"/>
      <c r="CE279" s="135"/>
      <c r="CF279" s="135"/>
      <c r="CG279" s="136"/>
      <c r="CH279" s="136"/>
      <c r="CI279" s="161"/>
      <c r="CJ279" s="161"/>
      <c r="CK279" s="161"/>
      <c r="CL279" s="161"/>
      <c r="CM279" s="161"/>
      <c r="CN279" s="161"/>
      <c r="CO279" s="135"/>
      <c r="CP279" s="135"/>
      <c r="CQ279" s="135"/>
      <c r="CR279" s="135"/>
      <c r="CS279" s="135"/>
      <c r="CT279" s="135"/>
      <c r="CU279" s="136"/>
      <c r="CV279" s="136"/>
      <c r="CW279" s="161"/>
      <c r="CX279" s="161"/>
      <c r="CY279" s="161"/>
      <c r="CZ279" s="161"/>
      <c r="DA279" s="161"/>
      <c r="DB279" s="161"/>
      <c r="DC279" s="135"/>
      <c r="DD279" s="135"/>
      <c r="DE279" s="135"/>
      <c r="DF279" s="135"/>
      <c r="DG279" s="135"/>
      <c r="DH279" s="135"/>
      <c r="DI279" s="136"/>
      <c r="DJ279" s="136"/>
      <c r="DK279" s="161"/>
      <c r="DL279" s="161"/>
      <c r="DM279" s="161"/>
      <c r="DN279" s="161"/>
      <c r="DO279" s="161"/>
      <c r="DP279" s="161"/>
      <c r="DQ279" s="135"/>
      <c r="DR279" s="135"/>
      <c r="DS279" s="135"/>
      <c r="DT279" s="135"/>
      <c r="DU279" s="135"/>
      <c r="DV279" s="135"/>
      <c r="DW279" s="136"/>
      <c r="DX279" s="136"/>
      <c r="DY279" s="161"/>
      <c r="DZ279" s="161"/>
      <c r="EA279" s="161"/>
      <c r="EB279" s="161"/>
      <c r="EC279" s="161"/>
      <c r="ED279" s="161"/>
      <c r="EE279" s="135"/>
      <c r="EF279" s="135"/>
      <c r="EG279" s="135"/>
      <c r="EH279" s="135"/>
      <c r="EI279" s="135"/>
      <c r="EJ279" s="135"/>
      <c r="EK279" s="136"/>
      <c r="EL279" s="136"/>
      <c r="EM279" s="136"/>
      <c r="EN279" s="136"/>
      <c r="EO279" s="136"/>
      <c r="EP279" s="136"/>
      <c r="EQ279" s="136"/>
      <c r="ER279" s="136"/>
      <c r="ES279" s="135"/>
      <c r="ET279" s="135"/>
      <c r="EU279" s="135"/>
      <c r="EV279" s="135"/>
      <c r="EW279" s="135"/>
      <c r="EX279" s="135"/>
      <c r="EY279" s="136"/>
      <c r="EZ279" s="136"/>
      <c r="FA279" s="161"/>
      <c r="FB279" s="161"/>
      <c r="FC279" s="161"/>
      <c r="FD279" s="161"/>
      <c r="FE279" s="161"/>
      <c r="FF279" s="161"/>
      <c r="FG279" s="135"/>
      <c r="FH279" s="135"/>
      <c r="FI279" s="135"/>
      <c r="FJ279" s="135"/>
      <c r="FK279" s="135"/>
      <c r="FL279" s="135"/>
      <c r="FM279" s="136"/>
      <c r="FN279" s="136"/>
      <c r="FO279" s="161"/>
      <c r="FP279" s="161"/>
      <c r="FQ279" s="161"/>
      <c r="FR279" s="161"/>
      <c r="FS279" s="161"/>
      <c r="FT279" s="161"/>
      <c r="FU279" s="135"/>
      <c r="FV279" s="135"/>
      <c r="FW279" s="135"/>
      <c r="FX279" s="135"/>
      <c r="FY279" s="135"/>
      <c r="FZ279" s="135"/>
      <c r="GA279" s="136"/>
      <c r="GB279" s="136"/>
      <c r="GC279" s="161"/>
      <c r="GD279" s="161"/>
      <c r="GE279" s="161"/>
      <c r="GF279" s="161"/>
      <c r="GG279" s="161"/>
      <c r="GH279" s="161"/>
      <c r="GI279" s="135"/>
      <c r="GJ279" s="135"/>
      <c r="GK279" s="135"/>
      <c r="GL279" s="135"/>
      <c r="GM279" s="135"/>
      <c r="GN279" s="135"/>
    </row>
    <row r="280" spans="1:196" hidden="1">
      <c r="A280" s="155"/>
      <c r="B280" s="126" t="s">
        <v>737</v>
      </c>
      <c r="C280" s="109" t="s">
        <v>241</v>
      </c>
      <c r="D280" s="119"/>
      <c r="E280" s="119">
        <f>VLOOKUP(C280,'[2]AVTC 标准工时'!C:G,5,0)</f>
        <v>20</v>
      </c>
      <c r="F280" s="107">
        <v>46186</v>
      </c>
      <c r="G280" s="115">
        <v>216</v>
      </c>
      <c r="H280" s="6"/>
      <c r="I280" s="125">
        <v>46186</v>
      </c>
      <c r="J280" s="13">
        <f t="shared" si="195"/>
        <v>0</v>
      </c>
      <c r="K280" s="177"/>
      <c r="L280" s="161">
        <v>216</v>
      </c>
      <c r="M280" s="136"/>
      <c r="N280" s="136"/>
      <c r="O280" s="136"/>
      <c r="P280" s="136"/>
      <c r="Q280" s="136"/>
      <c r="R280" s="136"/>
      <c r="S280" s="161"/>
      <c r="T280" s="161"/>
      <c r="U280" s="161"/>
      <c r="V280" s="161"/>
      <c r="W280" s="135"/>
      <c r="X280" s="135"/>
      <c r="Y280" s="135"/>
      <c r="Z280" s="135"/>
      <c r="AA280" s="135"/>
      <c r="AB280" s="135"/>
      <c r="AC280" s="136"/>
      <c r="AD280" s="136"/>
      <c r="AE280" s="161"/>
      <c r="AF280" s="161"/>
      <c r="AG280" s="161"/>
      <c r="AH280" s="161"/>
      <c r="AI280" s="161"/>
      <c r="AJ280" s="161"/>
      <c r="AK280" s="135"/>
      <c r="AL280" s="135"/>
      <c r="AM280" s="135"/>
      <c r="AN280" s="135"/>
      <c r="AO280" s="135"/>
      <c r="AP280" s="135"/>
      <c r="AQ280" s="136"/>
      <c r="AR280" s="136"/>
      <c r="AS280" s="161"/>
      <c r="AT280" s="161"/>
      <c r="AU280" s="161"/>
      <c r="AV280" s="161"/>
      <c r="AW280" s="161"/>
      <c r="AX280" s="161"/>
      <c r="AY280" s="135"/>
      <c r="AZ280" s="135"/>
      <c r="BA280" s="135"/>
      <c r="BB280" s="135"/>
      <c r="BC280" s="135"/>
      <c r="BD280" s="135"/>
      <c r="BE280" s="136"/>
      <c r="BF280" s="136"/>
      <c r="BG280" s="161"/>
      <c r="BH280" s="161"/>
      <c r="BI280" s="161"/>
      <c r="BJ280" s="161"/>
      <c r="BK280" s="161"/>
      <c r="BL280" s="161"/>
      <c r="BM280" s="135"/>
      <c r="BN280" s="135"/>
      <c r="BO280" s="135"/>
      <c r="BP280" s="135"/>
      <c r="BQ280" s="135"/>
      <c r="BR280" s="135"/>
      <c r="BS280" s="136"/>
      <c r="BT280" s="136"/>
      <c r="BU280" s="161"/>
      <c r="BV280" s="161"/>
      <c r="BW280" s="161"/>
      <c r="BX280" s="161"/>
      <c r="BY280" s="161"/>
      <c r="BZ280" s="161"/>
      <c r="CA280" s="135"/>
      <c r="CB280" s="135"/>
      <c r="CC280" s="135"/>
      <c r="CD280" s="135"/>
      <c r="CE280" s="135"/>
      <c r="CF280" s="135"/>
      <c r="CG280" s="136"/>
      <c r="CH280" s="136"/>
      <c r="CI280" s="161"/>
      <c r="CJ280" s="161"/>
      <c r="CK280" s="161"/>
      <c r="CL280" s="161"/>
      <c r="CM280" s="161"/>
      <c r="CN280" s="161"/>
      <c r="CO280" s="135"/>
      <c r="CP280" s="135"/>
      <c r="CQ280" s="135"/>
      <c r="CR280" s="135"/>
      <c r="CS280" s="135"/>
      <c r="CT280" s="135"/>
      <c r="CU280" s="136"/>
      <c r="CV280" s="136"/>
      <c r="CW280" s="161"/>
      <c r="CX280" s="161"/>
      <c r="CY280" s="161"/>
      <c r="CZ280" s="161"/>
      <c r="DA280" s="161"/>
      <c r="DB280" s="161"/>
      <c r="DC280" s="135"/>
      <c r="DD280" s="135"/>
      <c r="DE280" s="135"/>
      <c r="DF280" s="135"/>
      <c r="DG280" s="135"/>
      <c r="DH280" s="135"/>
      <c r="DI280" s="136"/>
      <c r="DJ280" s="136"/>
      <c r="DK280" s="161"/>
      <c r="DL280" s="161"/>
      <c r="DM280" s="161"/>
      <c r="DN280" s="161"/>
      <c r="DO280" s="161"/>
      <c r="DP280" s="161"/>
      <c r="DQ280" s="135"/>
      <c r="DR280" s="135"/>
      <c r="DS280" s="135"/>
      <c r="DT280" s="135"/>
      <c r="DU280" s="135"/>
      <c r="DV280" s="135"/>
      <c r="DW280" s="136"/>
      <c r="DX280" s="136"/>
      <c r="DY280" s="161"/>
      <c r="DZ280" s="161"/>
      <c r="EA280" s="161"/>
      <c r="EB280" s="161"/>
      <c r="EC280" s="161"/>
      <c r="ED280" s="161"/>
      <c r="EE280" s="135"/>
      <c r="EF280" s="135"/>
      <c r="EG280" s="135"/>
      <c r="EH280" s="135"/>
      <c r="EI280" s="135"/>
      <c r="EJ280" s="135"/>
      <c r="EK280" s="136"/>
      <c r="EL280" s="136"/>
      <c r="EM280" s="136"/>
      <c r="EN280" s="136"/>
      <c r="EO280" s="136"/>
      <c r="EP280" s="136"/>
      <c r="EQ280" s="136"/>
      <c r="ER280" s="136"/>
      <c r="ES280" s="135"/>
      <c r="ET280" s="135"/>
      <c r="EU280" s="135"/>
      <c r="EV280" s="135"/>
      <c r="EW280" s="135"/>
      <c r="EX280" s="135"/>
      <c r="EY280" s="136"/>
      <c r="EZ280" s="136"/>
      <c r="FA280" s="161"/>
      <c r="FB280" s="161"/>
      <c r="FC280" s="161"/>
      <c r="FD280" s="161"/>
      <c r="FE280" s="161"/>
      <c r="FF280" s="161"/>
      <c r="FG280" s="135"/>
      <c r="FH280" s="135"/>
      <c r="FI280" s="135"/>
      <c r="FJ280" s="135"/>
      <c r="FK280" s="135"/>
      <c r="FL280" s="135"/>
      <c r="FM280" s="136"/>
      <c r="FN280" s="136"/>
      <c r="FO280" s="161"/>
      <c r="FP280" s="161"/>
      <c r="FQ280" s="161"/>
      <c r="FR280" s="161"/>
      <c r="FS280" s="161"/>
      <c r="FT280" s="161"/>
      <c r="FU280" s="135"/>
      <c r="FV280" s="135"/>
      <c r="FW280" s="135"/>
      <c r="FX280" s="135"/>
      <c r="FY280" s="135"/>
      <c r="FZ280" s="135"/>
      <c r="GA280" s="136"/>
      <c r="GB280" s="136"/>
      <c r="GC280" s="161"/>
      <c r="GD280" s="161"/>
      <c r="GE280" s="161"/>
      <c r="GF280" s="161"/>
      <c r="GG280" s="161"/>
      <c r="GH280" s="161"/>
      <c r="GI280" s="135"/>
      <c r="GJ280" s="135"/>
      <c r="GK280" s="135"/>
      <c r="GL280" s="135"/>
      <c r="GM280" s="135"/>
      <c r="GN280" s="135"/>
    </row>
    <row r="281" spans="1:196" hidden="1">
      <c r="A281" s="155"/>
      <c r="B281" s="126" t="s">
        <v>728</v>
      </c>
      <c r="C281" s="109" t="s">
        <v>606</v>
      </c>
      <c r="D281" s="119"/>
      <c r="E281" s="119">
        <f>VLOOKUP(C281,'[2]AVTC 标准工时'!C:G,5,0)</f>
        <v>20</v>
      </c>
      <c r="F281" s="107">
        <v>46186</v>
      </c>
      <c r="G281" s="115">
        <v>108</v>
      </c>
      <c r="H281" s="6"/>
      <c r="I281" s="125">
        <v>46186</v>
      </c>
      <c r="J281" s="13">
        <f t="shared" si="195"/>
        <v>0</v>
      </c>
      <c r="K281" s="141"/>
      <c r="L281" s="161">
        <v>108</v>
      </c>
      <c r="M281" s="136"/>
      <c r="N281" s="136"/>
      <c r="O281" s="136"/>
      <c r="P281" s="136"/>
      <c r="Q281" s="136"/>
      <c r="R281" s="136"/>
      <c r="S281" s="161"/>
      <c r="T281" s="161"/>
      <c r="U281" s="161"/>
      <c r="V281" s="161"/>
      <c r="W281" s="135"/>
      <c r="X281" s="135"/>
      <c r="Y281" s="135"/>
      <c r="Z281" s="135"/>
      <c r="AA281" s="135"/>
      <c r="AB281" s="135"/>
      <c r="AC281" s="136"/>
      <c r="AD281" s="136"/>
      <c r="AE281" s="161"/>
      <c r="AF281" s="161"/>
      <c r="AG281" s="161"/>
      <c r="AH281" s="161"/>
      <c r="AI281" s="161"/>
      <c r="AJ281" s="161"/>
      <c r="AK281" s="135"/>
      <c r="AL281" s="135"/>
      <c r="AM281" s="135"/>
      <c r="AN281" s="135"/>
      <c r="AO281" s="135"/>
      <c r="AP281" s="135"/>
      <c r="AQ281" s="136"/>
      <c r="AR281" s="136"/>
      <c r="AS281" s="161"/>
      <c r="AT281" s="161"/>
      <c r="AU281" s="161"/>
      <c r="AV281" s="161"/>
      <c r="AW281" s="161"/>
      <c r="AX281" s="161"/>
      <c r="AY281" s="135"/>
      <c r="AZ281" s="135"/>
      <c r="BA281" s="135"/>
      <c r="BB281" s="135"/>
      <c r="BC281" s="135"/>
      <c r="BD281" s="135"/>
      <c r="BE281" s="136"/>
      <c r="BF281" s="136"/>
      <c r="BG281" s="161"/>
      <c r="BH281" s="161"/>
      <c r="BI281" s="161"/>
      <c r="BJ281" s="161"/>
      <c r="BK281" s="161"/>
      <c r="BL281" s="161"/>
      <c r="BM281" s="135"/>
      <c r="BN281" s="135"/>
      <c r="BO281" s="135"/>
      <c r="BP281" s="135"/>
      <c r="BQ281" s="135"/>
      <c r="BR281" s="135"/>
      <c r="BS281" s="136"/>
      <c r="BT281" s="136"/>
      <c r="BU281" s="161"/>
      <c r="BV281" s="161"/>
      <c r="BW281" s="161"/>
      <c r="BX281" s="161"/>
      <c r="BY281" s="161"/>
      <c r="BZ281" s="161"/>
      <c r="CA281" s="135"/>
      <c r="CB281" s="135"/>
      <c r="CC281" s="135"/>
      <c r="CD281" s="135"/>
      <c r="CE281" s="135"/>
      <c r="CF281" s="135"/>
      <c r="CG281" s="136"/>
      <c r="CH281" s="136"/>
      <c r="CI281" s="161"/>
      <c r="CJ281" s="161"/>
      <c r="CK281" s="161"/>
      <c r="CL281" s="161"/>
      <c r="CM281" s="161"/>
      <c r="CN281" s="161"/>
      <c r="CO281" s="135"/>
      <c r="CP281" s="135"/>
      <c r="CQ281" s="135"/>
      <c r="CR281" s="135"/>
      <c r="CS281" s="135"/>
      <c r="CT281" s="135"/>
      <c r="CU281" s="136"/>
      <c r="CV281" s="136"/>
      <c r="CW281" s="161"/>
      <c r="CX281" s="161"/>
      <c r="CY281" s="161"/>
      <c r="CZ281" s="161"/>
      <c r="DA281" s="161"/>
      <c r="DB281" s="161"/>
      <c r="DC281" s="135"/>
      <c r="DD281" s="135"/>
      <c r="DE281" s="135"/>
      <c r="DF281" s="135"/>
      <c r="DG281" s="135"/>
      <c r="DH281" s="135"/>
      <c r="DI281" s="136"/>
      <c r="DJ281" s="136"/>
      <c r="DK281" s="161"/>
      <c r="DL281" s="161"/>
      <c r="DM281" s="161"/>
      <c r="DN281" s="161"/>
      <c r="DO281" s="161"/>
      <c r="DP281" s="161"/>
      <c r="DQ281" s="135"/>
      <c r="DR281" s="135"/>
      <c r="DS281" s="135"/>
      <c r="DT281" s="135"/>
      <c r="DU281" s="135"/>
      <c r="DV281" s="135"/>
      <c r="DW281" s="136"/>
      <c r="DX281" s="136"/>
      <c r="DY281" s="161"/>
      <c r="DZ281" s="161"/>
      <c r="EA281" s="161"/>
      <c r="EB281" s="161"/>
      <c r="EC281" s="161"/>
      <c r="ED281" s="161"/>
      <c r="EE281" s="135"/>
      <c r="EF281" s="135"/>
      <c r="EG281" s="135"/>
      <c r="EH281" s="135"/>
      <c r="EI281" s="135"/>
      <c r="EJ281" s="135"/>
      <c r="EK281" s="136"/>
      <c r="EL281" s="136"/>
      <c r="EM281" s="136"/>
      <c r="EN281" s="136"/>
      <c r="EO281" s="136"/>
      <c r="EP281" s="136"/>
      <c r="EQ281" s="136"/>
      <c r="ER281" s="136"/>
      <c r="ES281" s="135"/>
      <c r="ET281" s="135"/>
      <c r="EU281" s="135"/>
      <c r="EV281" s="135"/>
      <c r="EW281" s="135"/>
      <c r="EX281" s="135"/>
      <c r="EY281" s="136"/>
      <c r="EZ281" s="136"/>
      <c r="FA281" s="161"/>
      <c r="FB281" s="161"/>
      <c r="FC281" s="161"/>
      <c r="FD281" s="161"/>
      <c r="FE281" s="161"/>
      <c r="FF281" s="161"/>
      <c r="FG281" s="135"/>
      <c r="FH281" s="135"/>
      <c r="FI281" s="135"/>
      <c r="FJ281" s="135"/>
      <c r="FK281" s="135"/>
      <c r="FL281" s="135"/>
      <c r="FM281" s="136"/>
      <c r="FN281" s="136"/>
      <c r="FO281" s="161"/>
      <c r="FP281" s="161"/>
      <c r="FQ281" s="161"/>
      <c r="FR281" s="161"/>
      <c r="FS281" s="161"/>
      <c r="FT281" s="161"/>
      <c r="FU281" s="135"/>
      <c r="FV281" s="135"/>
      <c r="FW281" s="135"/>
      <c r="FX281" s="135"/>
      <c r="FY281" s="135"/>
      <c r="FZ281" s="135"/>
      <c r="GA281" s="136"/>
      <c r="GB281" s="136"/>
      <c r="GC281" s="161"/>
      <c r="GD281" s="161"/>
      <c r="GE281" s="161"/>
      <c r="GF281" s="161"/>
      <c r="GG281" s="161"/>
      <c r="GH281" s="161"/>
      <c r="GI281" s="135"/>
      <c r="GJ281" s="135"/>
      <c r="GK281" s="135"/>
      <c r="GL281" s="135"/>
      <c r="GM281" s="135"/>
      <c r="GN281" s="135"/>
    </row>
    <row r="282" spans="1:196" ht="16" hidden="1" customHeight="1">
      <c r="A282" s="155"/>
      <c r="B282" s="126" t="s">
        <v>706</v>
      </c>
      <c r="C282" s="109" t="s">
        <v>35</v>
      </c>
      <c r="D282" s="119"/>
      <c r="E282" s="119">
        <f>VLOOKUP(C282,'[2]AVTC 标准工时'!C:G,5,0)</f>
        <v>25</v>
      </c>
      <c r="F282" s="107">
        <v>46190</v>
      </c>
      <c r="G282" s="115">
        <v>153</v>
      </c>
      <c r="H282" s="6">
        <v>46199</v>
      </c>
      <c r="I282" s="125">
        <v>46186</v>
      </c>
      <c r="J282" s="13">
        <f t="shared" si="195"/>
        <v>0</v>
      </c>
      <c r="K282" s="177"/>
      <c r="L282" s="161">
        <v>153</v>
      </c>
      <c r="M282" s="136"/>
      <c r="N282" s="136"/>
      <c r="O282" s="136"/>
      <c r="P282" s="136"/>
      <c r="Q282" s="136"/>
      <c r="R282" s="136"/>
      <c r="S282" s="161"/>
      <c r="T282" s="161"/>
      <c r="U282" s="161"/>
      <c r="V282" s="161"/>
      <c r="W282" s="135"/>
      <c r="X282" s="135"/>
      <c r="Y282" s="135"/>
      <c r="Z282" s="135"/>
      <c r="AA282" s="135"/>
      <c r="AB282" s="135"/>
      <c r="AC282" s="136"/>
      <c r="AD282" s="136"/>
      <c r="AE282" s="161"/>
      <c r="AF282" s="161"/>
      <c r="AG282" s="161"/>
      <c r="AH282" s="161"/>
      <c r="AI282" s="161"/>
      <c r="AJ282" s="161"/>
      <c r="AK282" s="135"/>
      <c r="AL282" s="135"/>
      <c r="AM282" s="135"/>
      <c r="AN282" s="135"/>
      <c r="AO282" s="135"/>
      <c r="AP282" s="135"/>
      <c r="AQ282" s="136"/>
      <c r="AR282" s="136"/>
      <c r="AS282" s="161"/>
      <c r="AT282" s="161"/>
      <c r="AU282" s="161"/>
      <c r="AV282" s="161"/>
      <c r="AW282" s="161"/>
      <c r="AX282" s="161"/>
      <c r="AY282" s="135"/>
      <c r="AZ282" s="135"/>
      <c r="BA282" s="135"/>
      <c r="BB282" s="135"/>
      <c r="BC282" s="135"/>
      <c r="BD282" s="135"/>
      <c r="BE282" s="136"/>
      <c r="BF282" s="136"/>
      <c r="BG282" s="161"/>
      <c r="BH282" s="161"/>
      <c r="BI282" s="161"/>
      <c r="BJ282" s="161"/>
      <c r="BK282" s="161"/>
      <c r="BL282" s="161"/>
      <c r="BM282" s="135"/>
      <c r="BN282" s="135"/>
      <c r="BO282" s="135"/>
      <c r="BP282" s="135"/>
      <c r="BQ282" s="135"/>
      <c r="BR282" s="135"/>
      <c r="BS282" s="136"/>
      <c r="BT282" s="136"/>
      <c r="BU282" s="161"/>
      <c r="BV282" s="161"/>
      <c r="BW282" s="161"/>
      <c r="BX282" s="161"/>
      <c r="BY282" s="161"/>
      <c r="BZ282" s="161"/>
      <c r="CA282" s="135"/>
      <c r="CB282" s="135"/>
      <c r="CC282" s="135"/>
      <c r="CD282" s="135"/>
      <c r="CE282" s="135"/>
      <c r="CF282" s="135"/>
      <c r="CG282" s="136"/>
      <c r="CH282" s="136"/>
      <c r="CI282" s="161"/>
      <c r="CJ282" s="161"/>
      <c r="CK282" s="161"/>
      <c r="CL282" s="161"/>
      <c r="CM282" s="161"/>
      <c r="CN282" s="161"/>
      <c r="CO282" s="135"/>
      <c r="CP282" s="135"/>
      <c r="CQ282" s="135"/>
      <c r="CR282" s="135"/>
      <c r="CS282" s="135"/>
      <c r="CT282" s="135"/>
      <c r="CU282" s="136"/>
      <c r="CV282" s="136"/>
      <c r="CW282" s="161"/>
      <c r="CX282" s="161"/>
      <c r="CY282" s="161"/>
      <c r="CZ282" s="161"/>
      <c r="DA282" s="161"/>
      <c r="DB282" s="161"/>
      <c r="DC282" s="135"/>
      <c r="DD282" s="135"/>
      <c r="DE282" s="135"/>
      <c r="DF282" s="135"/>
      <c r="DG282" s="135"/>
      <c r="DH282" s="135"/>
      <c r="DI282" s="136"/>
      <c r="DJ282" s="136"/>
      <c r="DK282" s="161"/>
      <c r="DL282" s="161"/>
      <c r="DM282" s="161"/>
      <c r="DN282" s="161"/>
      <c r="DO282" s="161"/>
      <c r="DP282" s="161"/>
      <c r="DQ282" s="135"/>
      <c r="DR282" s="135"/>
      <c r="DS282" s="135"/>
      <c r="DT282" s="135"/>
      <c r="DU282" s="135"/>
      <c r="DV282" s="135"/>
      <c r="DW282" s="136"/>
      <c r="DX282" s="136"/>
      <c r="DY282" s="161"/>
      <c r="DZ282" s="161"/>
      <c r="EA282" s="161"/>
      <c r="EB282" s="161"/>
      <c r="EC282" s="161"/>
      <c r="ED282" s="161"/>
      <c r="EE282" s="135"/>
      <c r="EF282" s="135"/>
      <c r="EG282" s="135"/>
      <c r="EH282" s="135"/>
      <c r="EI282" s="135"/>
      <c r="EJ282" s="135"/>
      <c r="EK282" s="136"/>
      <c r="EL282" s="136"/>
      <c r="EM282" s="136"/>
      <c r="EN282" s="136"/>
      <c r="EO282" s="136"/>
      <c r="EP282" s="136"/>
      <c r="EQ282" s="136"/>
      <c r="ER282" s="136"/>
      <c r="ES282" s="135"/>
      <c r="ET282" s="135"/>
      <c r="EU282" s="135"/>
      <c r="EV282" s="135"/>
      <c r="EW282" s="135"/>
      <c r="EX282" s="135"/>
      <c r="EY282" s="136"/>
      <c r="EZ282" s="136"/>
      <c r="FA282" s="161"/>
      <c r="FB282" s="161"/>
      <c r="FC282" s="161"/>
      <c r="FD282" s="161"/>
      <c r="FE282" s="161"/>
      <c r="FF282" s="161"/>
      <c r="FG282" s="135"/>
      <c r="FH282" s="135"/>
      <c r="FI282" s="135"/>
      <c r="FJ282" s="135"/>
      <c r="FK282" s="135"/>
      <c r="FL282" s="135"/>
      <c r="FM282" s="136"/>
      <c r="FN282" s="136"/>
      <c r="FO282" s="161"/>
      <c r="FP282" s="161"/>
      <c r="FQ282" s="161"/>
      <c r="FR282" s="161"/>
      <c r="FS282" s="161"/>
      <c r="FT282" s="161"/>
      <c r="FU282" s="135"/>
      <c r="FV282" s="135"/>
      <c r="FW282" s="135"/>
      <c r="FX282" s="135"/>
      <c r="FY282" s="135"/>
      <c r="FZ282" s="135"/>
      <c r="GA282" s="136"/>
      <c r="GB282" s="136"/>
      <c r="GC282" s="161"/>
      <c r="GD282" s="161"/>
      <c r="GE282" s="161"/>
      <c r="GF282" s="161"/>
      <c r="GG282" s="161"/>
      <c r="GH282" s="161"/>
      <c r="GI282" s="135"/>
      <c r="GJ282" s="135"/>
      <c r="GK282" s="135"/>
      <c r="GL282" s="135"/>
      <c r="GM282" s="135"/>
      <c r="GN282" s="135"/>
    </row>
    <row r="283" spans="1:196" hidden="1">
      <c r="A283" s="155"/>
      <c r="B283" s="126" t="s">
        <v>729</v>
      </c>
      <c r="C283" s="109" t="s">
        <v>726</v>
      </c>
      <c r="D283" s="119"/>
      <c r="E283" s="119" t="e">
        <f>VLOOKUP(C283,'[2]AVTC 标准工时'!C:G,5,0)</f>
        <v>#N/A</v>
      </c>
      <c r="F283" s="107">
        <v>46195</v>
      </c>
      <c r="G283" s="115">
        <v>150</v>
      </c>
      <c r="H283" s="6"/>
      <c r="I283" s="125">
        <v>46193</v>
      </c>
      <c r="J283" s="13">
        <f t="shared" si="195"/>
        <v>0</v>
      </c>
      <c r="K283" s="141"/>
      <c r="L283" s="161">
        <v>150</v>
      </c>
      <c r="M283" s="136"/>
      <c r="N283" s="136"/>
      <c r="O283" s="136"/>
      <c r="P283" s="136"/>
      <c r="Q283" s="136"/>
      <c r="R283" s="136"/>
      <c r="S283" s="161"/>
      <c r="T283" s="161"/>
      <c r="U283" s="161"/>
      <c r="V283" s="161"/>
      <c r="W283" s="135"/>
      <c r="X283" s="135"/>
      <c r="Y283" s="135"/>
      <c r="Z283" s="135"/>
      <c r="AA283" s="135"/>
      <c r="AB283" s="135"/>
      <c r="AC283" s="136"/>
      <c r="AD283" s="136"/>
      <c r="AE283" s="161"/>
      <c r="AF283" s="161"/>
      <c r="AG283" s="161"/>
      <c r="AH283" s="161"/>
      <c r="AI283" s="161"/>
      <c r="AJ283" s="161"/>
      <c r="AK283" s="135"/>
      <c r="AL283" s="135"/>
      <c r="AM283" s="135"/>
      <c r="AN283" s="135"/>
      <c r="AO283" s="135"/>
      <c r="AP283" s="135"/>
      <c r="AQ283" s="136"/>
      <c r="AR283" s="136"/>
      <c r="AS283" s="161"/>
      <c r="AT283" s="161"/>
      <c r="AU283" s="161"/>
      <c r="AV283" s="161"/>
      <c r="AW283" s="161"/>
      <c r="AX283" s="161"/>
      <c r="AY283" s="135"/>
      <c r="AZ283" s="135"/>
      <c r="BA283" s="135"/>
      <c r="BB283" s="135"/>
      <c r="BC283" s="135"/>
      <c r="BD283" s="135"/>
      <c r="BE283" s="136"/>
      <c r="BF283" s="136"/>
      <c r="BG283" s="161"/>
      <c r="BH283" s="161"/>
      <c r="BI283" s="161"/>
      <c r="BJ283" s="161"/>
      <c r="BK283" s="161"/>
      <c r="BL283" s="161"/>
      <c r="BM283" s="135"/>
      <c r="BN283" s="135"/>
      <c r="BO283" s="135"/>
      <c r="BP283" s="135"/>
      <c r="BQ283" s="135"/>
      <c r="BR283" s="135"/>
      <c r="BS283" s="136"/>
      <c r="BT283" s="136"/>
      <c r="BU283" s="161"/>
      <c r="BV283" s="161"/>
      <c r="BW283" s="161"/>
      <c r="BX283" s="161"/>
      <c r="BY283" s="161"/>
      <c r="BZ283" s="161"/>
      <c r="CA283" s="135"/>
      <c r="CB283" s="135"/>
      <c r="CC283" s="135"/>
      <c r="CD283" s="135"/>
      <c r="CE283" s="135"/>
      <c r="CF283" s="135"/>
      <c r="CG283" s="136"/>
      <c r="CH283" s="136"/>
      <c r="CI283" s="161"/>
      <c r="CJ283" s="161"/>
      <c r="CK283" s="161"/>
      <c r="CL283" s="161"/>
      <c r="CM283" s="161"/>
      <c r="CN283" s="161"/>
      <c r="CO283" s="135"/>
      <c r="CP283" s="135"/>
      <c r="CQ283" s="135"/>
      <c r="CR283" s="135"/>
      <c r="CS283" s="135"/>
      <c r="CT283" s="135"/>
      <c r="CU283" s="136"/>
      <c r="CV283" s="136"/>
      <c r="CW283" s="161"/>
      <c r="CX283" s="161"/>
      <c r="CY283" s="161"/>
      <c r="CZ283" s="161"/>
      <c r="DA283" s="161"/>
      <c r="DB283" s="161"/>
      <c r="DC283" s="135"/>
      <c r="DD283" s="135"/>
      <c r="DE283" s="135"/>
      <c r="DF283" s="135"/>
      <c r="DG283" s="135"/>
      <c r="DH283" s="135"/>
      <c r="DI283" s="136"/>
      <c r="DJ283" s="136"/>
      <c r="DK283" s="161"/>
      <c r="DL283" s="161"/>
      <c r="DM283" s="161"/>
      <c r="DN283" s="161"/>
      <c r="DO283" s="161"/>
      <c r="DP283" s="161"/>
      <c r="DQ283" s="135"/>
      <c r="DR283" s="135"/>
      <c r="DS283" s="135"/>
      <c r="DT283" s="135"/>
      <c r="DU283" s="135"/>
      <c r="DV283" s="135"/>
      <c r="DW283" s="136"/>
      <c r="DX283" s="136"/>
      <c r="DY283" s="161"/>
      <c r="DZ283" s="161"/>
      <c r="EA283" s="161"/>
      <c r="EB283" s="161"/>
      <c r="EC283" s="161"/>
      <c r="ED283" s="161"/>
      <c r="EE283" s="135"/>
      <c r="EF283" s="135"/>
      <c r="EG283" s="135"/>
      <c r="EH283" s="135"/>
      <c r="EI283" s="135"/>
      <c r="EJ283" s="135"/>
      <c r="EK283" s="136"/>
      <c r="EL283" s="136"/>
      <c r="EM283" s="136"/>
      <c r="EN283" s="136"/>
      <c r="EO283" s="136"/>
      <c r="EP283" s="136"/>
      <c r="EQ283" s="136"/>
      <c r="ER283" s="136"/>
      <c r="ES283" s="135"/>
      <c r="ET283" s="135"/>
      <c r="EU283" s="135"/>
      <c r="EV283" s="135"/>
      <c r="EW283" s="135"/>
      <c r="EX283" s="135"/>
      <c r="EY283" s="136"/>
      <c r="EZ283" s="136"/>
      <c r="FA283" s="161"/>
      <c r="FB283" s="161"/>
      <c r="FC283" s="161"/>
      <c r="FD283" s="161"/>
      <c r="FE283" s="161"/>
      <c r="FF283" s="161"/>
      <c r="FG283" s="135"/>
      <c r="FH283" s="135"/>
      <c r="FI283" s="135"/>
      <c r="FJ283" s="135"/>
      <c r="FK283" s="135"/>
      <c r="FL283" s="135"/>
      <c r="FM283" s="136"/>
      <c r="FN283" s="136"/>
      <c r="FO283" s="161"/>
      <c r="FP283" s="161"/>
      <c r="FQ283" s="161"/>
      <c r="FR283" s="161"/>
      <c r="FS283" s="161"/>
      <c r="FT283" s="161"/>
      <c r="FU283" s="135"/>
      <c r="FV283" s="135"/>
      <c r="FW283" s="135"/>
      <c r="FX283" s="135"/>
      <c r="FY283" s="135"/>
      <c r="FZ283" s="135"/>
      <c r="GA283" s="136"/>
      <c r="GB283" s="136"/>
      <c r="GC283" s="161"/>
      <c r="GD283" s="161"/>
      <c r="GE283" s="161"/>
      <c r="GF283" s="161"/>
      <c r="GG283" s="161"/>
      <c r="GH283" s="161"/>
      <c r="GI283" s="135"/>
      <c r="GJ283" s="135"/>
      <c r="GK283" s="135"/>
      <c r="GL283" s="135"/>
      <c r="GM283" s="135"/>
      <c r="GN283" s="135"/>
    </row>
    <row r="284" spans="1:196" ht="16" hidden="1" customHeight="1">
      <c r="A284" s="155"/>
      <c r="B284" s="126"/>
      <c r="C284" s="157" t="s">
        <v>887</v>
      </c>
      <c r="D284" s="138"/>
      <c r="E284" s="138" t="e">
        <f>VLOOKUP(C284,'[2]AVTC 标准工时'!C:G,5,0)</f>
        <v>#N/A</v>
      </c>
      <c r="F284" s="129"/>
      <c r="G284" s="130">
        <v>136</v>
      </c>
      <c r="H284" s="129"/>
      <c r="I284" s="110">
        <v>46186</v>
      </c>
      <c r="J284" s="111">
        <f t="shared" si="195"/>
        <v>0</v>
      </c>
      <c r="K284" s="141"/>
      <c r="L284" s="161">
        <v>136</v>
      </c>
      <c r="M284" s="136"/>
      <c r="N284" s="136"/>
      <c r="O284" s="136"/>
      <c r="P284" s="136"/>
      <c r="Q284" s="136"/>
      <c r="R284" s="136"/>
      <c r="S284" s="161"/>
      <c r="T284" s="161"/>
      <c r="U284" s="161"/>
      <c r="V284" s="161"/>
      <c r="W284" s="135"/>
      <c r="X284" s="135"/>
      <c r="Y284" s="135"/>
      <c r="Z284" s="135"/>
      <c r="AA284" s="135"/>
      <c r="AB284" s="135"/>
      <c r="AC284" s="136"/>
      <c r="AD284" s="136"/>
      <c r="AE284" s="161"/>
      <c r="AF284" s="161"/>
      <c r="AG284" s="161"/>
      <c r="AH284" s="161"/>
      <c r="AI284" s="161"/>
      <c r="AJ284" s="161"/>
      <c r="AK284" s="135"/>
      <c r="AL284" s="135"/>
      <c r="AM284" s="135"/>
      <c r="AN284" s="135"/>
      <c r="AO284" s="135"/>
      <c r="AP284" s="135"/>
      <c r="AQ284" s="136"/>
      <c r="AR284" s="136"/>
      <c r="AS284" s="161"/>
      <c r="AT284" s="161"/>
      <c r="AU284" s="161"/>
      <c r="AV284" s="161"/>
      <c r="AW284" s="161"/>
      <c r="AX284" s="161"/>
      <c r="AY284" s="135"/>
      <c r="AZ284" s="135"/>
      <c r="BA284" s="135"/>
      <c r="BB284" s="135"/>
      <c r="BC284" s="135"/>
      <c r="BD284" s="135"/>
      <c r="BE284" s="136"/>
      <c r="BF284" s="136"/>
      <c r="BG284" s="161"/>
      <c r="BH284" s="161"/>
      <c r="BI284" s="161"/>
      <c r="BJ284" s="161"/>
      <c r="BK284" s="161"/>
      <c r="BL284" s="161"/>
      <c r="BM284" s="135"/>
      <c r="BN284" s="135"/>
      <c r="BO284" s="135"/>
      <c r="BP284" s="135"/>
      <c r="BQ284" s="135"/>
      <c r="BR284" s="135"/>
      <c r="BS284" s="136"/>
      <c r="BT284" s="136"/>
      <c r="BU284" s="161"/>
      <c r="BV284" s="161"/>
      <c r="BW284" s="161"/>
      <c r="BX284" s="161"/>
      <c r="BY284" s="161"/>
      <c r="BZ284" s="161"/>
      <c r="CA284" s="135"/>
      <c r="CB284" s="135"/>
      <c r="CC284" s="135"/>
      <c r="CD284" s="135"/>
      <c r="CE284" s="135"/>
      <c r="CF284" s="135"/>
      <c r="CG284" s="136"/>
      <c r="CH284" s="136"/>
      <c r="CI284" s="161"/>
      <c r="CJ284" s="161"/>
      <c r="CK284" s="161"/>
      <c r="CL284" s="161"/>
      <c r="CM284" s="161"/>
      <c r="CN284" s="161"/>
      <c r="CO284" s="135"/>
      <c r="CP284" s="135"/>
      <c r="CQ284" s="135"/>
      <c r="CR284" s="135"/>
      <c r="CS284" s="135"/>
      <c r="CT284" s="135"/>
      <c r="CU284" s="136"/>
      <c r="CV284" s="136"/>
      <c r="CW284" s="161"/>
      <c r="CX284" s="161"/>
      <c r="CY284" s="161"/>
      <c r="CZ284" s="161"/>
      <c r="DA284" s="161"/>
      <c r="DB284" s="161"/>
      <c r="DC284" s="135"/>
      <c r="DD284" s="135"/>
      <c r="DE284" s="135"/>
      <c r="DF284" s="135"/>
      <c r="DG284" s="135"/>
      <c r="DH284" s="135"/>
      <c r="DI284" s="136"/>
      <c r="DJ284" s="136"/>
      <c r="DK284" s="161"/>
      <c r="DL284" s="161"/>
      <c r="DM284" s="161"/>
      <c r="DN284" s="161"/>
      <c r="DO284" s="161"/>
      <c r="DP284" s="161"/>
      <c r="DQ284" s="135"/>
      <c r="DR284" s="135"/>
      <c r="DS284" s="135"/>
      <c r="DT284" s="135"/>
      <c r="DU284" s="135"/>
      <c r="DV284" s="135"/>
      <c r="DW284" s="136"/>
      <c r="DX284" s="136"/>
      <c r="DY284" s="161"/>
      <c r="DZ284" s="161"/>
      <c r="EA284" s="161"/>
      <c r="EB284" s="161"/>
      <c r="EC284" s="161"/>
      <c r="ED284" s="161"/>
      <c r="EE284" s="135"/>
      <c r="EF284" s="135"/>
      <c r="EG284" s="135"/>
      <c r="EH284" s="135"/>
      <c r="EI284" s="135"/>
      <c r="EJ284" s="135"/>
      <c r="EK284" s="136"/>
      <c r="EL284" s="136"/>
      <c r="EM284" s="136"/>
      <c r="EN284" s="136"/>
      <c r="EO284" s="136"/>
      <c r="EP284" s="136"/>
      <c r="EQ284" s="136"/>
      <c r="ER284" s="136"/>
      <c r="ES284" s="135"/>
      <c r="ET284" s="135"/>
      <c r="EU284" s="135"/>
      <c r="EV284" s="135"/>
      <c r="EW284" s="135"/>
      <c r="EX284" s="135"/>
      <c r="EY284" s="136"/>
      <c r="EZ284" s="136"/>
      <c r="FA284" s="161"/>
      <c r="FB284" s="161"/>
      <c r="FC284" s="161"/>
      <c r="FD284" s="161"/>
      <c r="FE284" s="161"/>
      <c r="FF284" s="161"/>
      <c r="FG284" s="135"/>
      <c r="FH284" s="135"/>
      <c r="FI284" s="135"/>
      <c r="FJ284" s="135"/>
      <c r="FK284" s="135"/>
      <c r="FL284" s="135"/>
      <c r="FM284" s="136"/>
      <c r="FN284" s="136"/>
      <c r="FO284" s="161"/>
      <c r="FP284" s="161"/>
      <c r="FQ284" s="161"/>
      <c r="FR284" s="161"/>
      <c r="FS284" s="161"/>
      <c r="FT284" s="161"/>
      <c r="FU284" s="135"/>
      <c r="FV284" s="135"/>
      <c r="FW284" s="135"/>
      <c r="FX284" s="135"/>
      <c r="FY284" s="135"/>
      <c r="FZ284" s="135"/>
      <c r="GA284" s="136"/>
      <c r="GB284" s="136"/>
      <c r="GC284" s="161"/>
      <c r="GD284" s="161"/>
      <c r="GE284" s="161"/>
      <c r="GF284" s="161"/>
      <c r="GG284" s="161"/>
      <c r="GH284" s="161"/>
      <c r="GI284" s="135"/>
      <c r="GJ284" s="135"/>
      <c r="GK284" s="135"/>
      <c r="GL284" s="135"/>
      <c r="GM284" s="135"/>
      <c r="GN284" s="135"/>
    </row>
    <row r="285" spans="1:196" hidden="1">
      <c r="A285" s="155"/>
      <c r="B285" s="126" t="s">
        <v>845</v>
      </c>
      <c r="C285" s="109" t="s">
        <v>241</v>
      </c>
      <c r="D285" s="119"/>
      <c r="E285" s="119"/>
      <c r="F285" s="107">
        <v>46196</v>
      </c>
      <c r="G285" s="115">
        <v>84</v>
      </c>
      <c r="H285" s="6"/>
      <c r="I285" s="125">
        <v>46186</v>
      </c>
      <c r="J285" s="13">
        <f t="shared" si="195"/>
        <v>0</v>
      </c>
      <c r="K285" s="141"/>
      <c r="L285" s="161">
        <v>84</v>
      </c>
      <c r="M285" s="136"/>
      <c r="N285" s="136"/>
      <c r="O285" s="136"/>
      <c r="P285" s="136"/>
      <c r="Q285" s="136"/>
      <c r="R285" s="136"/>
      <c r="S285" s="161"/>
      <c r="T285" s="161"/>
      <c r="U285" s="161"/>
      <c r="V285" s="161"/>
      <c r="W285" s="135"/>
      <c r="X285" s="135"/>
      <c r="Y285" s="135"/>
      <c r="Z285" s="135"/>
      <c r="AA285" s="135"/>
      <c r="AB285" s="135"/>
      <c r="AC285" s="136"/>
      <c r="AD285" s="136"/>
      <c r="AE285" s="161"/>
      <c r="AF285" s="161"/>
      <c r="AG285" s="161"/>
      <c r="AH285" s="161"/>
      <c r="AI285" s="161"/>
      <c r="AJ285" s="161"/>
      <c r="AK285" s="135"/>
      <c r="AL285" s="135"/>
      <c r="AM285" s="135"/>
      <c r="AN285" s="135"/>
      <c r="AO285" s="135"/>
      <c r="AP285" s="135"/>
      <c r="AQ285" s="136"/>
      <c r="AR285" s="136"/>
      <c r="AS285" s="161"/>
      <c r="AT285" s="161"/>
      <c r="AU285" s="161"/>
      <c r="AV285" s="161"/>
      <c r="AW285" s="161"/>
      <c r="AX285" s="161"/>
      <c r="AY285" s="135"/>
      <c r="AZ285" s="135"/>
      <c r="BA285" s="135"/>
      <c r="BB285" s="135"/>
      <c r="BC285" s="135"/>
      <c r="BD285" s="135"/>
      <c r="BE285" s="136"/>
      <c r="BF285" s="136"/>
      <c r="BG285" s="161"/>
      <c r="BH285" s="161"/>
      <c r="BI285" s="161"/>
      <c r="BJ285" s="161"/>
      <c r="BK285" s="161"/>
      <c r="BL285" s="161"/>
      <c r="BM285" s="135"/>
      <c r="BN285" s="135"/>
      <c r="BO285" s="135"/>
      <c r="BP285" s="135"/>
      <c r="BQ285" s="135"/>
      <c r="BR285" s="135"/>
      <c r="BS285" s="136"/>
      <c r="BT285" s="136"/>
      <c r="BU285" s="161"/>
      <c r="BV285" s="161"/>
      <c r="BW285" s="161"/>
      <c r="BX285" s="161"/>
      <c r="BY285" s="161"/>
      <c r="BZ285" s="161"/>
      <c r="CA285" s="135"/>
      <c r="CB285" s="135"/>
      <c r="CC285" s="135"/>
      <c r="CD285" s="135"/>
      <c r="CE285" s="135"/>
      <c r="CF285" s="135"/>
      <c r="CG285" s="136"/>
      <c r="CH285" s="136"/>
      <c r="CI285" s="161"/>
      <c r="CJ285" s="161"/>
      <c r="CK285" s="161"/>
      <c r="CL285" s="161"/>
      <c r="CM285" s="161"/>
      <c r="CN285" s="161"/>
      <c r="CO285" s="135"/>
      <c r="CP285" s="135"/>
      <c r="CQ285" s="135"/>
      <c r="CR285" s="135"/>
      <c r="CS285" s="135"/>
      <c r="CT285" s="135"/>
      <c r="CU285" s="136"/>
      <c r="CV285" s="136"/>
      <c r="CW285" s="161"/>
      <c r="CX285" s="161"/>
      <c r="CY285" s="161"/>
      <c r="CZ285" s="161"/>
      <c r="DA285" s="161"/>
      <c r="DB285" s="161"/>
      <c r="DC285" s="135"/>
      <c r="DD285" s="135"/>
      <c r="DE285" s="135"/>
      <c r="DF285" s="135"/>
      <c r="DG285" s="135"/>
      <c r="DH285" s="135"/>
      <c r="DI285" s="136"/>
      <c r="DJ285" s="136"/>
      <c r="DK285" s="161"/>
      <c r="DL285" s="161"/>
      <c r="DM285" s="161"/>
      <c r="DN285" s="161"/>
      <c r="DO285" s="161"/>
      <c r="DP285" s="161"/>
      <c r="DQ285" s="135"/>
      <c r="DR285" s="135"/>
      <c r="DS285" s="135"/>
      <c r="DT285" s="135"/>
      <c r="DU285" s="135"/>
      <c r="DV285" s="135"/>
      <c r="DW285" s="136"/>
      <c r="DX285" s="136"/>
      <c r="DY285" s="161"/>
      <c r="DZ285" s="161"/>
      <c r="EA285" s="161"/>
      <c r="EB285" s="161"/>
      <c r="EC285" s="161"/>
      <c r="ED285" s="161"/>
      <c r="EE285" s="135"/>
      <c r="EF285" s="135"/>
      <c r="EG285" s="135"/>
      <c r="EH285" s="135"/>
      <c r="EI285" s="135"/>
      <c r="EJ285" s="135"/>
      <c r="EK285" s="136"/>
      <c r="EL285" s="136"/>
      <c r="EM285" s="136"/>
      <c r="EN285" s="136"/>
      <c r="EO285" s="136"/>
      <c r="EP285" s="136"/>
      <c r="EQ285" s="136"/>
      <c r="ER285" s="136"/>
      <c r="ES285" s="135"/>
      <c r="ET285" s="135"/>
      <c r="EU285" s="135"/>
      <c r="EV285" s="135"/>
      <c r="EW285" s="135"/>
      <c r="EX285" s="135"/>
      <c r="EY285" s="136"/>
      <c r="EZ285" s="136"/>
      <c r="FA285" s="161"/>
      <c r="FB285" s="161"/>
      <c r="FC285" s="161"/>
      <c r="FD285" s="161"/>
      <c r="FE285" s="161"/>
      <c r="FF285" s="161"/>
      <c r="FG285" s="135"/>
      <c r="FH285" s="135"/>
      <c r="FI285" s="135"/>
      <c r="FJ285" s="135"/>
      <c r="FK285" s="135"/>
      <c r="FL285" s="135"/>
      <c r="FM285" s="136"/>
      <c r="FN285" s="136"/>
      <c r="FO285" s="161"/>
      <c r="FP285" s="161"/>
      <c r="FQ285" s="161"/>
      <c r="FR285" s="161"/>
      <c r="FS285" s="161"/>
      <c r="FT285" s="161"/>
      <c r="FU285" s="135"/>
      <c r="FV285" s="135"/>
      <c r="FW285" s="135"/>
      <c r="FX285" s="135"/>
      <c r="FY285" s="135"/>
      <c r="FZ285" s="135"/>
      <c r="GA285" s="136"/>
      <c r="GB285" s="136"/>
      <c r="GC285" s="161"/>
      <c r="GD285" s="161"/>
      <c r="GE285" s="161"/>
      <c r="GF285" s="161"/>
      <c r="GG285" s="161"/>
      <c r="GH285" s="161"/>
      <c r="GI285" s="135"/>
      <c r="GJ285" s="135"/>
      <c r="GK285" s="135"/>
      <c r="GL285" s="135"/>
      <c r="GM285" s="135"/>
      <c r="GN285" s="135"/>
    </row>
    <row r="286" spans="1:196" ht="14" hidden="1" customHeight="1">
      <c r="A286" s="155"/>
      <c r="B286" s="126" t="s">
        <v>896</v>
      </c>
      <c r="C286" s="109" t="s">
        <v>605</v>
      </c>
      <c r="D286" s="119"/>
      <c r="E286" s="119">
        <f>VLOOKUP(C286,'[2]AVTC 标准工时'!C:G,5,0)</f>
        <v>40</v>
      </c>
      <c r="F286" s="107">
        <v>46202</v>
      </c>
      <c r="G286" s="115">
        <v>700</v>
      </c>
      <c r="H286" s="6"/>
      <c r="I286" s="125">
        <v>46186</v>
      </c>
      <c r="J286" s="13">
        <f t="shared" si="195"/>
        <v>0</v>
      </c>
      <c r="K286" s="141"/>
      <c r="L286" s="161"/>
      <c r="M286" s="136"/>
      <c r="N286" s="136"/>
      <c r="O286" s="136"/>
      <c r="P286" s="136"/>
      <c r="Q286" s="136"/>
      <c r="R286" s="136"/>
      <c r="S286" s="161"/>
      <c r="T286" s="161"/>
      <c r="U286" s="161">
        <v>294</v>
      </c>
      <c r="V286" s="135"/>
      <c r="W286" s="161">
        <v>325</v>
      </c>
      <c r="X286" s="161"/>
      <c r="Y286" s="161">
        <v>81</v>
      </c>
      <c r="Z286" s="161"/>
      <c r="AA286" s="161"/>
      <c r="AB286" s="161"/>
      <c r="AC286" s="136"/>
      <c r="AD286" s="136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36"/>
      <c r="AR286" s="136"/>
      <c r="AS286" s="161"/>
      <c r="AT286" s="161"/>
      <c r="AU286" s="161"/>
      <c r="AV286" s="161"/>
      <c r="AW286" s="161"/>
      <c r="AX286" s="161"/>
      <c r="AY286" s="161"/>
      <c r="AZ286" s="161"/>
      <c r="BA286" s="161"/>
      <c r="BB286" s="161"/>
      <c r="BC286" s="161"/>
      <c r="BD286" s="161"/>
      <c r="BE286" s="136"/>
      <c r="BF286" s="136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36"/>
      <c r="BT286" s="136"/>
      <c r="BU286" s="161"/>
      <c r="BV286" s="161"/>
      <c r="BW286" s="161"/>
      <c r="BX286" s="161"/>
      <c r="BY286" s="161"/>
      <c r="BZ286" s="161"/>
      <c r="CA286" s="161"/>
      <c r="CB286" s="161"/>
      <c r="CC286" s="161"/>
      <c r="CD286" s="161"/>
      <c r="CE286" s="161"/>
      <c r="CF286" s="161"/>
      <c r="CG286" s="136"/>
      <c r="CH286" s="136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36"/>
      <c r="CV286" s="136"/>
      <c r="CW286" s="161"/>
      <c r="CX286" s="161"/>
      <c r="CY286" s="161"/>
      <c r="CZ286" s="161"/>
      <c r="DA286" s="161"/>
      <c r="DB286" s="161"/>
      <c r="DC286" s="161"/>
      <c r="DD286" s="161"/>
      <c r="DE286" s="161"/>
      <c r="DF286" s="161"/>
      <c r="DG286" s="161"/>
      <c r="DH286" s="161"/>
      <c r="DI286" s="136"/>
      <c r="DJ286" s="136"/>
      <c r="DK286" s="161"/>
      <c r="DL286" s="161"/>
      <c r="DM286" s="161"/>
      <c r="DN286" s="161"/>
      <c r="DO286" s="161"/>
      <c r="DP286" s="161"/>
      <c r="DQ286" s="161"/>
      <c r="DR286" s="161"/>
      <c r="DS286" s="161"/>
      <c r="DT286" s="161"/>
      <c r="DU286" s="161"/>
      <c r="DV286" s="161"/>
      <c r="DW286" s="136"/>
      <c r="DX286" s="136"/>
      <c r="DY286" s="161"/>
      <c r="DZ286" s="161"/>
      <c r="EA286" s="161"/>
      <c r="EB286" s="161"/>
      <c r="EC286" s="161"/>
      <c r="ED286" s="161"/>
      <c r="EE286" s="161"/>
      <c r="EF286" s="161"/>
      <c r="EG286" s="161"/>
      <c r="EH286" s="161"/>
      <c r="EI286" s="161"/>
      <c r="EJ286" s="161"/>
      <c r="EK286" s="136"/>
      <c r="EL286" s="136"/>
      <c r="EM286" s="136"/>
      <c r="EN286" s="136"/>
      <c r="EO286" s="136"/>
      <c r="EP286" s="136"/>
      <c r="EQ286" s="136"/>
      <c r="ER286" s="136"/>
      <c r="ES286" s="161"/>
      <c r="ET286" s="161"/>
      <c r="EU286" s="161"/>
      <c r="EV286" s="161"/>
      <c r="EW286" s="161"/>
      <c r="EX286" s="161"/>
      <c r="EY286" s="136"/>
      <c r="EZ286" s="136"/>
      <c r="FA286" s="161"/>
      <c r="FB286" s="161"/>
      <c r="FC286" s="161"/>
      <c r="FD286" s="161"/>
      <c r="FE286" s="161"/>
      <c r="FF286" s="161"/>
      <c r="FG286" s="161"/>
      <c r="FH286" s="161"/>
      <c r="FI286" s="161"/>
      <c r="FJ286" s="161"/>
      <c r="FK286" s="161"/>
      <c r="FL286" s="161"/>
      <c r="FM286" s="136"/>
      <c r="FN286" s="136"/>
      <c r="FO286" s="161"/>
      <c r="FP286" s="161"/>
      <c r="FQ286" s="161"/>
      <c r="FR286" s="161"/>
      <c r="FS286" s="161"/>
      <c r="FT286" s="161"/>
      <c r="FU286" s="161"/>
      <c r="FV286" s="161"/>
      <c r="FW286" s="161"/>
      <c r="FX286" s="161"/>
      <c r="FY286" s="161"/>
      <c r="FZ286" s="161"/>
      <c r="GA286" s="136"/>
      <c r="GB286" s="136"/>
      <c r="GC286" s="161"/>
      <c r="GD286" s="161"/>
      <c r="GE286" s="161"/>
      <c r="GF286" s="161"/>
      <c r="GG286" s="161"/>
      <c r="GH286" s="161"/>
      <c r="GI286" s="161"/>
      <c r="GJ286" s="161"/>
      <c r="GK286" s="161"/>
      <c r="GL286" s="161"/>
      <c r="GM286" s="161"/>
      <c r="GN286" s="161"/>
    </row>
    <row r="287" spans="1:196" hidden="1">
      <c r="A287" s="155"/>
      <c r="B287" s="128" t="s">
        <v>769</v>
      </c>
      <c r="C287" s="157" t="s">
        <v>774</v>
      </c>
      <c r="D287" s="138"/>
      <c r="E287" s="138"/>
      <c r="F287" s="129"/>
      <c r="G287" s="130">
        <v>15</v>
      </c>
      <c r="H287" s="129"/>
      <c r="I287" s="110">
        <v>46183</v>
      </c>
      <c r="J287" s="111">
        <f t="shared" si="195"/>
        <v>0</v>
      </c>
      <c r="K287" s="141"/>
      <c r="L287" s="161"/>
      <c r="M287" s="136"/>
      <c r="N287" s="136"/>
      <c r="O287" s="136"/>
      <c r="P287" s="136"/>
      <c r="Q287" s="136"/>
      <c r="R287" s="136"/>
      <c r="S287" s="161"/>
      <c r="T287" s="161"/>
      <c r="U287" s="161"/>
      <c r="V287" s="161"/>
      <c r="W287" s="161"/>
      <c r="X287" s="161"/>
      <c r="Y287" s="161">
        <v>15</v>
      </c>
      <c r="Z287" s="161"/>
      <c r="AA287" s="161"/>
      <c r="AB287" s="161"/>
      <c r="AC287" s="136"/>
      <c r="AD287" s="136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36"/>
      <c r="AR287" s="136"/>
      <c r="AS287" s="161"/>
      <c r="AT287" s="161"/>
      <c r="AU287" s="161"/>
      <c r="AV287" s="161"/>
      <c r="AW287" s="161"/>
      <c r="AX287" s="161"/>
      <c r="AY287" s="161"/>
      <c r="AZ287" s="161"/>
      <c r="BA287" s="161"/>
      <c r="BB287" s="161"/>
      <c r="BC287" s="161"/>
      <c r="BD287" s="161"/>
      <c r="BE287" s="136"/>
      <c r="BF287" s="136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36"/>
      <c r="BT287" s="136"/>
      <c r="BU287" s="161"/>
      <c r="BV287" s="161"/>
      <c r="BW287" s="161"/>
      <c r="BX287" s="161"/>
      <c r="BY287" s="161"/>
      <c r="BZ287" s="161"/>
      <c r="CA287" s="161"/>
      <c r="CB287" s="161"/>
      <c r="CC287" s="161"/>
      <c r="CD287" s="161"/>
      <c r="CE287" s="161"/>
      <c r="CF287" s="161"/>
      <c r="CG287" s="136"/>
      <c r="CH287" s="136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36"/>
      <c r="CV287" s="136"/>
      <c r="CW287" s="161"/>
      <c r="CX287" s="161"/>
      <c r="CY287" s="161"/>
      <c r="CZ287" s="161"/>
      <c r="DA287" s="161"/>
      <c r="DB287" s="161"/>
      <c r="DC287" s="161"/>
      <c r="DD287" s="161"/>
      <c r="DE287" s="161"/>
      <c r="DF287" s="161"/>
      <c r="DG287" s="161"/>
      <c r="DH287" s="161"/>
      <c r="DI287" s="136"/>
      <c r="DJ287" s="136"/>
      <c r="DK287" s="161"/>
      <c r="DL287" s="161"/>
      <c r="DM287" s="161"/>
      <c r="DN287" s="161"/>
      <c r="DO287" s="161"/>
      <c r="DP287" s="161"/>
      <c r="DQ287" s="161"/>
      <c r="DR287" s="161"/>
      <c r="DS287" s="161"/>
      <c r="DT287" s="161"/>
      <c r="DU287" s="161"/>
      <c r="DV287" s="161"/>
      <c r="DW287" s="136"/>
      <c r="DX287" s="136"/>
      <c r="DY287" s="161"/>
      <c r="DZ287" s="161"/>
      <c r="EA287" s="161"/>
      <c r="EB287" s="161"/>
      <c r="EC287" s="161"/>
      <c r="ED287" s="161"/>
      <c r="EE287" s="161"/>
      <c r="EF287" s="161"/>
      <c r="EG287" s="161"/>
      <c r="EH287" s="161"/>
      <c r="EI287" s="161"/>
      <c r="EJ287" s="161"/>
      <c r="EK287" s="136"/>
      <c r="EL287" s="136"/>
      <c r="EM287" s="136"/>
      <c r="EN287" s="136"/>
      <c r="EO287" s="136"/>
      <c r="EP287" s="136"/>
      <c r="EQ287" s="136"/>
      <c r="ER287" s="136"/>
      <c r="ES287" s="161"/>
      <c r="ET287" s="161"/>
      <c r="EU287" s="161"/>
      <c r="EV287" s="161"/>
      <c r="EW287" s="161"/>
      <c r="EX287" s="161"/>
      <c r="EY287" s="136"/>
      <c r="EZ287" s="136"/>
      <c r="FA287" s="161"/>
      <c r="FB287" s="161"/>
      <c r="FC287" s="161"/>
      <c r="FD287" s="161"/>
      <c r="FE287" s="161"/>
      <c r="FF287" s="161"/>
      <c r="FG287" s="161"/>
      <c r="FH287" s="161"/>
      <c r="FI287" s="161"/>
      <c r="FJ287" s="161"/>
      <c r="FK287" s="161"/>
      <c r="FL287" s="161"/>
      <c r="FM287" s="136"/>
      <c r="FN287" s="136"/>
      <c r="FO287" s="161"/>
      <c r="FP287" s="161"/>
      <c r="FQ287" s="161"/>
      <c r="FR287" s="161"/>
      <c r="FS287" s="161"/>
      <c r="FT287" s="161"/>
      <c r="FU287" s="161"/>
      <c r="FV287" s="161"/>
      <c r="FW287" s="161"/>
      <c r="FX287" s="161"/>
      <c r="FY287" s="161"/>
      <c r="FZ287" s="161"/>
      <c r="GA287" s="136"/>
      <c r="GB287" s="136"/>
      <c r="GC287" s="161"/>
      <c r="GD287" s="161"/>
      <c r="GE287" s="161"/>
      <c r="GF287" s="161"/>
      <c r="GG287" s="161"/>
      <c r="GH287" s="161"/>
      <c r="GI287" s="161"/>
      <c r="GJ287" s="161"/>
      <c r="GK287" s="161"/>
      <c r="GL287" s="161"/>
      <c r="GM287" s="161"/>
      <c r="GN287" s="161"/>
    </row>
    <row r="288" spans="1:196" hidden="1">
      <c r="A288" s="155"/>
      <c r="B288" s="126" t="s">
        <v>792</v>
      </c>
      <c r="C288" s="109" t="s">
        <v>242</v>
      </c>
      <c r="D288" s="119"/>
      <c r="E288" s="119">
        <f>VLOOKUP(C288,'[2]AVTC 标准工时'!C:G,5,0)</f>
        <v>40</v>
      </c>
      <c r="F288" s="107">
        <v>46207</v>
      </c>
      <c r="G288" s="115">
        <v>834</v>
      </c>
      <c r="H288" s="6"/>
      <c r="I288" s="125">
        <v>46207</v>
      </c>
      <c r="J288" s="13">
        <f t="shared" si="195"/>
        <v>0</v>
      </c>
      <c r="K288" s="141"/>
      <c r="L288" s="161"/>
      <c r="M288" s="136"/>
      <c r="N288" s="136"/>
      <c r="O288" s="136"/>
      <c r="P288" s="136"/>
      <c r="Q288" s="136"/>
      <c r="R288" s="136"/>
      <c r="S288" s="161"/>
      <c r="T288" s="161"/>
      <c r="U288" s="161"/>
      <c r="V288" s="161"/>
      <c r="W288" s="135"/>
      <c r="X288" s="135"/>
      <c r="Y288" s="135"/>
      <c r="Z288" s="135"/>
      <c r="AA288" s="135"/>
      <c r="AB288" s="135"/>
      <c r="AC288" s="136"/>
      <c r="AD288" s="136"/>
      <c r="AE288" s="135">
        <v>316</v>
      </c>
      <c r="AF288" s="161"/>
      <c r="AG288" s="161">
        <v>363</v>
      </c>
      <c r="AH288" s="161"/>
      <c r="AI288" s="161">
        <v>155</v>
      </c>
      <c r="AJ288" s="161"/>
      <c r="AK288" s="135"/>
      <c r="AL288" s="135"/>
      <c r="AM288" s="135"/>
      <c r="AN288" s="161"/>
      <c r="AO288" s="161"/>
      <c r="AP288" s="161"/>
      <c r="AQ288" s="136"/>
      <c r="AR288" s="136"/>
      <c r="AS288" s="135"/>
      <c r="AT288" s="161"/>
      <c r="AU288" s="161"/>
      <c r="AV288" s="161"/>
      <c r="AW288" s="161"/>
      <c r="AX288" s="161"/>
      <c r="AY288" s="135"/>
      <c r="AZ288" s="135"/>
      <c r="BA288" s="135"/>
      <c r="BB288" s="135"/>
      <c r="BC288" s="135"/>
      <c r="BD288" s="135"/>
      <c r="BE288" s="136"/>
      <c r="BF288" s="136"/>
      <c r="BG288" s="161"/>
      <c r="BH288" s="161"/>
      <c r="BI288" s="161"/>
      <c r="BJ288" s="161"/>
      <c r="BK288" s="161"/>
      <c r="BL288" s="161"/>
      <c r="BM288" s="135"/>
      <c r="BN288" s="135"/>
      <c r="BO288" s="135"/>
      <c r="BP288" s="135"/>
      <c r="BQ288" s="135"/>
      <c r="BR288" s="135"/>
      <c r="BS288" s="136"/>
      <c r="BT288" s="136"/>
      <c r="BU288" s="161"/>
      <c r="BV288" s="161"/>
      <c r="BW288" s="161"/>
      <c r="BX288" s="161"/>
      <c r="BY288" s="161"/>
      <c r="BZ288" s="161"/>
      <c r="CA288" s="135"/>
      <c r="CB288" s="135"/>
      <c r="CC288" s="135"/>
      <c r="CD288" s="135"/>
      <c r="CE288" s="135"/>
      <c r="CF288" s="135"/>
      <c r="CG288" s="136"/>
      <c r="CH288" s="136"/>
      <c r="CI288" s="161"/>
      <c r="CJ288" s="161"/>
      <c r="CK288" s="161"/>
      <c r="CL288" s="161"/>
      <c r="CM288" s="161"/>
      <c r="CN288" s="161"/>
      <c r="CO288" s="135"/>
      <c r="CP288" s="135"/>
      <c r="CQ288" s="135"/>
      <c r="CR288" s="135"/>
      <c r="CS288" s="135"/>
      <c r="CT288" s="135"/>
      <c r="CU288" s="136"/>
      <c r="CV288" s="136"/>
      <c r="CW288" s="161"/>
      <c r="CX288" s="161"/>
      <c r="CY288" s="161"/>
      <c r="CZ288" s="161"/>
      <c r="DA288" s="161"/>
      <c r="DB288" s="161"/>
      <c r="DC288" s="135"/>
      <c r="DD288" s="135"/>
      <c r="DE288" s="135"/>
      <c r="DF288" s="135"/>
      <c r="DG288" s="135"/>
      <c r="DH288" s="135"/>
      <c r="DI288" s="136"/>
      <c r="DJ288" s="136"/>
      <c r="DK288" s="161"/>
      <c r="DL288" s="161"/>
      <c r="DM288" s="161"/>
      <c r="DN288" s="161"/>
      <c r="DO288" s="161"/>
      <c r="DP288" s="161"/>
      <c r="DQ288" s="135"/>
      <c r="DR288" s="135"/>
      <c r="DS288" s="135"/>
      <c r="DT288" s="135"/>
      <c r="DU288" s="135"/>
      <c r="DV288" s="135"/>
      <c r="DW288" s="136"/>
      <c r="DX288" s="136"/>
      <c r="DY288" s="161"/>
      <c r="DZ288" s="161"/>
      <c r="EA288" s="161"/>
      <c r="EB288" s="161"/>
      <c r="EC288" s="161"/>
      <c r="ED288" s="161"/>
      <c r="EE288" s="135"/>
      <c r="EF288" s="135"/>
      <c r="EG288" s="135"/>
      <c r="EH288" s="135"/>
      <c r="EI288" s="135"/>
      <c r="EJ288" s="135"/>
      <c r="EK288" s="136"/>
      <c r="EL288" s="136"/>
      <c r="EM288" s="136"/>
      <c r="EN288" s="136"/>
      <c r="EO288" s="136"/>
      <c r="EP288" s="136"/>
      <c r="EQ288" s="136"/>
      <c r="ER288" s="136"/>
      <c r="ES288" s="135"/>
      <c r="ET288" s="135"/>
      <c r="EU288" s="135"/>
      <c r="EV288" s="135"/>
      <c r="EW288" s="135"/>
      <c r="EX288" s="135"/>
      <c r="EY288" s="136"/>
      <c r="EZ288" s="136"/>
      <c r="FA288" s="161"/>
      <c r="FB288" s="161"/>
      <c r="FC288" s="161"/>
      <c r="FD288" s="161"/>
      <c r="FE288" s="161"/>
      <c r="FF288" s="161"/>
      <c r="FG288" s="135"/>
      <c r="FH288" s="135"/>
      <c r="FI288" s="135"/>
      <c r="FJ288" s="135"/>
      <c r="FK288" s="135"/>
      <c r="FL288" s="135"/>
      <c r="FM288" s="136"/>
      <c r="FN288" s="136"/>
      <c r="FO288" s="161"/>
      <c r="FP288" s="161"/>
      <c r="FQ288" s="161"/>
      <c r="FR288" s="161"/>
      <c r="FS288" s="161"/>
      <c r="FT288" s="161"/>
      <c r="FU288" s="135"/>
      <c r="FV288" s="135"/>
      <c r="FW288" s="135"/>
      <c r="FX288" s="135"/>
      <c r="FY288" s="135"/>
      <c r="FZ288" s="135"/>
      <c r="GA288" s="136"/>
      <c r="GB288" s="136"/>
      <c r="GC288" s="161"/>
      <c r="GD288" s="161"/>
      <c r="GE288" s="161"/>
      <c r="GF288" s="161"/>
      <c r="GG288" s="161"/>
      <c r="GH288" s="161"/>
      <c r="GI288" s="135"/>
      <c r="GJ288" s="135"/>
      <c r="GK288" s="135"/>
      <c r="GL288" s="135"/>
      <c r="GM288" s="135"/>
      <c r="GN288" s="135"/>
    </row>
    <row r="289" spans="1:196" hidden="1">
      <c r="A289" s="155"/>
      <c r="B289" s="126" t="s">
        <v>937</v>
      </c>
      <c r="C289" s="109" t="s">
        <v>726</v>
      </c>
      <c r="D289" s="119"/>
      <c r="E289" s="119" t="e">
        <f>VLOOKUP(C289,'[2]AVTC 标准工时'!C:G,5,0)</f>
        <v>#N/A</v>
      </c>
      <c r="F289" s="107">
        <v>46209</v>
      </c>
      <c r="G289" s="115">
        <v>288</v>
      </c>
      <c r="H289" s="6"/>
      <c r="I289" s="125">
        <v>46207</v>
      </c>
      <c r="J289" s="13">
        <f t="shared" si="195"/>
        <v>0</v>
      </c>
      <c r="K289" s="141"/>
      <c r="L289" s="161"/>
      <c r="M289" s="136"/>
      <c r="N289" s="136"/>
      <c r="O289" s="136"/>
      <c r="P289" s="136"/>
      <c r="Q289" s="136"/>
      <c r="R289" s="136"/>
      <c r="S289" s="161"/>
      <c r="T289" s="161"/>
      <c r="U289" s="161"/>
      <c r="V289" s="161"/>
      <c r="W289" s="135"/>
      <c r="X289" s="135"/>
      <c r="Y289" s="135"/>
      <c r="Z289" s="135"/>
      <c r="AA289" s="135"/>
      <c r="AB289" s="161"/>
      <c r="AC289" s="136"/>
      <c r="AD289" s="136"/>
      <c r="AE289" s="135"/>
      <c r="AF289" s="135"/>
      <c r="AG289" s="135"/>
      <c r="AH289" s="135"/>
      <c r="AI289" s="135">
        <v>58</v>
      </c>
      <c r="AJ289" s="135"/>
      <c r="AK289" s="135">
        <v>155</v>
      </c>
      <c r="AL289" s="161"/>
      <c r="AM289" s="161">
        <v>20</v>
      </c>
      <c r="AN289" s="161"/>
      <c r="AO289" s="161">
        <v>55</v>
      </c>
      <c r="AP289" s="135"/>
      <c r="AQ289" s="136"/>
      <c r="AR289" s="136"/>
      <c r="AS289" s="161"/>
      <c r="AT289" s="161"/>
      <c r="AU289" s="161"/>
      <c r="AV289" s="161"/>
      <c r="AW289" s="161"/>
      <c r="AX289" s="161"/>
      <c r="AY289" s="135"/>
      <c r="AZ289" s="135"/>
      <c r="BA289" s="135"/>
      <c r="BB289" s="135"/>
      <c r="BC289" s="135"/>
      <c r="BD289" s="135"/>
      <c r="BE289" s="136"/>
      <c r="BF289" s="136"/>
      <c r="BG289" s="161"/>
      <c r="BH289" s="161"/>
      <c r="BI289" s="161"/>
      <c r="BJ289" s="161"/>
      <c r="BK289" s="161"/>
      <c r="BL289" s="161"/>
      <c r="BM289" s="135"/>
      <c r="BN289" s="135"/>
      <c r="BO289" s="135"/>
      <c r="BP289" s="135"/>
      <c r="BQ289" s="135"/>
      <c r="BR289" s="135"/>
      <c r="BS289" s="136"/>
      <c r="BT289" s="136"/>
      <c r="BU289" s="161"/>
      <c r="BV289" s="161"/>
      <c r="BW289" s="161"/>
      <c r="BX289" s="161"/>
      <c r="BY289" s="161"/>
      <c r="BZ289" s="161"/>
      <c r="CA289" s="135"/>
      <c r="CB289" s="135"/>
      <c r="CC289" s="135"/>
      <c r="CD289" s="135"/>
      <c r="CE289" s="135"/>
      <c r="CF289" s="135"/>
      <c r="CG289" s="136"/>
      <c r="CH289" s="136"/>
      <c r="CI289" s="161"/>
      <c r="CJ289" s="161"/>
      <c r="CK289" s="161"/>
      <c r="CL289" s="161"/>
      <c r="CM289" s="161"/>
      <c r="CN289" s="161"/>
      <c r="CO289" s="135"/>
      <c r="CP289" s="135"/>
      <c r="CQ289" s="135"/>
      <c r="CR289" s="135"/>
      <c r="CS289" s="135"/>
      <c r="CT289" s="135"/>
      <c r="CU289" s="136"/>
      <c r="CV289" s="136"/>
      <c r="CW289" s="161"/>
      <c r="CX289" s="161"/>
      <c r="CY289" s="161"/>
      <c r="CZ289" s="161"/>
      <c r="DA289" s="161"/>
      <c r="DB289" s="161"/>
      <c r="DC289" s="135"/>
      <c r="DD289" s="135"/>
      <c r="DE289" s="135"/>
      <c r="DF289" s="135"/>
      <c r="DG289" s="135"/>
      <c r="DH289" s="135"/>
      <c r="DI289" s="136"/>
      <c r="DJ289" s="136"/>
      <c r="DK289" s="161"/>
      <c r="DL289" s="161"/>
      <c r="DM289" s="161"/>
      <c r="DN289" s="161"/>
      <c r="DO289" s="161"/>
      <c r="DP289" s="161"/>
      <c r="DQ289" s="135"/>
      <c r="DR289" s="135"/>
      <c r="DS289" s="135"/>
      <c r="DT289" s="135"/>
      <c r="DU289" s="135"/>
      <c r="DV289" s="135"/>
      <c r="DW289" s="136"/>
      <c r="DX289" s="136"/>
      <c r="DY289" s="161"/>
      <c r="DZ289" s="161"/>
      <c r="EA289" s="161"/>
      <c r="EB289" s="161"/>
      <c r="EC289" s="161"/>
      <c r="ED289" s="161"/>
      <c r="EE289" s="135"/>
      <c r="EF289" s="135"/>
      <c r="EG289" s="135"/>
      <c r="EH289" s="135"/>
      <c r="EI289" s="135"/>
      <c r="EJ289" s="135"/>
      <c r="EK289" s="136"/>
      <c r="EL289" s="136"/>
      <c r="EM289" s="136"/>
      <c r="EN289" s="136"/>
      <c r="EO289" s="136"/>
      <c r="EP289" s="136"/>
      <c r="EQ289" s="136"/>
      <c r="ER289" s="136"/>
      <c r="ES289" s="135"/>
      <c r="ET289" s="135"/>
      <c r="EU289" s="135"/>
      <c r="EV289" s="135"/>
      <c r="EW289" s="135"/>
      <c r="EX289" s="135"/>
      <c r="EY289" s="136"/>
      <c r="EZ289" s="136"/>
      <c r="FA289" s="161"/>
      <c r="FB289" s="161"/>
      <c r="FC289" s="161"/>
      <c r="FD289" s="161"/>
      <c r="FE289" s="161"/>
      <c r="FF289" s="161"/>
      <c r="FG289" s="135"/>
      <c r="FH289" s="135"/>
      <c r="FI289" s="135"/>
      <c r="FJ289" s="135"/>
      <c r="FK289" s="135"/>
      <c r="FL289" s="135"/>
      <c r="FM289" s="136"/>
      <c r="FN289" s="136"/>
      <c r="FO289" s="161"/>
      <c r="FP289" s="161"/>
      <c r="FQ289" s="161"/>
      <c r="FR289" s="161"/>
      <c r="FS289" s="161"/>
      <c r="FT289" s="161"/>
      <c r="FU289" s="135"/>
      <c r="FV289" s="135"/>
      <c r="FW289" s="135"/>
      <c r="FX289" s="135"/>
      <c r="FY289" s="135"/>
      <c r="FZ289" s="135"/>
      <c r="GA289" s="136"/>
      <c r="GB289" s="136"/>
      <c r="GC289" s="161"/>
      <c r="GD289" s="161"/>
      <c r="GE289" s="161"/>
      <c r="GF289" s="161"/>
      <c r="GG289" s="161"/>
      <c r="GH289" s="161"/>
      <c r="GI289" s="135"/>
      <c r="GJ289" s="135"/>
      <c r="GK289" s="135"/>
      <c r="GL289" s="135"/>
      <c r="GM289" s="135"/>
      <c r="GN289" s="135"/>
    </row>
    <row r="290" spans="1:196" hidden="1">
      <c r="A290" s="155"/>
      <c r="B290" s="126" t="s">
        <v>789</v>
      </c>
      <c r="C290" s="109" t="s">
        <v>727</v>
      </c>
      <c r="D290" s="119"/>
      <c r="E290" s="119" t="e">
        <f>VLOOKUP(C290,'[2]AVTC 标准工时'!C:G,5,0)</f>
        <v>#N/A</v>
      </c>
      <c r="F290" s="107">
        <v>46211</v>
      </c>
      <c r="G290" s="115">
        <v>114</v>
      </c>
      <c r="H290" s="6"/>
      <c r="I290" s="125">
        <v>46214</v>
      </c>
      <c r="J290" s="13">
        <f t="shared" si="195"/>
        <v>0</v>
      </c>
      <c r="K290" s="141"/>
      <c r="L290" s="135"/>
      <c r="M290" s="136"/>
      <c r="N290" s="136"/>
      <c r="O290" s="136"/>
      <c r="P290" s="136"/>
      <c r="Q290" s="136"/>
      <c r="R290" s="136"/>
      <c r="S290" s="135"/>
      <c r="T290" s="161"/>
      <c r="U290" s="161"/>
      <c r="V290" s="161"/>
      <c r="W290" s="135"/>
      <c r="X290" s="135"/>
      <c r="Y290" s="135"/>
      <c r="Z290" s="135"/>
      <c r="AA290" s="135"/>
      <c r="AB290" s="135"/>
      <c r="AC290" s="136"/>
      <c r="AD290" s="136"/>
      <c r="AE290" s="161"/>
      <c r="AF290" s="161"/>
      <c r="AG290" s="161"/>
      <c r="AH290" s="161"/>
      <c r="AI290" s="161"/>
      <c r="AJ290" s="161"/>
      <c r="AK290" s="161"/>
      <c r="AL290" s="135"/>
      <c r="AM290" s="135"/>
      <c r="AN290" s="135"/>
      <c r="AO290" s="135">
        <v>91</v>
      </c>
      <c r="AP290" s="135"/>
      <c r="AQ290" s="136"/>
      <c r="AR290" s="136"/>
      <c r="AS290" s="135">
        <v>23</v>
      </c>
      <c r="AT290" s="161"/>
      <c r="AU290" s="161"/>
      <c r="AV290" s="161"/>
      <c r="AW290" s="161"/>
      <c r="AX290" s="161"/>
      <c r="AY290" s="135"/>
      <c r="AZ290" s="135"/>
      <c r="BA290" s="135"/>
      <c r="BB290" s="135"/>
      <c r="BC290" s="135"/>
      <c r="BD290" s="135"/>
      <c r="BE290" s="136"/>
      <c r="BF290" s="136"/>
      <c r="BG290" s="161"/>
      <c r="BH290" s="161"/>
      <c r="BI290" s="161"/>
      <c r="BJ290" s="161"/>
      <c r="BK290" s="161"/>
      <c r="BL290" s="161"/>
      <c r="BM290" s="135"/>
      <c r="BN290" s="135"/>
      <c r="BO290" s="135"/>
      <c r="BP290" s="135"/>
      <c r="BQ290" s="135"/>
      <c r="BR290" s="135"/>
      <c r="BS290" s="136"/>
      <c r="BT290" s="136"/>
      <c r="BU290" s="161"/>
      <c r="BV290" s="161"/>
      <c r="BW290" s="161"/>
      <c r="BX290" s="161"/>
      <c r="BY290" s="161"/>
      <c r="BZ290" s="161"/>
      <c r="CA290" s="135"/>
      <c r="CB290" s="135"/>
      <c r="CC290" s="135"/>
      <c r="CD290" s="135"/>
      <c r="CE290" s="135"/>
      <c r="CF290" s="135"/>
      <c r="CG290" s="136"/>
      <c r="CH290" s="136"/>
      <c r="CI290" s="161"/>
      <c r="CJ290" s="161"/>
      <c r="CK290" s="161"/>
      <c r="CL290" s="161"/>
      <c r="CM290" s="161"/>
      <c r="CN290" s="161"/>
      <c r="CO290" s="135"/>
      <c r="CP290" s="135"/>
      <c r="CQ290" s="135"/>
      <c r="CR290" s="135"/>
      <c r="CS290" s="135"/>
      <c r="CT290" s="135"/>
      <c r="CU290" s="136"/>
      <c r="CV290" s="136"/>
      <c r="CW290" s="161"/>
      <c r="CX290" s="161"/>
      <c r="CY290" s="161"/>
      <c r="CZ290" s="161"/>
      <c r="DA290" s="161"/>
      <c r="DB290" s="161"/>
      <c r="DC290" s="135"/>
      <c r="DD290" s="135"/>
      <c r="DE290" s="135"/>
      <c r="DF290" s="135"/>
      <c r="DG290" s="135"/>
      <c r="DH290" s="135"/>
      <c r="DI290" s="136"/>
      <c r="DJ290" s="136"/>
      <c r="DK290" s="161"/>
      <c r="DL290" s="161"/>
      <c r="DM290" s="161"/>
      <c r="DN290" s="161"/>
      <c r="DO290" s="161"/>
      <c r="DP290" s="161"/>
      <c r="DQ290" s="135"/>
      <c r="DR290" s="135"/>
      <c r="DS290" s="135"/>
      <c r="DT290" s="135"/>
      <c r="DU290" s="135"/>
      <c r="DV290" s="135"/>
      <c r="DW290" s="136"/>
      <c r="DX290" s="136"/>
      <c r="DY290" s="161"/>
      <c r="DZ290" s="161"/>
      <c r="EA290" s="161"/>
      <c r="EB290" s="161"/>
      <c r="EC290" s="161"/>
      <c r="ED290" s="161"/>
      <c r="EE290" s="135"/>
      <c r="EF290" s="135"/>
      <c r="EG290" s="135"/>
      <c r="EH290" s="135"/>
      <c r="EI290" s="135"/>
      <c r="EJ290" s="135"/>
      <c r="EK290" s="136"/>
      <c r="EL290" s="136"/>
      <c r="EM290" s="136"/>
      <c r="EN290" s="136"/>
      <c r="EO290" s="136"/>
      <c r="EP290" s="136"/>
      <c r="EQ290" s="136"/>
      <c r="ER290" s="136"/>
      <c r="ES290" s="135"/>
      <c r="ET290" s="135"/>
      <c r="EU290" s="135"/>
      <c r="EV290" s="135"/>
      <c r="EW290" s="135"/>
      <c r="EX290" s="135"/>
      <c r="EY290" s="136"/>
      <c r="EZ290" s="136"/>
      <c r="FA290" s="161"/>
      <c r="FB290" s="161"/>
      <c r="FC290" s="161"/>
      <c r="FD290" s="161"/>
      <c r="FE290" s="161"/>
      <c r="FF290" s="161"/>
      <c r="FG290" s="135"/>
      <c r="FH290" s="135"/>
      <c r="FI290" s="135"/>
      <c r="FJ290" s="135"/>
      <c r="FK290" s="135"/>
      <c r="FL290" s="135"/>
      <c r="FM290" s="136"/>
      <c r="FN290" s="136"/>
      <c r="FO290" s="161"/>
      <c r="FP290" s="161"/>
      <c r="FQ290" s="161"/>
      <c r="FR290" s="161"/>
      <c r="FS290" s="161"/>
      <c r="FT290" s="161"/>
      <c r="FU290" s="135"/>
      <c r="FV290" s="135"/>
      <c r="FW290" s="135"/>
      <c r="FX290" s="135"/>
      <c r="FY290" s="135"/>
      <c r="FZ290" s="135"/>
      <c r="GA290" s="136"/>
      <c r="GB290" s="136"/>
      <c r="GC290" s="161"/>
      <c r="GD290" s="161"/>
      <c r="GE290" s="161"/>
      <c r="GF290" s="161"/>
      <c r="GG290" s="161"/>
      <c r="GH290" s="161"/>
      <c r="GI290" s="135"/>
      <c r="GJ290" s="135"/>
      <c r="GK290" s="135"/>
      <c r="GL290" s="135"/>
      <c r="GM290" s="135"/>
      <c r="GN290" s="135"/>
    </row>
    <row r="291" spans="1:196" hidden="1">
      <c r="A291" s="155"/>
      <c r="B291" s="126" t="s">
        <v>790</v>
      </c>
      <c r="C291" s="109" t="s">
        <v>241</v>
      </c>
      <c r="D291" s="119"/>
      <c r="E291" s="119">
        <f>VLOOKUP(C291,'[2]AVTC 标准工时'!C:G,5,0)</f>
        <v>20</v>
      </c>
      <c r="F291" s="107">
        <v>46202</v>
      </c>
      <c r="G291" s="115">
        <v>594</v>
      </c>
      <c r="H291" s="6"/>
      <c r="I291" s="125">
        <v>46200</v>
      </c>
      <c r="J291" s="13">
        <f t="shared" si="195"/>
        <v>0</v>
      </c>
      <c r="K291" s="141"/>
      <c r="L291" s="161"/>
      <c r="M291" s="136"/>
      <c r="N291" s="136"/>
      <c r="O291" s="136"/>
      <c r="P291" s="136"/>
      <c r="Q291" s="136"/>
      <c r="R291" s="136"/>
      <c r="S291" s="161">
        <v>59</v>
      </c>
      <c r="T291" s="135"/>
      <c r="U291" s="161">
        <v>72</v>
      </c>
      <c r="V291" s="161"/>
      <c r="W291" s="161"/>
      <c r="X291" s="135"/>
      <c r="Y291" s="161"/>
      <c r="Z291" s="135"/>
      <c r="AA291" s="161"/>
      <c r="AB291" s="135"/>
      <c r="AC291" s="136"/>
      <c r="AD291" s="136"/>
      <c r="AE291" s="161"/>
      <c r="AF291" s="135"/>
      <c r="AG291" s="161"/>
      <c r="AH291" s="135"/>
      <c r="AI291" s="135"/>
      <c r="AJ291" s="135"/>
      <c r="AK291" s="161"/>
      <c r="AL291" s="135"/>
      <c r="AM291" s="161"/>
      <c r="AN291" s="135"/>
      <c r="AO291" s="135"/>
      <c r="AP291" s="135"/>
      <c r="AQ291" s="136"/>
      <c r="AR291" s="136"/>
      <c r="AS291" s="161">
        <v>32</v>
      </c>
      <c r="AT291" s="135"/>
      <c r="AU291" s="135">
        <v>198</v>
      </c>
      <c r="AV291" s="135"/>
      <c r="AW291" s="135">
        <v>160</v>
      </c>
      <c r="AX291" s="135"/>
      <c r="AY291" s="161">
        <v>73</v>
      </c>
      <c r="AZ291" s="135"/>
      <c r="BA291" s="161"/>
      <c r="BB291" s="135"/>
      <c r="BC291" s="135"/>
      <c r="BD291" s="135"/>
      <c r="BE291" s="136"/>
      <c r="BF291" s="136"/>
      <c r="BG291" s="161"/>
      <c r="BH291" s="161"/>
      <c r="BI291" s="161"/>
      <c r="BJ291" s="161"/>
      <c r="BK291" s="161"/>
      <c r="BL291" s="161"/>
      <c r="BM291" s="135"/>
      <c r="BN291" s="135"/>
      <c r="BO291" s="135"/>
      <c r="BP291" s="135"/>
      <c r="BQ291" s="135"/>
      <c r="BR291" s="135"/>
      <c r="BS291" s="136"/>
      <c r="BT291" s="136"/>
      <c r="BU291" s="161"/>
      <c r="BV291" s="161"/>
      <c r="BW291" s="161"/>
      <c r="BX291" s="161"/>
      <c r="BY291" s="161"/>
      <c r="BZ291" s="161"/>
      <c r="CA291" s="135"/>
      <c r="CB291" s="135"/>
      <c r="CC291" s="135"/>
      <c r="CD291" s="135"/>
      <c r="CE291" s="135"/>
      <c r="CF291" s="135"/>
      <c r="CG291" s="136"/>
      <c r="CH291" s="136"/>
      <c r="CI291" s="161"/>
      <c r="CJ291" s="161"/>
      <c r="CK291" s="161"/>
      <c r="CL291" s="161"/>
      <c r="CM291" s="161"/>
      <c r="CN291" s="161"/>
      <c r="CO291" s="135"/>
      <c r="CP291" s="135"/>
      <c r="CQ291" s="135"/>
      <c r="CR291" s="135"/>
      <c r="CS291" s="135"/>
      <c r="CT291" s="135"/>
      <c r="CU291" s="136"/>
      <c r="CV291" s="136"/>
      <c r="CW291" s="161"/>
      <c r="CX291" s="161"/>
      <c r="CY291" s="161"/>
      <c r="CZ291" s="161"/>
      <c r="DA291" s="161"/>
      <c r="DB291" s="161"/>
      <c r="DC291" s="135"/>
      <c r="DD291" s="135"/>
      <c r="DE291" s="135"/>
      <c r="DF291" s="135"/>
      <c r="DG291" s="135"/>
      <c r="DH291" s="135"/>
      <c r="DI291" s="136"/>
      <c r="DJ291" s="136"/>
      <c r="DK291" s="161"/>
      <c r="DL291" s="161"/>
      <c r="DM291" s="161"/>
      <c r="DN291" s="161"/>
      <c r="DO291" s="161"/>
      <c r="DP291" s="161"/>
      <c r="DQ291" s="135"/>
      <c r="DR291" s="135"/>
      <c r="DS291" s="135"/>
      <c r="DT291" s="135"/>
      <c r="DU291" s="135"/>
      <c r="DV291" s="135"/>
      <c r="DW291" s="136"/>
      <c r="DX291" s="136"/>
      <c r="DY291" s="161"/>
      <c r="DZ291" s="161"/>
      <c r="EA291" s="161"/>
      <c r="EB291" s="161"/>
      <c r="EC291" s="161"/>
      <c r="ED291" s="161"/>
      <c r="EE291" s="135"/>
      <c r="EF291" s="135"/>
      <c r="EG291" s="135"/>
      <c r="EH291" s="135"/>
      <c r="EI291" s="135"/>
      <c r="EJ291" s="135"/>
      <c r="EK291" s="136"/>
      <c r="EL291" s="136"/>
      <c r="EM291" s="136"/>
      <c r="EN291" s="136"/>
      <c r="EO291" s="136"/>
      <c r="EP291" s="136"/>
      <c r="EQ291" s="136"/>
      <c r="ER291" s="136"/>
      <c r="ES291" s="135"/>
      <c r="ET291" s="135"/>
      <c r="EU291" s="135"/>
      <c r="EV291" s="135"/>
      <c r="EW291" s="135"/>
      <c r="EX291" s="135"/>
      <c r="EY291" s="136"/>
      <c r="EZ291" s="136"/>
      <c r="FA291" s="161"/>
      <c r="FB291" s="161"/>
      <c r="FC291" s="161"/>
      <c r="FD291" s="161"/>
      <c r="FE291" s="161"/>
      <c r="FF291" s="161"/>
      <c r="FG291" s="135"/>
      <c r="FH291" s="135"/>
      <c r="FI291" s="135"/>
      <c r="FJ291" s="135"/>
      <c r="FK291" s="135"/>
      <c r="FL291" s="135"/>
      <c r="FM291" s="136"/>
      <c r="FN291" s="136"/>
      <c r="FO291" s="161"/>
      <c r="FP291" s="161"/>
      <c r="FQ291" s="161"/>
      <c r="FR291" s="161"/>
      <c r="FS291" s="161"/>
      <c r="FT291" s="161"/>
      <c r="FU291" s="135"/>
      <c r="FV291" s="135"/>
      <c r="FW291" s="135"/>
      <c r="FX291" s="135"/>
      <c r="FY291" s="135"/>
      <c r="FZ291" s="135"/>
      <c r="GA291" s="136"/>
      <c r="GB291" s="136"/>
      <c r="GC291" s="161"/>
      <c r="GD291" s="161"/>
      <c r="GE291" s="161"/>
      <c r="GF291" s="161"/>
      <c r="GG291" s="161"/>
      <c r="GH291" s="161"/>
      <c r="GI291" s="135"/>
      <c r="GJ291" s="135"/>
      <c r="GK291" s="135"/>
      <c r="GL291" s="135"/>
      <c r="GM291" s="135"/>
      <c r="GN291" s="135"/>
    </row>
    <row r="292" spans="1:196" hidden="1">
      <c r="A292" s="155"/>
      <c r="B292" s="126" t="s">
        <v>760</v>
      </c>
      <c r="C292" s="109" t="s">
        <v>726</v>
      </c>
      <c r="D292" s="119"/>
      <c r="E292" s="119" t="e">
        <f>VLOOKUP(C292,'[2]AVTC 标准工时'!C:G,5,0)</f>
        <v>#N/A</v>
      </c>
      <c r="F292" s="107">
        <v>46212</v>
      </c>
      <c r="G292" s="115">
        <v>150</v>
      </c>
      <c r="H292" s="6"/>
      <c r="I292" s="125">
        <v>46214</v>
      </c>
      <c r="J292" s="13">
        <f t="shared" si="195"/>
        <v>0</v>
      </c>
      <c r="K292" s="141"/>
      <c r="L292" s="135"/>
      <c r="M292" s="136"/>
      <c r="N292" s="136"/>
      <c r="O292" s="136"/>
      <c r="P292" s="136"/>
      <c r="Q292" s="136"/>
      <c r="R292" s="136"/>
      <c r="S292" s="135"/>
      <c r="T292" s="161"/>
      <c r="U292" s="161"/>
      <c r="V292" s="161"/>
      <c r="W292" s="135"/>
      <c r="X292" s="135"/>
      <c r="Y292" s="135"/>
      <c r="Z292" s="135"/>
      <c r="AA292" s="135"/>
      <c r="AB292" s="161"/>
      <c r="AC292" s="136"/>
      <c r="AD292" s="136"/>
      <c r="AE292" s="135"/>
      <c r="AF292" s="135"/>
      <c r="AG292" s="135"/>
      <c r="AH292" s="135"/>
      <c r="AI292" s="135"/>
      <c r="AJ292" s="135"/>
      <c r="AK292" s="135"/>
      <c r="AL292" s="161"/>
      <c r="AM292" s="135"/>
      <c r="AN292" s="161"/>
      <c r="AO292" s="135"/>
      <c r="AP292" s="161"/>
      <c r="AQ292" s="136"/>
      <c r="AR292" s="136"/>
      <c r="AS292" s="161">
        <v>60</v>
      </c>
      <c r="AT292" s="161"/>
      <c r="AU292" s="161"/>
      <c r="AV292" s="161"/>
      <c r="AW292" s="161"/>
      <c r="AX292" s="161"/>
      <c r="AY292" s="161"/>
      <c r="AZ292" s="135"/>
      <c r="BA292" s="161">
        <v>90</v>
      </c>
      <c r="BB292" s="135"/>
      <c r="BC292" s="161"/>
      <c r="BD292" s="135"/>
      <c r="BE292" s="136"/>
      <c r="BF292" s="136"/>
      <c r="BG292" s="161"/>
      <c r="BH292" s="161"/>
      <c r="BI292" s="161"/>
      <c r="BJ292" s="161"/>
      <c r="BK292" s="161"/>
      <c r="BL292" s="161"/>
      <c r="BM292" s="135"/>
      <c r="BN292" s="135"/>
      <c r="BO292" s="135"/>
      <c r="BP292" s="135"/>
      <c r="BQ292" s="135"/>
      <c r="BR292" s="135"/>
      <c r="BS292" s="136"/>
      <c r="BT292" s="136"/>
      <c r="BU292" s="161"/>
      <c r="BV292" s="161"/>
      <c r="BW292" s="161"/>
      <c r="BX292" s="161"/>
      <c r="BY292" s="161"/>
      <c r="BZ292" s="161"/>
      <c r="CA292" s="135"/>
      <c r="CB292" s="135"/>
      <c r="CC292" s="135"/>
      <c r="CD292" s="135"/>
      <c r="CE292" s="135"/>
      <c r="CF292" s="135"/>
      <c r="CG292" s="136"/>
      <c r="CH292" s="136"/>
      <c r="CI292" s="161"/>
      <c r="CJ292" s="161"/>
      <c r="CK292" s="161"/>
      <c r="CL292" s="161"/>
      <c r="CM292" s="161"/>
      <c r="CN292" s="161"/>
      <c r="CO292" s="135"/>
      <c r="CP292" s="135"/>
      <c r="CQ292" s="135"/>
      <c r="CR292" s="135"/>
      <c r="CS292" s="135"/>
      <c r="CT292" s="135"/>
      <c r="CU292" s="136"/>
      <c r="CV292" s="136"/>
      <c r="CW292" s="161"/>
      <c r="CX292" s="161"/>
      <c r="CY292" s="161"/>
      <c r="CZ292" s="161"/>
      <c r="DA292" s="161"/>
      <c r="DB292" s="161"/>
      <c r="DC292" s="135"/>
      <c r="DD292" s="135"/>
      <c r="DE292" s="135"/>
      <c r="DF292" s="135"/>
      <c r="DG292" s="135"/>
      <c r="DH292" s="135"/>
      <c r="DI292" s="136"/>
      <c r="DJ292" s="136"/>
      <c r="DK292" s="161"/>
      <c r="DL292" s="161"/>
      <c r="DM292" s="161"/>
      <c r="DN292" s="161"/>
      <c r="DO292" s="161"/>
      <c r="DP292" s="161"/>
      <c r="DQ292" s="135"/>
      <c r="DR292" s="135"/>
      <c r="DS292" s="135"/>
      <c r="DT292" s="135"/>
      <c r="DU292" s="135"/>
      <c r="DV292" s="135"/>
      <c r="DW292" s="136"/>
      <c r="DX292" s="136"/>
      <c r="DY292" s="161"/>
      <c r="DZ292" s="161"/>
      <c r="EA292" s="161"/>
      <c r="EB292" s="161"/>
      <c r="EC292" s="161"/>
      <c r="ED292" s="161"/>
      <c r="EE292" s="135"/>
      <c r="EF292" s="135"/>
      <c r="EG292" s="135"/>
      <c r="EH292" s="135"/>
      <c r="EI292" s="135"/>
      <c r="EJ292" s="135"/>
      <c r="EK292" s="136"/>
      <c r="EL292" s="136"/>
      <c r="EM292" s="136"/>
      <c r="EN292" s="136"/>
      <c r="EO292" s="136"/>
      <c r="EP292" s="136"/>
      <c r="EQ292" s="136"/>
      <c r="ER292" s="136"/>
      <c r="ES292" s="135"/>
      <c r="ET292" s="135"/>
      <c r="EU292" s="135"/>
      <c r="EV292" s="135"/>
      <c r="EW292" s="135"/>
      <c r="EX292" s="135"/>
      <c r="EY292" s="136"/>
      <c r="EZ292" s="136"/>
      <c r="FA292" s="161"/>
      <c r="FB292" s="161"/>
      <c r="FC292" s="161"/>
      <c r="FD292" s="161"/>
      <c r="FE292" s="161"/>
      <c r="FF292" s="161"/>
      <c r="FG292" s="135"/>
      <c r="FH292" s="135"/>
      <c r="FI292" s="135"/>
      <c r="FJ292" s="135"/>
      <c r="FK292" s="135"/>
      <c r="FL292" s="135"/>
      <c r="FM292" s="136"/>
      <c r="FN292" s="136"/>
      <c r="FO292" s="161"/>
      <c r="FP292" s="161"/>
      <c r="FQ292" s="161"/>
      <c r="FR292" s="161"/>
      <c r="FS292" s="161"/>
      <c r="FT292" s="161"/>
      <c r="FU292" s="135"/>
      <c r="FV292" s="135"/>
      <c r="FW292" s="135"/>
      <c r="FX292" s="135"/>
      <c r="FY292" s="135"/>
      <c r="FZ292" s="135"/>
      <c r="GA292" s="136"/>
      <c r="GB292" s="136"/>
      <c r="GC292" s="161"/>
      <c r="GD292" s="161"/>
      <c r="GE292" s="161"/>
      <c r="GF292" s="161"/>
      <c r="GG292" s="161"/>
      <c r="GH292" s="161"/>
      <c r="GI292" s="135"/>
      <c r="GJ292" s="135"/>
      <c r="GK292" s="135"/>
      <c r="GL292" s="135"/>
      <c r="GM292" s="135"/>
      <c r="GN292" s="135"/>
    </row>
    <row r="293" spans="1:196" hidden="1">
      <c r="A293" s="155"/>
      <c r="B293" s="126" t="s">
        <v>1047</v>
      </c>
      <c r="C293" s="109" t="s">
        <v>726</v>
      </c>
      <c r="D293" s="119"/>
      <c r="E293" s="119" t="e">
        <f>VLOOKUP(C293,'[2]AVTC 标准工时'!C:G,5,0)</f>
        <v>#N/A</v>
      </c>
      <c r="F293" s="107">
        <v>46213</v>
      </c>
      <c r="G293" s="115">
        <v>160</v>
      </c>
      <c r="H293" s="6"/>
      <c r="I293" s="125">
        <v>46214</v>
      </c>
      <c r="J293" s="13">
        <f t="shared" si="195"/>
        <v>0</v>
      </c>
      <c r="K293" s="141"/>
      <c r="L293" s="135"/>
      <c r="M293" s="136"/>
      <c r="N293" s="136"/>
      <c r="O293" s="136"/>
      <c r="P293" s="136"/>
      <c r="Q293" s="136"/>
      <c r="R293" s="136"/>
      <c r="S293" s="135"/>
      <c r="T293" s="161"/>
      <c r="U293" s="161"/>
      <c r="V293" s="161"/>
      <c r="W293" s="135"/>
      <c r="X293" s="135"/>
      <c r="Y293" s="135"/>
      <c r="Z293" s="135"/>
      <c r="AA293" s="135"/>
      <c r="AB293" s="161"/>
      <c r="AC293" s="136"/>
      <c r="AD293" s="136"/>
      <c r="AE293" s="135"/>
      <c r="AF293" s="135"/>
      <c r="AG293" s="135"/>
      <c r="AH293" s="135"/>
      <c r="AI293" s="135"/>
      <c r="AJ293" s="135"/>
      <c r="AK293" s="135"/>
      <c r="AL293" s="161"/>
      <c r="AM293" s="135"/>
      <c r="AN293" s="161"/>
      <c r="AO293" s="135"/>
      <c r="AP293" s="161"/>
      <c r="AQ293" s="136"/>
      <c r="AR293" s="136"/>
      <c r="AS293" s="161"/>
      <c r="AT293" s="161"/>
      <c r="AU293" s="161"/>
      <c r="AV293" s="161"/>
      <c r="AW293" s="161"/>
      <c r="AX293" s="161"/>
      <c r="AY293" s="135"/>
      <c r="AZ293" s="135"/>
      <c r="BA293" s="135">
        <v>20</v>
      </c>
      <c r="BB293" s="135"/>
      <c r="BC293" s="135">
        <v>140</v>
      </c>
      <c r="BD293" s="135"/>
      <c r="BE293" s="136"/>
      <c r="BF293" s="136"/>
      <c r="BG293" s="161"/>
      <c r="BH293" s="161"/>
      <c r="BI293" s="161"/>
      <c r="BJ293" s="161"/>
      <c r="BK293" s="161"/>
      <c r="BL293" s="161"/>
      <c r="BM293" s="135"/>
      <c r="BN293" s="135"/>
      <c r="BO293" s="135"/>
      <c r="BP293" s="135"/>
      <c r="BQ293" s="135"/>
      <c r="BR293" s="135"/>
      <c r="BS293" s="136"/>
      <c r="BT293" s="136"/>
      <c r="BU293" s="161"/>
      <c r="BV293" s="161"/>
      <c r="BW293" s="161"/>
      <c r="BX293" s="161"/>
      <c r="BY293" s="161"/>
      <c r="BZ293" s="161"/>
      <c r="CA293" s="135"/>
      <c r="CB293" s="135"/>
      <c r="CC293" s="135"/>
      <c r="CD293" s="135"/>
      <c r="CE293" s="135"/>
      <c r="CF293" s="135"/>
      <c r="CG293" s="136"/>
      <c r="CH293" s="136"/>
      <c r="CI293" s="161"/>
      <c r="CJ293" s="161"/>
      <c r="CK293" s="161"/>
      <c r="CL293" s="161"/>
      <c r="CM293" s="161"/>
      <c r="CN293" s="161"/>
      <c r="CO293" s="135"/>
      <c r="CP293" s="135"/>
      <c r="CQ293" s="135"/>
      <c r="CR293" s="135"/>
      <c r="CS293" s="135"/>
      <c r="CT293" s="135"/>
      <c r="CU293" s="136"/>
      <c r="CV293" s="136"/>
      <c r="CW293" s="161"/>
      <c r="CX293" s="161"/>
      <c r="CY293" s="161"/>
      <c r="CZ293" s="161"/>
      <c r="DA293" s="161"/>
      <c r="DB293" s="161"/>
      <c r="DC293" s="135"/>
      <c r="DD293" s="135"/>
      <c r="DE293" s="135"/>
      <c r="DF293" s="135"/>
      <c r="DG293" s="135"/>
      <c r="DH293" s="135"/>
      <c r="DI293" s="136"/>
      <c r="DJ293" s="136"/>
      <c r="DK293" s="161"/>
      <c r="DL293" s="161"/>
      <c r="DM293" s="161"/>
      <c r="DN293" s="161"/>
      <c r="DO293" s="161"/>
      <c r="DP293" s="161"/>
      <c r="DQ293" s="135"/>
      <c r="DR293" s="135"/>
      <c r="DS293" s="135"/>
      <c r="DT293" s="135"/>
      <c r="DU293" s="135"/>
      <c r="DV293" s="135"/>
      <c r="DW293" s="136"/>
      <c r="DX293" s="136"/>
      <c r="DY293" s="161"/>
      <c r="DZ293" s="161"/>
      <c r="EA293" s="161"/>
      <c r="EB293" s="161"/>
      <c r="EC293" s="161"/>
      <c r="ED293" s="161"/>
      <c r="EE293" s="135"/>
      <c r="EF293" s="135"/>
      <c r="EG293" s="135"/>
      <c r="EH293" s="135"/>
      <c r="EI293" s="135"/>
      <c r="EJ293" s="135"/>
      <c r="EK293" s="136"/>
      <c r="EL293" s="136"/>
      <c r="EM293" s="136"/>
      <c r="EN293" s="136"/>
      <c r="EO293" s="136"/>
      <c r="EP293" s="136"/>
      <c r="EQ293" s="136"/>
      <c r="ER293" s="136"/>
      <c r="ES293" s="135"/>
      <c r="ET293" s="135"/>
      <c r="EU293" s="135"/>
      <c r="EV293" s="135"/>
      <c r="EW293" s="135"/>
      <c r="EX293" s="135"/>
      <c r="EY293" s="136"/>
      <c r="EZ293" s="136"/>
      <c r="FA293" s="161"/>
      <c r="FB293" s="161"/>
      <c r="FC293" s="161"/>
      <c r="FD293" s="161"/>
      <c r="FE293" s="161"/>
      <c r="FF293" s="161"/>
      <c r="FG293" s="135"/>
      <c r="FH293" s="135"/>
      <c r="FI293" s="135"/>
      <c r="FJ293" s="135"/>
      <c r="FK293" s="135"/>
      <c r="FL293" s="135"/>
      <c r="FM293" s="136"/>
      <c r="FN293" s="136"/>
      <c r="FO293" s="161"/>
      <c r="FP293" s="161"/>
      <c r="FQ293" s="161"/>
      <c r="FR293" s="161"/>
      <c r="FS293" s="161"/>
      <c r="FT293" s="161"/>
      <c r="FU293" s="135"/>
      <c r="FV293" s="135"/>
      <c r="FW293" s="135"/>
      <c r="FX293" s="135"/>
      <c r="FY293" s="135"/>
      <c r="FZ293" s="135"/>
      <c r="GA293" s="136"/>
      <c r="GB293" s="136"/>
      <c r="GC293" s="161"/>
      <c r="GD293" s="161"/>
      <c r="GE293" s="161"/>
      <c r="GF293" s="161"/>
      <c r="GG293" s="161"/>
      <c r="GH293" s="161"/>
      <c r="GI293" s="135"/>
      <c r="GJ293" s="135"/>
      <c r="GK293" s="135"/>
      <c r="GL293" s="135"/>
      <c r="GM293" s="135"/>
      <c r="GN293" s="135"/>
    </row>
    <row r="294" spans="1:196" hidden="1">
      <c r="A294" s="155"/>
      <c r="B294" s="126" t="s">
        <v>791</v>
      </c>
      <c r="C294" s="109" t="s">
        <v>606</v>
      </c>
      <c r="D294" s="119"/>
      <c r="E294" s="119">
        <f>VLOOKUP(C294,'[2]AVTC 标准工时'!C:G,5,0)</f>
        <v>20</v>
      </c>
      <c r="F294" s="107">
        <v>46217</v>
      </c>
      <c r="G294" s="115">
        <v>216</v>
      </c>
      <c r="H294" s="6"/>
      <c r="I294" s="125">
        <v>46207</v>
      </c>
      <c r="J294" s="13">
        <f t="shared" si="195"/>
        <v>0</v>
      </c>
      <c r="K294" s="141"/>
      <c r="L294" s="161"/>
      <c r="M294" s="136"/>
      <c r="N294" s="136"/>
      <c r="O294" s="136"/>
      <c r="P294" s="136"/>
      <c r="Q294" s="136"/>
      <c r="R294" s="136"/>
      <c r="S294" s="161"/>
      <c r="T294" s="161"/>
      <c r="U294" s="161"/>
      <c r="V294" s="161"/>
      <c r="W294" s="161"/>
      <c r="X294" s="161"/>
      <c r="Y294" s="135"/>
      <c r="Z294" s="135"/>
      <c r="AA294" s="135"/>
      <c r="AB294" s="135"/>
      <c r="AC294" s="136"/>
      <c r="AD294" s="136"/>
      <c r="AE294" s="135"/>
      <c r="AF294" s="135"/>
      <c r="AG294" s="135"/>
      <c r="AH294" s="135"/>
      <c r="AI294" s="161"/>
      <c r="AJ294" s="161"/>
      <c r="AK294" s="135"/>
      <c r="AL294" s="135"/>
      <c r="AM294" s="161"/>
      <c r="AN294" s="161"/>
      <c r="AO294" s="135"/>
      <c r="AP294" s="135"/>
      <c r="AQ294" s="136"/>
      <c r="AR294" s="136"/>
      <c r="AS294" s="161"/>
      <c r="AT294" s="161"/>
      <c r="AU294" s="135"/>
      <c r="AV294" s="135"/>
      <c r="AW294" s="135"/>
      <c r="AX294" s="135"/>
      <c r="AY294" s="135">
        <v>99</v>
      </c>
      <c r="AZ294" s="135"/>
      <c r="BA294" s="161">
        <v>44</v>
      </c>
      <c r="BB294" s="135"/>
      <c r="BC294" s="135">
        <v>41</v>
      </c>
      <c r="BD294" s="135"/>
      <c r="BE294" s="136"/>
      <c r="BF294" s="136"/>
      <c r="BG294" s="161">
        <v>21</v>
      </c>
      <c r="BH294" s="161"/>
      <c r="BI294" s="161">
        <v>11</v>
      </c>
      <c r="BJ294" s="161"/>
      <c r="BK294" s="161"/>
      <c r="BL294" s="161"/>
      <c r="BM294" s="135"/>
      <c r="BN294" s="135"/>
      <c r="BO294" s="135"/>
      <c r="BP294" s="135"/>
      <c r="BQ294" s="135"/>
      <c r="BR294" s="135"/>
      <c r="BS294" s="136"/>
      <c r="BT294" s="136"/>
      <c r="BU294" s="161"/>
      <c r="BV294" s="161"/>
      <c r="BW294" s="161"/>
      <c r="BX294" s="161"/>
      <c r="BY294" s="161"/>
      <c r="BZ294" s="161"/>
      <c r="CA294" s="135"/>
      <c r="CB294" s="135"/>
      <c r="CC294" s="135"/>
      <c r="CD294" s="135"/>
      <c r="CE294" s="135"/>
      <c r="CF294" s="135"/>
      <c r="CG294" s="136"/>
      <c r="CH294" s="136"/>
      <c r="CI294" s="161"/>
      <c r="CJ294" s="161"/>
      <c r="CK294" s="161"/>
      <c r="CL294" s="161"/>
      <c r="CM294" s="161"/>
      <c r="CN294" s="161"/>
      <c r="CO294" s="135"/>
      <c r="CP294" s="135"/>
      <c r="CQ294" s="135"/>
      <c r="CR294" s="135"/>
      <c r="CS294" s="135"/>
      <c r="CT294" s="135"/>
      <c r="CU294" s="136"/>
      <c r="CV294" s="136"/>
      <c r="CW294" s="161"/>
      <c r="CX294" s="161"/>
      <c r="CY294" s="161"/>
      <c r="CZ294" s="161"/>
      <c r="DA294" s="161"/>
      <c r="DB294" s="161"/>
      <c r="DC294" s="135"/>
      <c r="DD294" s="135"/>
      <c r="DE294" s="135"/>
      <c r="DF294" s="135"/>
      <c r="DG294" s="135"/>
      <c r="DH294" s="135"/>
      <c r="DI294" s="136"/>
      <c r="DJ294" s="136"/>
      <c r="DK294" s="161"/>
      <c r="DL294" s="161"/>
      <c r="DM294" s="161"/>
      <c r="DN294" s="161"/>
      <c r="DO294" s="161"/>
      <c r="DP294" s="161"/>
      <c r="DQ294" s="135"/>
      <c r="DR294" s="135"/>
      <c r="DS294" s="135"/>
      <c r="DT294" s="135"/>
      <c r="DU294" s="135"/>
      <c r="DV294" s="135"/>
      <c r="DW294" s="136"/>
      <c r="DX294" s="136"/>
      <c r="DY294" s="161"/>
      <c r="DZ294" s="161"/>
      <c r="EA294" s="161"/>
      <c r="EB294" s="161"/>
      <c r="EC294" s="161"/>
      <c r="ED294" s="161"/>
      <c r="EE294" s="135"/>
      <c r="EF294" s="135"/>
      <c r="EG294" s="135"/>
      <c r="EH294" s="135"/>
      <c r="EI294" s="135"/>
      <c r="EJ294" s="135"/>
      <c r="EK294" s="136"/>
      <c r="EL294" s="136"/>
      <c r="EM294" s="136"/>
      <c r="EN294" s="136"/>
      <c r="EO294" s="136"/>
      <c r="EP294" s="136"/>
      <c r="EQ294" s="136"/>
      <c r="ER294" s="136"/>
      <c r="ES294" s="135"/>
      <c r="ET294" s="135"/>
      <c r="EU294" s="135"/>
      <c r="EV294" s="135"/>
      <c r="EW294" s="135"/>
      <c r="EX294" s="135"/>
      <c r="EY294" s="136"/>
      <c r="EZ294" s="136"/>
      <c r="FA294" s="161"/>
      <c r="FB294" s="161"/>
      <c r="FC294" s="161"/>
      <c r="FD294" s="161"/>
      <c r="FE294" s="161"/>
      <c r="FF294" s="161"/>
      <c r="FG294" s="135"/>
      <c r="FH294" s="135"/>
      <c r="FI294" s="135"/>
      <c r="FJ294" s="135"/>
      <c r="FK294" s="135"/>
      <c r="FL294" s="135"/>
      <c r="FM294" s="136"/>
      <c r="FN294" s="136"/>
      <c r="FO294" s="161"/>
      <c r="FP294" s="161"/>
      <c r="FQ294" s="161"/>
      <c r="FR294" s="161"/>
      <c r="FS294" s="161"/>
      <c r="FT294" s="161"/>
      <c r="FU294" s="135"/>
      <c r="FV294" s="135"/>
      <c r="FW294" s="135"/>
      <c r="FX294" s="135"/>
      <c r="FY294" s="135"/>
      <c r="FZ294" s="135"/>
      <c r="GA294" s="136"/>
      <c r="GB294" s="136"/>
      <c r="GC294" s="161"/>
      <c r="GD294" s="161"/>
      <c r="GE294" s="161"/>
      <c r="GF294" s="161"/>
      <c r="GG294" s="161"/>
      <c r="GH294" s="161"/>
      <c r="GI294" s="135"/>
      <c r="GJ294" s="135"/>
      <c r="GK294" s="135"/>
      <c r="GL294" s="135"/>
      <c r="GM294" s="135"/>
      <c r="GN294" s="135"/>
    </row>
    <row r="295" spans="1:196" ht="23.5" hidden="1" customHeight="1">
      <c r="A295" s="155"/>
      <c r="B295" s="126" t="s">
        <v>872</v>
      </c>
      <c r="C295" s="109" t="s">
        <v>615</v>
      </c>
      <c r="D295" s="119"/>
      <c r="E295" s="119">
        <f>VLOOKUP(C295,'[2]AVTC 标准工时'!C:G,5,0)</f>
        <v>40</v>
      </c>
      <c r="F295" s="107">
        <v>46220</v>
      </c>
      <c r="G295" s="115">
        <v>750</v>
      </c>
      <c r="H295" s="6"/>
      <c r="I295" s="125">
        <v>46214</v>
      </c>
      <c r="J295" s="13">
        <f t="shared" si="195"/>
        <v>0</v>
      </c>
      <c r="K295" s="177"/>
      <c r="L295" s="161"/>
      <c r="M295" s="136"/>
      <c r="N295" s="136"/>
      <c r="O295" s="136"/>
      <c r="P295" s="136"/>
      <c r="Q295" s="136"/>
      <c r="R295" s="136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36"/>
      <c r="AD295" s="136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36"/>
      <c r="AR295" s="136"/>
      <c r="AS295" s="161"/>
      <c r="AT295" s="161"/>
      <c r="AU295" s="161"/>
      <c r="AV295" s="161"/>
      <c r="AW295" s="161"/>
      <c r="AX295" s="161"/>
      <c r="AY295" s="161"/>
      <c r="AZ295" s="161"/>
      <c r="BA295" s="161"/>
      <c r="BB295" s="161"/>
      <c r="BC295" s="161"/>
      <c r="BD295" s="161"/>
      <c r="BE295" s="136"/>
      <c r="BF295" s="136"/>
      <c r="BG295" s="161">
        <v>39</v>
      </c>
      <c r="BH295" s="161"/>
      <c r="BI295" s="161">
        <v>93</v>
      </c>
      <c r="BJ295" s="161"/>
      <c r="BK295" s="161">
        <v>207</v>
      </c>
      <c r="BL295" s="161"/>
      <c r="BM295" s="161">
        <v>291</v>
      </c>
      <c r="BN295" s="161"/>
      <c r="BO295" s="161">
        <v>120</v>
      </c>
      <c r="BP295" s="161"/>
      <c r="BQ295" s="161"/>
      <c r="BR295" s="161"/>
      <c r="BS295" s="136"/>
      <c r="BT295" s="136"/>
      <c r="BU295" s="161"/>
      <c r="BV295" s="161"/>
      <c r="BW295" s="161"/>
      <c r="BX295" s="161"/>
      <c r="BY295" s="161"/>
      <c r="BZ295" s="161"/>
      <c r="CA295" s="161"/>
      <c r="CB295" s="161"/>
      <c r="CC295" s="161"/>
      <c r="CD295" s="161"/>
      <c r="CE295" s="161"/>
      <c r="CF295" s="161"/>
      <c r="CG295" s="136"/>
      <c r="CH295" s="136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36"/>
      <c r="CV295" s="136"/>
      <c r="CW295" s="161"/>
      <c r="CX295" s="161"/>
      <c r="CY295" s="161"/>
      <c r="CZ295" s="161"/>
      <c r="DA295" s="161"/>
      <c r="DB295" s="161"/>
      <c r="DC295" s="161"/>
      <c r="DD295" s="161"/>
      <c r="DE295" s="161"/>
      <c r="DF295" s="161"/>
      <c r="DG295" s="161"/>
      <c r="DH295" s="161"/>
      <c r="DI295" s="136"/>
      <c r="DJ295" s="136"/>
      <c r="DK295" s="161"/>
      <c r="DL295" s="161"/>
      <c r="DM295" s="161"/>
      <c r="DN295" s="161"/>
      <c r="DO295" s="161"/>
      <c r="DP295" s="161"/>
      <c r="DQ295" s="161"/>
      <c r="DR295" s="161"/>
      <c r="DS295" s="161"/>
      <c r="DT295" s="161"/>
      <c r="DU295" s="161"/>
      <c r="DV295" s="161"/>
      <c r="DW295" s="136"/>
      <c r="DX295" s="136"/>
      <c r="DY295" s="161"/>
      <c r="DZ295" s="161"/>
      <c r="EA295" s="161"/>
      <c r="EB295" s="161"/>
      <c r="EC295" s="161"/>
      <c r="ED295" s="161"/>
      <c r="EE295" s="161"/>
      <c r="EF295" s="161"/>
      <c r="EG295" s="161"/>
      <c r="EH295" s="161"/>
      <c r="EI295" s="161"/>
      <c r="EJ295" s="161"/>
      <c r="EK295" s="136"/>
      <c r="EL295" s="136"/>
      <c r="EM295" s="136"/>
      <c r="EN295" s="136"/>
      <c r="EO295" s="136"/>
      <c r="EP295" s="136"/>
      <c r="EQ295" s="136"/>
      <c r="ER295" s="136"/>
      <c r="ES295" s="161"/>
      <c r="ET295" s="161"/>
      <c r="EU295" s="161"/>
      <c r="EV295" s="161"/>
      <c r="EW295" s="161"/>
      <c r="EX295" s="161"/>
      <c r="EY295" s="136"/>
      <c r="EZ295" s="136"/>
      <c r="FA295" s="161"/>
      <c r="FB295" s="161"/>
      <c r="FC295" s="161"/>
      <c r="FD295" s="161"/>
      <c r="FE295" s="161"/>
      <c r="FF295" s="161"/>
      <c r="FG295" s="161"/>
      <c r="FH295" s="161"/>
      <c r="FI295" s="161"/>
      <c r="FJ295" s="161"/>
      <c r="FK295" s="161"/>
      <c r="FL295" s="161"/>
      <c r="FM295" s="136"/>
      <c r="FN295" s="136"/>
      <c r="FO295" s="161"/>
      <c r="FP295" s="161"/>
      <c r="FQ295" s="161"/>
      <c r="FR295" s="161"/>
      <c r="FS295" s="161"/>
      <c r="FT295" s="161"/>
      <c r="FU295" s="161"/>
      <c r="FV295" s="161"/>
      <c r="FW295" s="161"/>
      <c r="FX295" s="161"/>
      <c r="FY295" s="161"/>
      <c r="FZ295" s="161"/>
      <c r="GA295" s="136"/>
      <c r="GB295" s="136"/>
      <c r="GC295" s="161"/>
      <c r="GD295" s="161"/>
      <c r="GE295" s="161"/>
      <c r="GF295" s="161"/>
      <c r="GG295" s="161"/>
      <c r="GH295" s="161"/>
      <c r="GI295" s="161"/>
      <c r="GJ295" s="161"/>
      <c r="GK295" s="161"/>
      <c r="GL295" s="161"/>
      <c r="GM295" s="161"/>
      <c r="GN295" s="161"/>
    </row>
    <row r="296" spans="1:196" ht="23.5" hidden="1" customHeight="1">
      <c r="A296" s="155"/>
      <c r="B296" s="137" t="s">
        <v>1144</v>
      </c>
      <c r="C296" s="12" t="s">
        <v>605</v>
      </c>
      <c r="D296" s="119"/>
      <c r="E296" s="119"/>
      <c r="F296" s="133">
        <v>46226</v>
      </c>
      <c r="G296" s="95">
        <v>10</v>
      </c>
      <c r="H296" s="133"/>
      <c r="I296" s="108">
        <v>46226</v>
      </c>
      <c r="J296" s="134">
        <f t="shared" si="195"/>
        <v>0</v>
      </c>
      <c r="K296" s="175" t="s">
        <v>1145</v>
      </c>
      <c r="L296" s="161"/>
      <c r="M296" s="136"/>
      <c r="N296" s="136"/>
      <c r="O296" s="136"/>
      <c r="P296" s="136"/>
      <c r="Q296" s="136"/>
      <c r="R296" s="136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36"/>
      <c r="AD296" s="136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36"/>
      <c r="AR296" s="136"/>
      <c r="AS296" s="161"/>
      <c r="AT296" s="161"/>
      <c r="AU296" s="161"/>
      <c r="AV296" s="161"/>
      <c r="AW296" s="161"/>
      <c r="AX296" s="161"/>
      <c r="AY296" s="161"/>
      <c r="AZ296" s="161"/>
      <c r="BA296" s="161"/>
      <c r="BB296" s="161"/>
      <c r="BC296" s="161"/>
      <c r="BD296" s="161"/>
      <c r="BE296" s="136"/>
      <c r="BF296" s="136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36"/>
      <c r="BT296" s="136"/>
      <c r="BU296" s="161">
        <v>10</v>
      </c>
      <c r="BV296" s="161"/>
      <c r="BW296" s="161"/>
      <c r="BX296" s="161"/>
      <c r="BY296" s="161"/>
      <c r="BZ296" s="161"/>
      <c r="CA296" s="161"/>
      <c r="CB296" s="161"/>
      <c r="CC296" s="161"/>
      <c r="CD296" s="161"/>
      <c r="CE296" s="161"/>
      <c r="CF296" s="161"/>
      <c r="CG296" s="136"/>
      <c r="CH296" s="136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36"/>
      <c r="CV296" s="136"/>
      <c r="CW296" s="161"/>
      <c r="CX296" s="161"/>
      <c r="CY296" s="161"/>
      <c r="CZ296" s="161"/>
      <c r="DA296" s="161"/>
      <c r="DB296" s="161"/>
      <c r="DC296" s="161"/>
      <c r="DD296" s="161"/>
      <c r="DE296" s="161"/>
      <c r="DF296" s="161"/>
      <c r="DG296" s="161"/>
      <c r="DH296" s="161"/>
      <c r="DI296" s="136"/>
      <c r="DJ296" s="136"/>
      <c r="DK296" s="161"/>
      <c r="DL296" s="161"/>
      <c r="DM296" s="161"/>
      <c r="DN296" s="161"/>
      <c r="DO296" s="161"/>
      <c r="DP296" s="161"/>
      <c r="DQ296" s="161"/>
      <c r="DR296" s="161"/>
      <c r="DS296" s="161"/>
      <c r="DT296" s="161"/>
      <c r="DU296" s="161"/>
      <c r="DV296" s="161"/>
      <c r="DW296" s="136"/>
      <c r="DX296" s="136"/>
      <c r="DY296" s="161"/>
      <c r="DZ296" s="161"/>
      <c r="EA296" s="161"/>
      <c r="EB296" s="161"/>
      <c r="EC296" s="161"/>
      <c r="ED296" s="161"/>
      <c r="EE296" s="161"/>
      <c r="EF296" s="161"/>
      <c r="EG296" s="161"/>
      <c r="EH296" s="161"/>
      <c r="EI296" s="161"/>
      <c r="EJ296" s="161"/>
      <c r="EK296" s="136"/>
      <c r="EL296" s="136"/>
      <c r="EM296" s="136"/>
      <c r="EN296" s="136"/>
      <c r="EO296" s="136"/>
      <c r="EP296" s="136"/>
      <c r="EQ296" s="136"/>
      <c r="ER296" s="136"/>
      <c r="ES296" s="161"/>
      <c r="ET296" s="161"/>
      <c r="EU296" s="161"/>
      <c r="EV296" s="161"/>
      <c r="EW296" s="161"/>
      <c r="EX296" s="161"/>
      <c r="EY296" s="136"/>
      <c r="EZ296" s="136"/>
      <c r="FA296" s="161"/>
      <c r="FB296" s="161"/>
      <c r="FC296" s="161"/>
      <c r="FD296" s="161"/>
      <c r="FE296" s="161"/>
      <c r="FF296" s="161"/>
      <c r="FG296" s="161"/>
      <c r="FH296" s="161"/>
      <c r="FI296" s="161"/>
      <c r="FJ296" s="161"/>
      <c r="FK296" s="161"/>
      <c r="FL296" s="161"/>
      <c r="FM296" s="136"/>
      <c r="FN296" s="136"/>
      <c r="FO296" s="161"/>
      <c r="FP296" s="161"/>
      <c r="FQ296" s="161"/>
      <c r="FR296" s="161"/>
      <c r="FS296" s="161"/>
      <c r="FT296" s="161"/>
      <c r="FU296" s="161"/>
      <c r="FV296" s="161"/>
      <c r="FW296" s="161"/>
      <c r="FX296" s="161"/>
      <c r="FY296" s="161"/>
      <c r="FZ296" s="161"/>
      <c r="GA296" s="136"/>
      <c r="GB296" s="136"/>
      <c r="GC296" s="161"/>
      <c r="GD296" s="161"/>
      <c r="GE296" s="161"/>
      <c r="GF296" s="161"/>
      <c r="GG296" s="161"/>
      <c r="GH296" s="161"/>
      <c r="GI296" s="161"/>
      <c r="GJ296" s="161"/>
      <c r="GK296" s="161"/>
      <c r="GL296" s="161"/>
      <c r="GM296" s="161"/>
      <c r="GN296" s="161"/>
    </row>
    <row r="297" spans="1:196" ht="23.5" hidden="1" customHeight="1">
      <c r="A297" s="155"/>
      <c r="B297" s="137" t="s">
        <v>1219</v>
      </c>
      <c r="C297" s="12" t="s">
        <v>605</v>
      </c>
      <c r="D297" s="119"/>
      <c r="E297" s="119"/>
      <c r="F297" s="133">
        <v>46226</v>
      </c>
      <c r="G297" s="95">
        <v>2</v>
      </c>
      <c r="H297" s="133"/>
      <c r="I297" s="108">
        <v>46226</v>
      </c>
      <c r="J297" s="134">
        <f t="shared" ref="J297" si="196">G297-SUM(L297:FL297)</f>
        <v>0</v>
      </c>
      <c r="K297" s="175" t="s">
        <v>1145</v>
      </c>
      <c r="L297" s="161"/>
      <c r="M297" s="136"/>
      <c r="N297" s="136"/>
      <c r="O297" s="136"/>
      <c r="P297" s="136"/>
      <c r="Q297" s="136"/>
      <c r="R297" s="136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36"/>
      <c r="AD297" s="136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36"/>
      <c r="AR297" s="136"/>
      <c r="AS297" s="161"/>
      <c r="AT297" s="161"/>
      <c r="AU297" s="161"/>
      <c r="AV297" s="161"/>
      <c r="AW297" s="161"/>
      <c r="AX297" s="161"/>
      <c r="AY297" s="161"/>
      <c r="AZ297" s="161"/>
      <c r="BA297" s="161"/>
      <c r="BB297" s="161"/>
      <c r="BC297" s="161"/>
      <c r="BD297" s="161"/>
      <c r="BE297" s="136"/>
      <c r="BF297" s="136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36"/>
      <c r="BT297" s="136"/>
      <c r="BU297" s="161">
        <v>2</v>
      </c>
      <c r="BV297" s="161"/>
      <c r="BW297" s="161"/>
      <c r="BX297" s="161"/>
      <c r="BY297" s="161"/>
      <c r="BZ297" s="161"/>
      <c r="CA297" s="161"/>
      <c r="CB297" s="161"/>
      <c r="CC297" s="161"/>
      <c r="CD297" s="161"/>
      <c r="CE297" s="161"/>
      <c r="CF297" s="161"/>
      <c r="CG297" s="136"/>
      <c r="CH297" s="136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36"/>
      <c r="CV297" s="136"/>
      <c r="CW297" s="161"/>
      <c r="CX297" s="161"/>
      <c r="CY297" s="161"/>
      <c r="CZ297" s="161"/>
      <c r="DA297" s="161"/>
      <c r="DB297" s="161"/>
      <c r="DC297" s="161"/>
      <c r="DD297" s="161"/>
      <c r="DE297" s="161"/>
      <c r="DF297" s="161"/>
      <c r="DG297" s="161"/>
      <c r="DH297" s="161"/>
      <c r="DI297" s="136"/>
      <c r="DJ297" s="136"/>
      <c r="DK297" s="161"/>
      <c r="DL297" s="161"/>
      <c r="DM297" s="161"/>
      <c r="DN297" s="161"/>
      <c r="DO297" s="161"/>
      <c r="DP297" s="161"/>
      <c r="DQ297" s="161"/>
      <c r="DR297" s="161"/>
      <c r="DS297" s="161"/>
      <c r="DT297" s="161"/>
      <c r="DU297" s="161"/>
      <c r="DV297" s="161"/>
      <c r="DW297" s="136"/>
      <c r="DX297" s="136"/>
      <c r="DY297" s="161"/>
      <c r="DZ297" s="161"/>
      <c r="EA297" s="161"/>
      <c r="EB297" s="161"/>
      <c r="EC297" s="161"/>
      <c r="ED297" s="161"/>
      <c r="EE297" s="161"/>
      <c r="EF297" s="161"/>
      <c r="EG297" s="161"/>
      <c r="EH297" s="161"/>
      <c r="EI297" s="161"/>
      <c r="EJ297" s="161"/>
      <c r="EK297" s="136"/>
      <c r="EL297" s="136"/>
      <c r="EM297" s="136"/>
      <c r="EN297" s="136"/>
      <c r="EO297" s="136"/>
      <c r="EP297" s="136"/>
      <c r="EQ297" s="136"/>
      <c r="ER297" s="136"/>
      <c r="ES297" s="161"/>
      <c r="ET297" s="161"/>
      <c r="EU297" s="161"/>
      <c r="EV297" s="161"/>
      <c r="EW297" s="161"/>
      <c r="EX297" s="161"/>
      <c r="EY297" s="136"/>
      <c r="EZ297" s="136"/>
      <c r="FA297" s="161"/>
      <c r="FB297" s="161"/>
      <c r="FC297" s="161"/>
      <c r="FD297" s="161"/>
      <c r="FE297" s="161"/>
      <c r="FF297" s="161"/>
      <c r="FG297" s="161"/>
      <c r="FH297" s="161"/>
      <c r="FI297" s="161"/>
      <c r="FJ297" s="161"/>
      <c r="FK297" s="161"/>
      <c r="FL297" s="161"/>
      <c r="FM297" s="136"/>
      <c r="FN297" s="136"/>
      <c r="FO297" s="161"/>
      <c r="FP297" s="161"/>
      <c r="FQ297" s="161"/>
      <c r="FR297" s="161"/>
      <c r="FS297" s="161"/>
      <c r="FT297" s="161"/>
      <c r="FU297" s="161"/>
      <c r="FV297" s="161"/>
      <c r="FW297" s="161"/>
      <c r="FX297" s="161"/>
      <c r="FY297" s="161"/>
      <c r="FZ297" s="161"/>
      <c r="GA297" s="136"/>
      <c r="GB297" s="136"/>
      <c r="GC297" s="161"/>
      <c r="GD297" s="161"/>
      <c r="GE297" s="161"/>
      <c r="GF297" s="161"/>
      <c r="GG297" s="161"/>
      <c r="GH297" s="161"/>
      <c r="GI297" s="161"/>
      <c r="GJ297" s="161"/>
      <c r="GK297" s="161"/>
      <c r="GL297" s="161"/>
      <c r="GM297" s="161"/>
      <c r="GN297" s="161"/>
    </row>
    <row r="298" spans="1:196" ht="18" hidden="1" customHeight="1">
      <c r="A298" s="155"/>
      <c r="B298" s="126" t="s">
        <v>874</v>
      </c>
      <c r="C298" s="109" t="s">
        <v>615</v>
      </c>
      <c r="D298" s="119"/>
      <c r="E298" s="119"/>
      <c r="F298" s="107">
        <v>46224</v>
      </c>
      <c r="G298" s="115">
        <v>400</v>
      </c>
      <c r="H298" s="6"/>
      <c r="I298" s="125">
        <v>46214</v>
      </c>
      <c r="J298" s="13">
        <f t="shared" ref="J298:J302" si="197">G298-SUM(L298:FL298)</f>
        <v>0</v>
      </c>
      <c r="K298" s="177"/>
      <c r="L298" s="161"/>
      <c r="M298" s="136"/>
      <c r="N298" s="136"/>
      <c r="O298" s="136"/>
      <c r="P298" s="136"/>
      <c r="Q298" s="136"/>
      <c r="R298" s="136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36"/>
      <c r="AD298" s="136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36"/>
      <c r="AR298" s="136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1"/>
      <c r="BE298" s="136"/>
      <c r="BF298" s="136"/>
      <c r="BG298" s="161"/>
      <c r="BH298" s="161"/>
      <c r="BI298" s="161"/>
      <c r="BJ298" s="161"/>
      <c r="BK298" s="161"/>
      <c r="BL298" s="161"/>
      <c r="BM298" s="161"/>
      <c r="BN298" s="161"/>
      <c r="BO298" s="161">
        <v>193</v>
      </c>
      <c r="BP298" s="161"/>
      <c r="BQ298" s="161">
        <v>105</v>
      </c>
      <c r="BR298" s="161"/>
      <c r="BS298" s="136"/>
      <c r="BT298" s="136"/>
      <c r="BU298" s="161"/>
      <c r="BV298" s="161"/>
      <c r="BW298" s="161">
        <v>102</v>
      </c>
      <c r="BX298" s="161"/>
      <c r="BY298" s="161"/>
      <c r="BZ298" s="161"/>
      <c r="CA298" s="161"/>
      <c r="CB298" s="161"/>
      <c r="CC298" s="161"/>
      <c r="CD298" s="161"/>
      <c r="CE298" s="161"/>
      <c r="CF298" s="161"/>
      <c r="CG298" s="136"/>
      <c r="CH298" s="136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36"/>
      <c r="CV298" s="136"/>
      <c r="CW298" s="161"/>
      <c r="CX298" s="161"/>
      <c r="CY298" s="161"/>
      <c r="CZ298" s="161"/>
      <c r="DA298" s="161"/>
      <c r="DB298" s="161"/>
      <c r="DC298" s="161"/>
      <c r="DD298" s="161"/>
      <c r="DE298" s="161"/>
      <c r="DF298" s="161"/>
      <c r="DG298" s="161"/>
      <c r="DH298" s="161"/>
      <c r="DI298" s="136"/>
      <c r="DJ298" s="136"/>
      <c r="DK298" s="161"/>
      <c r="DL298" s="161"/>
      <c r="DM298" s="161"/>
      <c r="DN298" s="161"/>
      <c r="DO298" s="161"/>
      <c r="DP298" s="161"/>
      <c r="DQ298" s="161"/>
      <c r="DR298" s="161"/>
      <c r="DS298" s="161"/>
      <c r="DT298" s="161"/>
      <c r="DU298" s="161"/>
      <c r="DV298" s="161"/>
      <c r="DW298" s="136"/>
      <c r="DX298" s="136"/>
      <c r="DY298" s="161"/>
      <c r="DZ298" s="161"/>
      <c r="EA298" s="161"/>
      <c r="EB298" s="161"/>
      <c r="EC298" s="161"/>
      <c r="ED298" s="161"/>
      <c r="EE298" s="161"/>
      <c r="EF298" s="161"/>
      <c r="EG298" s="161"/>
      <c r="EH298" s="161"/>
      <c r="EI298" s="161"/>
      <c r="EJ298" s="161"/>
      <c r="EK298" s="136"/>
      <c r="EL298" s="136"/>
      <c r="EM298" s="136"/>
      <c r="EN298" s="136"/>
      <c r="EO298" s="136"/>
      <c r="EP298" s="136"/>
      <c r="EQ298" s="136"/>
      <c r="ER298" s="136"/>
      <c r="ES298" s="161"/>
      <c r="ET298" s="161"/>
      <c r="EU298" s="161"/>
      <c r="EV298" s="161"/>
      <c r="EW298" s="161"/>
      <c r="EX298" s="161"/>
      <c r="EY298" s="136"/>
      <c r="EZ298" s="136"/>
      <c r="FA298" s="161"/>
      <c r="FB298" s="161"/>
      <c r="FC298" s="161"/>
      <c r="FD298" s="161"/>
      <c r="FE298" s="161"/>
      <c r="FF298" s="161"/>
      <c r="FG298" s="161"/>
      <c r="FH298" s="161"/>
      <c r="FI298" s="161"/>
      <c r="FJ298" s="161"/>
      <c r="FK298" s="161"/>
      <c r="FL298" s="161"/>
      <c r="FM298" s="136"/>
      <c r="FN298" s="136"/>
      <c r="FO298" s="161"/>
      <c r="FP298" s="161"/>
      <c r="FQ298" s="161"/>
      <c r="FR298" s="161"/>
      <c r="FS298" s="161"/>
      <c r="FT298" s="161"/>
      <c r="FU298" s="161"/>
      <c r="FV298" s="161"/>
      <c r="FW298" s="161"/>
      <c r="FX298" s="161"/>
      <c r="FY298" s="161"/>
      <c r="FZ298" s="161"/>
      <c r="GA298" s="136"/>
      <c r="GB298" s="136"/>
      <c r="GC298" s="161"/>
      <c r="GD298" s="161"/>
      <c r="GE298" s="161"/>
      <c r="GF298" s="161"/>
      <c r="GG298" s="161"/>
      <c r="GH298" s="161"/>
      <c r="GI298" s="161"/>
      <c r="GJ298" s="161"/>
      <c r="GK298" s="161"/>
      <c r="GL298" s="161"/>
      <c r="GM298" s="161"/>
      <c r="GN298" s="161"/>
    </row>
    <row r="299" spans="1:196" ht="18" hidden="1" customHeight="1">
      <c r="A299" s="155"/>
      <c r="B299" s="126" t="s">
        <v>1093</v>
      </c>
      <c r="C299" s="109" t="s">
        <v>605</v>
      </c>
      <c r="D299" s="119"/>
      <c r="E299" s="119"/>
      <c r="F299" s="107">
        <v>46226</v>
      </c>
      <c r="G299" s="115">
        <v>172</v>
      </c>
      <c r="H299" s="6"/>
      <c r="I299" s="125">
        <v>46214</v>
      </c>
      <c r="J299" s="13">
        <f t="shared" si="197"/>
        <v>0</v>
      </c>
      <c r="K299" s="177"/>
      <c r="L299" s="161"/>
      <c r="M299" s="136"/>
      <c r="N299" s="136"/>
      <c r="O299" s="136"/>
      <c r="P299" s="136"/>
      <c r="Q299" s="136"/>
      <c r="R299" s="136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36"/>
      <c r="AD299" s="136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36"/>
      <c r="AR299" s="136"/>
      <c r="AS299" s="161"/>
      <c r="AT299" s="161"/>
      <c r="AU299" s="161"/>
      <c r="AV299" s="161"/>
      <c r="AW299" s="161"/>
      <c r="AX299" s="161"/>
      <c r="AY299" s="161"/>
      <c r="AZ299" s="161"/>
      <c r="BA299" s="161"/>
      <c r="BB299" s="161"/>
      <c r="BC299" s="161"/>
      <c r="BD299" s="161"/>
      <c r="BE299" s="136"/>
      <c r="BF299" s="136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>
        <v>102</v>
      </c>
      <c r="BR299" s="161"/>
      <c r="BS299" s="136"/>
      <c r="BT299" s="136"/>
      <c r="BU299" s="161"/>
      <c r="BV299" s="161"/>
      <c r="BW299" s="161">
        <v>70</v>
      </c>
      <c r="BX299" s="161"/>
      <c r="BY299" s="161"/>
      <c r="BZ299" s="161"/>
      <c r="CA299" s="161"/>
      <c r="CB299" s="161"/>
      <c r="CC299" s="161"/>
      <c r="CD299" s="161"/>
      <c r="CE299" s="161"/>
      <c r="CF299" s="161"/>
      <c r="CG299" s="136"/>
      <c r="CH299" s="136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/>
      <c r="CS299" s="161"/>
      <c r="CT299" s="161"/>
      <c r="CU299" s="136"/>
      <c r="CV299" s="136"/>
      <c r="CW299" s="161"/>
      <c r="CX299" s="161"/>
      <c r="CY299" s="161"/>
      <c r="CZ299" s="161"/>
      <c r="DA299" s="161"/>
      <c r="DB299" s="161"/>
      <c r="DC299" s="161"/>
      <c r="DD299" s="161"/>
      <c r="DE299" s="161"/>
      <c r="DF299" s="161"/>
      <c r="DG299" s="161"/>
      <c r="DH299" s="161"/>
      <c r="DI299" s="136"/>
      <c r="DJ299" s="136"/>
      <c r="DK299" s="161"/>
      <c r="DL299" s="161"/>
      <c r="DM299" s="161"/>
      <c r="DN299" s="161"/>
      <c r="DO299" s="161"/>
      <c r="DP299" s="161"/>
      <c r="DQ299" s="161"/>
      <c r="DR299" s="161"/>
      <c r="DS299" s="161"/>
      <c r="DT299" s="161"/>
      <c r="DU299" s="161"/>
      <c r="DV299" s="161"/>
      <c r="DW299" s="136"/>
      <c r="DX299" s="136"/>
      <c r="DY299" s="161"/>
      <c r="DZ299" s="161"/>
      <c r="EA299" s="161"/>
      <c r="EB299" s="161"/>
      <c r="EC299" s="161"/>
      <c r="ED299" s="161"/>
      <c r="EE299" s="161"/>
      <c r="EF299" s="161"/>
      <c r="EG299" s="161"/>
      <c r="EH299" s="161"/>
      <c r="EI299" s="161"/>
      <c r="EJ299" s="161"/>
      <c r="EK299" s="136"/>
      <c r="EL299" s="136"/>
      <c r="EM299" s="136"/>
      <c r="EN299" s="136"/>
      <c r="EO299" s="136"/>
      <c r="EP299" s="136"/>
      <c r="EQ299" s="136"/>
      <c r="ER299" s="136"/>
      <c r="ES299" s="161"/>
      <c r="ET299" s="161"/>
      <c r="EU299" s="161"/>
      <c r="EV299" s="161"/>
      <c r="EW299" s="161"/>
      <c r="EX299" s="161"/>
      <c r="EY299" s="136"/>
      <c r="EZ299" s="136"/>
      <c r="FA299" s="161"/>
      <c r="FB299" s="161"/>
      <c r="FC299" s="161"/>
      <c r="FD299" s="161"/>
      <c r="FE299" s="161"/>
      <c r="FF299" s="161"/>
      <c r="FG299" s="161"/>
      <c r="FH299" s="161"/>
      <c r="FI299" s="161"/>
      <c r="FJ299" s="161"/>
      <c r="FK299" s="161"/>
      <c r="FL299" s="161"/>
      <c r="FM299" s="136"/>
      <c r="FN299" s="136"/>
      <c r="FO299" s="161"/>
      <c r="FP299" s="161"/>
      <c r="FQ299" s="161"/>
      <c r="FR299" s="161"/>
      <c r="FS299" s="161"/>
      <c r="FT299" s="161"/>
      <c r="FU299" s="161"/>
      <c r="FV299" s="161"/>
      <c r="FW299" s="161"/>
      <c r="FX299" s="161"/>
      <c r="FY299" s="161"/>
      <c r="FZ299" s="161"/>
      <c r="GA299" s="136"/>
      <c r="GB299" s="136"/>
      <c r="GC299" s="161"/>
      <c r="GD299" s="161"/>
      <c r="GE299" s="161"/>
      <c r="GF299" s="161"/>
      <c r="GG299" s="161"/>
      <c r="GH299" s="161"/>
      <c r="GI299" s="161"/>
      <c r="GJ299" s="161"/>
      <c r="GK299" s="161"/>
      <c r="GL299" s="161"/>
      <c r="GM299" s="161"/>
      <c r="GN299" s="161"/>
    </row>
    <row r="300" spans="1:196" ht="18" hidden="1" customHeight="1">
      <c r="A300" s="155"/>
      <c r="B300" s="126" t="s">
        <v>1250</v>
      </c>
      <c r="C300" s="109" t="s">
        <v>615</v>
      </c>
      <c r="D300" s="119"/>
      <c r="E300" s="119"/>
      <c r="F300" s="107">
        <v>46231</v>
      </c>
      <c r="G300" s="115">
        <v>178</v>
      </c>
      <c r="H300" s="6"/>
      <c r="I300" s="125">
        <v>46214</v>
      </c>
      <c r="J300" s="13">
        <f t="shared" si="197"/>
        <v>0</v>
      </c>
      <c r="K300" s="177"/>
      <c r="L300" s="161"/>
      <c r="M300" s="136"/>
      <c r="N300" s="136"/>
      <c r="O300" s="136"/>
      <c r="P300" s="136"/>
      <c r="Q300" s="136"/>
      <c r="R300" s="136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36"/>
      <c r="AD300" s="136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36"/>
      <c r="AR300" s="136"/>
      <c r="AS300" s="161"/>
      <c r="AT300" s="161"/>
      <c r="AU300" s="161"/>
      <c r="AV300" s="161"/>
      <c r="AW300" s="161"/>
      <c r="AX300" s="161"/>
      <c r="AY300" s="161"/>
      <c r="AZ300" s="161"/>
      <c r="BA300" s="161"/>
      <c r="BB300" s="161"/>
      <c r="BC300" s="161"/>
      <c r="BD300" s="161"/>
      <c r="BE300" s="136"/>
      <c r="BF300" s="136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36"/>
      <c r="BT300" s="136"/>
      <c r="BU300" s="161"/>
      <c r="BV300" s="161"/>
      <c r="BW300" s="161"/>
      <c r="BX300" s="161"/>
      <c r="BY300" s="161">
        <v>177</v>
      </c>
      <c r="BZ300" s="161"/>
      <c r="CA300" s="161">
        <v>1</v>
      </c>
      <c r="CB300" s="161"/>
      <c r="CC300" s="161"/>
      <c r="CD300" s="161"/>
      <c r="CE300" s="161"/>
      <c r="CF300" s="161"/>
      <c r="CG300" s="136"/>
      <c r="CH300" s="136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36"/>
      <c r="CV300" s="136"/>
      <c r="CW300" s="161"/>
      <c r="CX300" s="161"/>
      <c r="CY300" s="161"/>
      <c r="CZ300" s="161"/>
      <c r="DA300" s="161"/>
      <c r="DB300" s="161"/>
      <c r="DC300" s="161"/>
      <c r="DD300" s="161"/>
      <c r="DE300" s="161"/>
      <c r="DF300" s="161"/>
      <c r="DG300" s="161"/>
      <c r="DH300" s="161"/>
      <c r="DI300" s="136"/>
      <c r="DJ300" s="136"/>
      <c r="DK300" s="161"/>
      <c r="DL300" s="161"/>
      <c r="DM300" s="161"/>
      <c r="DN300" s="161"/>
      <c r="DO300" s="161"/>
      <c r="DP300" s="161"/>
      <c r="DQ300" s="161"/>
      <c r="DR300" s="161"/>
      <c r="DS300" s="161"/>
      <c r="DT300" s="161"/>
      <c r="DU300" s="161"/>
      <c r="DV300" s="161"/>
      <c r="DW300" s="136"/>
      <c r="DX300" s="136"/>
      <c r="DY300" s="161"/>
      <c r="DZ300" s="161"/>
      <c r="EA300" s="161"/>
      <c r="EB300" s="161"/>
      <c r="EC300" s="161"/>
      <c r="ED300" s="161"/>
      <c r="EE300" s="161"/>
      <c r="EF300" s="161"/>
      <c r="EG300" s="161"/>
      <c r="EH300" s="161"/>
      <c r="EI300" s="161"/>
      <c r="EJ300" s="161"/>
      <c r="EK300" s="136"/>
      <c r="EL300" s="136"/>
      <c r="EM300" s="136"/>
      <c r="EN300" s="136"/>
      <c r="EO300" s="136"/>
      <c r="EP300" s="136"/>
      <c r="EQ300" s="136"/>
      <c r="ER300" s="136"/>
      <c r="ES300" s="161"/>
      <c r="ET300" s="161"/>
      <c r="EU300" s="161"/>
      <c r="EV300" s="161"/>
      <c r="EW300" s="161"/>
      <c r="EX300" s="161"/>
      <c r="EY300" s="136"/>
      <c r="EZ300" s="136"/>
      <c r="FA300" s="161"/>
      <c r="FB300" s="161"/>
      <c r="FC300" s="161"/>
      <c r="FD300" s="161"/>
      <c r="FE300" s="161"/>
      <c r="FF300" s="161"/>
      <c r="FG300" s="161"/>
      <c r="FH300" s="161"/>
      <c r="FI300" s="161"/>
      <c r="FJ300" s="161"/>
      <c r="FK300" s="161"/>
      <c r="FL300" s="161"/>
      <c r="FM300" s="136"/>
      <c r="FN300" s="136"/>
      <c r="FO300" s="161"/>
      <c r="FP300" s="161"/>
      <c r="FQ300" s="161"/>
      <c r="FR300" s="161"/>
      <c r="FS300" s="161"/>
      <c r="FT300" s="161"/>
      <c r="FU300" s="161"/>
      <c r="FV300" s="161"/>
      <c r="FW300" s="161"/>
      <c r="FX300" s="161"/>
      <c r="FY300" s="161"/>
      <c r="FZ300" s="161"/>
      <c r="GA300" s="136"/>
      <c r="GB300" s="136"/>
      <c r="GC300" s="161"/>
      <c r="GD300" s="161"/>
      <c r="GE300" s="161"/>
      <c r="GF300" s="161"/>
      <c r="GG300" s="161"/>
      <c r="GH300" s="161"/>
      <c r="GI300" s="161"/>
      <c r="GJ300" s="161"/>
      <c r="GK300" s="161"/>
      <c r="GL300" s="161"/>
      <c r="GM300" s="161"/>
      <c r="GN300" s="161"/>
    </row>
    <row r="301" spans="1:196">
      <c r="A301" s="155" t="s">
        <v>1317</v>
      </c>
      <c r="B301" s="178" t="s">
        <v>1009</v>
      </c>
      <c r="C301" s="174" t="s">
        <v>241</v>
      </c>
      <c r="D301" s="119"/>
      <c r="E301" s="119"/>
      <c r="F301" s="107"/>
      <c r="G301" s="115">
        <v>200</v>
      </c>
      <c r="H301" s="6"/>
      <c r="I301" s="125">
        <v>46235</v>
      </c>
      <c r="J301" s="13">
        <f t="shared" si="197"/>
        <v>0</v>
      </c>
      <c r="K301" s="141" t="s">
        <v>1252</v>
      </c>
      <c r="L301" s="135"/>
      <c r="M301" s="136"/>
      <c r="N301" s="136"/>
      <c r="O301" s="136"/>
      <c r="P301" s="136"/>
      <c r="Q301" s="136"/>
      <c r="R301" s="136"/>
      <c r="S301" s="135"/>
      <c r="T301" s="161"/>
      <c r="U301" s="161"/>
      <c r="V301" s="161"/>
      <c r="W301" s="135"/>
      <c r="X301" s="135"/>
      <c r="Y301" s="135"/>
      <c r="Z301" s="135"/>
      <c r="AA301" s="135"/>
      <c r="AB301" s="135"/>
      <c r="AC301" s="136"/>
      <c r="AD301" s="136"/>
      <c r="AE301" s="161"/>
      <c r="AF301" s="161"/>
      <c r="AG301" s="161"/>
      <c r="AH301" s="161"/>
      <c r="AI301" s="161"/>
      <c r="AJ301" s="161"/>
      <c r="AK301" s="135"/>
      <c r="AL301" s="135"/>
      <c r="AM301" s="135"/>
      <c r="AN301" s="135"/>
      <c r="AO301" s="135"/>
      <c r="AP301" s="135"/>
      <c r="AQ301" s="136"/>
      <c r="AR301" s="136"/>
      <c r="AS301" s="135"/>
      <c r="AT301" s="161"/>
      <c r="AU301" s="161"/>
      <c r="AV301" s="161"/>
      <c r="AW301" s="161"/>
      <c r="AX301" s="161"/>
      <c r="AY301" s="135"/>
      <c r="AZ301" s="135"/>
      <c r="BA301" s="135"/>
      <c r="BB301" s="135"/>
      <c r="BC301" s="135"/>
      <c r="BD301" s="135"/>
      <c r="BE301" s="136"/>
      <c r="BF301" s="136"/>
      <c r="BG301" s="161"/>
      <c r="BH301" s="161"/>
      <c r="BI301" s="161"/>
      <c r="BJ301" s="161"/>
      <c r="BK301" s="161"/>
      <c r="BL301" s="161"/>
      <c r="BM301" s="135"/>
      <c r="BN301" s="135"/>
      <c r="BO301" s="135"/>
      <c r="BP301" s="135"/>
      <c r="BQ301" s="135"/>
      <c r="BR301" s="135"/>
      <c r="BS301" s="136"/>
      <c r="BT301" s="136"/>
      <c r="BU301" s="161"/>
      <c r="BV301" s="161"/>
      <c r="BW301" s="161"/>
      <c r="BX301" s="161"/>
      <c r="BY301" s="161"/>
      <c r="BZ301" s="161"/>
      <c r="CA301" s="135"/>
      <c r="CB301" s="135"/>
      <c r="CC301" s="135"/>
      <c r="CD301" s="135"/>
      <c r="CE301" s="135"/>
      <c r="CF301" s="135"/>
      <c r="CG301" s="136"/>
      <c r="CH301" s="136"/>
      <c r="CI301" s="161">
        <v>200</v>
      </c>
      <c r="CJ301" s="161"/>
      <c r="CK301" s="161"/>
      <c r="CL301" s="161"/>
      <c r="CM301" s="161"/>
      <c r="CN301" s="161"/>
      <c r="CO301" s="161"/>
      <c r="CP301" s="161"/>
      <c r="CQ301" s="135"/>
      <c r="CR301" s="135"/>
      <c r="CS301" s="161"/>
      <c r="CT301" s="161"/>
      <c r="CU301" s="136"/>
      <c r="CV301" s="136"/>
      <c r="CW301" s="161"/>
      <c r="CX301" s="161"/>
      <c r="CY301" s="161"/>
      <c r="CZ301" s="161"/>
      <c r="DA301" s="161"/>
      <c r="DB301" s="161"/>
      <c r="DC301" s="135"/>
      <c r="DD301" s="135"/>
      <c r="DE301" s="135"/>
      <c r="DF301" s="135"/>
      <c r="DG301" s="135"/>
      <c r="DH301" s="135"/>
      <c r="DI301" s="136"/>
      <c r="DJ301" s="136"/>
      <c r="DK301" s="161"/>
      <c r="DL301" s="161"/>
      <c r="DM301" s="161"/>
      <c r="DN301" s="161"/>
      <c r="DO301" s="161"/>
      <c r="DP301" s="161"/>
      <c r="DQ301" s="135"/>
      <c r="DR301" s="135"/>
      <c r="DS301" s="135"/>
      <c r="DT301" s="135"/>
      <c r="DU301" s="135"/>
      <c r="DV301" s="135"/>
      <c r="DW301" s="136"/>
      <c r="DX301" s="136"/>
      <c r="DY301" s="161"/>
      <c r="DZ301" s="161"/>
      <c r="EA301" s="161"/>
      <c r="EB301" s="161"/>
      <c r="EC301" s="161"/>
      <c r="ED301" s="161"/>
      <c r="EE301" s="135"/>
      <c r="EF301" s="135"/>
      <c r="EG301" s="135"/>
      <c r="EH301" s="135"/>
      <c r="EI301" s="135"/>
      <c r="EJ301" s="135"/>
      <c r="EK301" s="136"/>
      <c r="EL301" s="136"/>
      <c r="EM301" s="136"/>
      <c r="EN301" s="136"/>
      <c r="EO301" s="136"/>
      <c r="EP301" s="136"/>
      <c r="EQ301" s="136"/>
      <c r="ER301" s="136"/>
      <c r="ES301" s="135"/>
      <c r="ET301" s="135"/>
      <c r="EU301" s="135"/>
      <c r="EV301" s="135"/>
      <c r="EW301" s="135"/>
      <c r="EX301" s="135"/>
      <c r="EY301" s="136"/>
      <c r="EZ301" s="136"/>
      <c r="FA301" s="161"/>
      <c r="FB301" s="161"/>
      <c r="FC301" s="161"/>
      <c r="FD301" s="161"/>
      <c r="FE301" s="161"/>
      <c r="FF301" s="161"/>
      <c r="FG301" s="135"/>
      <c r="FH301" s="135"/>
      <c r="FI301" s="135"/>
      <c r="FJ301" s="135"/>
      <c r="FK301" s="135"/>
      <c r="FL301" s="135"/>
      <c r="FM301" s="136"/>
      <c r="FN301" s="136"/>
      <c r="FO301" s="161"/>
      <c r="FP301" s="161"/>
      <c r="FQ301" s="161"/>
      <c r="FR301" s="161"/>
      <c r="FS301" s="161"/>
      <c r="FT301" s="161"/>
      <c r="FU301" s="135"/>
      <c r="FV301" s="135"/>
      <c r="FW301" s="135"/>
      <c r="FX301" s="135"/>
      <c r="FY301" s="135"/>
      <c r="FZ301" s="135"/>
      <c r="GA301" s="136"/>
      <c r="GB301" s="136"/>
      <c r="GC301" s="161"/>
      <c r="GD301" s="161"/>
      <c r="GE301" s="161"/>
      <c r="GF301" s="161"/>
      <c r="GG301" s="161"/>
      <c r="GH301" s="161"/>
      <c r="GI301" s="135"/>
      <c r="GJ301" s="135"/>
      <c r="GK301" s="135"/>
      <c r="GL301" s="135"/>
      <c r="GM301" s="135"/>
      <c r="GN301" s="135"/>
    </row>
    <row r="302" spans="1:196">
      <c r="A302" s="155"/>
      <c r="B302" s="126" t="s">
        <v>1251</v>
      </c>
      <c r="C302" s="109" t="s">
        <v>241</v>
      </c>
      <c r="D302" s="119"/>
      <c r="E302" s="119"/>
      <c r="F302" s="107"/>
      <c r="G302" s="115">
        <v>448</v>
      </c>
      <c r="H302" s="6"/>
      <c r="I302" s="125">
        <v>46235</v>
      </c>
      <c r="J302" s="13">
        <f t="shared" si="197"/>
        <v>0</v>
      </c>
      <c r="K302" s="106"/>
      <c r="L302" s="135"/>
      <c r="M302" s="136"/>
      <c r="N302" s="136"/>
      <c r="O302" s="136"/>
      <c r="P302" s="136"/>
      <c r="Q302" s="136"/>
      <c r="R302" s="136"/>
      <c r="S302" s="135"/>
      <c r="T302" s="161"/>
      <c r="U302" s="161"/>
      <c r="V302" s="161"/>
      <c r="W302" s="135"/>
      <c r="X302" s="135"/>
      <c r="Y302" s="135"/>
      <c r="Z302" s="135"/>
      <c r="AA302" s="135"/>
      <c r="AB302" s="135"/>
      <c r="AC302" s="136"/>
      <c r="AD302" s="136"/>
      <c r="AE302" s="161"/>
      <c r="AF302" s="161"/>
      <c r="AG302" s="161"/>
      <c r="AH302" s="161"/>
      <c r="AI302" s="161"/>
      <c r="AJ302" s="161"/>
      <c r="AK302" s="135"/>
      <c r="AL302" s="135"/>
      <c r="AM302" s="135"/>
      <c r="AN302" s="135"/>
      <c r="AO302" s="135"/>
      <c r="AP302" s="135"/>
      <c r="AQ302" s="136"/>
      <c r="AR302" s="136"/>
      <c r="AS302" s="135"/>
      <c r="AT302" s="161"/>
      <c r="AU302" s="161"/>
      <c r="AV302" s="161"/>
      <c r="AW302" s="161"/>
      <c r="AX302" s="161"/>
      <c r="AY302" s="135"/>
      <c r="AZ302" s="135"/>
      <c r="BA302" s="135"/>
      <c r="BB302" s="135"/>
      <c r="BC302" s="135"/>
      <c r="BD302" s="135"/>
      <c r="BE302" s="136"/>
      <c r="BF302" s="136"/>
      <c r="BG302" s="161"/>
      <c r="BH302" s="161"/>
      <c r="BI302" s="161"/>
      <c r="BJ302" s="161"/>
      <c r="BK302" s="161"/>
      <c r="BL302" s="161"/>
      <c r="BM302" s="135"/>
      <c r="BN302" s="135"/>
      <c r="BO302" s="135"/>
      <c r="BP302" s="135"/>
      <c r="BQ302" s="135"/>
      <c r="BR302" s="135"/>
      <c r="BS302" s="136"/>
      <c r="BT302" s="136"/>
      <c r="BU302" s="161"/>
      <c r="BV302" s="161"/>
      <c r="BW302" s="161"/>
      <c r="BX302" s="161"/>
      <c r="BY302" s="161"/>
      <c r="BZ302" s="161"/>
      <c r="CA302" s="135"/>
      <c r="CB302" s="135"/>
      <c r="CC302" s="135"/>
      <c r="CD302" s="135"/>
      <c r="CE302" s="135"/>
      <c r="CF302" s="135"/>
      <c r="CG302" s="136"/>
      <c r="CH302" s="136"/>
      <c r="CI302" s="161"/>
      <c r="CJ302" s="161"/>
      <c r="CK302" s="161">
        <v>200</v>
      </c>
      <c r="CL302" s="161"/>
      <c r="CM302" s="161">
        <v>200</v>
      </c>
      <c r="CN302" s="161"/>
      <c r="CO302" s="161">
        <v>48</v>
      </c>
      <c r="CP302" s="161"/>
      <c r="CQ302" s="135"/>
      <c r="CR302" s="135"/>
      <c r="CS302" s="161"/>
      <c r="CT302" s="161"/>
      <c r="CU302" s="136"/>
      <c r="CV302" s="136"/>
      <c r="CW302" s="161"/>
      <c r="CX302" s="161"/>
      <c r="CY302" s="161"/>
      <c r="CZ302" s="161"/>
      <c r="DA302" s="161"/>
      <c r="DB302" s="161"/>
      <c r="DC302" s="135"/>
      <c r="DD302" s="135"/>
      <c r="DE302" s="135"/>
      <c r="DF302" s="135"/>
      <c r="DG302" s="135"/>
      <c r="DH302" s="135"/>
      <c r="DI302" s="136"/>
      <c r="DJ302" s="136"/>
      <c r="DK302" s="161"/>
      <c r="DL302" s="161"/>
      <c r="DM302" s="161"/>
      <c r="DN302" s="161"/>
      <c r="DO302" s="161"/>
      <c r="DP302" s="161"/>
      <c r="DQ302" s="135"/>
      <c r="DR302" s="135"/>
      <c r="DS302" s="135"/>
      <c r="DT302" s="135"/>
      <c r="DU302" s="135"/>
      <c r="DV302" s="135"/>
      <c r="DW302" s="136"/>
      <c r="DX302" s="136"/>
      <c r="DY302" s="161"/>
      <c r="DZ302" s="161"/>
      <c r="EA302" s="161"/>
      <c r="EB302" s="161"/>
      <c r="EC302" s="161"/>
      <c r="ED302" s="161"/>
      <c r="EE302" s="135"/>
      <c r="EF302" s="135"/>
      <c r="EG302" s="135"/>
      <c r="EH302" s="135"/>
      <c r="EI302" s="135"/>
      <c r="EJ302" s="135"/>
      <c r="EK302" s="136"/>
      <c r="EL302" s="136"/>
      <c r="EM302" s="136"/>
      <c r="EN302" s="136"/>
      <c r="EO302" s="136"/>
      <c r="EP302" s="136"/>
      <c r="EQ302" s="136"/>
      <c r="ER302" s="136"/>
      <c r="ES302" s="135"/>
      <c r="ET302" s="135"/>
      <c r="EU302" s="135"/>
      <c r="EV302" s="135"/>
      <c r="EW302" s="135"/>
      <c r="EX302" s="135"/>
      <c r="EY302" s="136"/>
      <c r="EZ302" s="136"/>
      <c r="FA302" s="161"/>
      <c r="FB302" s="161"/>
      <c r="FC302" s="161"/>
      <c r="FD302" s="161"/>
      <c r="FE302" s="161"/>
      <c r="FF302" s="161"/>
      <c r="FG302" s="135"/>
      <c r="FH302" s="135"/>
      <c r="FI302" s="135"/>
      <c r="FJ302" s="135"/>
      <c r="FK302" s="135"/>
      <c r="FL302" s="135"/>
      <c r="FM302" s="136"/>
      <c r="FN302" s="136"/>
      <c r="FO302" s="161"/>
      <c r="FP302" s="161"/>
      <c r="FQ302" s="161"/>
      <c r="FR302" s="161"/>
      <c r="FS302" s="161"/>
      <c r="FT302" s="161"/>
      <c r="FU302" s="135"/>
      <c r="FV302" s="135"/>
      <c r="FW302" s="135"/>
      <c r="FX302" s="135"/>
      <c r="FY302" s="135"/>
      <c r="FZ302" s="135"/>
      <c r="GA302" s="136"/>
      <c r="GB302" s="136"/>
      <c r="GC302" s="161"/>
      <c r="GD302" s="161"/>
      <c r="GE302" s="161"/>
      <c r="GF302" s="161"/>
      <c r="GG302" s="161"/>
      <c r="GH302" s="161"/>
      <c r="GI302" s="135"/>
      <c r="GJ302" s="135"/>
      <c r="GK302" s="135"/>
      <c r="GL302" s="135"/>
      <c r="GM302" s="135"/>
      <c r="GN302" s="135"/>
    </row>
    <row r="303" spans="1:196">
      <c r="A303" s="155"/>
      <c r="B303" s="126" t="s">
        <v>1010</v>
      </c>
      <c r="C303" s="109" t="s">
        <v>606</v>
      </c>
      <c r="D303" s="119"/>
      <c r="E303" s="119"/>
      <c r="F303" s="107"/>
      <c r="G303" s="115">
        <v>270</v>
      </c>
      <c r="H303" s="6"/>
      <c r="I303" s="125">
        <v>46242</v>
      </c>
      <c r="J303" s="13">
        <f t="shared" ref="J303:J308" si="198">G303-SUM(L303:FL303)</f>
        <v>0</v>
      </c>
      <c r="K303" s="106" t="s">
        <v>1328</v>
      </c>
      <c r="L303" s="135"/>
      <c r="M303" s="136"/>
      <c r="N303" s="136"/>
      <c r="O303" s="136"/>
      <c r="P303" s="136"/>
      <c r="Q303" s="136"/>
      <c r="R303" s="136"/>
      <c r="S303" s="135"/>
      <c r="T303" s="161"/>
      <c r="U303" s="161"/>
      <c r="V303" s="161"/>
      <c r="W303" s="135"/>
      <c r="X303" s="135"/>
      <c r="Y303" s="135"/>
      <c r="Z303" s="135"/>
      <c r="AA303" s="135"/>
      <c r="AB303" s="135"/>
      <c r="AC303" s="136"/>
      <c r="AD303" s="136"/>
      <c r="AE303" s="161"/>
      <c r="AF303" s="161"/>
      <c r="AG303" s="161"/>
      <c r="AH303" s="161"/>
      <c r="AI303" s="161"/>
      <c r="AJ303" s="161"/>
      <c r="AK303" s="135"/>
      <c r="AL303" s="135"/>
      <c r="AM303" s="135"/>
      <c r="AN303" s="135"/>
      <c r="AO303" s="135"/>
      <c r="AP303" s="135"/>
      <c r="AQ303" s="136"/>
      <c r="AR303" s="136"/>
      <c r="AS303" s="135"/>
      <c r="AT303" s="161"/>
      <c r="AU303" s="161"/>
      <c r="AV303" s="161"/>
      <c r="AW303" s="161"/>
      <c r="AX303" s="161"/>
      <c r="AY303" s="135"/>
      <c r="AZ303" s="135"/>
      <c r="BA303" s="135"/>
      <c r="BB303" s="135"/>
      <c r="BC303" s="135"/>
      <c r="BD303" s="135"/>
      <c r="BE303" s="136"/>
      <c r="BF303" s="136"/>
      <c r="BG303" s="161"/>
      <c r="BH303" s="161"/>
      <c r="BI303" s="161"/>
      <c r="BJ303" s="161"/>
      <c r="BK303" s="161"/>
      <c r="BL303" s="161"/>
      <c r="BM303" s="135"/>
      <c r="BN303" s="135"/>
      <c r="BO303" s="135"/>
      <c r="BP303" s="135"/>
      <c r="BQ303" s="135"/>
      <c r="BR303" s="135"/>
      <c r="BS303" s="136"/>
      <c r="BT303" s="136"/>
      <c r="BU303" s="161"/>
      <c r="BV303" s="161"/>
      <c r="BW303" s="161"/>
      <c r="BX303" s="161"/>
      <c r="BY303" s="161"/>
      <c r="BZ303" s="161"/>
      <c r="CA303" s="135"/>
      <c r="CB303" s="135"/>
      <c r="CC303" s="135"/>
      <c r="CD303" s="135"/>
      <c r="CE303" s="135"/>
      <c r="CF303" s="135"/>
      <c r="CG303" s="136"/>
      <c r="CH303" s="136"/>
      <c r="CI303" s="161"/>
      <c r="CJ303" s="161"/>
      <c r="CK303" s="161"/>
      <c r="CL303" s="161"/>
      <c r="CM303" s="161"/>
      <c r="CN303" s="161"/>
      <c r="CO303" s="135">
        <v>150</v>
      </c>
      <c r="CP303" s="161"/>
      <c r="CQ303" s="135">
        <v>120</v>
      </c>
      <c r="CR303" s="135"/>
      <c r="CS303" s="161"/>
      <c r="CT303" s="161"/>
      <c r="CU303" s="136"/>
      <c r="CV303" s="136"/>
      <c r="CW303" s="161"/>
      <c r="CX303" s="161"/>
      <c r="CY303" s="161"/>
      <c r="CZ303" s="161"/>
      <c r="DA303" s="161"/>
      <c r="DB303" s="161"/>
      <c r="DC303" s="135"/>
      <c r="DD303" s="135"/>
      <c r="DE303" s="135"/>
      <c r="DF303" s="135"/>
      <c r="DG303" s="135"/>
      <c r="DH303" s="135"/>
      <c r="DI303" s="136"/>
      <c r="DJ303" s="136"/>
      <c r="DK303" s="161"/>
      <c r="DL303" s="161"/>
      <c r="DM303" s="161"/>
      <c r="DN303" s="161"/>
      <c r="DO303" s="161"/>
      <c r="DP303" s="161"/>
      <c r="DQ303" s="135"/>
      <c r="DR303" s="135"/>
      <c r="DS303" s="135"/>
      <c r="DT303" s="135"/>
      <c r="DU303" s="135"/>
      <c r="DV303" s="135"/>
      <c r="DW303" s="136"/>
      <c r="DX303" s="136"/>
      <c r="DY303" s="161"/>
      <c r="DZ303" s="161"/>
      <c r="EA303" s="161"/>
      <c r="EB303" s="161"/>
      <c r="EC303" s="161"/>
      <c r="ED303" s="161"/>
      <c r="EE303" s="135"/>
      <c r="EF303" s="135"/>
      <c r="EG303" s="135"/>
      <c r="EH303" s="135"/>
      <c r="EI303" s="135"/>
      <c r="EJ303" s="135"/>
      <c r="EK303" s="136"/>
      <c r="EL303" s="136"/>
      <c r="EM303" s="136"/>
      <c r="EN303" s="136"/>
      <c r="EO303" s="136"/>
      <c r="EP303" s="136"/>
      <c r="EQ303" s="136"/>
      <c r="ER303" s="136"/>
      <c r="ES303" s="135"/>
      <c r="ET303" s="135"/>
      <c r="EU303" s="135"/>
      <c r="EV303" s="135"/>
      <c r="EW303" s="135"/>
      <c r="EX303" s="135"/>
      <c r="EY303" s="136"/>
      <c r="EZ303" s="136"/>
      <c r="FA303" s="161"/>
      <c r="FB303" s="161"/>
      <c r="FC303" s="161"/>
      <c r="FD303" s="161"/>
      <c r="FE303" s="161"/>
      <c r="FF303" s="161"/>
      <c r="FG303" s="135"/>
      <c r="FH303" s="135"/>
      <c r="FI303" s="135"/>
      <c r="FJ303" s="135"/>
      <c r="FK303" s="135"/>
      <c r="FL303" s="135"/>
      <c r="FM303" s="136"/>
      <c r="FN303" s="136"/>
      <c r="FO303" s="161"/>
      <c r="FP303" s="161"/>
      <c r="FQ303" s="161"/>
      <c r="FR303" s="161"/>
      <c r="FS303" s="161"/>
      <c r="FT303" s="161"/>
      <c r="FU303" s="135"/>
      <c r="FV303" s="135"/>
      <c r="FW303" s="135"/>
      <c r="FX303" s="135"/>
      <c r="FY303" s="135"/>
      <c r="FZ303" s="135"/>
      <c r="GA303" s="136"/>
      <c r="GB303" s="136"/>
      <c r="GC303" s="161"/>
      <c r="GD303" s="161"/>
      <c r="GE303" s="161"/>
      <c r="GF303" s="161"/>
      <c r="GG303" s="161"/>
      <c r="GH303" s="161"/>
      <c r="GI303" s="135"/>
      <c r="GJ303" s="135"/>
      <c r="GK303" s="135"/>
      <c r="GL303" s="135"/>
      <c r="GM303" s="135"/>
      <c r="GN303" s="135"/>
    </row>
    <row r="304" spans="1:196">
      <c r="A304" s="155"/>
      <c r="B304" s="126" t="s">
        <v>1006</v>
      </c>
      <c r="C304" s="109" t="s">
        <v>35</v>
      </c>
      <c r="D304" s="119"/>
      <c r="E304" s="119"/>
      <c r="F304" s="6"/>
      <c r="G304" s="115">
        <v>159</v>
      </c>
      <c r="H304" s="6"/>
      <c r="I304" s="125">
        <v>46235</v>
      </c>
      <c r="J304" s="13">
        <f t="shared" si="198"/>
        <v>0</v>
      </c>
      <c r="K304" s="106" t="s">
        <v>1329</v>
      </c>
      <c r="L304" s="161"/>
      <c r="M304" s="136"/>
      <c r="N304" s="136"/>
      <c r="O304" s="136"/>
      <c r="P304" s="136"/>
      <c r="Q304" s="136"/>
      <c r="R304" s="136"/>
      <c r="S304" s="161"/>
      <c r="T304" s="161"/>
      <c r="U304" s="161"/>
      <c r="V304" s="161"/>
      <c r="W304" s="135"/>
      <c r="X304" s="135"/>
      <c r="Y304" s="135"/>
      <c r="Z304" s="135"/>
      <c r="AA304" s="135"/>
      <c r="AB304" s="135"/>
      <c r="AC304" s="136"/>
      <c r="AD304" s="136"/>
      <c r="AE304" s="161"/>
      <c r="AF304" s="161"/>
      <c r="AG304" s="161"/>
      <c r="AH304" s="161"/>
      <c r="AI304" s="161"/>
      <c r="AJ304" s="161"/>
      <c r="AK304" s="135"/>
      <c r="AL304" s="135"/>
      <c r="AM304" s="135"/>
      <c r="AN304" s="135"/>
      <c r="AO304" s="135"/>
      <c r="AP304" s="135"/>
      <c r="AQ304" s="136"/>
      <c r="AR304" s="136"/>
      <c r="AS304" s="161"/>
      <c r="AT304" s="161"/>
      <c r="AU304" s="161"/>
      <c r="AV304" s="161"/>
      <c r="AW304" s="161"/>
      <c r="AX304" s="161"/>
      <c r="AY304" s="135"/>
      <c r="AZ304" s="135"/>
      <c r="BA304" s="135"/>
      <c r="BB304" s="135"/>
      <c r="BC304" s="135"/>
      <c r="BD304" s="135"/>
      <c r="BE304" s="136"/>
      <c r="BF304" s="136"/>
      <c r="BG304" s="161"/>
      <c r="BH304" s="161"/>
      <c r="BI304" s="161"/>
      <c r="BJ304" s="161"/>
      <c r="BK304" s="161"/>
      <c r="BL304" s="161"/>
      <c r="BM304" s="135"/>
      <c r="BN304" s="135"/>
      <c r="BO304" s="135"/>
      <c r="BP304" s="135"/>
      <c r="BQ304" s="135"/>
      <c r="BR304" s="135"/>
      <c r="BS304" s="136"/>
      <c r="BT304" s="136"/>
      <c r="BU304" s="161"/>
      <c r="BV304" s="161"/>
      <c r="BW304" s="161"/>
      <c r="BX304" s="161"/>
      <c r="BY304" s="161"/>
      <c r="BZ304" s="161"/>
      <c r="CA304" s="135"/>
      <c r="CB304" s="135"/>
      <c r="CC304" s="135"/>
      <c r="CD304" s="135"/>
      <c r="CE304" s="135"/>
      <c r="CF304" s="135"/>
      <c r="CG304" s="136"/>
      <c r="CH304" s="136"/>
      <c r="CI304" s="161"/>
      <c r="CJ304" s="161"/>
      <c r="CK304" s="161"/>
      <c r="CL304" s="161"/>
      <c r="CM304" s="161"/>
      <c r="CN304" s="161"/>
      <c r="CO304" s="161"/>
      <c r="CP304" s="161"/>
      <c r="CQ304" s="135">
        <v>159</v>
      </c>
      <c r="CR304" s="135"/>
      <c r="CS304" s="135"/>
      <c r="CT304" s="135"/>
      <c r="CU304" s="136"/>
      <c r="CV304" s="136"/>
      <c r="CW304" s="161"/>
      <c r="CX304" s="161"/>
      <c r="CY304" s="161"/>
      <c r="CZ304" s="161"/>
      <c r="DA304" s="135"/>
      <c r="DB304" s="135"/>
      <c r="DC304" s="135"/>
      <c r="DD304" s="135"/>
      <c r="DE304" s="135"/>
      <c r="DF304" s="135"/>
      <c r="DG304" s="135"/>
      <c r="DH304" s="135"/>
      <c r="DI304" s="136"/>
      <c r="DJ304" s="136"/>
      <c r="DK304" s="161"/>
      <c r="DL304" s="161"/>
      <c r="DM304" s="161"/>
      <c r="DN304" s="161"/>
      <c r="DO304" s="161"/>
      <c r="DP304" s="161"/>
      <c r="DQ304" s="135"/>
      <c r="DR304" s="135"/>
      <c r="DS304" s="135"/>
      <c r="DT304" s="135"/>
      <c r="DU304" s="135"/>
      <c r="DV304" s="135"/>
      <c r="DW304" s="136"/>
      <c r="DX304" s="136"/>
      <c r="DY304" s="161"/>
      <c r="DZ304" s="161"/>
      <c r="EA304" s="161"/>
      <c r="EB304" s="161"/>
      <c r="EC304" s="161"/>
      <c r="ED304" s="161"/>
      <c r="EE304" s="135"/>
      <c r="EF304" s="135"/>
      <c r="EG304" s="135"/>
      <c r="EH304" s="135"/>
      <c r="EI304" s="135"/>
      <c r="EJ304" s="135"/>
      <c r="EK304" s="136"/>
      <c r="EL304" s="136"/>
      <c r="EM304" s="136"/>
      <c r="EN304" s="136"/>
      <c r="EO304" s="136"/>
      <c r="EP304" s="136"/>
      <c r="EQ304" s="136"/>
      <c r="ER304" s="136"/>
      <c r="ES304" s="135"/>
      <c r="ET304" s="135"/>
      <c r="EU304" s="135"/>
      <c r="EV304" s="135"/>
      <c r="EW304" s="135"/>
      <c r="EX304" s="135"/>
      <c r="EY304" s="136"/>
      <c r="EZ304" s="136"/>
      <c r="FA304" s="161"/>
      <c r="FB304" s="161"/>
      <c r="FC304" s="161"/>
      <c r="FD304" s="161"/>
      <c r="FE304" s="161"/>
      <c r="FF304" s="161"/>
      <c r="FG304" s="135"/>
      <c r="FH304" s="135"/>
      <c r="FI304" s="135"/>
      <c r="FJ304" s="135"/>
      <c r="FK304" s="135"/>
      <c r="FL304" s="135"/>
      <c r="FM304" s="136"/>
      <c r="FN304" s="136"/>
      <c r="FO304" s="161"/>
      <c r="FP304" s="161"/>
      <c r="FQ304" s="161"/>
      <c r="FR304" s="161"/>
      <c r="FS304" s="161"/>
      <c r="FT304" s="161"/>
      <c r="FU304" s="135"/>
      <c r="FV304" s="135"/>
      <c r="FW304" s="135"/>
      <c r="FX304" s="135"/>
      <c r="FY304" s="135"/>
      <c r="FZ304" s="135"/>
      <c r="GA304" s="136"/>
      <c r="GB304" s="136"/>
      <c r="GC304" s="161"/>
      <c r="GD304" s="161"/>
      <c r="GE304" s="161"/>
      <c r="GF304" s="161"/>
      <c r="GG304" s="161"/>
      <c r="GH304" s="161"/>
      <c r="GI304" s="135"/>
      <c r="GJ304" s="135"/>
      <c r="GK304" s="135"/>
      <c r="GL304" s="135"/>
      <c r="GM304" s="135"/>
      <c r="GN304" s="135"/>
    </row>
    <row r="305" spans="1:196">
      <c r="A305" s="155"/>
      <c r="B305" s="126" t="s">
        <v>1007</v>
      </c>
      <c r="C305" s="109" t="s">
        <v>726</v>
      </c>
      <c r="D305" s="119"/>
      <c r="E305" s="119"/>
      <c r="F305" s="6"/>
      <c r="G305" s="115">
        <v>126</v>
      </c>
      <c r="H305" s="6"/>
      <c r="I305" s="125">
        <v>46242</v>
      </c>
      <c r="J305" s="13">
        <f t="shared" si="198"/>
        <v>0</v>
      </c>
      <c r="K305" s="106" t="s">
        <v>1330</v>
      </c>
      <c r="L305" s="135"/>
      <c r="M305" s="136"/>
      <c r="N305" s="136"/>
      <c r="O305" s="136"/>
      <c r="P305" s="136"/>
      <c r="Q305" s="136"/>
      <c r="R305" s="136"/>
      <c r="S305" s="135"/>
      <c r="T305" s="161"/>
      <c r="U305" s="161"/>
      <c r="V305" s="161"/>
      <c r="W305" s="135"/>
      <c r="X305" s="135"/>
      <c r="Y305" s="135"/>
      <c r="Z305" s="135"/>
      <c r="AA305" s="135"/>
      <c r="AB305" s="135"/>
      <c r="AC305" s="136"/>
      <c r="AD305" s="136"/>
      <c r="AE305" s="161"/>
      <c r="AF305" s="161"/>
      <c r="AG305" s="161"/>
      <c r="AH305" s="161"/>
      <c r="AI305" s="161"/>
      <c r="AJ305" s="161"/>
      <c r="AK305" s="135"/>
      <c r="AL305" s="135"/>
      <c r="AM305" s="135"/>
      <c r="AN305" s="135"/>
      <c r="AO305" s="135"/>
      <c r="AP305" s="135"/>
      <c r="AQ305" s="136"/>
      <c r="AR305" s="136"/>
      <c r="AS305" s="135"/>
      <c r="AT305" s="161"/>
      <c r="AU305" s="161"/>
      <c r="AV305" s="161"/>
      <c r="AW305" s="161"/>
      <c r="AX305" s="161"/>
      <c r="AY305" s="135"/>
      <c r="AZ305" s="135"/>
      <c r="BA305" s="135"/>
      <c r="BB305" s="135"/>
      <c r="BC305" s="135"/>
      <c r="BD305" s="135"/>
      <c r="BE305" s="136"/>
      <c r="BF305" s="136"/>
      <c r="BG305" s="161"/>
      <c r="BH305" s="161"/>
      <c r="BI305" s="161"/>
      <c r="BJ305" s="161"/>
      <c r="BK305" s="161"/>
      <c r="BL305" s="161"/>
      <c r="BM305" s="135"/>
      <c r="BN305" s="135"/>
      <c r="BO305" s="135"/>
      <c r="BP305" s="135"/>
      <c r="BQ305" s="135"/>
      <c r="BR305" s="135"/>
      <c r="BS305" s="136"/>
      <c r="BT305" s="136"/>
      <c r="BU305" s="161"/>
      <c r="BV305" s="161"/>
      <c r="BW305" s="161"/>
      <c r="BX305" s="161"/>
      <c r="BY305" s="161"/>
      <c r="BZ305" s="161"/>
      <c r="CA305" s="135"/>
      <c r="CB305" s="135"/>
      <c r="CC305" s="135"/>
      <c r="CD305" s="135"/>
      <c r="CE305" s="135"/>
      <c r="CF305" s="135"/>
      <c r="CG305" s="136"/>
      <c r="CH305" s="136"/>
      <c r="CI305" s="135"/>
      <c r="CJ305" s="161"/>
      <c r="CK305" s="135"/>
      <c r="CL305" s="161"/>
      <c r="CM305" s="161"/>
      <c r="CN305" s="161"/>
      <c r="CO305" s="161"/>
      <c r="CP305" s="161"/>
      <c r="CQ305" s="135"/>
      <c r="CR305" s="161"/>
      <c r="CS305" s="161">
        <v>126</v>
      </c>
      <c r="CT305" s="161"/>
      <c r="CU305" s="136"/>
      <c r="CV305" s="136"/>
      <c r="CW305" s="161"/>
      <c r="CX305" s="161"/>
      <c r="CY305" s="161"/>
      <c r="CZ305" s="161"/>
      <c r="DA305" s="135"/>
      <c r="DB305" s="161"/>
      <c r="DC305" s="161"/>
      <c r="DD305" s="135"/>
      <c r="DE305" s="135"/>
      <c r="DF305" s="135"/>
      <c r="DG305" s="135"/>
      <c r="DH305" s="135"/>
      <c r="DI305" s="136"/>
      <c r="DJ305" s="136"/>
      <c r="DK305" s="161"/>
      <c r="DL305" s="161"/>
      <c r="DM305" s="161"/>
      <c r="DN305" s="161"/>
      <c r="DO305" s="161"/>
      <c r="DP305" s="161"/>
      <c r="DQ305" s="135"/>
      <c r="DR305" s="135"/>
      <c r="DS305" s="135"/>
      <c r="DT305" s="135"/>
      <c r="DU305" s="135"/>
      <c r="DV305" s="135"/>
      <c r="DW305" s="136"/>
      <c r="DX305" s="136"/>
      <c r="DY305" s="161"/>
      <c r="DZ305" s="161"/>
      <c r="EA305" s="161"/>
      <c r="EB305" s="161"/>
      <c r="EC305" s="161"/>
      <c r="ED305" s="161"/>
      <c r="EE305" s="135"/>
      <c r="EF305" s="135"/>
      <c r="EG305" s="135"/>
      <c r="EH305" s="135"/>
      <c r="EI305" s="135"/>
      <c r="EJ305" s="135"/>
      <c r="EK305" s="136"/>
      <c r="EL305" s="136"/>
      <c r="EM305" s="136"/>
      <c r="EN305" s="136"/>
      <c r="EO305" s="136"/>
      <c r="EP305" s="136"/>
      <c r="EQ305" s="136"/>
      <c r="ER305" s="136"/>
      <c r="ES305" s="135"/>
      <c r="ET305" s="135"/>
      <c r="EU305" s="135"/>
      <c r="EV305" s="135"/>
      <c r="EW305" s="135"/>
      <c r="EX305" s="135"/>
      <c r="EY305" s="136"/>
      <c r="EZ305" s="136"/>
      <c r="FA305" s="161"/>
      <c r="FB305" s="161"/>
      <c r="FC305" s="161"/>
      <c r="FD305" s="161"/>
      <c r="FE305" s="161"/>
      <c r="FF305" s="161"/>
      <c r="FG305" s="135"/>
      <c r="FH305" s="135"/>
      <c r="FI305" s="135"/>
      <c r="FJ305" s="135"/>
      <c r="FK305" s="135"/>
      <c r="FL305" s="135"/>
      <c r="FM305" s="136"/>
      <c r="FN305" s="136"/>
      <c r="FO305" s="161"/>
      <c r="FP305" s="161"/>
      <c r="FQ305" s="161"/>
      <c r="FR305" s="161"/>
      <c r="FS305" s="161"/>
      <c r="FT305" s="161"/>
      <c r="FU305" s="135"/>
      <c r="FV305" s="135"/>
      <c r="FW305" s="135"/>
      <c r="FX305" s="135"/>
      <c r="FY305" s="135"/>
      <c r="FZ305" s="135"/>
      <c r="GA305" s="136"/>
      <c r="GB305" s="136"/>
      <c r="GC305" s="161"/>
      <c r="GD305" s="161"/>
      <c r="GE305" s="161"/>
      <c r="GF305" s="161"/>
      <c r="GG305" s="161"/>
      <c r="GH305" s="161"/>
      <c r="GI305" s="135"/>
      <c r="GJ305" s="135"/>
      <c r="GK305" s="135"/>
      <c r="GL305" s="135"/>
      <c r="GM305" s="135"/>
      <c r="GN305" s="135"/>
    </row>
    <row r="306" spans="1:196">
      <c r="A306" s="155"/>
      <c r="B306" s="126" t="s">
        <v>1008</v>
      </c>
      <c r="C306" s="109" t="s">
        <v>727</v>
      </c>
      <c r="D306" s="119"/>
      <c r="E306" s="119"/>
      <c r="F306" s="6"/>
      <c r="G306" s="115">
        <v>72</v>
      </c>
      <c r="H306" s="6"/>
      <c r="I306" s="125">
        <v>46242</v>
      </c>
      <c r="J306" s="13">
        <f t="shared" si="198"/>
        <v>0</v>
      </c>
      <c r="K306" s="106" t="s">
        <v>1329</v>
      </c>
      <c r="L306" s="135"/>
      <c r="M306" s="136"/>
      <c r="N306" s="136"/>
      <c r="O306" s="136"/>
      <c r="P306" s="136"/>
      <c r="Q306" s="136"/>
      <c r="R306" s="136"/>
      <c r="S306" s="135"/>
      <c r="T306" s="161"/>
      <c r="U306" s="161"/>
      <c r="V306" s="161"/>
      <c r="W306" s="135"/>
      <c r="X306" s="135"/>
      <c r="Y306" s="135"/>
      <c r="Z306" s="135"/>
      <c r="AA306" s="135"/>
      <c r="AB306" s="135"/>
      <c r="AC306" s="136"/>
      <c r="AD306" s="136"/>
      <c r="AE306" s="161"/>
      <c r="AF306" s="161"/>
      <c r="AG306" s="161"/>
      <c r="AH306" s="161"/>
      <c r="AI306" s="161"/>
      <c r="AJ306" s="161"/>
      <c r="AK306" s="135"/>
      <c r="AL306" s="135"/>
      <c r="AM306" s="135"/>
      <c r="AN306" s="135"/>
      <c r="AO306" s="135"/>
      <c r="AP306" s="135"/>
      <c r="AQ306" s="136"/>
      <c r="AR306" s="136"/>
      <c r="AS306" s="135"/>
      <c r="AT306" s="161"/>
      <c r="AU306" s="161"/>
      <c r="AV306" s="161"/>
      <c r="AW306" s="161"/>
      <c r="AX306" s="161"/>
      <c r="AY306" s="135"/>
      <c r="AZ306" s="135"/>
      <c r="BA306" s="135"/>
      <c r="BB306" s="135"/>
      <c r="BC306" s="135"/>
      <c r="BD306" s="135"/>
      <c r="BE306" s="136"/>
      <c r="BF306" s="136"/>
      <c r="BG306" s="161"/>
      <c r="BH306" s="161"/>
      <c r="BI306" s="161"/>
      <c r="BJ306" s="161"/>
      <c r="BK306" s="161"/>
      <c r="BL306" s="161"/>
      <c r="BM306" s="135"/>
      <c r="BN306" s="135"/>
      <c r="BO306" s="135"/>
      <c r="BP306" s="135"/>
      <c r="BQ306" s="135"/>
      <c r="BR306" s="135"/>
      <c r="BS306" s="136"/>
      <c r="BT306" s="136"/>
      <c r="BU306" s="161"/>
      <c r="BV306" s="161"/>
      <c r="BW306" s="161"/>
      <c r="BX306" s="161"/>
      <c r="BY306" s="161"/>
      <c r="BZ306" s="161"/>
      <c r="CA306" s="135"/>
      <c r="CB306" s="135"/>
      <c r="CC306" s="135"/>
      <c r="CD306" s="135"/>
      <c r="CE306" s="135"/>
      <c r="CF306" s="135"/>
      <c r="CG306" s="136"/>
      <c r="CH306" s="136"/>
      <c r="CI306" s="135"/>
      <c r="CJ306" s="161"/>
      <c r="CK306" s="135"/>
      <c r="CL306" s="161"/>
      <c r="CM306" s="135"/>
      <c r="CN306" s="161"/>
      <c r="CO306" s="161"/>
      <c r="CP306" s="161"/>
      <c r="CQ306" s="135"/>
      <c r="CR306" s="161"/>
      <c r="CS306" s="161">
        <v>72</v>
      </c>
      <c r="CT306" s="161"/>
      <c r="CU306" s="136"/>
      <c r="CV306" s="136"/>
      <c r="CW306" s="161"/>
      <c r="CX306" s="161"/>
      <c r="CY306" s="161"/>
      <c r="CZ306" s="161"/>
      <c r="DA306" s="135"/>
      <c r="DB306" s="161"/>
      <c r="DC306" s="161"/>
      <c r="DD306" s="135"/>
      <c r="DE306" s="135"/>
      <c r="DF306" s="135"/>
      <c r="DG306" s="135"/>
      <c r="DH306" s="135"/>
      <c r="DI306" s="136"/>
      <c r="DJ306" s="136"/>
      <c r="DK306" s="161"/>
      <c r="DL306" s="161"/>
      <c r="DM306" s="161"/>
      <c r="DN306" s="161"/>
      <c r="DO306" s="161"/>
      <c r="DP306" s="161"/>
      <c r="DQ306" s="135"/>
      <c r="DR306" s="135"/>
      <c r="DS306" s="135"/>
      <c r="DT306" s="135"/>
      <c r="DU306" s="135"/>
      <c r="DV306" s="135"/>
      <c r="DW306" s="136"/>
      <c r="DX306" s="136"/>
      <c r="DY306" s="161"/>
      <c r="DZ306" s="161"/>
      <c r="EA306" s="161"/>
      <c r="EB306" s="161"/>
      <c r="EC306" s="161"/>
      <c r="ED306" s="161"/>
      <c r="EE306" s="135"/>
      <c r="EF306" s="135"/>
      <c r="EG306" s="135"/>
      <c r="EH306" s="135"/>
      <c r="EI306" s="135"/>
      <c r="EJ306" s="135"/>
      <c r="EK306" s="136"/>
      <c r="EL306" s="136"/>
      <c r="EM306" s="136"/>
      <c r="EN306" s="136"/>
      <c r="EO306" s="136"/>
      <c r="EP306" s="136"/>
      <c r="EQ306" s="136"/>
      <c r="ER306" s="136"/>
      <c r="ES306" s="135"/>
      <c r="ET306" s="135"/>
      <c r="EU306" s="135"/>
      <c r="EV306" s="135"/>
      <c r="EW306" s="135"/>
      <c r="EX306" s="135"/>
      <c r="EY306" s="136"/>
      <c r="EZ306" s="136"/>
      <c r="FA306" s="161"/>
      <c r="FB306" s="161"/>
      <c r="FC306" s="161"/>
      <c r="FD306" s="161"/>
      <c r="FE306" s="161"/>
      <c r="FF306" s="161"/>
      <c r="FG306" s="135"/>
      <c r="FH306" s="135"/>
      <c r="FI306" s="135"/>
      <c r="FJ306" s="135"/>
      <c r="FK306" s="135"/>
      <c r="FL306" s="135"/>
      <c r="FM306" s="136"/>
      <c r="FN306" s="136"/>
      <c r="FO306" s="161"/>
      <c r="FP306" s="161"/>
      <c r="FQ306" s="161"/>
      <c r="FR306" s="161"/>
      <c r="FS306" s="161"/>
      <c r="FT306" s="161"/>
      <c r="FU306" s="135"/>
      <c r="FV306" s="135"/>
      <c r="FW306" s="135"/>
      <c r="FX306" s="135"/>
      <c r="FY306" s="135"/>
      <c r="FZ306" s="135"/>
      <c r="GA306" s="136"/>
      <c r="GB306" s="136"/>
      <c r="GC306" s="161"/>
      <c r="GD306" s="161"/>
      <c r="GE306" s="161"/>
      <c r="GF306" s="161"/>
      <c r="GG306" s="161"/>
      <c r="GH306" s="161"/>
      <c r="GI306" s="135"/>
      <c r="GJ306" s="135"/>
      <c r="GK306" s="135"/>
      <c r="GL306" s="135"/>
      <c r="GM306" s="135"/>
      <c r="GN306" s="135"/>
    </row>
    <row r="307" spans="1:196" ht="17" customHeight="1">
      <c r="A307" s="155"/>
      <c r="B307" s="12" t="s">
        <v>1043</v>
      </c>
      <c r="C307" s="12" t="s">
        <v>242</v>
      </c>
      <c r="D307" s="119"/>
      <c r="E307" s="119">
        <f>VLOOKUP(C307,'[2]AVTC 标准工时'!C:G,5,0)</f>
        <v>40</v>
      </c>
      <c r="F307" s="133"/>
      <c r="G307" s="95">
        <v>180</v>
      </c>
      <c r="H307" s="133"/>
      <c r="I307" s="108">
        <v>46179</v>
      </c>
      <c r="J307" s="134">
        <f t="shared" si="198"/>
        <v>0</v>
      </c>
      <c r="K307" s="175" t="s">
        <v>1241</v>
      </c>
      <c r="L307" s="161"/>
      <c r="M307" s="136"/>
      <c r="N307" s="136"/>
      <c r="O307" s="136"/>
      <c r="P307" s="136"/>
      <c r="Q307" s="136"/>
      <c r="R307" s="136"/>
      <c r="S307" s="161"/>
      <c r="T307" s="161"/>
      <c r="U307" s="161"/>
      <c r="V307" s="161"/>
      <c r="W307" s="135"/>
      <c r="X307" s="135"/>
      <c r="Y307" s="135"/>
      <c r="Z307" s="135"/>
      <c r="AA307" s="161"/>
      <c r="AB307" s="135"/>
      <c r="AC307" s="136"/>
      <c r="AD307" s="136"/>
      <c r="AE307" s="161"/>
      <c r="AF307" s="161"/>
      <c r="AG307" s="161"/>
      <c r="AH307" s="161"/>
      <c r="AI307" s="161"/>
      <c r="AJ307" s="161"/>
      <c r="AK307" s="135"/>
      <c r="AL307" s="135"/>
      <c r="AM307" s="135"/>
      <c r="AN307" s="135"/>
      <c r="AO307" s="135"/>
      <c r="AP307" s="135"/>
      <c r="AQ307" s="136"/>
      <c r="AR307" s="136"/>
      <c r="AS307" s="135"/>
      <c r="AT307" s="135"/>
      <c r="AU307" s="161"/>
      <c r="AV307" s="161"/>
      <c r="AW307" s="161"/>
      <c r="AX307" s="161"/>
      <c r="AY307" s="161"/>
      <c r="AZ307" s="161"/>
      <c r="BA307" s="161"/>
      <c r="BB307" s="135"/>
      <c r="BC307" s="161"/>
      <c r="BD307" s="135"/>
      <c r="BE307" s="136"/>
      <c r="BF307" s="136"/>
      <c r="BG307" s="161"/>
      <c r="BH307" s="135"/>
      <c r="BI307" s="161"/>
      <c r="BJ307" s="161"/>
      <c r="BK307" s="161"/>
      <c r="BL307" s="161"/>
      <c r="BM307" s="135"/>
      <c r="BN307" s="135"/>
      <c r="BO307" s="135"/>
      <c r="BP307" s="135"/>
      <c r="BQ307" s="135"/>
      <c r="BR307" s="135"/>
      <c r="BS307" s="136"/>
      <c r="BT307" s="136"/>
      <c r="BU307" s="161"/>
      <c r="BV307" s="161"/>
      <c r="BW307" s="161"/>
      <c r="BX307" s="161"/>
      <c r="BY307" s="161"/>
      <c r="BZ307" s="161"/>
      <c r="CA307" s="135"/>
      <c r="CB307" s="135"/>
      <c r="CC307" s="135"/>
      <c r="CD307" s="135"/>
      <c r="CE307" s="135"/>
      <c r="CF307" s="135"/>
      <c r="CG307" s="136"/>
      <c r="CH307" s="136"/>
      <c r="CI307" s="161"/>
      <c r="CJ307" s="161"/>
      <c r="CK307" s="161"/>
      <c r="CL307" s="161"/>
      <c r="CM307" s="161"/>
      <c r="CN307" s="161"/>
      <c r="CO307" s="135"/>
      <c r="CP307" s="135"/>
      <c r="CQ307" s="161"/>
      <c r="CR307" s="161"/>
      <c r="CS307" s="161">
        <v>180</v>
      </c>
      <c r="CT307" s="135"/>
      <c r="CU307" s="136"/>
      <c r="CV307" s="136"/>
      <c r="CW307" s="161"/>
      <c r="CX307" s="161"/>
      <c r="CY307" s="161"/>
      <c r="CZ307" s="161"/>
      <c r="DA307" s="161"/>
      <c r="DB307" s="161"/>
      <c r="DC307" s="161"/>
      <c r="DD307" s="135"/>
      <c r="DE307" s="161"/>
      <c r="DF307" s="161"/>
      <c r="DG307" s="161"/>
      <c r="DH307" s="161"/>
      <c r="DI307" s="136"/>
      <c r="DJ307" s="136"/>
      <c r="DK307" s="161"/>
      <c r="DL307" s="161"/>
      <c r="DM307" s="161"/>
      <c r="DN307" s="161"/>
      <c r="DO307" s="161"/>
      <c r="DP307" s="161"/>
      <c r="DQ307" s="135"/>
      <c r="DR307" s="135"/>
      <c r="DS307" s="135"/>
      <c r="DT307" s="135"/>
      <c r="DU307" s="135"/>
      <c r="DV307" s="135"/>
      <c r="DW307" s="136"/>
      <c r="DX307" s="136"/>
      <c r="DY307" s="161"/>
      <c r="DZ307" s="161"/>
      <c r="EA307" s="161"/>
      <c r="EB307" s="161"/>
      <c r="EC307" s="161"/>
      <c r="ED307" s="161"/>
      <c r="EE307" s="135"/>
      <c r="EF307" s="135"/>
      <c r="EG307" s="135"/>
      <c r="EH307" s="135"/>
      <c r="EI307" s="135"/>
      <c r="EJ307" s="135"/>
      <c r="EK307" s="136"/>
      <c r="EL307" s="136"/>
      <c r="EM307" s="136"/>
      <c r="EN307" s="136"/>
      <c r="EO307" s="136"/>
      <c r="EP307" s="136"/>
      <c r="EQ307" s="136"/>
      <c r="ER307" s="136"/>
      <c r="ES307" s="135"/>
      <c r="ET307" s="135"/>
      <c r="EU307" s="135"/>
      <c r="EV307" s="135"/>
      <c r="EW307" s="135"/>
      <c r="EX307" s="135"/>
      <c r="EY307" s="136"/>
      <c r="EZ307" s="136"/>
      <c r="FA307" s="161"/>
      <c r="FB307" s="161"/>
      <c r="FC307" s="161"/>
      <c r="FD307" s="161"/>
      <c r="FE307" s="161"/>
      <c r="FF307" s="161"/>
      <c r="FG307" s="135"/>
      <c r="FH307" s="135"/>
      <c r="FI307" s="135"/>
      <c r="FJ307" s="135"/>
      <c r="FK307" s="135"/>
      <c r="FL307" s="135"/>
      <c r="FM307" s="136"/>
      <c r="FN307" s="136"/>
      <c r="FO307" s="161"/>
      <c r="FP307" s="161"/>
      <c r="FQ307" s="161"/>
      <c r="FR307" s="161"/>
      <c r="FS307" s="161"/>
      <c r="FT307" s="161"/>
      <c r="FU307" s="135"/>
      <c r="FV307" s="135"/>
      <c r="FW307" s="135"/>
      <c r="FX307" s="135"/>
      <c r="FY307" s="135"/>
      <c r="FZ307" s="135"/>
      <c r="GA307" s="136"/>
      <c r="GB307" s="136"/>
      <c r="GC307" s="161"/>
      <c r="GD307" s="161"/>
      <c r="GE307" s="161"/>
      <c r="GF307" s="161"/>
      <c r="GG307" s="161"/>
      <c r="GH307" s="161"/>
      <c r="GI307" s="135"/>
      <c r="GJ307" s="135"/>
      <c r="GK307" s="135"/>
      <c r="GL307" s="135"/>
      <c r="GM307" s="135"/>
      <c r="GN307" s="135"/>
    </row>
    <row r="308" spans="1:196">
      <c r="A308" s="155"/>
      <c r="B308" s="126" t="s">
        <v>1011</v>
      </c>
      <c r="C308" s="109" t="s">
        <v>242</v>
      </c>
      <c r="D308" s="119"/>
      <c r="E308" s="119"/>
      <c r="F308" s="107"/>
      <c r="G308" s="115">
        <v>1218</v>
      </c>
      <c r="H308" s="6"/>
      <c r="I308" s="125">
        <v>46242</v>
      </c>
      <c r="J308" s="13">
        <f t="shared" si="198"/>
        <v>0</v>
      </c>
      <c r="K308" s="190" t="s">
        <v>1336</v>
      </c>
      <c r="L308" s="135"/>
      <c r="M308" s="136"/>
      <c r="N308" s="136"/>
      <c r="O308" s="136"/>
      <c r="P308" s="136"/>
      <c r="Q308" s="136"/>
      <c r="R308" s="136"/>
      <c r="S308" s="135"/>
      <c r="T308" s="161"/>
      <c r="U308" s="161"/>
      <c r="V308" s="161"/>
      <c r="W308" s="135"/>
      <c r="X308" s="135"/>
      <c r="Y308" s="135"/>
      <c r="Z308" s="135"/>
      <c r="AA308" s="135"/>
      <c r="AB308" s="135"/>
      <c r="AC308" s="136"/>
      <c r="AD308" s="136"/>
      <c r="AE308" s="161"/>
      <c r="AF308" s="161"/>
      <c r="AG308" s="161"/>
      <c r="AH308" s="161"/>
      <c r="AI308" s="161"/>
      <c r="AJ308" s="161"/>
      <c r="AK308" s="135"/>
      <c r="AL308" s="135"/>
      <c r="AM308" s="135"/>
      <c r="AN308" s="135"/>
      <c r="AO308" s="135"/>
      <c r="AP308" s="135"/>
      <c r="AQ308" s="136"/>
      <c r="AR308" s="136"/>
      <c r="AS308" s="135"/>
      <c r="AT308" s="161"/>
      <c r="AU308" s="161"/>
      <c r="AV308" s="161"/>
      <c r="AW308" s="161"/>
      <c r="AX308" s="161"/>
      <c r="AY308" s="135"/>
      <c r="AZ308" s="135"/>
      <c r="BA308" s="135"/>
      <c r="BB308" s="135"/>
      <c r="BC308" s="135"/>
      <c r="BD308" s="135"/>
      <c r="BE308" s="136"/>
      <c r="BF308" s="136"/>
      <c r="BG308" s="161"/>
      <c r="BH308" s="161"/>
      <c r="BI308" s="161"/>
      <c r="BJ308" s="161"/>
      <c r="BK308" s="161"/>
      <c r="BL308" s="161"/>
      <c r="BM308" s="135"/>
      <c r="BN308" s="135"/>
      <c r="BO308" s="135"/>
      <c r="BP308" s="135"/>
      <c r="BQ308" s="135"/>
      <c r="BR308" s="135"/>
      <c r="BS308" s="136"/>
      <c r="BT308" s="136"/>
      <c r="BU308" s="161"/>
      <c r="BV308" s="161"/>
      <c r="BW308" s="161"/>
      <c r="BX308" s="161"/>
      <c r="BY308" s="161"/>
      <c r="BZ308" s="161"/>
      <c r="CA308" s="135"/>
      <c r="CB308" s="135"/>
      <c r="CC308" s="135"/>
      <c r="CD308" s="135"/>
      <c r="CE308" s="135"/>
      <c r="CF308" s="135"/>
      <c r="CG308" s="136"/>
      <c r="CH308" s="136"/>
      <c r="CI308" s="161"/>
      <c r="CJ308" s="161"/>
      <c r="CK308" s="161"/>
      <c r="CL308" s="161"/>
      <c r="CM308" s="161"/>
      <c r="CN308" s="161"/>
      <c r="CO308" s="135"/>
      <c r="CP308" s="161"/>
      <c r="CQ308" s="161"/>
      <c r="CR308" s="161"/>
      <c r="CS308" s="161">
        <v>400</v>
      </c>
      <c r="CT308" s="135"/>
      <c r="CU308" s="136"/>
      <c r="CV308" s="136"/>
      <c r="CW308" s="161">
        <v>400</v>
      </c>
      <c r="CX308" s="161"/>
      <c r="CY308" s="161">
        <v>418</v>
      </c>
      <c r="CZ308" s="161"/>
      <c r="DA308" s="161"/>
      <c r="DB308" s="161"/>
      <c r="DC308" s="161"/>
      <c r="DD308" s="135"/>
      <c r="DE308" s="161"/>
      <c r="DF308" s="161"/>
      <c r="DG308" s="161"/>
      <c r="DH308" s="161"/>
      <c r="DI308" s="136"/>
      <c r="DJ308" s="136"/>
      <c r="DK308" s="161"/>
      <c r="DL308" s="161"/>
      <c r="DM308" s="161"/>
      <c r="DN308" s="161"/>
      <c r="DO308" s="161"/>
      <c r="DP308" s="161"/>
      <c r="DQ308" s="135"/>
      <c r="DR308" s="135"/>
      <c r="DS308" s="135"/>
      <c r="DT308" s="135"/>
      <c r="DU308" s="135"/>
      <c r="DV308" s="135"/>
      <c r="DW308" s="136"/>
      <c r="DX308" s="136"/>
      <c r="DY308" s="161"/>
      <c r="DZ308" s="161"/>
      <c r="EA308" s="161"/>
      <c r="EB308" s="161"/>
      <c r="EC308" s="161"/>
      <c r="ED308" s="161"/>
      <c r="EE308" s="135"/>
      <c r="EF308" s="135"/>
      <c r="EG308" s="135"/>
      <c r="EH308" s="135"/>
      <c r="EI308" s="135"/>
      <c r="EJ308" s="135"/>
      <c r="EK308" s="136"/>
      <c r="EL308" s="136"/>
      <c r="EM308" s="136"/>
      <c r="EN308" s="136"/>
      <c r="EO308" s="136"/>
      <c r="EP308" s="136"/>
      <c r="EQ308" s="136"/>
      <c r="ER308" s="136"/>
      <c r="ES308" s="135"/>
      <c r="ET308" s="135"/>
      <c r="EU308" s="135"/>
      <c r="EV308" s="135"/>
      <c r="EW308" s="135"/>
      <c r="EX308" s="135"/>
      <c r="EY308" s="136"/>
      <c r="EZ308" s="136"/>
      <c r="FA308" s="161"/>
      <c r="FB308" s="161"/>
      <c r="FC308" s="161"/>
      <c r="FD308" s="161"/>
      <c r="FE308" s="161"/>
      <c r="FF308" s="161"/>
      <c r="FG308" s="135"/>
      <c r="FH308" s="135"/>
      <c r="FI308" s="135"/>
      <c r="FJ308" s="135"/>
      <c r="FK308" s="135"/>
      <c r="FL308" s="135"/>
      <c r="FM308" s="136"/>
      <c r="FN308" s="136"/>
      <c r="FO308" s="161"/>
      <c r="FP308" s="161"/>
      <c r="FQ308" s="161"/>
      <c r="FR308" s="161"/>
      <c r="FS308" s="161"/>
      <c r="FT308" s="161"/>
      <c r="FU308" s="135"/>
      <c r="FV308" s="135"/>
      <c r="FW308" s="135"/>
      <c r="FX308" s="135"/>
      <c r="FY308" s="135"/>
      <c r="FZ308" s="135"/>
      <c r="GA308" s="136"/>
      <c r="GB308" s="136"/>
      <c r="GC308" s="161"/>
      <c r="GD308" s="161"/>
      <c r="GE308" s="161"/>
      <c r="GF308" s="161"/>
      <c r="GG308" s="161"/>
      <c r="GH308" s="161"/>
      <c r="GI308" s="135"/>
      <c r="GJ308" s="135"/>
      <c r="GK308" s="135"/>
      <c r="GL308" s="135"/>
      <c r="GM308" s="135"/>
      <c r="GN308" s="135"/>
    </row>
    <row r="309" spans="1:196">
      <c r="A309" s="155"/>
      <c r="B309" s="12" t="s">
        <v>1277</v>
      </c>
      <c r="C309" s="12" t="s">
        <v>1273</v>
      </c>
      <c r="D309" s="119"/>
      <c r="E309" s="119"/>
      <c r="F309" s="133"/>
      <c r="G309" s="95">
        <v>1</v>
      </c>
      <c r="H309" s="133"/>
      <c r="I309" s="108">
        <v>46281</v>
      </c>
      <c r="J309" s="134">
        <f>G309-SUM(L309:FZ309)</f>
        <v>0</v>
      </c>
      <c r="K309" s="175" t="s">
        <v>1275</v>
      </c>
      <c r="L309" s="161"/>
      <c r="M309" s="136"/>
      <c r="N309" s="136"/>
      <c r="O309" s="136"/>
      <c r="P309" s="136"/>
      <c r="Q309" s="136"/>
      <c r="R309" s="136"/>
      <c r="S309" s="161"/>
      <c r="T309" s="161"/>
      <c r="U309" s="161"/>
      <c r="V309" s="161"/>
      <c r="W309" s="135"/>
      <c r="X309" s="135"/>
      <c r="Y309" s="135"/>
      <c r="Z309" s="135"/>
      <c r="AA309" s="135"/>
      <c r="AB309" s="135"/>
      <c r="AC309" s="136"/>
      <c r="AD309" s="136"/>
      <c r="AE309" s="161"/>
      <c r="AF309" s="161"/>
      <c r="AG309" s="161"/>
      <c r="AH309" s="161"/>
      <c r="AI309" s="161"/>
      <c r="AJ309" s="161"/>
      <c r="AK309" s="135"/>
      <c r="AL309" s="135"/>
      <c r="AM309" s="135"/>
      <c r="AN309" s="135"/>
      <c r="AO309" s="135"/>
      <c r="AP309" s="135"/>
      <c r="AQ309" s="136"/>
      <c r="AR309" s="136"/>
      <c r="AS309" s="161"/>
      <c r="AT309" s="161"/>
      <c r="AU309" s="161"/>
      <c r="AV309" s="161"/>
      <c r="AW309" s="161"/>
      <c r="AX309" s="161"/>
      <c r="AY309" s="135"/>
      <c r="AZ309" s="135"/>
      <c r="BA309" s="135"/>
      <c r="BB309" s="135"/>
      <c r="BC309" s="135"/>
      <c r="BD309" s="135"/>
      <c r="BE309" s="136"/>
      <c r="BF309" s="136"/>
      <c r="BG309" s="161"/>
      <c r="BH309" s="161"/>
      <c r="BI309" s="161"/>
      <c r="BJ309" s="161"/>
      <c r="BK309" s="161"/>
      <c r="BL309" s="161"/>
      <c r="BM309" s="135"/>
      <c r="BN309" s="135"/>
      <c r="BO309" s="135"/>
      <c r="BP309" s="135"/>
      <c r="BQ309" s="135"/>
      <c r="BR309" s="135"/>
      <c r="BS309" s="136"/>
      <c r="BT309" s="136"/>
      <c r="BU309" s="161"/>
      <c r="BV309" s="161"/>
      <c r="BW309" s="161"/>
      <c r="BX309" s="161"/>
      <c r="BY309" s="161"/>
      <c r="BZ309" s="161"/>
      <c r="CA309" s="135"/>
      <c r="CB309" s="135"/>
      <c r="CC309" s="135"/>
      <c r="CD309" s="135"/>
      <c r="CE309" s="135"/>
      <c r="CF309" s="135"/>
      <c r="CG309" s="136"/>
      <c r="CH309" s="136"/>
      <c r="CI309" s="161"/>
      <c r="CJ309" s="161"/>
      <c r="CK309" s="161"/>
      <c r="CL309" s="161"/>
      <c r="CM309" s="161"/>
      <c r="CN309" s="161"/>
      <c r="CO309" s="135"/>
      <c r="CP309" s="135"/>
      <c r="CQ309" s="135"/>
      <c r="CR309" s="135"/>
      <c r="CS309" s="135"/>
      <c r="CT309" s="135"/>
      <c r="CU309" s="136"/>
      <c r="CV309" s="136"/>
      <c r="CW309" s="161"/>
      <c r="CX309" s="161"/>
      <c r="CY309" s="135"/>
      <c r="CZ309" s="161"/>
      <c r="DA309" s="135"/>
      <c r="DB309" s="161"/>
      <c r="DC309" s="135"/>
      <c r="DD309" s="161"/>
      <c r="DE309" s="161"/>
      <c r="DF309" s="135"/>
      <c r="DG309" s="135"/>
      <c r="DH309" s="135"/>
      <c r="DI309" s="136"/>
      <c r="DJ309" s="136"/>
      <c r="DK309" s="135"/>
      <c r="DL309" s="161"/>
      <c r="DM309" s="135"/>
      <c r="DN309" s="161"/>
      <c r="DO309" s="135"/>
      <c r="DP309" s="161"/>
      <c r="DQ309" s="161"/>
      <c r="DR309" s="135"/>
      <c r="DS309" s="135"/>
      <c r="DT309" s="135"/>
      <c r="DU309" s="135"/>
      <c r="DV309" s="135"/>
      <c r="DW309" s="136"/>
      <c r="DX309" s="136"/>
      <c r="DY309" s="161"/>
      <c r="DZ309" s="161"/>
      <c r="EA309" s="161"/>
      <c r="EB309" s="161"/>
      <c r="EC309" s="161"/>
      <c r="ED309" s="161"/>
      <c r="EE309" s="135"/>
      <c r="EF309" s="135"/>
      <c r="EG309" s="135"/>
      <c r="EH309" s="135"/>
      <c r="EI309" s="135"/>
      <c r="EJ309" s="135"/>
      <c r="EK309" s="136"/>
      <c r="EL309" s="136"/>
      <c r="EM309" s="136"/>
      <c r="EN309" s="136"/>
      <c r="EO309" s="136"/>
      <c r="EP309" s="136"/>
      <c r="EQ309" s="136"/>
      <c r="ER309" s="136"/>
      <c r="ES309" s="135"/>
      <c r="ET309" s="135"/>
      <c r="EU309" s="135"/>
      <c r="EV309" s="135"/>
      <c r="EW309" s="135"/>
      <c r="EX309" s="135"/>
      <c r="EY309" s="136"/>
      <c r="EZ309" s="136"/>
      <c r="FA309" s="161"/>
      <c r="FB309" s="161"/>
      <c r="FC309" s="161"/>
      <c r="FD309" s="161"/>
      <c r="FE309" s="161"/>
      <c r="FF309" s="161"/>
      <c r="FG309" s="135"/>
      <c r="FH309" s="135"/>
      <c r="FI309" s="135"/>
      <c r="FJ309" s="135"/>
      <c r="FK309" s="135"/>
      <c r="FL309" s="135"/>
      <c r="FM309" s="136"/>
      <c r="FN309" s="136"/>
      <c r="FO309" s="161"/>
      <c r="FP309" s="161"/>
      <c r="FQ309" s="161"/>
      <c r="FR309" s="135"/>
      <c r="FS309" s="135">
        <v>1</v>
      </c>
      <c r="FT309" s="135"/>
      <c r="FU309" s="135"/>
      <c r="FV309" s="135"/>
      <c r="FW309" s="135"/>
      <c r="FX309" s="135"/>
      <c r="FY309" s="135"/>
      <c r="FZ309" s="135"/>
      <c r="GA309" s="136"/>
      <c r="GB309" s="136"/>
      <c r="GC309" s="161"/>
      <c r="GD309" s="161"/>
      <c r="GE309" s="161"/>
      <c r="GF309" s="135"/>
      <c r="GG309" s="135">
        <v>1</v>
      </c>
      <c r="GH309" s="135"/>
      <c r="GI309" s="135"/>
      <c r="GJ309" s="135"/>
      <c r="GK309" s="135"/>
      <c r="GL309" s="135"/>
      <c r="GM309" s="135"/>
      <c r="GN309" s="135"/>
    </row>
    <row r="310" spans="1:196">
      <c r="A310" s="155"/>
      <c r="B310" s="12" t="s">
        <v>1278</v>
      </c>
      <c r="C310" s="12" t="s">
        <v>1274</v>
      </c>
      <c r="D310" s="119"/>
      <c r="E310" s="119"/>
      <c r="F310" s="133"/>
      <c r="G310" s="95">
        <v>2</v>
      </c>
      <c r="H310" s="133"/>
      <c r="I310" s="108">
        <v>46281</v>
      </c>
      <c r="J310" s="134">
        <f t="shared" ref="J310:J312" si="199">G310-SUM(L310:FZ310)</f>
        <v>0</v>
      </c>
      <c r="K310" s="175" t="s">
        <v>1275</v>
      </c>
      <c r="L310" s="161"/>
      <c r="M310" s="136"/>
      <c r="N310" s="136"/>
      <c r="O310" s="136"/>
      <c r="P310" s="136"/>
      <c r="Q310" s="136"/>
      <c r="R310" s="136"/>
      <c r="S310" s="161"/>
      <c r="T310" s="161"/>
      <c r="U310" s="161"/>
      <c r="V310" s="161"/>
      <c r="W310" s="135"/>
      <c r="X310" s="135"/>
      <c r="Y310" s="135"/>
      <c r="Z310" s="135"/>
      <c r="AA310" s="135"/>
      <c r="AB310" s="135"/>
      <c r="AC310" s="136"/>
      <c r="AD310" s="136"/>
      <c r="AE310" s="161"/>
      <c r="AF310" s="161"/>
      <c r="AG310" s="161"/>
      <c r="AH310" s="161"/>
      <c r="AI310" s="161"/>
      <c r="AJ310" s="161"/>
      <c r="AK310" s="135"/>
      <c r="AL310" s="135"/>
      <c r="AM310" s="135"/>
      <c r="AN310" s="135"/>
      <c r="AO310" s="135"/>
      <c r="AP310" s="135"/>
      <c r="AQ310" s="136"/>
      <c r="AR310" s="136"/>
      <c r="AS310" s="161"/>
      <c r="AT310" s="161"/>
      <c r="AU310" s="161"/>
      <c r="AV310" s="161"/>
      <c r="AW310" s="161"/>
      <c r="AX310" s="161"/>
      <c r="AY310" s="135"/>
      <c r="AZ310" s="135"/>
      <c r="BA310" s="135"/>
      <c r="BB310" s="135"/>
      <c r="BC310" s="135"/>
      <c r="BD310" s="135"/>
      <c r="BE310" s="136"/>
      <c r="BF310" s="136"/>
      <c r="BG310" s="161"/>
      <c r="BH310" s="161"/>
      <c r="BI310" s="161"/>
      <c r="BJ310" s="161"/>
      <c r="BK310" s="161"/>
      <c r="BL310" s="161"/>
      <c r="BM310" s="135"/>
      <c r="BN310" s="135"/>
      <c r="BO310" s="135"/>
      <c r="BP310" s="135"/>
      <c r="BQ310" s="135"/>
      <c r="BR310" s="135"/>
      <c r="BS310" s="136"/>
      <c r="BT310" s="136"/>
      <c r="BU310" s="161"/>
      <c r="BV310" s="161"/>
      <c r="BW310" s="161"/>
      <c r="BX310" s="161"/>
      <c r="BY310" s="161"/>
      <c r="BZ310" s="161"/>
      <c r="CA310" s="135"/>
      <c r="CB310" s="135"/>
      <c r="CC310" s="135"/>
      <c r="CD310" s="135"/>
      <c r="CE310" s="135"/>
      <c r="CF310" s="135"/>
      <c r="CG310" s="136"/>
      <c r="CH310" s="136"/>
      <c r="CI310" s="161"/>
      <c r="CJ310" s="161"/>
      <c r="CK310" s="161"/>
      <c r="CL310" s="161"/>
      <c r="CM310" s="161"/>
      <c r="CN310" s="161"/>
      <c r="CO310" s="135"/>
      <c r="CP310" s="135"/>
      <c r="CQ310" s="135"/>
      <c r="CR310" s="135"/>
      <c r="CS310" s="135"/>
      <c r="CT310" s="135"/>
      <c r="CU310" s="136"/>
      <c r="CV310" s="136"/>
      <c r="CW310" s="161"/>
      <c r="CX310" s="161"/>
      <c r="CY310" s="135"/>
      <c r="CZ310" s="161"/>
      <c r="DA310" s="135"/>
      <c r="DB310" s="161"/>
      <c r="DC310" s="135"/>
      <c r="DD310" s="161"/>
      <c r="DE310" s="161"/>
      <c r="DF310" s="135"/>
      <c r="DG310" s="135"/>
      <c r="DH310" s="135"/>
      <c r="DI310" s="136"/>
      <c r="DJ310" s="136"/>
      <c r="DK310" s="135"/>
      <c r="DL310" s="161"/>
      <c r="DM310" s="135"/>
      <c r="DN310" s="161"/>
      <c r="DO310" s="135"/>
      <c r="DP310" s="161"/>
      <c r="DQ310" s="161"/>
      <c r="DR310" s="135"/>
      <c r="DS310" s="135"/>
      <c r="DT310" s="135"/>
      <c r="DU310" s="135"/>
      <c r="DV310" s="135"/>
      <c r="DW310" s="136"/>
      <c r="DX310" s="136"/>
      <c r="DY310" s="161"/>
      <c r="DZ310" s="161"/>
      <c r="EA310" s="161"/>
      <c r="EB310" s="161"/>
      <c r="EC310" s="161"/>
      <c r="ED310" s="161"/>
      <c r="EE310" s="135"/>
      <c r="EF310" s="135"/>
      <c r="EG310" s="135"/>
      <c r="EH310" s="135"/>
      <c r="EI310" s="135"/>
      <c r="EJ310" s="135"/>
      <c r="EK310" s="136"/>
      <c r="EL310" s="136"/>
      <c r="EM310" s="136"/>
      <c r="EN310" s="136"/>
      <c r="EO310" s="136"/>
      <c r="EP310" s="136"/>
      <c r="EQ310" s="136"/>
      <c r="ER310" s="136"/>
      <c r="ES310" s="135"/>
      <c r="ET310" s="135"/>
      <c r="EU310" s="135"/>
      <c r="EV310" s="135"/>
      <c r="EW310" s="135"/>
      <c r="EX310" s="135"/>
      <c r="EY310" s="136"/>
      <c r="EZ310" s="136"/>
      <c r="FA310" s="161"/>
      <c r="FB310" s="161"/>
      <c r="FC310" s="161"/>
      <c r="FD310" s="161"/>
      <c r="FE310" s="161"/>
      <c r="FF310" s="161"/>
      <c r="FG310" s="135"/>
      <c r="FH310" s="135"/>
      <c r="FI310" s="135"/>
      <c r="FJ310" s="135"/>
      <c r="FK310" s="135"/>
      <c r="FL310" s="135"/>
      <c r="FM310" s="136"/>
      <c r="FN310" s="136"/>
      <c r="FO310" s="161"/>
      <c r="FP310" s="161"/>
      <c r="FQ310" s="161"/>
      <c r="FR310" s="135"/>
      <c r="FS310" s="135">
        <v>2</v>
      </c>
      <c r="FT310" s="135"/>
      <c r="FU310" s="135"/>
      <c r="FV310" s="135"/>
      <c r="FW310" s="135"/>
      <c r="FX310" s="135"/>
      <c r="FY310" s="135"/>
      <c r="FZ310" s="135"/>
      <c r="GA310" s="136"/>
      <c r="GB310" s="136"/>
      <c r="GC310" s="161"/>
      <c r="GD310" s="161"/>
      <c r="GE310" s="161"/>
      <c r="GF310" s="135"/>
      <c r="GG310" s="135">
        <v>2</v>
      </c>
      <c r="GH310" s="135"/>
      <c r="GI310" s="135"/>
      <c r="GJ310" s="135"/>
      <c r="GK310" s="135"/>
      <c r="GL310" s="135"/>
      <c r="GM310" s="135"/>
      <c r="GN310" s="135"/>
    </row>
    <row r="311" spans="1:196">
      <c r="A311" s="155"/>
      <c r="B311" s="12" t="s">
        <v>1279</v>
      </c>
      <c r="C311" s="12" t="s">
        <v>1273</v>
      </c>
      <c r="D311" s="119"/>
      <c r="E311" s="119"/>
      <c r="F311" s="133"/>
      <c r="G311" s="95">
        <v>36</v>
      </c>
      <c r="H311" s="133"/>
      <c r="I311" s="108">
        <v>46283</v>
      </c>
      <c r="J311" s="134">
        <f t="shared" si="199"/>
        <v>0</v>
      </c>
      <c r="K311" s="175" t="s">
        <v>1276</v>
      </c>
      <c r="L311" s="161"/>
      <c r="M311" s="136"/>
      <c r="N311" s="136"/>
      <c r="O311" s="136"/>
      <c r="P311" s="136"/>
      <c r="Q311" s="136"/>
      <c r="R311" s="136"/>
      <c r="S311" s="161"/>
      <c r="T311" s="161"/>
      <c r="U311" s="161"/>
      <c r="V311" s="161"/>
      <c r="W311" s="135"/>
      <c r="X311" s="135"/>
      <c r="Y311" s="135"/>
      <c r="Z311" s="135"/>
      <c r="AA311" s="135"/>
      <c r="AB311" s="135"/>
      <c r="AC311" s="136"/>
      <c r="AD311" s="136"/>
      <c r="AE311" s="161"/>
      <c r="AF311" s="161"/>
      <c r="AG311" s="161"/>
      <c r="AH311" s="161"/>
      <c r="AI311" s="161"/>
      <c r="AJ311" s="161"/>
      <c r="AK311" s="135"/>
      <c r="AL311" s="135"/>
      <c r="AM311" s="135"/>
      <c r="AN311" s="135"/>
      <c r="AO311" s="135"/>
      <c r="AP311" s="135"/>
      <c r="AQ311" s="136"/>
      <c r="AR311" s="136"/>
      <c r="AS311" s="161"/>
      <c r="AT311" s="161"/>
      <c r="AU311" s="161"/>
      <c r="AV311" s="161"/>
      <c r="AW311" s="161"/>
      <c r="AX311" s="161"/>
      <c r="AY311" s="135"/>
      <c r="AZ311" s="135"/>
      <c r="BA311" s="135"/>
      <c r="BB311" s="135"/>
      <c r="BC311" s="135"/>
      <c r="BD311" s="135"/>
      <c r="BE311" s="136"/>
      <c r="BF311" s="136"/>
      <c r="BG311" s="161"/>
      <c r="BH311" s="161"/>
      <c r="BI311" s="161"/>
      <c r="BJ311" s="161"/>
      <c r="BK311" s="161"/>
      <c r="BL311" s="161"/>
      <c r="BM311" s="135"/>
      <c r="BN311" s="135"/>
      <c r="BO311" s="135"/>
      <c r="BP311" s="135"/>
      <c r="BQ311" s="135"/>
      <c r="BR311" s="135"/>
      <c r="BS311" s="136"/>
      <c r="BT311" s="136"/>
      <c r="BU311" s="161"/>
      <c r="BV311" s="161"/>
      <c r="BW311" s="161"/>
      <c r="BX311" s="161"/>
      <c r="BY311" s="161"/>
      <c r="BZ311" s="161"/>
      <c r="CA311" s="135"/>
      <c r="CB311" s="135"/>
      <c r="CC311" s="135"/>
      <c r="CD311" s="135"/>
      <c r="CE311" s="135"/>
      <c r="CF311" s="135"/>
      <c r="CG311" s="136"/>
      <c r="CH311" s="136"/>
      <c r="CI311" s="161"/>
      <c r="CJ311" s="161"/>
      <c r="CK311" s="161"/>
      <c r="CL311" s="161"/>
      <c r="CM311" s="161"/>
      <c r="CN311" s="161"/>
      <c r="CO311" s="135"/>
      <c r="CP311" s="135"/>
      <c r="CQ311" s="135"/>
      <c r="CR311" s="135"/>
      <c r="CS311" s="135"/>
      <c r="CT311" s="135"/>
      <c r="CU311" s="136"/>
      <c r="CV311" s="136"/>
      <c r="CW311" s="161"/>
      <c r="CX311" s="161"/>
      <c r="CY311" s="135"/>
      <c r="CZ311" s="161"/>
      <c r="DA311" s="135"/>
      <c r="DB311" s="161"/>
      <c r="DC311" s="135"/>
      <c r="DD311" s="161"/>
      <c r="DE311" s="161"/>
      <c r="DF311" s="135"/>
      <c r="DG311" s="135"/>
      <c r="DH311" s="135"/>
      <c r="DI311" s="136"/>
      <c r="DJ311" s="136"/>
      <c r="DK311" s="135"/>
      <c r="DL311" s="161"/>
      <c r="DM311" s="135"/>
      <c r="DN311" s="161"/>
      <c r="DO311" s="135"/>
      <c r="DP311" s="161"/>
      <c r="DQ311" s="161"/>
      <c r="DR311" s="135"/>
      <c r="DS311" s="135"/>
      <c r="DT311" s="135"/>
      <c r="DU311" s="135"/>
      <c r="DV311" s="135"/>
      <c r="DW311" s="136"/>
      <c r="DX311" s="136"/>
      <c r="DY311" s="161"/>
      <c r="DZ311" s="161"/>
      <c r="EA311" s="161"/>
      <c r="EB311" s="161"/>
      <c r="EC311" s="161"/>
      <c r="ED311" s="161"/>
      <c r="EE311" s="135"/>
      <c r="EF311" s="135"/>
      <c r="EG311" s="135"/>
      <c r="EH311" s="135"/>
      <c r="EI311" s="135"/>
      <c r="EJ311" s="135"/>
      <c r="EK311" s="136"/>
      <c r="EL311" s="136"/>
      <c r="EM311" s="136"/>
      <c r="EN311" s="136"/>
      <c r="EO311" s="136"/>
      <c r="EP311" s="136"/>
      <c r="EQ311" s="136"/>
      <c r="ER311" s="136"/>
      <c r="ES311" s="135"/>
      <c r="ET311" s="135"/>
      <c r="EU311" s="135"/>
      <c r="EV311" s="135"/>
      <c r="EW311" s="135"/>
      <c r="EX311" s="135"/>
      <c r="EY311" s="136"/>
      <c r="EZ311" s="136"/>
      <c r="FA311" s="161"/>
      <c r="FB311" s="161"/>
      <c r="FC311" s="161"/>
      <c r="FD311" s="161"/>
      <c r="FE311" s="161"/>
      <c r="FF311" s="161"/>
      <c r="FG311" s="135"/>
      <c r="FH311" s="135"/>
      <c r="FI311" s="135"/>
      <c r="FJ311" s="135"/>
      <c r="FK311" s="135"/>
      <c r="FL311" s="135"/>
      <c r="FM311" s="136"/>
      <c r="FN311" s="136"/>
      <c r="FO311" s="161"/>
      <c r="FP311" s="161"/>
      <c r="FQ311" s="161"/>
      <c r="FR311" s="135"/>
      <c r="FS311" s="135"/>
      <c r="FT311" s="135"/>
      <c r="FU311" s="135"/>
      <c r="FV311" s="135"/>
      <c r="FW311" s="135">
        <v>36</v>
      </c>
      <c r="FX311" s="135"/>
      <c r="FY311" s="135"/>
      <c r="FZ311" s="135"/>
      <c r="GA311" s="136"/>
      <c r="GB311" s="136"/>
      <c r="GC311" s="161"/>
      <c r="GD311" s="161"/>
      <c r="GE311" s="161"/>
      <c r="GF311" s="135"/>
      <c r="GG311" s="135"/>
      <c r="GH311" s="135"/>
      <c r="GI311" s="135"/>
      <c r="GJ311" s="135"/>
      <c r="GK311" s="135">
        <v>36</v>
      </c>
      <c r="GL311" s="135"/>
      <c r="GM311" s="135"/>
      <c r="GN311" s="135"/>
    </row>
    <row r="312" spans="1:196">
      <c r="A312" s="155"/>
      <c r="B312" s="12" t="s">
        <v>1280</v>
      </c>
      <c r="C312" s="12" t="s">
        <v>1274</v>
      </c>
      <c r="D312" s="119"/>
      <c r="E312" s="119"/>
      <c r="F312" s="133"/>
      <c r="G312" s="95">
        <v>36</v>
      </c>
      <c r="H312" s="133"/>
      <c r="I312" s="108">
        <v>46283</v>
      </c>
      <c r="J312" s="134">
        <f t="shared" si="199"/>
        <v>0</v>
      </c>
      <c r="K312" s="175" t="s">
        <v>1276</v>
      </c>
      <c r="L312" s="161"/>
      <c r="M312" s="136"/>
      <c r="N312" s="136"/>
      <c r="O312" s="136"/>
      <c r="P312" s="136"/>
      <c r="Q312" s="136"/>
      <c r="R312" s="136"/>
      <c r="S312" s="161"/>
      <c r="T312" s="161"/>
      <c r="U312" s="161"/>
      <c r="V312" s="161"/>
      <c r="W312" s="135"/>
      <c r="X312" s="135"/>
      <c r="Y312" s="135"/>
      <c r="Z312" s="135"/>
      <c r="AA312" s="135"/>
      <c r="AB312" s="135"/>
      <c r="AC312" s="136"/>
      <c r="AD312" s="136"/>
      <c r="AE312" s="161"/>
      <c r="AF312" s="161"/>
      <c r="AG312" s="161"/>
      <c r="AH312" s="161"/>
      <c r="AI312" s="161"/>
      <c r="AJ312" s="161"/>
      <c r="AK312" s="135"/>
      <c r="AL312" s="135"/>
      <c r="AM312" s="135"/>
      <c r="AN312" s="135"/>
      <c r="AO312" s="135"/>
      <c r="AP312" s="135"/>
      <c r="AQ312" s="136"/>
      <c r="AR312" s="136"/>
      <c r="AS312" s="161"/>
      <c r="AT312" s="161"/>
      <c r="AU312" s="161"/>
      <c r="AV312" s="161"/>
      <c r="AW312" s="161"/>
      <c r="AX312" s="161"/>
      <c r="AY312" s="135"/>
      <c r="AZ312" s="135"/>
      <c r="BA312" s="135"/>
      <c r="BB312" s="135"/>
      <c r="BC312" s="135"/>
      <c r="BD312" s="135"/>
      <c r="BE312" s="136"/>
      <c r="BF312" s="136"/>
      <c r="BG312" s="161"/>
      <c r="BH312" s="161"/>
      <c r="BI312" s="161"/>
      <c r="BJ312" s="161"/>
      <c r="BK312" s="161"/>
      <c r="BL312" s="161"/>
      <c r="BM312" s="135"/>
      <c r="BN312" s="135"/>
      <c r="BO312" s="135"/>
      <c r="BP312" s="135"/>
      <c r="BQ312" s="135"/>
      <c r="BR312" s="135"/>
      <c r="BS312" s="136"/>
      <c r="BT312" s="136"/>
      <c r="BU312" s="161"/>
      <c r="BV312" s="161"/>
      <c r="BW312" s="161"/>
      <c r="BX312" s="161"/>
      <c r="BY312" s="161"/>
      <c r="BZ312" s="161"/>
      <c r="CA312" s="135"/>
      <c r="CB312" s="135"/>
      <c r="CC312" s="135"/>
      <c r="CD312" s="135"/>
      <c r="CE312" s="135"/>
      <c r="CF312" s="135"/>
      <c r="CG312" s="136"/>
      <c r="CH312" s="136"/>
      <c r="CI312" s="161"/>
      <c r="CJ312" s="161"/>
      <c r="CK312" s="161"/>
      <c r="CL312" s="161"/>
      <c r="CM312" s="161"/>
      <c r="CN312" s="161"/>
      <c r="CO312" s="135"/>
      <c r="CP312" s="135"/>
      <c r="CQ312" s="135"/>
      <c r="CR312" s="135"/>
      <c r="CS312" s="135"/>
      <c r="CT312" s="135"/>
      <c r="CU312" s="136"/>
      <c r="CV312" s="136"/>
      <c r="CW312" s="161"/>
      <c r="CX312" s="161"/>
      <c r="CY312" s="135"/>
      <c r="CZ312" s="161"/>
      <c r="DA312" s="135"/>
      <c r="DB312" s="161"/>
      <c r="DC312" s="135"/>
      <c r="DD312" s="161"/>
      <c r="DE312" s="161"/>
      <c r="DF312" s="135"/>
      <c r="DG312" s="135"/>
      <c r="DH312" s="135"/>
      <c r="DI312" s="136"/>
      <c r="DJ312" s="136"/>
      <c r="DK312" s="135"/>
      <c r="DL312" s="161"/>
      <c r="DM312" s="135"/>
      <c r="DN312" s="161"/>
      <c r="DO312" s="135"/>
      <c r="DP312" s="161"/>
      <c r="DQ312" s="161"/>
      <c r="DR312" s="135"/>
      <c r="DS312" s="135"/>
      <c r="DT312" s="135"/>
      <c r="DU312" s="135"/>
      <c r="DV312" s="135"/>
      <c r="DW312" s="136"/>
      <c r="DX312" s="136"/>
      <c r="DY312" s="161"/>
      <c r="DZ312" s="161"/>
      <c r="EA312" s="161"/>
      <c r="EB312" s="161"/>
      <c r="EC312" s="161"/>
      <c r="ED312" s="161"/>
      <c r="EE312" s="135"/>
      <c r="EF312" s="135"/>
      <c r="EG312" s="135"/>
      <c r="EH312" s="135"/>
      <c r="EI312" s="135"/>
      <c r="EJ312" s="135"/>
      <c r="EK312" s="136"/>
      <c r="EL312" s="136"/>
      <c r="EM312" s="136"/>
      <c r="EN312" s="136"/>
      <c r="EO312" s="136"/>
      <c r="EP312" s="136"/>
      <c r="EQ312" s="136"/>
      <c r="ER312" s="136"/>
      <c r="ES312" s="135"/>
      <c r="ET312" s="135"/>
      <c r="EU312" s="135"/>
      <c r="EV312" s="135"/>
      <c r="EW312" s="135"/>
      <c r="EX312" s="135"/>
      <c r="EY312" s="136"/>
      <c r="EZ312" s="136"/>
      <c r="FA312" s="161"/>
      <c r="FB312" s="161"/>
      <c r="FC312" s="161"/>
      <c r="FD312" s="161"/>
      <c r="FE312" s="161"/>
      <c r="FF312" s="161"/>
      <c r="FG312" s="135"/>
      <c r="FH312" s="135"/>
      <c r="FI312" s="135"/>
      <c r="FJ312" s="135"/>
      <c r="FK312" s="135"/>
      <c r="FL312" s="135"/>
      <c r="FM312" s="136"/>
      <c r="FN312" s="136"/>
      <c r="FO312" s="161"/>
      <c r="FP312" s="161"/>
      <c r="FQ312" s="161"/>
      <c r="FR312" s="135"/>
      <c r="FS312" s="135"/>
      <c r="FT312" s="135"/>
      <c r="FU312" s="135"/>
      <c r="FV312" s="135"/>
      <c r="FW312" s="135">
        <v>36</v>
      </c>
      <c r="FX312" s="135"/>
      <c r="FY312" s="135"/>
      <c r="FZ312" s="135"/>
      <c r="GA312" s="136"/>
      <c r="GB312" s="136"/>
      <c r="GC312" s="161"/>
      <c r="GD312" s="161"/>
      <c r="GE312" s="161"/>
      <c r="GF312" s="135"/>
      <c r="GG312" s="135"/>
      <c r="GH312" s="135"/>
      <c r="GI312" s="135"/>
      <c r="GJ312" s="135"/>
      <c r="GK312" s="135">
        <v>36</v>
      </c>
      <c r="GL312" s="135"/>
      <c r="GM312" s="135"/>
      <c r="GN312" s="135"/>
    </row>
    <row r="313" spans="1:196">
      <c r="A313" s="155"/>
      <c r="B313" s="126" t="s">
        <v>1306</v>
      </c>
      <c r="C313" s="109" t="s">
        <v>241</v>
      </c>
      <c r="D313" s="119"/>
      <c r="E313" s="119"/>
      <c r="F313" s="6"/>
      <c r="G313" s="115">
        <v>720</v>
      </c>
      <c r="H313" s="6"/>
      <c r="I313" s="125">
        <v>46263</v>
      </c>
      <c r="J313" s="13">
        <f>G313-SUM(L313:FL313)</f>
        <v>0</v>
      </c>
      <c r="K313" s="141"/>
      <c r="L313" s="161"/>
      <c r="M313" s="136"/>
      <c r="N313" s="136"/>
      <c r="O313" s="136"/>
      <c r="P313" s="136"/>
      <c r="Q313" s="136"/>
      <c r="R313" s="136"/>
      <c r="S313" s="161"/>
      <c r="T313" s="161"/>
      <c r="U313" s="161"/>
      <c r="V313" s="161"/>
      <c r="W313" s="135"/>
      <c r="X313" s="135"/>
      <c r="Y313" s="135"/>
      <c r="Z313" s="135"/>
      <c r="AA313" s="135"/>
      <c r="AB313" s="135"/>
      <c r="AC313" s="136"/>
      <c r="AD313" s="136"/>
      <c r="AE313" s="161"/>
      <c r="AF313" s="161"/>
      <c r="AG313" s="161"/>
      <c r="AH313" s="161"/>
      <c r="AI313" s="161"/>
      <c r="AJ313" s="161"/>
      <c r="AK313" s="135"/>
      <c r="AL313" s="135"/>
      <c r="AM313" s="135"/>
      <c r="AN313" s="135"/>
      <c r="AO313" s="135"/>
      <c r="AP313" s="135"/>
      <c r="AQ313" s="136"/>
      <c r="AR313" s="136"/>
      <c r="AS313" s="161"/>
      <c r="AT313" s="161"/>
      <c r="AU313" s="161"/>
      <c r="AV313" s="161"/>
      <c r="AW313" s="161"/>
      <c r="AX313" s="161"/>
      <c r="AY313" s="135"/>
      <c r="AZ313" s="135"/>
      <c r="BA313" s="135"/>
      <c r="BB313" s="135"/>
      <c r="BC313" s="135"/>
      <c r="BD313" s="135"/>
      <c r="BE313" s="136"/>
      <c r="BF313" s="136"/>
      <c r="BG313" s="161"/>
      <c r="BH313" s="161"/>
      <c r="BI313" s="161"/>
      <c r="BJ313" s="161"/>
      <c r="BK313" s="161"/>
      <c r="BL313" s="161"/>
      <c r="BM313" s="135"/>
      <c r="BN313" s="135"/>
      <c r="BO313" s="135"/>
      <c r="BP313" s="135"/>
      <c r="BQ313" s="135"/>
      <c r="BR313" s="135"/>
      <c r="BS313" s="136"/>
      <c r="BT313" s="136"/>
      <c r="BU313" s="161"/>
      <c r="BV313" s="161"/>
      <c r="BW313" s="161"/>
      <c r="BX313" s="161"/>
      <c r="BY313" s="161"/>
      <c r="BZ313" s="161"/>
      <c r="CA313" s="135"/>
      <c r="CB313" s="135"/>
      <c r="CC313" s="135"/>
      <c r="CD313" s="135"/>
      <c r="CE313" s="135"/>
      <c r="CF313" s="135"/>
      <c r="CG313" s="136"/>
      <c r="CH313" s="136"/>
      <c r="CI313" s="161"/>
      <c r="CJ313" s="161"/>
      <c r="CK313" s="161"/>
      <c r="CL313" s="161"/>
      <c r="CM313" s="161"/>
      <c r="CN313" s="161"/>
      <c r="CO313" s="135"/>
      <c r="CP313" s="135"/>
      <c r="CQ313" s="135"/>
      <c r="CR313" s="135"/>
      <c r="CS313" s="135"/>
      <c r="CT313" s="135"/>
      <c r="CU313" s="136"/>
      <c r="CV313" s="136"/>
      <c r="CW313" s="161"/>
      <c r="CX313" s="161"/>
      <c r="CY313" s="135"/>
      <c r="CZ313" s="161"/>
      <c r="DA313" s="135"/>
      <c r="DB313" s="161"/>
      <c r="DC313" s="135"/>
      <c r="DD313" s="161"/>
      <c r="DE313" s="161"/>
      <c r="DF313" s="135"/>
      <c r="DG313" s="135"/>
      <c r="DH313" s="135"/>
      <c r="DI313" s="136"/>
      <c r="DJ313" s="136"/>
      <c r="DK313" s="135"/>
      <c r="DL313" s="161"/>
      <c r="DM313" s="135"/>
      <c r="DN313" s="161"/>
      <c r="DO313" s="135"/>
      <c r="DP313" s="161"/>
      <c r="DQ313" s="161"/>
      <c r="DR313" s="135"/>
      <c r="DS313" s="135"/>
      <c r="DT313" s="135"/>
      <c r="DU313" s="135"/>
      <c r="DV313" s="135"/>
      <c r="DW313" s="136"/>
      <c r="DX313" s="136"/>
      <c r="DY313" s="161"/>
      <c r="DZ313" s="161"/>
      <c r="EA313" s="161"/>
      <c r="EB313" s="161"/>
      <c r="EC313" s="161"/>
      <c r="ED313" s="161"/>
      <c r="EE313" s="135"/>
      <c r="EF313" s="135"/>
      <c r="EG313" s="135"/>
      <c r="EH313" s="135"/>
      <c r="EI313" s="135">
        <v>200</v>
      </c>
      <c r="EJ313" s="135"/>
      <c r="EK313" s="136"/>
      <c r="EL313" s="136"/>
      <c r="EM313" s="136"/>
      <c r="EN313" s="136"/>
      <c r="EO313" s="136"/>
      <c r="EP313" s="136"/>
      <c r="EQ313" s="136"/>
      <c r="ER313" s="136"/>
      <c r="ES313" s="135">
        <v>200</v>
      </c>
      <c r="ET313" s="135"/>
      <c r="EU313" s="135">
        <v>200</v>
      </c>
      <c r="EV313" s="135"/>
      <c r="EW313" s="135">
        <v>120</v>
      </c>
      <c r="EX313" s="135"/>
      <c r="EY313" s="136"/>
      <c r="EZ313" s="136"/>
      <c r="FA313" s="161"/>
      <c r="FB313" s="161"/>
      <c r="FC313" s="161"/>
      <c r="FD313" s="161"/>
      <c r="FE313" s="161"/>
      <c r="FF313" s="161"/>
      <c r="FG313" s="135"/>
      <c r="FH313" s="135"/>
      <c r="FI313" s="135"/>
      <c r="FJ313" s="135"/>
      <c r="FK313" s="135"/>
      <c r="FL313" s="135"/>
      <c r="FM313" s="136"/>
      <c r="FN313" s="136"/>
      <c r="FO313" s="161"/>
      <c r="FP313" s="161"/>
      <c r="FQ313" s="161"/>
      <c r="FR313" s="135"/>
      <c r="FS313" s="135"/>
      <c r="FT313" s="135"/>
      <c r="FU313" s="135"/>
      <c r="FV313" s="135"/>
      <c r="FW313" s="135"/>
      <c r="FX313" s="135"/>
      <c r="FY313" s="135"/>
      <c r="FZ313" s="135"/>
      <c r="GA313" s="136"/>
      <c r="GB313" s="136"/>
      <c r="GC313" s="161"/>
      <c r="GD313" s="161"/>
      <c r="GE313" s="161"/>
      <c r="GF313" s="135"/>
      <c r="GG313" s="135"/>
      <c r="GH313" s="135"/>
      <c r="GI313" s="135"/>
      <c r="GJ313" s="135"/>
      <c r="GK313" s="135"/>
      <c r="GL313" s="135"/>
      <c r="GM313" s="135"/>
      <c r="GN313" s="135"/>
    </row>
    <row r="314" spans="1:196">
      <c r="A314" s="155"/>
      <c r="B314" s="126" t="s">
        <v>1307</v>
      </c>
      <c r="C314" s="109" t="s">
        <v>242</v>
      </c>
      <c r="D314" s="119"/>
      <c r="E314" s="119"/>
      <c r="F314" s="6"/>
      <c r="G314" s="115">
        <v>516</v>
      </c>
      <c r="H314" s="6"/>
      <c r="I314" s="125">
        <v>46263</v>
      </c>
      <c r="J314" s="13">
        <f>G314-SUM(L314:FL314)</f>
        <v>0</v>
      </c>
      <c r="K314" s="141"/>
      <c r="L314" s="161"/>
      <c r="M314" s="136"/>
      <c r="N314" s="136"/>
      <c r="O314" s="136"/>
      <c r="P314" s="136"/>
      <c r="Q314" s="136"/>
      <c r="R314" s="136"/>
      <c r="S314" s="161"/>
      <c r="T314" s="161"/>
      <c r="U314" s="161"/>
      <c r="V314" s="161"/>
      <c r="W314" s="135"/>
      <c r="X314" s="135"/>
      <c r="Y314" s="135"/>
      <c r="Z314" s="135"/>
      <c r="AA314" s="135"/>
      <c r="AB314" s="135"/>
      <c r="AC314" s="136"/>
      <c r="AD314" s="136"/>
      <c r="AE314" s="161"/>
      <c r="AF314" s="161"/>
      <c r="AG314" s="161"/>
      <c r="AH314" s="161"/>
      <c r="AI314" s="161"/>
      <c r="AJ314" s="161"/>
      <c r="AK314" s="135"/>
      <c r="AL314" s="135"/>
      <c r="AM314" s="135"/>
      <c r="AN314" s="135"/>
      <c r="AO314" s="135"/>
      <c r="AP314" s="135"/>
      <c r="AQ314" s="136"/>
      <c r="AR314" s="136"/>
      <c r="AS314" s="161"/>
      <c r="AT314" s="161"/>
      <c r="AU314" s="161"/>
      <c r="AV314" s="161"/>
      <c r="AW314" s="161"/>
      <c r="AX314" s="161"/>
      <c r="AY314" s="135"/>
      <c r="AZ314" s="135"/>
      <c r="BA314" s="135"/>
      <c r="BB314" s="135"/>
      <c r="BC314" s="135"/>
      <c r="BD314" s="135"/>
      <c r="BE314" s="136"/>
      <c r="BF314" s="136"/>
      <c r="BG314" s="161"/>
      <c r="BH314" s="161"/>
      <c r="BI314" s="161"/>
      <c r="BJ314" s="161"/>
      <c r="BK314" s="161"/>
      <c r="BL314" s="161"/>
      <c r="BM314" s="135"/>
      <c r="BN314" s="135"/>
      <c r="BO314" s="135"/>
      <c r="BP314" s="135"/>
      <c r="BQ314" s="135"/>
      <c r="BR314" s="135"/>
      <c r="BS314" s="136"/>
      <c r="BT314" s="136"/>
      <c r="BU314" s="161"/>
      <c r="BV314" s="161"/>
      <c r="BW314" s="161"/>
      <c r="BX314" s="161"/>
      <c r="BY314" s="161"/>
      <c r="BZ314" s="161"/>
      <c r="CA314" s="135"/>
      <c r="CB314" s="135"/>
      <c r="CC314" s="135"/>
      <c r="CD314" s="135"/>
      <c r="CE314" s="135"/>
      <c r="CF314" s="135"/>
      <c r="CG314" s="136"/>
      <c r="CH314" s="136"/>
      <c r="CI314" s="161"/>
      <c r="CJ314" s="161"/>
      <c r="CK314" s="161"/>
      <c r="CL314" s="161"/>
      <c r="CM314" s="161"/>
      <c r="CN314" s="161"/>
      <c r="CO314" s="135"/>
      <c r="CP314" s="135"/>
      <c r="CQ314" s="135"/>
      <c r="CR314" s="135"/>
      <c r="CS314" s="135"/>
      <c r="CT314" s="135"/>
      <c r="CU314" s="136"/>
      <c r="CV314" s="136"/>
      <c r="CW314" s="161"/>
      <c r="CX314" s="161"/>
      <c r="CY314" s="135"/>
      <c r="CZ314" s="161"/>
      <c r="DA314" s="135"/>
      <c r="DB314" s="161"/>
      <c r="DC314" s="135"/>
      <c r="DD314" s="161"/>
      <c r="DE314" s="161"/>
      <c r="DF314" s="135"/>
      <c r="DG314" s="135"/>
      <c r="DH314" s="135"/>
      <c r="DI314" s="136"/>
      <c r="DJ314" s="136"/>
      <c r="DK314" s="135"/>
      <c r="DL314" s="161"/>
      <c r="DM314" s="135"/>
      <c r="DN314" s="161"/>
      <c r="DO314" s="135"/>
      <c r="DP314" s="161"/>
      <c r="DQ314" s="161"/>
      <c r="DR314" s="135"/>
      <c r="DS314" s="135"/>
      <c r="DT314" s="135"/>
      <c r="DU314" s="135"/>
      <c r="DV314" s="135"/>
      <c r="DW314" s="136"/>
      <c r="DX314" s="136"/>
      <c r="DY314" s="161"/>
      <c r="DZ314" s="161"/>
      <c r="EA314" s="161"/>
      <c r="EB314" s="161"/>
      <c r="EC314" s="161"/>
      <c r="ED314" s="161"/>
      <c r="EE314" s="135"/>
      <c r="EF314" s="135"/>
      <c r="EG314" s="135"/>
      <c r="EH314" s="135"/>
      <c r="EI314" s="135"/>
      <c r="EJ314" s="135"/>
      <c r="EK314" s="136"/>
      <c r="EL314" s="136"/>
      <c r="EM314" s="136"/>
      <c r="EN314" s="136"/>
      <c r="EO314" s="136"/>
      <c r="EP314" s="136"/>
      <c r="EQ314" s="136"/>
      <c r="ER314" s="136"/>
      <c r="ES314" s="135"/>
      <c r="ET314" s="135"/>
      <c r="EU314" s="135"/>
      <c r="EV314" s="135"/>
      <c r="EW314" s="135">
        <v>200</v>
      </c>
      <c r="EX314" s="135"/>
      <c r="EY314" s="136"/>
      <c r="EZ314" s="136"/>
      <c r="FA314" s="161">
        <v>316</v>
      </c>
      <c r="FB314" s="161"/>
      <c r="FC314" s="161"/>
      <c r="FD314" s="161"/>
      <c r="FE314" s="161"/>
      <c r="FF314" s="161"/>
      <c r="FG314" s="135"/>
      <c r="FH314" s="135"/>
      <c r="FI314" s="135"/>
      <c r="FJ314" s="135"/>
      <c r="FK314" s="135"/>
      <c r="FL314" s="135"/>
      <c r="FM314" s="136"/>
      <c r="FN314" s="136"/>
      <c r="FO314" s="161"/>
      <c r="FP314" s="161"/>
      <c r="FQ314" s="161"/>
      <c r="FR314" s="135"/>
      <c r="FS314" s="135"/>
      <c r="FT314" s="135"/>
      <c r="FU314" s="135"/>
      <c r="FV314" s="135"/>
      <c r="FW314" s="135"/>
      <c r="FX314" s="135"/>
      <c r="FY314" s="135"/>
      <c r="FZ314" s="135"/>
      <c r="GA314" s="136"/>
      <c r="GB314" s="136"/>
      <c r="GC314" s="161"/>
      <c r="GD314" s="161"/>
      <c r="GE314" s="161"/>
      <c r="GF314" s="135"/>
      <c r="GG314" s="135"/>
      <c r="GH314" s="135"/>
      <c r="GI314" s="135"/>
      <c r="GJ314" s="135"/>
      <c r="GK314" s="135"/>
      <c r="GL314" s="135"/>
      <c r="GM314" s="135"/>
      <c r="GN314" s="135"/>
    </row>
    <row r="315" spans="1:196">
      <c r="A315" s="155"/>
      <c r="B315" s="126"/>
      <c r="C315" s="109"/>
      <c r="D315" s="119"/>
      <c r="E315" s="119"/>
      <c r="F315" s="6"/>
      <c r="G315" s="115"/>
      <c r="H315" s="6"/>
      <c r="I315" s="125"/>
      <c r="J315" s="13"/>
      <c r="K315" s="141"/>
      <c r="L315" s="161"/>
      <c r="M315" s="136"/>
      <c r="N315" s="136"/>
      <c r="O315" s="136"/>
      <c r="P315" s="136"/>
      <c r="Q315" s="136"/>
      <c r="R315" s="136"/>
      <c r="S315" s="161"/>
      <c r="T315" s="161"/>
      <c r="U315" s="161"/>
      <c r="V315" s="161"/>
      <c r="W315" s="135"/>
      <c r="X315" s="135"/>
      <c r="Y315" s="135"/>
      <c r="Z315" s="135"/>
      <c r="AA315" s="135"/>
      <c r="AB315" s="135"/>
      <c r="AC315" s="136"/>
      <c r="AD315" s="136"/>
      <c r="AE315" s="161"/>
      <c r="AF315" s="161"/>
      <c r="AG315" s="161"/>
      <c r="AH315" s="161"/>
      <c r="AI315" s="161"/>
      <c r="AJ315" s="161"/>
      <c r="AK315" s="135"/>
      <c r="AL315" s="135"/>
      <c r="AM315" s="135"/>
      <c r="AN315" s="135"/>
      <c r="AO315" s="135"/>
      <c r="AP315" s="135"/>
      <c r="AQ315" s="136"/>
      <c r="AR315" s="136"/>
      <c r="AS315" s="161"/>
      <c r="AT315" s="161"/>
      <c r="AU315" s="161"/>
      <c r="AV315" s="161"/>
      <c r="AW315" s="161"/>
      <c r="AX315" s="161"/>
      <c r="AY315" s="135"/>
      <c r="AZ315" s="135"/>
      <c r="BA315" s="135"/>
      <c r="BB315" s="135"/>
      <c r="BC315" s="135"/>
      <c r="BD315" s="135"/>
      <c r="BE315" s="136"/>
      <c r="BF315" s="136"/>
      <c r="BG315" s="161"/>
      <c r="BH315" s="161"/>
      <c r="BI315" s="161"/>
      <c r="BJ315" s="161"/>
      <c r="BK315" s="161"/>
      <c r="BL315" s="161"/>
      <c r="BM315" s="135"/>
      <c r="BN315" s="135"/>
      <c r="BO315" s="135"/>
      <c r="BP315" s="135"/>
      <c r="BQ315" s="135"/>
      <c r="BR315" s="135"/>
      <c r="BS315" s="136"/>
      <c r="BT315" s="136"/>
      <c r="BU315" s="161"/>
      <c r="BV315" s="161"/>
      <c r="BW315" s="161"/>
      <c r="BX315" s="161"/>
      <c r="BY315" s="161"/>
      <c r="BZ315" s="161"/>
      <c r="CA315" s="135"/>
      <c r="CB315" s="135"/>
      <c r="CC315" s="135"/>
      <c r="CD315" s="135"/>
      <c r="CE315" s="135"/>
      <c r="CF315" s="135"/>
      <c r="CG315" s="136"/>
      <c r="CH315" s="136"/>
      <c r="CI315" s="161"/>
      <c r="CJ315" s="161"/>
      <c r="CK315" s="161"/>
      <c r="CL315" s="161"/>
      <c r="CM315" s="161"/>
      <c r="CN315" s="161"/>
      <c r="CO315" s="135"/>
      <c r="CP315" s="135"/>
      <c r="CQ315" s="135"/>
      <c r="CR315" s="135"/>
      <c r="CS315" s="135"/>
      <c r="CT315" s="135"/>
      <c r="CU315" s="136"/>
      <c r="CV315" s="136"/>
      <c r="CW315" s="161"/>
      <c r="CX315" s="161"/>
      <c r="CY315" s="135"/>
      <c r="CZ315" s="161"/>
      <c r="DA315" s="135"/>
      <c r="DB315" s="161"/>
      <c r="DC315" s="135"/>
      <c r="DD315" s="161"/>
      <c r="DE315" s="161"/>
      <c r="DF315" s="135"/>
      <c r="DG315" s="135"/>
      <c r="DH315" s="135"/>
      <c r="DI315" s="136"/>
      <c r="DJ315" s="136"/>
      <c r="DK315" s="135"/>
      <c r="DL315" s="161"/>
      <c r="DM315" s="135"/>
      <c r="DN315" s="161"/>
      <c r="DO315" s="135"/>
      <c r="DP315" s="161"/>
      <c r="DQ315" s="161"/>
      <c r="DR315" s="135"/>
      <c r="DS315" s="135"/>
      <c r="DT315" s="135"/>
      <c r="DU315" s="135"/>
      <c r="DV315" s="135"/>
      <c r="DW315" s="136"/>
      <c r="DX315" s="136"/>
      <c r="DY315" s="161"/>
      <c r="DZ315" s="161"/>
      <c r="EA315" s="161"/>
      <c r="EB315" s="161"/>
      <c r="EC315" s="161"/>
      <c r="ED315" s="161"/>
      <c r="EE315" s="135"/>
      <c r="EF315" s="135"/>
      <c r="EG315" s="135"/>
      <c r="EH315" s="135"/>
      <c r="EI315" s="135"/>
      <c r="EJ315" s="135"/>
      <c r="EK315" s="136"/>
      <c r="EL315" s="136"/>
      <c r="EM315" s="136"/>
      <c r="EN315" s="136"/>
      <c r="EO315" s="136"/>
      <c r="EP315" s="136"/>
      <c r="EQ315" s="136"/>
      <c r="ER315" s="136"/>
      <c r="ES315" s="135"/>
      <c r="ET315" s="135"/>
      <c r="EU315" s="135"/>
      <c r="EV315" s="135"/>
      <c r="EW315" s="135"/>
      <c r="EX315" s="135"/>
      <c r="EY315" s="136"/>
      <c r="EZ315" s="136"/>
      <c r="FA315" s="161"/>
      <c r="FB315" s="161"/>
      <c r="FC315" s="161"/>
      <c r="FD315" s="161"/>
      <c r="FE315" s="161"/>
      <c r="FF315" s="161"/>
      <c r="FG315" s="135"/>
      <c r="FH315" s="135"/>
      <c r="FI315" s="135"/>
      <c r="FJ315" s="135"/>
      <c r="FK315" s="135"/>
      <c r="FL315" s="135"/>
      <c r="FM315" s="136"/>
      <c r="FN315" s="136"/>
      <c r="FO315" s="161"/>
      <c r="FP315" s="161"/>
      <c r="FQ315" s="161"/>
      <c r="FR315" s="135"/>
      <c r="FS315" s="135"/>
      <c r="FT315" s="135"/>
      <c r="FU315" s="135"/>
      <c r="FV315" s="135"/>
      <c r="FW315" s="135"/>
      <c r="FX315" s="135"/>
      <c r="FY315" s="135"/>
      <c r="FZ315" s="135"/>
      <c r="GA315" s="136"/>
      <c r="GB315" s="136"/>
      <c r="GC315" s="161"/>
      <c r="GD315" s="161"/>
      <c r="GE315" s="161"/>
      <c r="GF315" s="135"/>
      <c r="GG315" s="135"/>
      <c r="GH315" s="135"/>
      <c r="GI315" s="135"/>
      <c r="GJ315" s="135"/>
      <c r="GK315" s="135"/>
      <c r="GL315" s="135"/>
      <c r="GM315" s="135"/>
      <c r="GN315" s="135"/>
    </row>
    <row r="316" spans="1:196">
      <c r="A316" s="155"/>
      <c r="B316" s="126"/>
      <c r="C316" s="109"/>
      <c r="D316" s="119"/>
      <c r="E316" s="119"/>
      <c r="F316" s="6"/>
      <c r="G316" s="115"/>
      <c r="H316" s="6"/>
      <c r="I316" s="125"/>
      <c r="J316" s="13"/>
      <c r="K316" s="141"/>
      <c r="L316" s="161"/>
      <c r="M316" s="136"/>
      <c r="N316" s="136"/>
      <c r="O316" s="136"/>
      <c r="P316" s="136"/>
      <c r="Q316" s="136"/>
      <c r="R316" s="136"/>
      <c r="S316" s="161"/>
      <c r="T316" s="161"/>
      <c r="U316" s="161"/>
      <c r="V316" s="161"/>
      <c r="W316" s="135"/>
      <c r="X316" s="135"/>
      <c r="Y316" s="135"/>
      <c r="Z316" s="135"/>
      <c r="AA316" s="135"/>
      <c r="AB316" s="135"/>
      <c r="AC316" s="136"/>
      <c r="AD316" s="136"/>
      <c r="AE316" s="161"/>
      <c r="AF316" s="161"/>
      <c r="AG316" s="161"/>
      <c r="AH316" s="161"/>
      <c r="AI316" s="161"/>
      <c r="AJ316" s="161"/>
      <c r="AK316" s="135"/>
      <c r="AL316" s="135"/>
      <c r="AM316" s="135"/>
      <c r="AN316" s="135"/>
      <c r="AO316" s="135"/>
      <c r="AP316" s="135"/>
      <c r="AQ316" s="136"/>
      <c r="AR316" s="136"/>
      <c r="AS316" s="161"/>
      <c r="AT316" s="161"/>
      <c r="AU316" s="161"/>
      <c r="AV316" s="161"/>
      <c r="AW316" s="161"/>
      <c r="AX316" s="161"/>
      <c r="AY316" s="135"/>
      <c r="AZ316" s="135"/>
      <c r="BA316" s="135"/>
      <c r="BB316" s="135"/>
      <c r="BC316" s="135"/>
      <c r="BD316" s="135"/>
      <c r="BE316" s="136"/>
      <c r="BF316" s="136"/>
      <c r="BG316" s="161"/>
      <c r="BH316" s="161"/>
      <c r="BI316" s="161"/>
      <c r="BJ316" s="161"/>
      <c r="BK316" s="161"/>
      <c r="BL316" s="161"/>
      <c r="BM316" s="135"/>
      <c r="BN316" s="135"/>
      <c r="BO316" s="135"/>
      <c r="BP316" s="135"/>
      <c r="BQ316" s="135"/>
      <c r="BR316" s="135"/>
      <c r="BS316" s="136"/>
      <c r="BT316" s="136"/>
      <c r="BU316" s="161"/>
      <c r="BV316" s="161"/>
      <c r="BW316" s="161"/>
      <c r="BX316" s="161"/>
      <c r="BY316" s="161"/>
      <c r="BZ316" s="161"/>
      <c r="CA316" s="135"/>
      <c r="CB316" s="135"/>
      <c r="CC316" s="135"/>
      <c r="CD316" s="135"/>
      <c r="CE316" s="135"/>
      <c r="CF316" s="135"/>
      <c r="CG316" s="136"/>
      <c r="CH316" s="136"/>
      <c r="CI316" s="161"/>
      <c r="CJ316" s="161"/>
      <c r="CK316" s="161"/>
      <c r="CL316" s="161"/>
      <c r="CM316" s="161"/>
      <c r="CN316" s="161"/>
      <c r="CO316" s="135"/>
      <c r="CP316" s="135"/>
      <c r="CQ316" s="135"/>
      <c r="CR316" s="135"/>
      <c r="CS316" s="135"/>
      <c r="CT316" s="135"/>
      <c r="CU316" s="136"/>
      <c r="CV316" s="136"/>
      <c r="CW316" s="161"/>
      <c r="CX316" s="161"/>
      <c r="CY316" s="135"/>
      <c r="CZ316" s="161"/>
      <c r="DA316" s="135"/>
      <c r="DB316" s="161"/>
      <c r="DC316" s="135"/>
      <c r="DD316" s="161"/>
      <c r="DE316" s="161"/>
      <c r="DF316" s="135"/>
      <c r="DG316" s="135"/>
      <c r="DH316" s="135"/>
      <c r="DI316" s="136"/>
      <c r="DJ316" s="136"/>
      <c r="DK316" s="135"/>
      <c r="DL316" s="161"/>
      <c r="DM316" s="135"/>
      <c r="DN316" s="161"/>
      <c r="DO316" s="135"/>
      <c r="DP316" s="161"/>
      <c r="DQ316" s="161"/>
      <c r="DR316" s="135"/>
      <c r="DS316" s="135"/>
      <c r="DT316" s="135"/>
      <c r="DU316" s="135"/>
      <c r="DV316" s="135"/>
      <c r="DW316" s="136"/>
      <c r="DX316" s="136"/>
      <c r="DY316" s="161"/>
      <c r="DZ316" s="161"/>
      <c r="EA316" s="161"/>
      <c r="EB316" s="161"/>
      <c r="EC316" s="161"/>
      <c r="ED316" s="161"/>
      <c r="EE316" s="135"/>
      <c r="EF316" s="135"/>
      <c r="EG316" s="135"/>
      <c r="EH316" s="135"/>
      <c r="EI316" s="135"/>
      <c r="EJ316" s="135"/>
      <c r="EK316" s="136"/>
      <c r="EL316" s="136"/>
      <c r="EM316" s="136"/>
      <c r="EN316" s="136"/>
      <c r="EO316" s="136"/>
      <c r="EP316" s="136"/>
      <c r="EQ316" s="136"/>
      <c r="ER316" s="136"/>
      <c r="ES316" s="135"/>
      <c r="ET316" s="135"/>
      <c r="EU316" s="135"/>
      <c r="EV316" s="135"/>
      <c r="EW316" s="135"/>
      <c r="EX316" s="135"/>
      <c r="EY316" s="136"/>
      <c r="EZ316" s="136"/>
      <c r="FA316" s="161"/>
      <c r="FB316" s="161"/>
      <c r="FC316" s="161"/>
      <c r="FD316" s="161"/>
      <c r="FE316" s="161"/>
      <c r="FF316" s="161"/>
      <c r="FG316" s="135"/>
      <c r="FH316" s="135"/>
      <c r="FI316" s="135"/>
      <c r="FJ316" s="135"/>
      <c r="FK316" s="135"/>
      <c r="FL316" s="135"/>
      <c r="FM316" s="136"/>
      <c r="FN316" s="136"/>
      <c r="FO316" s="161"/>
      <c r="FP316" s="161"/>
      <c r="FQ316" s="161"/>
      <c r="FR316" s="161"/>
      <c r="FS316" s="161"/>
      <c r="FT316" s="161"/>
      <c r="FU316" s="135"/>
      <c r="FV316" s="135"/>
      <c r="FW316" s="135"/>
      <c r="FX316" s="135"/>
      <c r="FY316" s="135"/>
      <c r="FZ316" s="135"/>
      <c r="GA316" s="136"/>
      <c r="GB316" s="136"/>
      <c r="GC316" s="161"/>
      <c r="GD316" s="161"/>
      <c r="GE316" s="161"/>
      <c r="GF316" s="161"/>
      <c r="GG316" s="161"/>
      <c r="GH316" s="161"/>
      <c r="GI316" s="135"/>
      <c r="GJ316" s="135"/>
      <c r="GK316" s="135"/>
      <c r="GL316" s="135"/>
      <c r="GM316" s="135"/>
      <c r="GN316" s="135"/>
    </row>
    <row r="317" spans="1:196">
      <c r="A317" s="155"/>
      <c r="B317" s="126"/>
      <c r="C317" s="109"/>
      <c r="D317" s="119"/>
      <c r="E317" s="119"/>
      <c r="F317" s="6"/>
      <c r="G317" s="115"/>
      <c r="H317" s="6"/>
      <c r="I317" s="125"/>
      <c r="J317" s="13"/>
      <c r="K317" s="141"/>
      <c r="L317" s="161"/>
      <c r="M317" s="136"/>
      <c r="N317" s="136"/>
      <c r="O317" s="136"/>
      <c r="P317" s="136"/>
      <c r="Q317" s="136"/>
      <c r="R317" s="136"/>
      <c r="S317" s="161"/>
      <c r="T317" s="161"/>
      <c r="U317" s="161"/>
      <c r="V317" s="161"/>
      <c r="W317" s="135"/>
      <c r="X317" s="135"/>
      <c r="Y317" s="135"/>
      <c r="Z317" s="135"/>
      <c r="AA317" s="135"/>
      <c r="AB317" s="135"/>
      <c r="AC317" s="136"/>
      <c r="AD317" s="136"/>
      <c r="AE317" s="161"/>
      <c r="AF317" s="161"/>
      <c r="AG317" s="161"/>
      <c r="AH317" s="161"/>
      <c r="AI317" s="161"/>
      <c r="AJ317" s="161"/>
      <c r="AK317" s="135"/>
      <c r="AL317" s="135"/>
      <c r="AM317" s="135"/>
      <c r="AN317" s="135"/>
      <c r="AO317" s="135"/>
      <c r="AP317" s="135"/>
      <c r="AQ317" s="136"/>
      <c r="AR317" s="136"/>
      <c r="AS317" s="161"/>
      <c r="AT317" s="161"/>
      <c r="AU317" s="161"/>
      <c r="AV317" s="161"/>
      <c r="AW317" s="161"/>
      <c r="AX317" s="161"/>
      <c r="AY317" s="135"/>
      <c r="AZ317" s="135"/>
      <c r="BA317" s="135"/>
      <c r="BB317" s="135"/>
      <c r="BC317" s="135"/>
      <c r="BD317" s="135"/>
      <c r="BE317" s="136"/>
      <c r="BF317" s="136"/>
      <c r="BG317" s="161"/>
      <c r="BH317" s="161"/>
      <c r="BI317" s="161"/>
      <c r="BJ317" s="161"/>
      <c r="BK317" s="161"/>
      <c r="BL317" s="161"/>
      <c r="BM317" s="135"/>
      <c r="BN317" s="135"/>
      <c r="BO317" s="135"/>
      <c r="BP317" s="135"/>
      <c r="BQ317" s="135"/>
      <c r="BR317" s="135"/>
      <c r="BS317" s="136"/>
      <c r="BT317" s="136"/>
      <c r="BU317" s="161"/>
      <c r="BV317" s="161"/>
      <c r="BW317" s="161"/>
      <c r="BX317" s="161"/>
      <c r="BY317" s="161"/>
      <c r="BZ317" s="161"/>
      <c r="CA317" s="135"/>
      <c r="CB317" s="135"/>
      <c r="CC317" s="135"/>
      <c r="CD317" s="135"/>
      <c r="CE317" s="135"/>
      <c r="CF317" s="135"/>
      <c r="CG317" s="136"/>
      <c r="CH317" s="136"/>
      <c r="CI317" s="161"/>
      <c r="CJ317" s="161"/>
      <c r="CK317" s="161"/>
      <c r="CL317" s="161"/>
      <c r="CM317" s="161"/>
      <c r="CN317" s="161"/>
      <c r="CO317" s="135"/>
      <c r="CP317" s="135"/>
      <c r="CQ317" s="135"/>
      <c r="CR317" s="135"/>
      <c r="CS317" s="135"/>
      <c r="CT317" s="135"/>
      <c r="CU317" s="136"/>
      <c r="CV317" s="136"/>
      <c r="CW317" s="161"/>
      <c r="CX317" s="161"/>
      <c r="CY317" s="135"/>
      <c r="CZ317" s="161"/>
      <c r="DA317" s="135"/>
      <c r="DB317" s="161"/>
      <c r="DC317" s="135"/>
      <c r="DD317" s="161"/>
      <c r="DE317" s="161"/>
      <c r="DF317" s="135"/>
      <c r="DG317" s="135"/>
      <c r="DH317" s="135"/>
      <c r="DI317" s="136"/>
      <c r="DJ317" s="136"/>
      <c r="DK317" s="135"/>
      <c r="DL317" s="161"/>
      <c r="DM317" s="135"/>
      <c r="DN317" s="161"/>
      <c r="DO317" s="135"/>
      <c r="DP317" s="161"/>
      <c r="DQ317" s="161"/>
      <c r="DR317" s="135"/>
      <c r="DS317" s="135"/>
      <c r="DT317" s="135"/>
      <c r="DU317" s="135"/>
      <c r="DV317" s="135"/>
      <c r="DW317" s="136"/>
      <c r="DX317" s="136"/>
      <c r="DY317" s="161"/>
      <c r="DZ317" s="161"/>
      <c r="EA317" s="161"/>
      <c r="EB317" s="161"/>
      <c r="EC317" s="161"/>
      <c r="ED317" s="161"/>
      <c r="EE317" s="135"/>
      <c r="EF317" s="135"/>
      <c r="EG317" s="135"/>
      <c r="EH317" s="135"/>
      <c r="EI317" s="135"/>
      <c r="EJ317" s="135"/>
      <c r="EK317" s="136"/>
      <c r="EL317" s="136"/>
      <c r="EM317" s="136"/>
      <c r="EN317" s="136"/>
      <c r="EO317" s="136"/>
      <c r="EP317" s="136"/>
      <c r="EQ317" s="136"/>
      <c r="ER317" s="136"/>
      <c r="ES317" s="135"/>
      <c r="ET317" s="135"/>
      <c r="EU317" s="135"/>
      <c r="EV317" s="135"/>
      <c r="EW317" s="135"/>
      <c r="EX317" s="135"/>
      <c r="EY317" s="136"/>
      <c r="EZ317" s="136"/>
      <c r="FA317" s="161"/>
      <c r="FB317" s="161"/>
      <c r="FC317" s="161"/>
      <c r="FD317" s="161"/>
      <c r="FE317" s="161"/>
      <c r="FF317" s="161"/>
      <c r="FG317" s="135"/>
      <c r="FH317" s="135"/>
      <c r="FI317" s="135"/>
      <c r="FJ317" s="135"/>
      <c r="FK317" s="135"/>
      <c r="FL317" s="135"/>
      <c r="FM317" s="136"/>
      <c r="FN317" s="136"/>
      <c r="FO317" s="161"/>
      <c r="FP317" s="161"/>
      <c r="FQ317" s="161"/>
      <c r="FR317" s="161"/>
      <c r="FS317" s="161"/>
      <c r="FT317" s="161"/>
      <c r="FU317" s="135"/>
      <c r="FV317" s="135"/>
      <c r="FW317" s="135"/>
      <c r="FX317" s="135"/>
      <c r="FY317" s="135"/>
      <c r="FZ317" s="135"/>
      <c r="GA317" s="136"/>
      <c r="GB317" s="136"/>
      <c r="GC317" s="161"/>
      <c r="GD317" s="161"/>
      <c r="GE317" s="161"/>
      <c r="GF317" s="161"/>
      <c r="GG317" s="161"/>
      <c r="GH317" s="161"/>
      <c r="GI317" s="135"/>
      <c r="GJ317" s="135"/>
      <c r="GK317" s="135"/>
      <c r="GL317" s="135"/>
      <c r="GM317" s="135"/>
      <c r="GN317" s="135"/>
    </row>
    <row r="318" spans="1:196">
      <c r="A318" s="155"/>
      <c r="B318" s="126"/>
      <c r="C318" s="109"/>
      <c r="D318" s="119"/>
      <c r="E318" s="119"/>
      <c r="F318" s="6"/>
      <c r="G318" s="115"/>
      <c r="H318" s="6"/>
      <c r="I318" s="125"/>
      <c r="J318" s="13"/>
      <c r="K318" s="141"/>
      <c r="L318" s="161"/>
      <c r="M318" s="136"/>
      <c r="N318" s="136"/>
      <c r="O318" s="136"/>
      <c r="P318" s="136"/>
      <c r="Q318" s="136"/>
      <c r="R318" s="136"/>
      <c r="S318" s="161"/>
      <c r="T318" s="161"/>
      <c r="U318" s="161"/>
      <c r="V318" s="161"/>
      <c r="W318" s="135"/>
      <c r="X318" s="135"/>
      <c r="Y318" s="135"/>
      <c r="Z318" s="135"/>
      <c r="AA318" s="135"/>
      <c r="AB318" s="135"/>
      <c r="AC318" s="136"/>
      <c r="AD318" s="136"/>
      <c r="AE318" s="161"/>
      <c r="AF318" s="161"/>
      <c r="AG318" s="161"/>
      <c r="AH318" s="161"/>
      <c r="AI318" s="161"/>
      <c r="AJ318" s="161"/>
      <c r="AK318" s="135"/>
      <c r="AL318" s="135"/>
      <c r="AM318" s="135"/>
      <c r="AN318" s="135"/>
      <c r="AO318" s="135"/>
      <c r="AP318" s="135"/>
      <c r="AQ318" s="136"/>
      <c r="AR318" s="136"/>
      <c r="AS318" s="161"/>
      <c r="AT318" s="161"/>
      <c r="AU318" s="161"/>
      <c r="AV318" s="161"/>
      <c r="AW318" s="161"/>
      <c r="AX318" s="161"/>
      <c r="AY318" s="135"/>
      <c r="AZ318" s="135"/>
      <c r="BA318" s="135"/>
      <c r="BB318" s="135"/>
      <c r="BC318" s="135"/>
      <c r="BD318" s="135"/>
      <c r="BE318" s="136"/>
      <c r="BF318" s="136"/>
      <c r="BG318" s="161"/>
      <c r="BH318" s="161"/>
      <c r="BI318" s="161"/>
      <c r="BJ318" s="161"/>
      <c r="BK318" s="161"/>
      <c r="BL318" s="161"/>
      <c r="BM318" s="135"/>
      <c r="BN318" s="135"/>
      <c r="BO318" s="135"/>
      <c r="BP318" s="135"/>
      <c r="BQ318" s="135"/>
      <c r="BR318" s="135"/>
      <c r="BS318" s="136"/>
      <c r="BT318" s="136"/>
      <c r="BU318" s="161"/>
      <c r="BV318" s="161"/>
      <c r="BW318" s="161"/>
      <c r="BX318" s="161"/>
      <c r="BY318" s="161"/>
      <c r="BZ318" s="161"/>
      <c r="CA318" s="135"/>
      <c r="CB318" s="135"/>
      <c r="CC318" s="135"/>
      <c r="CD318" s="135"/>
      <c r="CE318" s="135"/>
      <c r="CF318" s="135"/>
      <c r="CG318" s="136"/>
      <c r="CH318" s="136"/>
      <c r="CI318" s="161"/>
      <c r="CJ318" s="161"/>
      <c r="CK318" s="161"/>
      <c r="CL318" s="161"/>
      <c r="CM318" s="161"/>
      <c r="CN318" s="161"/>
      <c r="CO318" s="135"/>
      <c r="CP318" s="135"/>
      <c r="CQ318" s="135"/>
      <c r="CR318" s="135"/>
      <c r="CS318" s="135"/>
      <c r="CT318" s="135"/>
      <c r="CU318" s="136"/>
      <c r="CV318" s="136"/>
      <c r="CW318" s="161"/>
      <c r="CX318" s="161"/>
      <c r="CY318" s="135"/>
      <c r="CZ318" s="161"/>
      <c r="DA318" s="135"/>
      <c r="DB318" s="161"/>
      <c r="DC318" s="135"/>
      <c r="DD318" s="161"/>
      <c r="DE318" s="161"/>
      <c r="DF318" s="135"/>
      <c r="DG318" s="135"/>
      <c r="DH318" s="135"/>
      <c r="DI318" s="136"/>
      <c r="DJ318" s="136"/>
      <c r="DK318" s="135"/>
      <c r="DL318" s="161"/>
      <c r="DM318" s="135"/>
      <c r="DN318" s="161"/>
      <c r="DO318" s="135"/>
      <c r="DP318" s="161"/>
      <c r="DQ318" s="161"/>
      <c r="DR318" s="135"/>
      <c r="DS318" s="135"/>
      <c r="DT318" s="135"/>
      <c r="DU318" s="135"/>
      <c r="DV318" s="135"/>
      <c r="DW318" s="136"/>
      <c r="DX318" s="136"/>
      <c r="DY318" s="161"/>
      <c r="DZ318" s="161"/>
      <c r="EA318" s="161"/>
      <c r="EB318" s="161"/>
      <c r="EC318" s="161"/>
      <c r="ED318" s="161"/>
      <c r="EE318" s="135"/>
      <c r="EF318" s="135"/>
      <c r="EG318" s="135"/>
      <c r="EH318" s="135"/>
      <c r="EI318" s="135"/>
      <c r="EJ318" s="135"/>
      <c r="EK318" s="136"/>
      <c r="EL318" s="136"/>
      <c r="EM318" s="136"/>
      <c r="EN318" s="136"/>
      <c r="EO318" s="136"/>
      <c r="EP318" s="136"/>
      <c r="EQ318" s="136"/>
      <c r="ER318" s="136"/>
      <c r="ES318" s="135"/>
      <c r="ET318" s="135"/>
      <c r="EU318" s="135"/>
      <c r="EV318" s="135"/>
      <c r="EW318" s="135"/>
      <c r="EX318" s="135"/>
      <c r="EY318" s="136"/>
      <c r="EZ318" s="136"/>
      <c r="FA318" s="161"/>
      <c r="FB318" s="161"/>
      <c r="FC318" s="161"/>
      <c r="FD318" s="161"/>
      <c r="FE318" s="161"/>
      <c r="FF318" s="161"/>
      <c r="FG318" s="135"/>
      <c r="FH318" s="135"/>
      <c r="FI318" s="135"/>
      <c r="FJ318" s="135"/>
      <c r="FK318" s="135"/>
      <c r="FL318" s="135"/>
      <c r="FM318" s="136"/>
      <c r="FN318" s="136"/>
      <c r="FO318" s="161"/>
      <c r="FP318" s="161"/>
      <c r="FQ318" s="161"/>
      <c r="FR318" s="161"/>
      <c r="FS318" s="161"/>
      <c r="FT318" s="161"/>
      <c r="FU318" s="135"/>
      <c r="FV318" s="135"/>
      <c r="FW318" s="135"/>
      <c r="FX318" s="135"/>
      <c r="FY318" s="135"/>
      <c r="FZ318" s="135"/>
      <c r="GA318" s="136"/>
      <c r="GB318" s="136"/>
      <c r="GC318" s="161"/>
      <c r="GD318" s="161"/>
      <c r="GE318" s="161"/>
      <c r="GF318" s="161"/>
      <c r="GG318" s="161"/>
      <c r="GH318" s="161"/>
      <c r="GI318" s="135"/>
      <c r="GJ318" s="135"/>
      <c r="GK318" s="135"/>
      <c r="GL318" s="135"/>
      <c r="GM318" s="135"/>
      <c r="GN318" s="135"/>
    </row>
    <row r="319" spans="1:196">
      <c r="A319" s="155"/>
      <c r="B319" s="126"/>
      <c r="C319" s="109"/>
      <c r="D319" s="119"/>
      <c r="E319" s="119"/>
      <c r="F319" s="6"/>
      <c r="G319" s="115"/>
      <c r="H319" s="6"/>
      <c r="I319" s="125"/>
      <c r="J319" s="13"/>
      <c r="K319" s="141"/>
      <c r="L319" s="161"/>
      <c r="M319" s="136"/>
      <c r="N319" s="136"/>
      <c r="O319" s="136"/>
      <c r="P319" s="136"/>
      <c r="Q319" s="136"/>
      <c r="R319" s="136"/>
      <c r="S319" s="161"/>
      <c r="T319" s="161"/>
      <c r="U319" s="161"/>
      <c r="V319" s="161"/>
      <c r="W319" s="135"/>
      <c r="X319" s="135"/>
      <c r="Y319" s="135"/>
      <c r="Z319" s="135"/>
      <c r="AA319" s="135"/>
      <c r="AB319" s="135"/>
      <c r="AC319" s="136"/>
      <c r="AD319" s="136"/>
      <c r="AE319" s="161"/>
      <c r="AF319" s="161"/>
      <c r="AG319" s="161"/>
      <c r="AH319" s="161"/>
      <c r="AI319" s="161"/>
      <c r="AJ319" s="161"/>
      <c r="AK319" s="135"/>
      <c r="AL319" s="135"/>
      <c r="AM319" s="135"/>
      <c r="AN319" s="135"/>
      <c r="AO319" s="135"/>
      <c r="AP319" s="135"/>
      <c r="AQ319" s="136"/>
      <c r="AR319" s="136"/>
      <c r="AS319" s="161"/>
      <c r="AT319" s="161"/>
      <c r="AU319" s="161"/>
      <c r="AV319" s="161"/>
      <c r="AW319" s="161"/>
      <c r="AX319" s="161"/>
      <c r="AY319" s="135"/>
      <c r="AZ319" s="135"/>
      <c r="BA319" s="135"/>
      <c r="BB319" s="135"/>
      <c r="BC319" s="135"/>
      <c r="BD319" s="135"/>
      <c r="BE319" s="136"/>
      <c r="BF319" s="136"/>
      <c r="BG319" s="161"/>
      <c r="BH319" s="161"/>
      <c r="BI319" s="161"/>
      <c r="BJ319" s="161"/>
      <c r="BK319" s="161"/>
      <c r="BL319" s="161"/>
      <c r="BM319" s="135"/>
      <c r="BN319" s="135"/>
      <c r="BO319" s="135"/>
      <c r="BP319" s="135"/>
      <c r="BQ319" s="135"/>
      <c r="BR319" s="135"/>
      <c r="BS319" s="136"/>
      <c r="BT319" s="136"/>
      <c r="BU319" s="161"/>
      <c r="BV319" s="161"/>
      <c r="BW319" s="161"/>
      <c r="BX319" s="161"/>
      <c r="BY319" s="161"/>
      <c r="BZ319" s="161"/>
      <c r="CA319" s="135"/>
      <c r="CB319" s="135"/>
      <c r="CC319" s="135"/>
      <c r="CD319" s="135"/>
      <c r="CE319" s="135"/>
      <c r="CF319" s="135"/>
      <c r="CG319" s="136"/>
      <c r="CH319" s="136"/>
      <c r="CI319" s="161"/>
      <c r="CJ319" s="161"/>
      <c r="CK319" s="161"/>
      <c r="CL319" s="161"/>
      <c r="CM319" s="161"/>
      <c r="CN319" s="161"/>
      <c r="CO319" s="135"/>
      <c r="CP319" s="135"/>
      <c r="CQ319" s="135"/>
      <c r="CR319" s="135"/>
      <c r="CS319" s="135"/>
      <c r="CT319" s="135"/>
      <c r="CU319" s="136"/>
      <c r="CV319" s="136"/>
      <c r="CW319" s="161"/>
      <c r="CX319" s="161"/>
      <c r="CY319" s="135"/>
      <c r="CZ319" s="161"/>
      <c r="DA319" s="135"/>
      <c r="DB319" s="161"/>
      <c r="DC319" s="135"/>
      <c r="DD319" s="161"/>
      <c r="DE319" s="161"/>
      <c r="DF319" s="135"/>
      <c r="DG319" s="135"/>
      <c r="DH319" s="135"/>
      <c r="DI319" s="136"/>
      <c r="DJ319" s="136"/>
      <c r="DK319" s="135"/>
      <c r="DL319" s="161"/>
      <c r="DM319" s="135"/>
      <c r="DN319" s="161"/>
      <c r="DO319" s="135"/>
      <c r="DP319" s="161"/>
      <c r="DQ319" s="161"/>
      <c r="DR319" s="135"/>
      <c r="DS319" s="135"/>
      <c r="DT319" s="135"/>
      <c r="DU319" s="135"/>
      <c r="DV319" s="135"/>
      <c r="DW319" s="136"/>
      <c r="DX319" s="136"/>
      <c r="DY319" s="161"/>
      <c r="DZ319" s="161"/>
      <c r="EA319" s="161"/>
      <c r="EB319" s="161"/>
      <c r="EC319" s="161"/>
      <c r="ED319" s="161"/>
      <c r="EE319" s="135"/>
      <c r="EF319" s="135"/>
      <c r="EG319" s="135"/>
      <c r="EH319" s="135"/>
      <c r="EI319" s="135"/>
      <c r="EJ319" s="135"/>
      <c r="EK319" s="136"/>
      <c r="EL319" s="136"/>
      <c r="EM319" s="136"/>
      <c r="EN319" s="136"/>
      <c r="EO319" s="136"/>
      <c r="EP319" s="136"/>
      <c r="EQ319" s="136"/>
      <c r="ER319" s="136"/>
      <c r="ES319" s="135"/>
      <c r="ET319" s="135"/>
      <c r="EU319" s="135"/>
      <c r="EV319" s="135"/>
      <c r="EW319" s="135"/>
      <c r="EX319" s="135"/>
      <c r="EY319" s="136"/>
      <c r="EZ319" s="136"/>
      <c r="FA319" s="161"/>
      <c r="FB319" s="161"/>
      <c r="FC319" s="161"/>
      <c r="FD319" s="161"/>
      <c r="FE319" s="161"/>
      <c r="FF319" s="161"/>
      <c r="FG319" s="135"/>
      <c r="FH319" s="135"/>
      <c r="FI319" s="135"/>
      <c r="FJ319" s="135"/>
      <c r="FK319" s="135"/>
      <c r="FL319" s="135"/>
      <c r="FM319" s="136"/>
      <c r="FN319" s="136"/>
      <c r="FO319" s="161"/>
      <c r="FP319" s="161"/>
      <c r="FQ319" s="161"/>
      <c r="FR319" s="161"/>
      <c r="FS319" s="161"/>
      <c r="FT319" s="161"/>
      <c r="FU319" s="135"/>
      <c r="FV319" s="135"/>
      <c r="FW319" s="135"/>
      <c r="FX319" s="135"/>
      <c r="FY319" s="135"/>
      <c r="FZ319" s="135"/>
      <c r="GA319" s="136"/>
      <c r="GB319" s="136"/>
      <c r="GC319" s="161"/>
      <c r="GD319" s="161"/>
      <c r="GE319" s="161"/>
      <c r="GF319" s="161"/>
      <c r="GG319" s="161"/>
      <c r="GH319" s="161"/>
      <c r="GI319" s="135"/>
      <c r="GJ319" s="135"/>
      <c r="GK319" s="135"/>
      <c r="GL319" s="135"/>
      <c r="GM319" s="135"/>
      <c r="GN319" s="135"/>
    </row>
    <row r="320" spans="1:196">
      <c r="A320" s="155"/>
      <c r="B320" s="126"/>
      <c r="C320" s="109"/>
      <c r="D320" s="119"/>
      <c r="E320" s="119"/>
      <c r="F320" s="6"/>
      <c r="G320" s="115"/>
      <c r="H320" s="6"/>
      <c r="I320" s="125"/>
      <c r="J320" s="13"/>
      <c r="K320" s="141"/>
      <c r="L320" s="161"/>
      <c r="M320" s="136"/>
      <c r="N320" s="136"/>
      <c r="O320" s="136"/>
      <c r="P320" s="136"/>
      <c r="Q320" s="136"/>
      <c r="R320" s="136"/>
      <c r="S320" s="161"/>
      <c r="T320" s="161"/>
      <c r="U320" s="161"/>
      <c r="V320" s="161"/>
      <c r="W320" s="135"/>
      <c r="X320" s="135"/>
      <c r="Y320" s="135"/>
      <c r="Z320" s="135"/>
      <c r="AA320" s="135"/>
      <c r="AB320" s="135"/>
      <c r="AC320" s="136"/>
      <c r="AD320" s="136"/>
      <c r="AE320" s="161"/>
      <c r="AF320" s="161"/>
      <c r="AG320" s="161"/>
      <c r="AH320" s="161"/>
      <c r="AI320" s="161"/>
      <c r="AJ320" s="161"/>
      <c r="AK320" s="135"/>
      <c r="AL320" s="135"/>
      <c r="AM320" s="135"/>
      <c r="AN320" s="135"/>
      <c r="AO320" s="135"/>
      <c r="AP320" s="135"/>
      <c r="AQ320" s="136"/>
      <c r="AR320" s="136"/>
      <c r="AS320" s="161"/>
      <c r="AT320" s="161"/>
      <c r="AU320" s="161"/>
      <c r="AV320" s="161"/>
      <c r="AW320" s="161"/>
      <c r="AX320" s="161"/>
      <c r="AY320" s="135"/>
      <c r="AZ320" s="135"/>
      <c r="BA320" s="135"/>
      <c r="BB320" s="135"/>
      <c r="BC320" s="135"/>
      <c r="BD320" s="135"/>
      <c r="BE320" s="136"/>
      <c r="BF320" s="136"/>
      <c r="BG320" s="161"/>
      <c r="BH320" s="161"/>
      <c r="BI320" s="161"/>
      <c r="BJ320" s="161"/>
      <c r="BK320" s="161"/>
      <c r="BL320" s="161"/>
      <c r="BM320" s="135"/>
      <c r="BN320" s="135"/>
      <c r="BO320" s="135"/>
      <c r="BP320" s="135"/>
      <c r="BQ320" s="135"/>
      <c r="BR320" s="135"/>
      <c r="BS320" s="136"/>
      <c r="BT320" s="136"/>
      <c r="BU320" s="161"/>
      <c r="BV320" s="161"/>
      <c r="BW320" s="161"/>
      <c r="BX320" s="161"/>
      <c r="BY320" s="161"/>
      <c r="BZ320" s="161"/>
      <c r="CA320" s="135"/>
      <c r="CB320" s="135"/>
      <c r="CC320" s="135"/>
      <c r="CD320" s="135"/>
      <c r="CE320" s="135"/>
      <c r="CF320" s="135"/>
      <c r="CG320" s="136"/>
      <c r="CH320" s="136"/>
      <c r="CI320" s="161"/>
      <c r="CJ320" s="161"/>
      <c r="CK320" s="161"/>
      <c r="CL320" s="161"/>
      <c r="CM320" s="161"/>
      <c r="CN320" s="161"/>
      <c r="CO320" s="135"/>
      <c r="CP320" s="135"/>
      <c r="CQ320" s="135"/>
      <c r="CR320" s="135"/>
      <c r="CS320" s="135"/>
      <c r="CT320" s="135"/>
      <c r="CU320" s="136"/>
      <c r="CV320" s="136"/>
      <c r="CW320" s="161"/>
      <c r="CX320" s="161"/>
      <c r="CY320" s="135"/>
      <c r="CZ320" s="161"/>
      <c r="DA320" s="135"/>
      <c r="DB320" s="161"/>
      <c r="DC320" s="135"/>
      <c r="DD320" s="161"/>
      <c r="DE320" s="161"/>
      <c r="DF320" s="135"/>
      <c r="DG320" s="135"/>
      <c r="DH320" s="135"/>
      <c r="DI320" s="136"/>
      <c r="DJ320" s="136"/>
      <c r="DK320" s="135"/>
      <c r="DL320" s="161"/>
      <c r="DM320" s="135"/>
      <c r="DN320" s="161"/>
      <c r="DO320" s="135"/>
      <c r="DP320" s="161"/>
      <c r="DQ320" s="161"/>
      <c r="DR320" s="135"/>
      <c r="DS320" s="135"/>
      <c r="DT320" s="135"/>
      <c r="DU320" s="135"/>
      <c r="DV320" s="135"/>
      <c r="DW320" s="136"/>
      <c r="DX320" s="136"/>
      <c r="DY320" s="161"/>
      <c r="DZ320" s="161"/>
      <c r="EA320" s="161"/>
      <c r="EB320" s="161"/>
      <c r="EC320" s="161"/>
      <c r="ED320" s="161"/>
      <c r="EE320" s="135"/>
      <c r="EF320" s="135"/>
      <c r="EG320" s="135"/>
      <c r="EH320" s="135"/>
      <c r="EI320" s="135"/>
      <c r="EJ320" s="135"/>
      <c r="EK320" s="136"/>
      <c r="EL320" s="136"/>
      <c r="EM320" s="136"/>
      <c r="EN320" s="136"/>
      <c r="EO320" s="136"/>
      <c r="EP320" s="136"/>
      <c r="EQ320" s="136"/>
      <c r="ER320" s="136"/>
      <c r="ES320" s="135"/>
      <c r="ET320" s="135"/>
      <c r="EU320" s="135"/>
      <c r="EV320" s="135"/>
      <c r="EW320" s="135"/>
      <c r="EX320" s="135"/>
      <c r="EY320" s="136"/>
      <c r="EZ320" s="136"/>
      <c r="FA320" s="161"/>
      <c r="FB320" s="161"/>
      <c r="FC320" s="161"/>
      <c r="FD320" s="161"/>
      <c r="FE320" s="161"/>
      <c r="FF320" s="161"/>
      <c r="FG320" s="135"/>
      <c r="FH320" s="135"/>
      <c r="FI320" s="135"/>
      <c r="FJ320" s="135"/>
      <c r="FK320" s="135"/>
      <c r="FL320" s="135"/>
      <c r="FM320" s="136"/>
      <c r="FN320" s="136"/>
      <c r="FO320" s="161"/>
      <c r="FP320" s="161"/>
      <c r="FQ320" s="161"/>
      <c r="FR320" s="161"/>
      <c r="FS320" s="161"/>
      <c r="FT320" s="161"/>
      <c r="FU320" s="135"/>
      <c r="FV320" s="135"/>
      <c r="FW320" s="135"/>
      <c r="FX320" s="135"/>
      <c r="FY320" s="135"/>
      <c r="FZ320" s="135"/>
      <c r="GA320" s="136"/>
      <c r="GB320" s="136"/>
      <c r="GC320" s="161"/>
      <c r="GD320" s="161"/>
      <c r="GE320" s="161"/>
      <c r="GF320" s="161"/>
      <c r="GG320" s="161"/>
      <c r="GH320" s="161"/>
      <c r="GI320" s="135"/>
      <c r="GJ320" s="135"/>
      <c r="GK320" s="135"/>
      <c r="GL320" s="135"/>
      <c r="GM320" s="135"/>
      <c r="GN320" s="135"/>
    </row>
    <row r="321" spans="1:196">
      <c r="A321" s="155"/>
      <c r="B321" s="126"/>
      <c r="C321" s="109"/>
      <c r="D321" s="119"/>
      <c r="E321" s="119"/>
      <c r="F321" s="6"/>
      <c r="G321" s="115"/>
      <c r="H321" s="6"/>
      <c r="I321" s="125"/>
      <c r="J321" s="13"/>
      <c r="K321" s="141"/>
      <c r="L321" s="161"/>
      <c r="M321" s="136"/>
      <c r="N321" s="136"/>
      <c r="O321" s="136"/>
      <c r="P321" s="136"/>
      <c r="Q321" s="136"/>
      <c r="R321" s="136"/>
      <c r="S321" s="161"/>
      <c r="T321" s="161"/>
      <c r="U321" s="161"/>
      <c r="V321" s="161"/>
      <c r="W321" s="135"/>
      <c r="X321" s="135"/>
      <c r="Y321" s="135"/>
      <c r="Z321" s="135"/>
      <c r="AA321" s="135"/>
      <c r="AB321" s="135"/>
      <c r="AC321" s="136"/>
      <c r="AD321" s="136"/>
      <c r="AE321" s="161"/>
      <c r="AF321" s="161"/>
      <c r="AG321" s="161"/>
      <c r="AH321" s="161"/>
      <c r="AI321" s="161"/>
      <c r="AJ321" s="161"/>
      <c r="AK321" s="135"/>
      <c r="AL321" s="135"/>
      <c r="AM321" s="135"/>
      <c r="AN321" s="135"/>
      <c r="AO321" s="135"/>
      <c r="AP321" s="135"/>
      <c r="AQ321" s="136"/>
      <c r="AR321" s="136"/>
      <c r="AS321" s="161"/>
      <c r="AT321" s="161"/>
      <c r="AU321" s="161"/>
      <c r="AV321" s="161"/>
      <c r="AW321" s="161"/>
      <c r="AX321" s="161"/>
      <c r="AY321" s="135"/>
      <c r="AZ321" s="135"/>
      <c r="BA321" s="135"/>
      <c r="BB321" s="135"/>
      <c r="BC321" s="135"/>
      <c r="BD321" s="135"/>
      <c r="BE321" s="136"/>
      <c r="BF321" s="136"/>
      <c r="BG321" s="161"/>
      <c r="BH321" s="161"/>
      <c r="BI321" s="161"/>
      <c r="BJ321" s="161"/>
      <c r="BK321" s="161"/>
      <c r="BL321" s="161"/>
      <c r="BM321" s="135"/>
      <c r="BN321" s="135"/>
      <c r="BO321" s="135"/>
      <c r="BP321" s="135"/>
      <c r="BQ321" s="135"/>
      <c r="BR321" s="135"/>
      <c r="BS321" s="136"/>
      <c r="BT321" s="136"/>
      <c r="BU321" s="161"/>
      <c r="BV321" s="161"/>
      <c r="BW321" s="161"/>
      <c r="BX321" s="161"/>
      <c r="BY321" s="161"/>
      <c r="BZ321" s="161"/>
      <c r="CA321" s="135"/>
      <c r="CB321" s="135"/>
      <c r="CC321" s="135"/>
      <c r="CD321" s="135"/>
      <c r="CE321" s="135"/>
      <c r="CF321" s="135"/>
      <c r="CG321" s="136"/>
      <c r="CH321" s="136"/>
      <c r="CI321" s="161"/>
      <c r="CJ321" s="161"/>
      <c r="CK321" s="161"/>
      <c r="CL321" s="161"/>
      <c r="CM321" s="161"/>
      <c r="CN321" s="161"/>
      <c r="CO321" s="135"/>
      <c r="CP321" s="135"/>
      <c r="CQ321" s="135"/>
      <c r="CR321" s="135"/>
      <c r="CS321" s="135"/>
      <c r="CT321" s="135"/>
      <c r="CU321" s="136"/>
      <c r="CV321" s="136"/>
      <c r="CW321" s="161"/>
      <c r="CX321" s="161"/>
      <c r="CY321" s="135"/>
      <c r="CZ321" s="161"/>
      <c r="DA321" s="135"/>
      <c r="DB321" s="161"/>
      <c r="DC321" s="135"/>
      <c r="DD321" s="161"/>
      <c r="DE321" s="161"/>
      <c r="DF321" s="135"/>
      <c r="DG321" s="135"/>
      <c r="DH321" s="135"/>
      <c r="DI321" s="136"/>
      <c r="DJ321" s="136"/>
      <c r="DK321" s="135"/>
      <c r="DL321" s="161"/>
      <c r="DM321" s="135"/>
      <c r="DN321" s="161"/>
      <c r="DO321" s="135"/>
      <c r="DP321" s="161"/>
      <c r="DQ321" s="161"/>
      <c r="DR321" s="135"/>
      <c r="DS321" s="135"/>
      <c r="DT321" s="135"/>
      <c r="DU321" s="135"/>
      <c r="DV321" s="135"/>
      <c r="DW321" s="136"/>
      <c r="DX321" s="136"/>
      <c r="DY321" s="161"/>
      <c r="DZ321" s="161"/>
      <c r="EA321" s="161"/>
      <c r="EB321" s="161"/>
      <c r="EC321" s="161"/>
      <c r="ED321" s="161"/>
      <c r="EE321" s="135"/>
      <c r="EF321" s="135"/>
      <c r="EG321" s="135"/>
      <c r="EH321" s="135"/>
      <c r="EI321" s="135"/>
      <c r="EJ321" s="135"/>
      <c r="EK321" s="136"/>
      <c r="EL321" s="136"/>
      <c r="EM321" s="136"/>
      <c r="EN321" s="136"/>
      <c r="EO321" s="136"/>
      <c r="EP321" s="136"/>
      <c r="EQ321" s="136"/>
      <c r="ER321" s="136"/>
      <c r="ES321" s="135"/>
      <c r="ET321" s="135"/>
      <c r="EU321" s="135"/>
      <c r="EV321" s="135"/>
      <c r="EW321" s="135"/>
      <c r="EX321" s="135"/>
      <c r="EY321" s="136"/>
      <c r="EZ321" s="136"/>
      <c r="FA321" s="161"/>
      <c r="FB321" s="161"/>
      <c r="FC321" s="161"/>
      <c r="FD321" s="161"/>
      <c r="FE321" s="161"/>
      <c r="FF321" s="161"/>
      <c r="FG321" s="135"/>
      <c r="FH321" s="135"/>
      <c r="FI321" s="135"/>
      <c r="FJ321" s="135"/>
      <c r="FK321" s="135"/>
      <c r="FL321" s="135"/>
      <c r="FM321" s="136"/>
      <c r="FN321" s="136"/>
      <c r="FO321" s="161"/>
      <c r="FP321" s="161"/>
      <c r="FQ321" s="161"/>
      <c r="FR321" s="161"/>
      <c r="FS321" s="161"/>
      <c r="FT321" s="161"/>
      <c r="FU321" s="135"/>
      <c r="FV321" s="135"/>
      <c r="FW321" s="135"/>
      <c r="FX321" s="135"/>
      <c r="FY321" s="135"/>
      <c r="FZ321" s="135"/>
      <c r="GA321" s="136"/>
      <c r="GB321" s="136"/>
      <c r="GC321" s="161"/>
      <c r="GD321" s="161"/>
      <c r="GE321" s="161"/>
      <c r="GF321" s="161"/>
      <c r="GG321" s="161"/>
      <c r="GH321" s="161"/>
      <c r="GI321" s="135"/>
      <c r="GJ321" s="135"/>
      <c r="GK321" s="135"/>
      <c r="GL321" s="135"/>
      <c r="GM321" s="135"/>
      <c r="GN321" s="135"/>
    </row>
    <row r="322" spans="1:196">
      <c r="A322" s="155"/>
      <c r="B322" s="126"/>
      <c r="C322" s="109"/>
      <c r="D322" s="119"/>
      <c r="E322" s="119"/>
      <c r="F322" s="6"/>
      <c r="G322" s="115"/>
      <c r="H322" s="6"/>
      <c r="I322" s="125"/>
      <c r="J322" s="13"/>
      <c r="K322" s="141"/>
      <c r="L322" s="161"/>
      <c r="M322" s="136"/>
      <c r="N322" s="136"/>
      <c r="O322" s="136"/>
      <c r="P322" s="136"/>
      <c r="Q322" s="136"/>
      <c r="R322" s="136"/>
      <c r="S322" s="161"/>
      <c r="T322" s="161"/>
      <c r="U322" s="161"/>
      <c r="V322" s="161"/>
      <c r="W322" s="135"/>
      <c r="X322" s="135"/>
      <c r="Y322" s="135"/>
      <c r="Z322" s="135"/>
      <c r="AA322" s="135"/>
      <c r="AB322" s="135"/>
      <c r="AC322" s="136"/>
      <c r="AD322" s="136"/>
      <c r="AE322" s="161"/>
      <c r="AF322" s="161"/>
      <c r="AG322" s="161"/>
      <c r="AH322" s="161"/>
      <c r="AI322" s="161"/>
      <c r="AJ322" s="161"/>
      <c r="AK322" s="135"/>
      <c r="AL322" s="135"/>
      <c r="AM322" s="135"/>
      <c r="AN322" s="135"/>
      <c r="AO322" s="135"/>
      <c r="AP322" s="135"/>
      <c r="AQ322" s="136"/>
      <c r="AR322" s="136"/>
      <c r="AS322" s="161"/>
      <c r="AT322" s="161"/>
      <c r="AU322" s="161"/>
      <c r="AV322" s="161"/>
      <c r="AW322" s="161"/>
      <c r="AX322" s="161"/>
      <c r="AY322" s="135"/>
      <c r="AZ322" s="135"/>
      <c r="BA322" s="135"/>
      <c r="BB322" s="135"/>
      <c r="BC322" s="135"/>
      <c r="BD322" s="135"/>
      <c r="BE322" s="136"/>
      <c r="BF322" s="136"/>
      <c r="BG322" s="161"/>
      <c r="BH322" s="161"/>
      <c r="BI322" s="161"/>
      <c r="BJ322" s="161"/>
      <c r="BK322" s="161"/>
      <c r="BL322" s="161"/>
      <c r="BM322" s="135"/>
      <c r="BN322" s="135"/>
      <c r="BO322" s="135"/>
      <c r="BP322" s="135"/>
      <c r="BQ322" s="135"/>
      <c r="BR322" s="135"/>
      <c r="BS322" s="136"/>
      <c r="BT322" s="136"/>
      <c r="BU322" s="161"/>
      <c r="BV322" s="161"/>
      <c r="BW322" s="161"/>
      <c r="BX322" s="161"/>
      <c r="BY322" s="161"/>
      <c r="BZ322" s="161"/>
      <c r="CA322" s="135"/>
      <c r="CB322" s="135"/>
      <c r="CC322" s="135"/>
      <c r="CD322" s="135"/>
      <c r="CE322" s="135"/>
      <c r="CF322" s="135"/>
      <c r="CG322" s="136"/>
      <c r="CH322" s="136"/>
      <c r="CI322" s="161"/>
      <c r="CJ322" s="161"/>
      <c r="CK322" s="161"/>
      <c r="CL322" s="161"/>
      <c r="CM322" s="161"/>
      <c r="CN322" s="161"/>
      <c r="CO322" s="135"/>
      <c r="CP322" s="135"/>
      <c r="CQ322" s="135"/>
      <c r="CR322" s="135"/>
      <c r="CS322" s="135"/>
      <c r="CT322" s="135"/>
      <c r="CU322" s="136"/>
      <c r="CV322" s="136"/>
      <c r="CW322" s="161"/>
      <c r="CX322" s="161"/>
      <c r="CY322" s="135"/>
      <c r="CZ322" s="161"/>
      <c r="DA322" s="135"/>
      <c r="DB322" s="161"/>
      <c r="DC322" s="135"/>
      <c r="DD322" s="161"/>
      <c r="DE322" s="161"/>
      <c r="DF322" s="135"/>
      <c r="DG322" s="135"/>
      <c r="DH322" s="135"/>
      <c r="DI322" s="136"/>
      <c r="DJ322" s="136"/>
      <c r="DK322" s="135"/>
      <c r="DL322" s="161"/>
      <c r="DM322" s="135"/>
      <c r="DN322" s="161"/>
      <c r="DO322" s="135"/>
      <c r="DP322" s="161"/>
      <c r="DQ322" s="161"/>
      <c r="DR322" s="135"/>
      <c r="DS322" s="135"/>
      <c r="DT322" s="135"/>
      <c r="DU322" s="135"/>
      <c r="DV322" s="135"/>
      <c r="DW322" s="136"/>
      <c r="DX322" s="136"/>
      <c r="DY322" s="161"/>
      <c r="DZ322" s="161"/>
      <c r="EA322" s="161"/>
      <c r="EB322" s="161"/>
      <c r="EC322" s="161"/>
      <c r="ED322" s="161"/>
      <c r="EE322" s="135"/>
      <c r="EF322" s="135"/>
      <c r="EG322" s="135"/>
      <c r="EH322" s="135"/>
      <c r="EI322" s="135"/>
      <c r="EJ322" s="135"/>
      <c r="EK322" s="136"/>
      <c r="EL322" s="136"/>
      <c r="EM322" s="136"/>
      <c r="EN322" s="136"/>
      <c r="EO322" s="136"/>
      <c r="EP322" s="136"/>
      <c r="EQ322" s="136"/>
      <c r="ER322" s="136"/>
      <c r="ES322" s="135"/>
      <c r="ET322" s="135"/>
      <c r="EU322" s="135"/>
      <c r="EV322" s="135"/>
      <c r="EW322" s="135"/>
      <c r="EX322" s="135"/>
      <c r="EY322" s="136"/>
      <c r="EZ322" s="136"/>
      <c r="FA322" s="161"/>
      <c r="FB322" s="161"/>
      <c r="FC322" s="161"/>
      <c r="FD322" s="161"/>
      <c r="FE322" s="161"/>
      <c r="FF322" s="161"/>
      <c r="FG322" s="135"/>
      <c r="FH322" s="135"/>
      <c r="FI322" s="135"/>
      <c r="FJ322" s="135"/>
      <c r="FK322" s="135"/>
      <c r="FL322" s="135"/>
      <c r="FM322" s="136"/>
      <c r="FN322" s="136"/>
      <c r="FO322" s="161"/>
      <c r="FP322" s="161"/>
      <c r="FQ322" s="161"/>
      <c r="FR322" s="161"/>
      <c r="FS322" s="161"/>
      <c r="FT322" s="161"/>
      <c r="FU322" s="135"/>
      <c r="FV322" s="135"/>
      <c r="FW322" s="135"/>
      <c r="FX322" s="135"/>
      <c r="FY322" s="135"/>
      <c r="FZ322" s="135"/>
      <c r="GA322" s="136"/>
      <c r="GB322" s="136"/>
      <c r="GC322" s="161"/>
      <c r="GD322" s="161"/>
      <c r="GE322" s="161"/>
      <c r="GF322" s="161"/>
      <c r="GG322" s="161"/>
      <c r="GH322" s="161"/>
      <c r="GI322" s="135"/>
      <c r="GJ322" s="135"/>
      <c r="GK322" s="135"/>
      <c r="GL322" s="135"/>
      <c r="GM322" s="135"/>
      <c r="GN322" s="135"/>
    </row>
    <row r="323" spans="1:196">
      <c r="A323" s="155"/>
      <c r="B323" s="126"/>
      <c r="C323" s="109"/>
      <c r="D323" s="119"/>
      <c r="E323" s="119"/>
      <c r="F323" s="107"/>
      <c r="G323" s="115"/>
      <c r="H323" s="6"/>
      <c r="I323" s="125"/>
      <c r="J323" s="13"/>
      <c r="K323" s="106"/>
      <c r="L323" s="161"/>
      <c r="M323" s="136"/>
      <c r="N323" s="136"/>
      <c r="O323" s="136"/>
      <c r="P323" s="136"/>
      <c r="Q323" s="136"/>
      <c r="R323" s="136"/>
      <c r="S323" s="161"/>
      <c r="T323" s="161"/>
      <c r="U323" s="161"/>
      <c r="V323" s="161"/>
      <c r="W323" s="135"/>
      <c r="X323" s="135"/>
      <c r="Y323" s="135"/>
      <c r="Z323" s="135"/>
      <c r="AA323" s="135"/>
      <c r="AB323" s="135"/>
      <c r="AC323" s="136"/>
      <c r="AD323" s="136"/>
      <c r="AE323" s="161"/>
      <c r="AF323" s="161"/>
      <c r="AG323" s="161"/>
      <c r="AH323" s="161"/>
      <c r="AI323" s="161"/>
      <c r="AJ323" s="161"/>
      <c r="AK323" s="135"/>
      <c r="AL323" s="135"/>
      <c r="AM323" s="135"/>
      <c r="AN323" s="135"/>
      <c r="AO323" s="135"/>
      <c r="AP323" s="135"/>
      <c r="AQ323" s="136"/>
      <c r="AR323" s="136"/>
      <c r="AS323" s="161"/>
      <c r="AT323" s="161"/>
      <c r="AU323" s="161"/>
      <c r="AV323" s="161"/>
      <c r="AW323" s="161"/>
      <c r="AX323" s="161"/>
      <c r="AY323" s="135"/>
      <c r="AZ323" s="135"/>
      <c r="BA323" s="135"/>
      <c r="BB323" s="135"/>
      <c r="BC323" s="135"/>
      <c r="BD323" s="135"/>
      <c r="BE323" s="136"/>
      <c r="BF323" s="136"/>
      <c r="BG323" s="161"/>
      <c r="BH323" s="161"/>
      <c r="BI323" s="161"/>
      <c r="BJ323" s="161"/>
      <c r="BK323" s="161"/>
      <c r="BL323" s="161"/>
      <c r="BM323" s="135"/>
      <c r="BN323" s="135"/>
      <c r="BO323" s="135"/>
      <c r="BP323" s="135"/>
      <c r="BQ323" s="135"/>
      <c r="BR323" s="135"/>
      <c r="BS323" s="136"/>
      <c r="BT323" s="136"/>
      <c r="BU323" s="161"/>
      <c r="BV323" s="161"/>
      <c r="BW323" s="161"/>
      <c r="BX323" s="161"/>
      <c r="BY323" s="161"/>
      <c r="BZ323" s="161"/>
      <c r="CA323" s="135"/>
      <c r="CB323" s="135"/>
      <c r="CC323" s="135"/>
      <c r="CD323" s="135"/>
      <c r="CE323" s="135"/>
      <c r="CF323" s="135"/>
      <c r="CG323" s="136"/>
      <c r="CH323" s="136"/>
      <c r="CI323" s="161"/>
      <c r="CJ323" s="161"/>
      <c r="CK323" s="161"/>
      <c r="CL323" s="161"/>
      <c r="CM323" s="161"/>
      <c r="CN323" s="161"/>
      <c r="CO323" s="135"/>
      <c r="CP323" s="135"/>
      <c r="CQ323" s="135"/>
      <c r="CR323" s="135"/>
      <c r="CS323" s="135"/>
      <c r="CT323" s="135"/>
      <c r="CU323" s="136"/>
      <c r="CV323" s="136"/>
      <c r="CW323" s="161"/>
      <c r="CX323" s="161"/>
      <c r="CY323" s="161"/>
      <c r="CZ323" s="161"/>
      <c r="DA323" s="161"/>
      <c r="DB323" s="161"/>
      <c r="DC323" s="135"/>
      <c r="DD323" s="135"/>
      <c r="DE323" s="135"/>
      <c r="DF323" s="135"/>
      <c r="DG323" s="135"/>
      <c r="DH323" s="135"/>
      <c r="DI323" s="136"/>
      <c r="DJ323" s="136"/>
      <c r="DK323" s="161"/>
      <c r="DL323" s="161"/>
      <c r="DM323" s="161"/>
      <c r="DN323" s="161"/>
      <c r="DO323" s="161"/>
      <c r="DP323" s="161"/>
      <c r="DQ323" s="135"/>
      <c r="DR323" s="135"/>
      <c r="DS323" s="135"/>
      <c r="DT323" s="135"/>
      <c r="DU323" s="135"/>
      <c r="DV323" s="135"/>
      <c r="DW323" s="136"/>
      <c r="DX323" s="136"/>
      <c r="DY323" s="161"/>
      <c r="DZ323" s="161"/>
      <c r="EA323" s="161"/>
      <c r="EB323" s="161"/>
      <c r="EC323" s="161"/>
      <c r="ED323" s="161"/>
      <c r="EE323" s="135"/>
      <c r="EF323" s="135"/>
      <c r="EG323" s="135"/>
      <c r="EH323" s="135"/>
      <c r="EI323" s="135"/>
      <c r="EJ323" s="135"/>
      <c r="EK323" s="136"/>
      <c r="EL323" s="136"/>
      <c r="EM323" s="136"/>
      <c r="EN323" s="136"/>
      <c r="EO323" s="136"/>
      <c r="EP323" s="136"/>
      <c r="EQ323" s="136"/>
      <c r="ER323" s="136"/>
      <c r="ES323" s="135"/>
      <c r="ET323" s="135"/>
      <c r="EU323" s="135"/>
      <c r="EV323" s="135"/>
      <c r="EW323" s="135"/>
      <c r="EX323" s="135"/>
      <c r="EY323" s="136"/>
      <c r="EZ323" s="136"/>
      <c r="FA323" s="161"/>
      <c r="FB323" s="161"/>
      <c r="FC323" s="161"/>
      <c r="FD323" s="161"/>
      <c r="FE323" s="161"/>
      <c r="FF323" s="161"/>
      <c r="FG323" s="135"/>
      <c r="FH323" s="135"/>
      <c r="FI323" s="135"/>
      <c r="FJ323" s="135"/>
      <c r="FK323" s="135"/>
      <c r="FL323" s="135"/>
      <c r="FM323" s="136"/>
      <c r="FN323" s="136"/>
      <c r="FO323" s="161"/>
      <c r="FP323" s="161"/>
      <c r="FQ323" s="161"/>
      <c r="FR323" s="161"/>
      <c r="FS323" s="161"/>
      <c r="FT323" s="161"/>
      <c r="FU323" s="135"/>
      <c r="FV323" s="135"/>
      <c r="FW323" s="135"/>
      <c r="FX323" s="135"/>
      <c r="FY323" s="135"/>
      <c r="FZ323" s="135"/>
      <c r="GA323" s="136"/>
      <c r="GB323" s="136"/>
      <c r="GC323" s="161"/>
      <c r="GD323" s="161"/>
      <c r="GE323" s="161"/>
      <c r="GF323" s="161"/>
      <c r="GG323" s="161"/>
      <c r="GH323" s="161"/>
      <c r="GI323" s="135"/>
      <c r="GJ323" s="135"/>
      <c r="GK323" s="135"/>
      <c r="GL323" s="135"/>
      <c r="GM323" s="135"/>
      <c r="GN323" s="135"/>
    </row>
    <row r="324" spans="1:196">
      <c r="A324" s="7"/>
      <c r="B324" s="7"/>
      <c r="C324" s="7"/>
      <c r="D324" s="7"/>
      <c r="E324" s="152"/>
      <c r="F324" s="7"/>
      <c r="G324" s="94"/>
      <c r="H324" s="10"/>
      <c r="I324" s="24"/>
      <c r="J324" s="7"/>
      <c r="K324" s="8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</row>
    <row r="325" spans="1:196" hidden="1">
      <c r="A325" s="154"/>
      <c r="B325" s="126" t="s">
        <v>739</v>
      </c>
      <c r="C325" s="109" t="s">
        <v>615</v>
      </c>
      <c r="D325" s="119"/>
      <c r="E325" s="119">
        <f>VLOOKUP(C325,'[2]AVTC 标准工时'!C:G,5,0)</f>
        <v>40</v>
      </c>
      <c r="F325" s="107">
        <v>46182</v>
      </c>
      <c r="G325" s="115">
        <v>1500</v>
      </c>
      <c r="H325" s="6"/>
      <c r="I325" s="125">
        <v>46179</v>
      </c>
      <c r="J325" s="13">
        <f t="shared" si="194"/>
        <v>0</v>
      </c>
      <c r="K325" s="141"/>
      <c r="L325" s="161">
        <v>1500</v>
      </c>
      <c r="M325" s="136"/>
      <c r="N325" s="136"/>
      <c r="O325" s="136"/>
      <c r="P325" s="136"/>
      <c r="Q325" s="136"/>
      <c r="R325" s="136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36"/>
      <c r="AD325" s="136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36"/>
      <c r="AR325" s="136"/>
      <c r="AS325" s="161"/>
      <c r="AT325" s="161"/>
      <c r="AU325" s="161"/>
      <c r="AV325" s="161"/>
      <c r="AW325" s="161"/>
      <c r="AX325" s="161"/>
      <c r="AY325" s="161"/>
      <c r="AZ325" s="161"/>
      <c r="BA325" s="161"/>
      <c r="BB325" s="161"/>
      <c r="BC325" s="161"/>
      <c r="BD325" s="161"/>
      <c r="BE325" s="136"/>
      <c r="BF325" s="136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36"/>
      <c r="BT325" s="136"/>
      <c r="BU325" s="161"/>
      <c r="BV325" s="161"/>
      <c r="BW325" s="161"/>
      <c r="BX325" s="161"/>
      <c r="BY325" s="161"/>
      <c r="BZ325" s="161"/>
      <c r="CA325" s="161"/>
      <c r="CB325" s="161"/>
      <c r="CC325" s="161"/>
      <c r="CD325" s="161"/>
      <c r="CE325" s="161"/>
      <c r="CF325" s="161"/>
      <c r="CG325" s="136"/>
      <c r="CH325" s="136"/>
      <c r="CI325" s="161"/>
      <c r="CJ325" s="161"/>
      <c r="CK325" s="161"/>
      <c r="CL325" s="161"/>
      <c r="CM325" s="161"/>
      <c r="CN325" s="161"/>
      <c r="CO325" s="161"/>
      <c r="CP325" s="161"/>
      <c r="CQ325" s="161"/>
      <c r="CR325" s="161"/>
      <c r="CS325" s="161"/>
      <c r="CT325" s="161"/>
      <c r="CU325" s="136"/>
      <c r="CV325" s="136"/>
      <c r="CW325" s="161"/>
      <c r="CX325" s="161"/>
      <c r="CY325" s="161"/>
      <c r="CZ325" s="161"/>
      <c r="DA325" s="161"/>
      <c r="DB325" s="161"/>
      <c r="DC325" s="161"/>
      <c r="DD325" s="161"/>
      <c r="DE325" s="161"/>
      <c r="DF325" s="161"/>
      <c r="DG325" s="161"/>
      <c r="DH325" s="161"/>
      <c r="DI325" s="136"/>
      <c r="DJ325" s="136"/>
      <c r="DK325" s="161"/>
      <c r="DL325" s="161"/>
      <c r="DM325" s="161"/>
      <c r="DN325" s="161"/>
      <c r="DO325" s="161"/>
      <c r="DP325" s="161"/>
      <c r="DQ325" s="161"/>
      <c r="DR325" s="161"/>
      <c r="DS325" s="161"/>
      <c r="DT325" s="161"/>
      <c r="DU325" s="161"/>
      <c r="DV325" s="161"/>
      <c r="DW325" s="136"/>
      <c r="DX325" s="136"/>
      <c r="DY325" s="161"/>
      <c r="DZ325" s="161"/>
      <c r="EA325" s="161"/>
      <c r="EB325" s="161"/>
      <c r="EC325" s="161"/>
      <c r="ED325" s="161"/>
      <c r="EE325" s="161"/>
      <c r="EF325" s="161"/>
      <c r="EG325" s="161"/>
      <c r="EH325" s="161"/>
      <c r="EI325" s="161"/>
      <c r="EJ325" s="161"/>
      <c r="EK325" s="136"/>
      <c r="EL325" s="136"/>
      <c r="EM325" s="136"/>
      <c r="EN325" s="136"/>
      <c r="EO325" s="136"/>
      <c r="EP325" s="136"/>
      <c r="EQ325" s="136"/>
      <c r="ER325" s="136"/>
      <c r="ES325" s="161"/>
      <c r="ET325" s="161"/>
      <c r="EU325" s="161"/>
      <c r="EV325" s="161"/>
      <c r="EW325" s="161"/>
      <c r="EX325" s="161"/>
      <c r="EY325" s="136"/>
      <c r="EZ325" s="136"/>
      <c r="FA325" s="161"/>
      <c r="FB325" s="161"/>
      <c r="FC325" s="161"/>
      <c r="FD325" s="161"/>
      <c r="FE325" s="161"/>
      <c r="FF325" s="161"/>
      <c r="FG325" s="161"/>
      <c r="FH325" s="161"/>
      <c r="FI325" s="161"/>
      <c r="FJ325" s="161"/>
      <c r="FK325" s="161"/>
      <c r="FL325" s="161"/>
      <c r="FM325" s="136"/>
      <c r="FN325" s="136"/>
      <c r="FO325" s="161"/>
      <c r="FP325" s="161"/>
      <c r="FQ325" s="161"/>
      <c r="FR325" s="161"/>
      <c r="FS325" s="161"/>
      <c r="FT325" s="161"/>
      <c r="FU325" s="161"/>
      <c r="FV325" s="161"/>
      <c r="FW325" s="161"/>
      <c r="FX325" s="161"/>
      <c r="FY325" s="161"/>
      <c r="FZ325" s="161"/>
      <c r="GA325" s="136"/>
      <c r="GB325" s="136"/>
      <c r="GC325" s="161"/>
      <c r="GD325" s="161"/>
      <c r="GE325" s="161"/>
      <c r="GF325" s="161"/>
      <c r="GG325" s="161"/>
      <c r="GH325" s="161"/>
      <c r="GI325" s="161"/>
      <c r="GJ325" s="161"/>
      <c r="GK325" s="161"/>
      <c r="GL325" s="161"/>
      <c r="GM325" s="161"/>
      <c r="GN325" s="161"/>
    </row>
    <row r="326" spans="1:196" hidden="1">
      <c r="A326" s="154"/>
      <c r="B326" s="126" t="s">
        <v>736</v>
      </c>
      <c r="C326" s="109" t="s">
        <v>679</v>
      </c>
      <c r="D326" s="119"/>
      <c r="E326" s="119" t="e">
        <f>VLOOKUP(C326,'[2]AVTC 标准工时'!C:G,5,0)</f>
        <v>#N/A</v>
      </c>
      <c r="F326" s="107">
        <v>46185</v>
      </c>
      <c r="G326" s="115">
        <v>2500</v>
      </c>
      <c r="H326" s="6"/>
      <c r="I326" s="125">
        <v>46186</v>
      </c>
      <c r="J326" s="13">
        <f t="shared" si="194"/>
        <v>0</v>
      </c>
      <c r="K326" s="177"/>
      <c r="L326" s="161">
        <v>2500</v>
      </c>
      <c r="M326" s="136"/>
      <c r="N326" s="136"/>
      <c r="O326" s="136"/>
      <c r="P326" s="136"/>
      <c r="Q326" s="136"/>
      <c r="R326" s="136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36"/>
      <c r="AD326" s="136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36"/>
      <c r="AR326" s="136"/>
      <c r="AS326" s="161"/>
      <c r="AT326" s="161"/>
      <c r="AU326" s="161"/>
      <c r="AV326" s="161"/>
      <c r="AW326" s="161"/>
      <c r="AX326" s="161"/>
      <c r="AY326" s="161"/>
      <c r="AZ326" s="161"/>
      <c r="BA326" s="161"/>
      <c r="BB326" s="161"/>
      <c r="BC326" s="161"/>
      <c r="BD326" s="161"/>
      <c r="BE326" s="136"/>
      <c r="BF326" s="136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36"/>
      <c r="BT326" s="136"/>
      <c r="BU326" s="161"/>
      <c r="BV326" s="161"/>
      <c r="BW326" s="161"/>
      <c r="BX326" s="161"/>
      <c r="BY326" s="161"/>
      <c r="BZ326" s="161"/>
      <c r="CA326" s="161"/>
      <c r="CB326" s="161"/>
      <c r="CC326" s="161"/>
      <c r="CD326" s="161"/>
      <c r="CE326" s="161"/>
      <c r="CF326" s="161"/>
      <c r="CG326" s="136"/>
      <c r="CH326" s="136"/>
      <c r="CI326" s="161"/>
      <c r="CJ326" s="161"/>
      <c r="CK326" s="161"/>
      <c r="CL326" s="161"/>
      <c r="CM326" s="161"/>
      <c r="CN326" s="161"/>
      <c r="CO326" s="161"/>
      <c r="CP326" s="161"/>
      <c r="CQ326" s="161"/>
      <c r="CR326" s="161"/>
      <c r="CS326" s="161"/>
      <c r="CT326" s="161"/>
      <c r="CU326" s="136"/>
      <c r="CV326" s="136"/>
      <c r="CW326" s="161"/>
      <c r="CX326" s="161"/>
      <c r="CY326" s="161"/>
      <c r="CZ326" s="161"/>
      <c r="DA326" s="161"/>
      <c r="DB326" s="161"/>
      <c r="DC326" s="161"/>
      <c r="DD326" s="161"/>
      <c r="DE326" s="161"/>
      <c r="DF326" s="161"/>
      <c r="DG326" s="161"/>
      <c r="DH326" s="161"/>
      <c r="DI326" s="136"/>
      <c r="DJ326" s="136"/>
      <c r="DK326" s="161"/>
      <c r="DL326" s="161"/>
      <c r="DM326" s="161"/>
      <c r="DN326" s="161"/>
      <c r="DO326" s="161"/>
      <c r="DP326" s="161"/>
      <c r="DQ326" s="161"/>
      <c r="DR326" s="161"/>
      <c r="DS326" s="161"/>
      <c r="DT326" s="161"/>
      <c r="DU326" s="161"/>
      <c r="DV326" s="161"/>
      <c r="DW326" s="136"/>
      <c r="DX326" s="136"/>
      <c r="DY326" s="161"/>
      <c r="DZ326" s="161"/>
      <c r="EA326" s="161"/>
      <c r="EB326" s="161"/>
      <c r="EC326" s="161"/>
      <c r="ED326" s="161"/>
      <c r="EE326" s="161"/>
      <c r="EF326" s="161"/>
      <c r="EG326" s="161"/>
      <c r="EH326" s="161"/>
      <c r="EI326" s="161"/>
      <c r="EJ326" s="161"/>
      <c r="EK326" s="136"/>
      <c r="EL326" s="136"/>
      <c r="EM326" s="136"/>
      <c r="EN326" s="136"/>
      <c r="EO326" s="136"/>
      <c r="EP326" s="136"/>
      <c r="EQ326" s="136"/>
      <c r="ER326" s="136"/>
      <c r="ES326" s="161"/>
      <c r="ET326" s="161"/>
      <c r="EU326" s="161"/>
      <c r="EV326" s="161"/>
      <c r="EW326" s="161"/>
      <c r="EX326" s="161"/>
      <c r="EY326" s="136"/>
      <c r="EZ326" s="136"/>
      <c r="FA326" s="161"/>
      <c r="FB326" s="161"/>
      <c r="FC326" s="161"/>
      <c r="FD326" s="161"/>
      <c r="FE326" s="161"/>
      <c r="FF326" s="161"/>
      <c r="FG326" s="161"/>
      <c r="FH326" s="161"/>
      <c r="FI326" s="161"/>
      <c r="FJ326" s="161"/>
      <c r="FK326" s="161"/>
      <c r="FL326" s="161"/>
      <c r="FM326" s="136"/>
      <c r="FN326" s="136"/>
      <c r="FO326" s="161"/>
      <c r="FP326" s="161"/>
      <c r="FQ326" s="161"/>
      <c r="FR326" s="161"/>
      <c r="FS326" s="161"/>
      <c r="FT326" s="161"/>
      <c r="FU326" s="161"/>
      <c r="FV326" s="161"/>
      <c r="FW326" s="161"/>
      <c r="FX326" s="161"/>
      <c r="FY326" s="161"/>
      <c r="FZ326" s="161"/>
      <c r="GA326" s="136"/>
      <c r="GB326" s="136"/>
      <c r="GC326" s="161"/>
      <c r="GD326" s="161"/>
      <c r="GE326" s="161"/>
      <c r="GF326" s="161"/>
      <c r="GG326" s="161"/>
      <c r="GH326" s="161"/>
      <c r="GI326" s="161"/>
      <c r="GJ326" s="161"/>
      <c r="GK326" s="161"/>
      <c r="GL326" s="161"/>
      <c r="GM326" s="161"/>
      <c r="GN326" s="161"/>
    </row>
    <row r="327" spans="1:196" ht="25.5" hidden="1" customHeight="1">
      <c r="A327" s="154"/>
      <c r="B327" s="126" t="s">
        <v>738</v>
      </c>
      <c r="C327" s="109" t="s">
        <v>679</v>
      </c>
      <c r="D327" s="119"/>
      <c r="E327" s="119" t="e">
        <f>VLOOKUP(C327,'[2]AVTC 标准工时'!C:G,5,0)</f>
        <v>#N/A</v>
      </c>
      <c r="F327" s="107">
        <v>46192</v>
      </c>
      <c r="G327" s="115">
        <v>1000</v>
      </c>
      <c r="H327" s="6"/>
      <c r="I327" s="125">
        <v>46193</v>
      </c>
      <c r="J327" s="13">
        <f t="shared" si="194"/>
        <v>0</v>
      </c>
      <c r="K327" s="177"/>
      <c r="L327" s="161">
        <v>1000</v>
      </c>
      <c r="M327" s="136"/>
      <c r="N327" s="136"/>
      <c r="O327" s="136"/>
      <c r="P327" s="136"/>
      <c r="Q327" s="136"/>
      <c r="R327" s="136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36"/>
      <c r="AD327" s="136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36"/>
      <c r="AR327" s="136"/>
      <c r="AS327" s="161"/>
      <c r="AT327" s="161"/>
      <c r="AU327" s="161"/>
      <c r="AV327" s="161"/>
      <c r="AW327" s="161"/>
      <c r="AX327" s="161"/>
      <c r="AY327" s="161"/>
      <c r="AZ327" s="161"/>
      <c r="BA327" s="161"/>
      <c r="BB327" s="161"/>
      <c r="BC327" s="161"/>
      <c r="BD327" s="161"/>
      <c r="BE327" s="136"/>
      <c r="BF327" s="136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36"/>
      <c r="BT327" s="136"/>
      <c r="BU327" s="161"/>
      <c r="BV327" s="161"/>
      <c r="BW327" s="161"/>
      <c r="BX327" s="161"/>
      <c r="BY327" s="161"/>
      <c r="BZ327" s="161"/>
      <c r="CA327" s="161"/>
      <c r="CB327" s="161"/>
      <c r="CC327" s="161"/>
      <c r="CD327" s="161"/>
      <c r="CE327" s="161"/>
      <c r="CF327" s="161"/>
      <c r="CG327" s="136"/>
      <c r="CH327" s="136"/>
      <c r="CI327" s="161"/>
      <c r="CJ327" s="161"/>
      <c r="CK327" s="161"/>
      <c r="CL327" s="161"/>
      <c r="CM327" s="161"/>
      <c r="CN327" s="161"/>
      <c r="CO327" s="161"/>
      <c r="CP327" s="161"/>
      <c r="CQ327" s="161"/>
      <c r="CR327" s="161"/>
      <c r="CS327" s="161"/>
      <c r="CT327" s="161"/>
      <c r="CU327" s="136"/>
      <c r="CV327" s="136"/>
      <c r="CW327" s="161"/>
      <c r="CX327" s="161"/>
      <c r="CY327" s="161"/>
      <c r="CZ327" s="161"/>
      <c r="DA327" s="161"/>
      <c r="DB327" s="161"/>
      <c r="DC327" s="161"/>
      <c r="DD327" s="161"/>
      <c r="DE327" s="161"/>
      <c r="DF327" s="161"/>
      <c r="DG327" s="161"/>
      <c r="DH327" s="161"/>
      <c r="DI327" s="136"/>
      <c r="DJ327" s="136"/>
      <c r="DK327" s="161"/>
      <c r="DL327" s="161"/>
      <c r="DM327" s="161"/>
      <c r="DN327" s="161"/>
      <c r="DO327" s="161"/>
      <c r="DP327" s="161"/>
      <c r="DQ327" s="161"/>
      <c r="DR327" s="161"/>
      <c r="DS327" s="161"/>
      <c r="DT327" s="161"/>
      <c r="DU327" s="161"/>
      <c r="DV327" s="161"/>
      <c r="DW327" s="136"/>
      <c r="DX327" s="136"/>
      <c r="DY327" s="161"/>
      <c r="DZ327" s="161"/>
      <c r="EA327" s="161"/>
      <c r="EB327" s="161"/>
      <c r="EC327" s="161"/>
      <c r="ED327" s="161"/>
      <c r="EE327" s="161"/>
      <c r="EF327" s="161"/>
      <c r="EG327" s="161"/>
      <c r="EH327" s="161"/>
      <c r="EI327" s="161"/>
      <c r="EJ327" s="161"/>
      <c r="EK327" s="136"/>
      <c r="EL327" s="136"/>
      <c r="EM327" s="136"/>
      <c r="EN327" s="136"/>
      <c r="EO327" s="136"/>
      <c r="EP327" s="136"/>
      <c r="EQ327" s="136"/>
      <c r="ER327" s="136"/>
      <c r="ES327" s="161"/>
      <c r="ET327" s="161"/>
      <c r="EU327" s="161"/>
      <c r="EV327" s="161"/>
      <c r="EW327" s="161"/>
      <c r="EX327" s="161"/>
      <c r="EY327" s="136"/>
      <c r="EZ327" s="136"/>
      <c r="FA327" s="161"/>
      <c r="FB327" s="161"/>
      <c r="FC327" s="161"/>
      <c r="FD327" s="161"/>
      <c r="FE327" s="161"/>
      <c r="FF327" s="161"/>
      <c r="FG327" s="161"/>
      <c r="FH327" s="161"/>
      <c r="FI327" s="161"/>
      <c r="FJ327" s="161"/>
      <c r="FK327" s="161"/>
      <c r="FL327" s="161"/>
      <c r="FM327" s="136"/>
      <c r="FN327" s="136"/>
      <c r="FO327" s="161"/>
      <c r="FP327" s="161"/>
      <c r="FQ327" s="161"/>
      <c r="FR327" s="161"/>
      <c r="FS327" s="161"/>
      <c r="FT327" s="161"/>
      <c r="FU327" s="161"/>
      <c r="FV327" s="161"/>
      <c r="FW327" s="161"/>
      <c r="FX327" s="161"/>
      <c r="FY327" s="161"/>
      <c r="FZ327" s="161"/>
      <c r="GA327" s="136"/>
      <c r="GB327" s="136"/>
      <c r="GC327" s="161"/>
      <c r="GD327" s="161"/>
      <c r="GE327" s="161"/>
      <c r="GF327" s="161"/>
      <c r="GG327" s="161"/>
      <c r="GH327" s="161"/>
      <c r="GI327" s="161"/>
      <c r="GJ327" s="161"/>
      <c r="GK327" s="161"/>
      <c r="GL327" s="161"/>
      <c r="GM327" s="161"/>
      <c r="GN327" s="161"/>
    </row>
    <row r="328" spans="1:196" ht="25.5" hidden="1" customHeight="1">
      <c r="A328" s="154"/>
      <c r="B328" s="126" t="s">
        <v>891</v>
      </c>
      <c r="C328" s="109" t="s">
        <v>885</v>
      </c>
      <c r="D328" s="119"/>
      <c r="E328" s="119" t="e">
        <f>VLOOKUP(C328,'[2]AVTC 标准工时'!C:G,5,0)</f>
        <v>#N/A</v>
      </c>
      <c r="F328" s="6">
        <v>46195</v>
      </c>
      <c r="G328" s="115">
        <v>1000</v>
      </c>
      <c r="H328" s="6"/>
      <c r="I328" s="125">
        <v>46193</v>
      </c>
      <c r="J328" s="13">
        <f t="shared" si="194"/>
        <v>0</v>
      </c>
      <c r="K328" s="177"/>
      <c r="L328" s="161">
        <v>1000</v>
      </c>
      <c r="M328" s="136"/>
      <c r="N328" s="136"/>
      <c r="O328" s="136"/>
      <c r="P328" s="136"/>
      <c r="Q328" s="136"/>
      <c r="R328" s="136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36"/>
      <c r="AD328" s="136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36"/>
      <c r="AR328" s="136"/>
      <c r="AS328" s="161"/>
      <c r="AT328" s="161"/>
      <c r="AU328" s="161"/>
      <c r="AV328" s="161"/>
      <c r="AW328" s="161"/>
      <c r="AX328" s="161"/>
      <c r="AY328" s="161"/>
      <c r="AZ328" s="161"/>
      <c r="BA328" s="161"/>
      <c r="BB328" s="161"/>
      <c r="BC328" s="161"/>
      <c r="BD328" s="161"/>
      <c r="BE328" s="136"/>
      <c r="BF328" s="136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36"/>
      <c r="BT328" s="136"/>
      <c r="BU328" s="161"/>
      <c r="BV328" s="161"/>
      <c r="BW328" s="161"/>
      <c r="BX328" s="161"/>
      <c r="BY328" s="161"/>
      <c r="BZ328" s="161"/>
      <c r="CA328" s="161"/>
      <c r="CB328" s="161"/>
      <c r="CC328" s="161"/>
      <c r="CD328" s="161"/>
      <c r="CE328" s="161"/>
      <c r="CF328" s="161"/>
      <c r="CG328" s="136"/>
      <c r="CH328" s="136"/>
      <c r="CI328" s="161"/>
      <c r="CJ328" s="161"/>
      <c r="CK328" s="161"/>
      <c r="CL328" s="161"/>
      <c r="CM328" s="161"/>
      <c r="CN328" s="161"/>
      <c r="CO328" s="161"/>
      <c r="CP328" s="161"/>
      <c r="CQ328" s="161"/>
      <c r="CR328" s="161"/>
      <c r="CS328" s="161"/>
      <c r="CT328" s="161"/>
      <c r="CU328" s="136"/>
      <c r="CV328" s="136"/>
      <c r="CW328" s="161"/>
      <c r="CX328" s="161"/>
      <c r="CY328" s="161"/>
      <c r="CZ328" s="161"/>
      <c r="DA328" s="161"/>
      <c r="DB328" s="161"/>
      <c r="DC328" s="161"/>
      <c r="DD328" s="161"/>
      <c r="DE328" s="161"/>
      <c r="DF328" s="161"/>
      <c r="DG328" s="161"/>
      <c r="DH328" s="161"/>
      <c r="DI328" s="136"/>
      <c r="DJ328" s="136"/>
      <c r="DK328" s="161"/>
      <c r="DL328" s="161"/>
      <c r="DM328" s="161"/>
      <c r="DN328" s="161"/>
      <c r="DO328" s="161"/>
      <c r="DP328" s="161"/>
      <c r="DQ328" s="161"/>
      <c r="DR328" s="161"/>
      <c r="DS328" s="161"/>
      <c r="DT328" s="161"/>
      <c r="DU328" s="161"/>
      <c r="DV328" s="161"/>
      <c r="DW328" s="136"/>
      <c r="DX328" s="136"/>
      <c r="DY328" s="161"/>
      <c r="DZ328" s="161"/>
      <c r="EA328" s="161"/>
      <c r="EB328" s="161"/>
      <c r="EC328" s="161"/>
      <c r="ED328" s="161"/>
      <c r="EE328" s="161"/>
      <c r="EF328" s="161"/>
      <c r="EG328" s="161"/>
      <c r="EH328" s="161"/>
      <c r="EI328" s="161"/>
      <c r="EJ328" s="161"/>
      <c r="EK328" s="136"/>
      <c r="EL328" s="136"/>
      <c r="EM328" s="136"/>
      <c r="EN328" s="136"/>
      <c r="EO328" s="136"/>
      <c r="EP328" s="136"/>
      <c r="EQ328" s="136"/>
      <c r="ER328" s="136"/>
      <c r="ES328" s="161"/>
      <c r="ET328" s="161"/>
      <c r="EU328" s="161"/>
      <c r="EV328" s="161"/>
      <c r="EW328" s="161"/>
      <c r="EX328" s="161"/>
      <c r="EY328" s="136"/>
      <c r="EZ328" s="136"/>
      <c r="FA328" s="161"/>
      <c r="FB328" s="161"/>
      <c r="FC328" s="161"/>
      <c r="FD328" s="161"/>
      <c r="FE328" s="161"/>
      <c r="FF328" s="161"/>
      <c r="FG328" s="161"/>
      <c r="FH328" s="161"/>
      <c r="FI328" s="161"/>
      <c r="FJ328" s="161"/>
      <c r="FK328" s="161"/>
      <c r="FL328" s="161"/>
      <c r="FM328" s="136"/>
      <c r="FN328" s="136"/>
      <c r="FO328" s="161"/>
      <c r="FP328" s="161"/>
      <c r="FQ328" s="161"/>
      <c r="FR328" s="161"/>
      <c r="FS328" s="161"/>
      <c r="FT328" s="161"/>
      <c r="FU328" s="161"/>
      <c r="FV328" s="161"/>
      <c r="FW328" s="161"/>
      <c r="FX328" s="161"/>
      <c r="FY328" s="161"/>
      <c r="FZ328" s="161"/>
      <c r="GA328" s="136"/>
      <c r="GB328" s="136"/>
      <c r="GC328" s="161"/>
      <c r="GD328" s="161"/>
      <c r="GE328" s="161"/>
      <c r="GF328" s="161"/>
      <c r="GG328" s="161"/>
      <c r="GH328" s="161"/>
      <c r="GI328" s="161"/>
      <c r="GJ328" s="161"/>
      <c r="GK328" s="161"/>
      <c r="GL328" s="161"/>
      <c r="GM328" s="161"/>
      <c r="GN328" s="161"/>
    </row>
    <row r="329" spans="1:196" ht="25.5" hidden="1" customHeight="1">
      <c r="A329" s="154"/>
      <c r="B329" s="137" t="s">
        <v>938</v>
      </c>
      <c r="C329" s="12" t="s">
        <v>616</v>
      </c>
      <c r="D329" s="119"/>
      <c r="E329" s="119"/>
      <c r="F329" s="182">
        <v>46202</v>
      </c>
      <c r="G329" s="95">
        <v>5</v>
      </c>
      <c r="H329" s="133"/>
      <c r="I329" s="108">
        <v>46193</v>
      </c>
      <c r="J329" s="134">
        <f t="shared" si="194"/>
        <v>0</v>
      </c>
      <c r="K329" s="175" t="s">
        <v>894</v>
      </c>
      <c r="L329" s="161"/>
      <c r="M329" s="136"/>
      <c r="N329" s="136"/>
      <c r="O329" s="136"/>
      <c r="P329" s="136"/>
      <c r="Q329" s="136"/>
      <c r="R329" s="136"/>
      <c r="S329" s="161">
        <v>5</v>
      </c>
      <c r="T329" s="161"/>
      <c r="U329" s="161"/>
      <c r="V329" s="161"/>
      <c r="W329" s="161"/>
      <c r="X329" s="161"/>
      <c r="Y329" s="161"/>
      <c r="Z329" s="161"/>
      <c r="AA329" s="161"/>
      <c r="AB329" s="161"/>
      <c r="AC329" s="136"/>
      <c r="AD329" s="136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36"/>
      <c r="AR329" s="136"/>
      <c r="AS329" s="161"/>
      <c r="AT329" s="161"/>
      <c r="AU329" s="161"/>
      <c r="AV329" s="161"/>
      <c r="AW329" s="161"/>
      <c r="AX329" s="161"/>
      <c r="AY329" s="161"/>
      <c r="AZ329" s="161"/>
      <c r="BA329" s="161"/>
      <c r="BB329" s="161"/>
      <c r="BC329" s="161"/>
      <c r="BD329" s="161"/>
      <c r="BE329" s="136"/>
      <c r="BF329" s="136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36"/>
      <c r="BT329" s="136"/>
      <c r="BU329" s="161"/>
      <c r="BV329" s="161"/>
      <c r="BW329" s="161"/>
      <c r="BX329" s="161"/>
      <c r="BY329" s="161"/>
      <c r="BZ329" s="161"/>
      <c r="CA329" s="161"/>
      <c r="CB329" s="161"/>
      <c r="CC329" s="161"/>
      <c r="CD329" s="161"/>
      <c r="CE329" s="161"/>
      <c r="CF329" s="161"/>
      <c r="CG329" s="136"/>
      <c r="CH329" s="136"/>
      <c r="CI329" s="161"/>
      <c r="CJ329" s="161"/>
      <c r="CK329" s="161"/>
      <c r="CL329" s="161"/>
      <c r="CM329" s="161"/>
      <c r="CN329" s="161"/>
      <c r="CO329" s="161"/>
      <c r="CP329" s="161"/>
      <c r="CQ329" s="161"/>
      <c r="CR329" s="161"/>
      <c r="CS329" s="161"/>
      <c r="CT329" s="161"/>
      <c r="CU329" s="136"/>
      <c r="CV329" s="136"/>
      <c r="CW329" s="161"/>
      <c r="CX329" s="161"/>
      <c r="CY329" s="161"/>
      <c r="CZ329" s="161"/>
      <c r="DA329" s="161"/>
      <c r="DB329" s="161"/>
      <c r="DC329" s="161"/>
      <c r="DD329" s="161"/>
      <c r="DE329" s="161"/>
      <c r="DF329" s="161"/>
      <c r="DG329" s="161"/>
      <c r="DH329" s="161"/>
      <c r="DI329" s="136"/>
      <c r="DJ329" s="136"/>
      <c r="DK329" s="161"/>
      <c r="DL329" s="161"/>
      <c r="DM329" s="161"/>
      <c r="DN329" s="161"/>
      <c r="DO329" s="161"/>
      <c r="DP329" s="161"/>
      <c r="DQ329" s="161"/>
      <c r="DR329" s="161"/>
      <c r="DS329" s="161"/>
      <c r="DT329" s="161"/>
      <c r="DU329" s="161"/>
      <c r="DV329" s="161"/>
      <c r="DW329" s="136"/>
      <c r="DX329" s="136"/>
      <c r="DY329" s="161"/>
      <c r="DZ329" s="161"/>
      <c r="EA329" s="161"/>
      <c r="EB329" s="161"/>
      <c r="EC329" s="161"/>
      <c r="ED329" s="161"/>
      <c r="EE329" s="161"/>
      <c r="EF329" s="161"/>
      <c r="EG329" s="161"/>
      <c r="EH329" s="161"/>
      <c r="EI329" s="161"/>
      <c r="EJ329" s="161"/>
      <c r="EK329" s="136"/>
      <c r="EL329" s="136"/>
      <c r="EM329" s="136"/>
      <c r="EN329" s="136"/>
      <c r="EO329" s="136"/>
      <c r="EP329" s="136"/>
      <c r="EQ329" s="136"/>
      <c r="ER329" s="136"/>
      <c r="ES329" s="161"/>
      <c r="ET329" s="161"/>
      <c r="EU329" s="161"/>
      <c r="EV329" s="161"/>
      <c r="EW329" s="161"/>
      <c r="EX329" s="161"/>
      <c r="EY329" s="136"/>
      <c r="EZ329" s="136"/>
      <c r="FA329" s="161"/>
      <c r="FB329" s="161"/>
      <c r="FC329" s="161"/>
      <c r="FD329" s="161"/>
      <c r="FE329" s="161"/>
      <c r="FF329" s="161"/>
      <c r="FG329" s="161"/>
      <c r="FH329" s="161"/>
      <c r="FI329" s="161"/>
      <c r="FJ329" s="161"/>
      <c r="FK329" s="161"/>
      <c r="FL329" s="161"/>
      <c r="FM329" s="136"/>
      <c r="FN329" s="136"/>
      <c r="FO329" s="161"/>
      <c r="FP329" s="161"/>
      <c r="FQ329" s="161"/>
      <c r="FR329" s="161"/>
      <c r="FS329" s="161"/>
      <c r="FT329" s="161"/>
      <c r="FU329" s="161"/>
      <c r="FV329" s="161"/>
      <c r="FW329" s="161"/>
      <c r="FX329" s="161"/>
      <c r="FY329" s="161"/>
      <c r="FZ329" s="161"/>
      <c r="GA329" s="136"/>
      <c r="GB329" s="136"/>
      <c r="GC329" s="161"/>
      <c r="GD329" s="161"/>
      <c r="GE329" s="161"/>
      <c r="GF329" s="161"/>
      <c r="GG329" s="161"/>
      <c r="GH329" s="161"/>
      <c r="GI329" s="161"/>
      <c r="GJ329" s="161"/>
      <c r="GK329" s="161"/>
      <c r="GL329" s="161"/>
      <c r="GM329" s="161"/>
      <c r="GN329" s="161"/>
    </row>
    <row r="330" spans="1:196" ht="17" hidden="1" customHeight="1">
      <c r="A330" s="154"/>
      <c r="B330" s="137" t="s">
        <v>883</v>
      </c>
      <c r="C330" s="12" t="s">
        <v>616</v>
      </c>
      <c r="D330" s="119"/>
      <c r="E330" s="119"/>
      <c r="F330" s="182">
        <v>46202</v>
      </c>
      <c r="G330" s="95">
        <v>5</v>
      </c>
      <c r="H330" s="133"/>
      <c r="I330" s="108">
        <v>46193</v>
      </c>
      <c r="J330" s="134">
        <f t="shared" si="194"/>
        <v>0</v>
      </c>
      <c r="K330" s="175" t="s">
        <v>894</v>
      </c>
      <c r="L330" s="161"/>
      <c r="M330" s="136"/>
      <c r="N330" s="136"/>
      <c r="O330" s="136"/>
      <c r="P330" s="136"/>
      <c r="Q330" s="136"/>
      <c r="R330" s="136"/>
      <c r="S330" s="161"/>
      <c r="T330" s="161"/>
      <c r="U330" s="161">
        <v>5</v>
      </c>
      <c r="V330" s="161"/>
      <c r="W330" s="180"/>
      <c r="X330" s="161"/>
      <c r="Y330" s="161"/>
      <c r="Z330" s="161"/>
      <c r="AA330" s="161"/>
      <c r="AB330" s="161"/>
      <c r="AC330" s="136"/>
      <c r="AD330" s="136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36"/>
      <c r="AR330" s="136"/>
      <c r="AS330" s="161"/>
      <c r="AT330" s="161"/>
      <c r="AU330" s="161"/>
      <c r="AV330" s="161"/>
      <c r="AW330" s="161"/>
      <c r="AX330" s="161"/>
      <c r="AY330" s="161"/>
      <c r="AZ330" s="161"/>
      <c r="BA330" s="161"/>
      <c r="BB330" s="161"/>
      <c r="BC330" s="161"/>
      <c r="BD330" s="161"/>
      <c r="BE330" s="136"/>
      <c r="BF330" s="136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36"/>
      <c r="BT330" s="136"/>
      <c r="BU330" s="161"/>
      <c r="BV330" s="161"/>
      <c r="BW330" s="161"/>
      <c r="BX330" s="161"/>
      <c r="BY330" s="161"/>
      <c r="BZ330" s="161"/>
      <c r="CA330" s="161"/>
      <c r="CB330" s="161"/>
      <c r="CC330" s="161"/>
      <c r="CD330" s="161"/>
      <c r="CE330" s="161"/>
      <c r="CF330" s="161"/>
      <c r="CG330" s="136"/>
      <c r="CH330" s="136"/>
      <c r="CI330" s="161"/>
      <c r="CJ330" s="161"/>
      <c r="CK330" s="161"/>
      <c r="CL330" s="161"/>
      <c r="CM330" s="161"/>
      <c r="CN330" s="161"/>
      <c r="CO330" s="161"/>
      <c r="CP330" s="161"/>
      <c r="CQ330" s="161"/>
      <c r="CR330" s="161"/>
      <c r="CS330" s="161"/>
      <c r="CT330" s="161"/>
      <c r="CU330" s="136"/>
      <c r="CV330" s="136"/>
      <c r="CW330" s="161"/>
      <c r="CX330" s="161"/>
      <c r="CY330" s="161"/>
      <c r="CZ330" s="161"/>
      <c r="DA330" s="161"/>
      <c r="DB330" s="161"/>
      <c r="DC330" s="161"/>
      <c r="DD330" s="161"/>
      <c r="DE330" s="161"/>
      <c r="DF330" s="161"/>
      <c r="DG330" s="161"/>
      <c r="DH330" s="161"/>
      <c r="DI330" s="136"/>
      <c r="DJ330" s="136"/>
      <c r="DK330" s="161"/>
      <c r="DL330" s="161"/>
      <c r="DM330" s="161"/>
      <c r="DN330" s="161"/>
      <c r="DO330" s="161"/>
      <c r="DP330" s="161"/>
      <c r="DQ330" s="161"/>
      <c r="DR330" s="161"/>
      <c r="DS330" s="161"/>
      <c r="DT330" s="161"/>
      <c r="DU330" s="161"/>
      <c r="DV330" s="161"/>
      <c r="DW330" s="136"/>
      <c r="DX330" s="136"/>
      <c r="DY330" s="161"/>
      <c r="DZ330" s="161"/>
      <c r="EA330" s="161"/>
      <c r="EB330" s="161"/>
      <c r="EC330" s="161"/>
      <c r="ED330" s="161"/>
      <c r="EE330" s="161"/>
      <c r="EF330" s="161"/>
      <c r="EG330" s="161"/>
      <c r="EH330" s="161"/>
      <c r="EI330" s="161"/>
      <c r="EJ330" s="161"/>
      <c r="EK330" s="136"/>
      <c r="EL330" s="136"/>
      <c r="EM330" s="136"/>
      <c r="EN330" s="136"/>
      <c r="EO330" s="136"/>
      <c r="EP330" s="136"/>
      <c r="EQ330" s="136"/>
      <c r="ER330" s="136"/>
      <c r="ES330" s="161"/>
      <c r="ET330" s="161"/>
      <c r="EU330" s="161"/>
      <c r="EV330" s="161"/>
      <c r="EW330" s="161"/>
      <c r="EX330" s="161"/>
      <c r="EY330" s="136"/>
      <c r="EZ330" s="136"/>
      <c r="FA330" s="161"/>
      <c r="FB330" s="161"/>
      <c r="FC330" s="161"/>
      <c r="FD330" s="161"/>
      <c r="FE330" s="161"/>
      <c r="FF330" s="161"/>
      <c r="FG330" s="161"/>
      <c r="FH330" s="161"/>
      <c r="FI330" s="161"/>
      <c r="FJ330" s="161"/>
      <c r="FK330" s="161"/>
      <c r="FL330" s="161"/>
      <c r="FM330" s="136"/>
      <c r="FN330" s="136"/>
      <c r="FO330" s="161"/>
      <c r="FP330" s="161"/>
      <c r="FQ330" s="161"/>
      <c r="FR330" s="161"/>
      <c r="FS330" s="161"/>
      <c r="FT330" s="161"/>
      <c r="FU330" s="161"/>
      <c r="FV330" s="161"/>
      <c r="FW330" s="161"/>
      <c r="FX330" s="161"/>
      <c r="FY330" s="161"/>
      <c r="FZ330" s="161"/>
      <c r="GA330" s="136"/>
      <c r="GB330" s="136"/>
      <c r="GC330" s="161"/>
      <c r="GD330" s="161"/>
      <c r="GE330" s="161"/>
      <c r="GF330" s="161"/>
      <c r="GG330" s="161"/>
      <c r="GH330" s="161"/>
      <c r="GI330" s="161"/>
      <c r="GJ330" s="161"/>
      <c r="GK330" s="161"/>
      <c r="GL330" s="161"/>
      <c r="GM330" s="161"/>
      <c r="GN330" s="161"/>
    </row>
    <row r="331" spans="1:196" hidden="1">
      <c r="A331" s="154"/>
      <c r="B331" s="137" t="s">
        <v>788</v>
      </c>
      <c r="C331" s="12" t="s">
        <v>616</v>
      </c>
      <c r="D331" s="119"/>
      <c r="E331" s="119"/>
      <c r="F331" s="182">
        <v>46203</v>
      </c>
      <c r="G331" s="95">
        <v>166</v>
      </c>
      <c r="H331" s="133"/>
      <c r="I331" s="108">
        <v>46200</v>
      </c>
      <c r="J331" s="134">
        <f t="shared" si="194"/>
        <v>0</v>
      </c>
      <c r="K331" s="181" t="s">
        <v>981</v>
      </c>
      <c r="L331" s="161"/>
      <c r="M331" s="136"/>
      <c r="N331" s="136"/>
      <c r="O331" s="136"/>
      <c r="P331" s="136"/>
      <c r="Q331" s="136"/>
      <c r="R331" s="136"/>
      <c r="S331" s="161"/>
      <c r="T331" s="161"/>
      <c r="U331" s="161"/>
      <c r="V331" s="161"/>
      <c r="W331" s="161"/>
      <c r="X331" s="161"/>
      <c r="Y331" s="161">
        <v>166</v>
      </c>
      <c r="Z331" s="161"/>
      <c r="AA331" s="161"/>
      <c r="AB331" s="161"/>
      <c r="AC331" s="136"/>
      <c r="AD331" s="136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36"/>
      <c r="AR331" s="136"/>
      <c r="AS331" s="161"/>
      <c r="AT331" s="161"/>
      <c r="AU331" s="161"/>
      <c r="AV331" s="161"/>
      <c r="AW331" s="161"/>
      <c r="AX331" s="161"/>
      <c r="AY331" s="161"/>
      <c r="AZ331" s="161"/>
      <c r="BA331" s="161"/>
      <c r="BB331" s="161"/>
      <c r="BC331" s="161"/>
      <c r="BD331" s="161"/>
      <c r="BE331" s="136"/>
      <c r="BF331" s="136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36"/>
      <c r="BT331" s="136"/>
      <c r="BU331" s="161"/>
      <c r="BV331" s="161"/>
      <c r="BW331" s="161"/>
      <c r="BX331" s="161"/>
      <c r="BY331" s="161"/>
      <c r="BZ331" s="161"/>
      <c r="CA331" s="161"/>
      <c r="CB331" s="161"/>
      <c r="CC331" s="161"/>
      <c r="CD331" s="161"/>
      <c r="CE331" s="161"/>
      <c r="CF331" s="161"/>
      <c r="CG331" s="136"/>
      <c r="CH331" s="136"/>
      <c r="CI331" s="161"/>
      <c r="CJ331" s="161"/>
      <c r="CK331" s="161"/>
      <c r="CL331" s="161"/>
      <c r="CM331" s="161"/>
      <c r="CN331" s="161"/>
      <c r="CO331" s="161"/>
      <c r="CP331" s="161"/>
      <c r="CQ331" s="161"/>
      <c r="CR331" s="161"/>
      <c r="CS331" s="161"/>
      <c r="CT331" s="161"/>
      <c r="CU331" s="136"/>
      <c r="CV331" s="136"/>
      <c r="CW331" s="161"/>
      <c r="CX331" s="161"/>
      <c r="CY331" s="161"/>
      <c r="CZ331" s="161"/>
      <c r="DA331" s="161"/>
      <c r="DB331" s="161"/>
      <c r="DC331" s="161"/>
      <c r="DD331" s="161"/>
      <c r="DE331" s="161"/>
      <c r="DF331" s="161"/>
      <c r="DG331" s="161"/>
      <c r="DH331" s="161"/>
      <c r="DI331" s="136"/>
      <c r="DJ331" s="136"/>
      <c r="DK331" s="161"/>
      <c r="DL331" s="161"/>
      <c r="DM331" s="161"/>
      <c r="DN331" s="161"/>
      <c r="DO331" s="161"/>
      <c r="DP331" s="161"/>
      <c r="DQ331" s="161"/>
      <c r="DR331" s="161"/>
      <c r="DS331" s="161"/>
      <c r="DT331" s="161"/>
      <c r="DU331" s="161"/>
      <c r="DV331" s="161"/>
      <c r="DW331" s="136"/>
      <c r="DX331" s="136"/>
      <c r="DY331" s="161"/>
      <c r="DZ331" s="161"/>
      <c r="EA331" s="161"/>
      <c r="EB331" s="161"/>
      <c r="EC331" s="161"/>
      <c r="ED331" s="161"/>
      <c r="EE331" s="161"/>
      <c r="EF331" s="161"/>
      <c r="EG331" s="161"/>
      <c r="EH331" s="161"/>
      <c r="EI331" s="161"/>
      <c r="EJ331" s="161"/>
      <c r="EK331" s="136"/>
      <c r="EL331" s="136"/>
      <c r="EM331" s="136"/>
      <c r="EN331" s="136"/>
      <c r="EO331" s="136"/>
      <c r="EP331" s="136"/>
      <c r="EQ331" s="136"/>
      <c r="ER331" s="136"/>
      <c r="ES331" s="161"/>
      <c r="ET331" s="161"/>
      <c r="EU331" s="161"/>
      <c r="EV331" s="161"/>
      <c r="EW331" s="161"/>
      <c r="EX331" s="161"/>
      <c r="EY331" s="136"/>
      <c r="EZ331" s="136"/>
      <c r="FA331" s="161"/>
      <c r="FB331" s="161"/>
      <c r="FC331" s="161"/>
      <c r="FD331" s="161"/>
      <c r="FE331" s="161"/>
      <c r="FF331" s="161"/>
      <c r="FG331" s="161"/>
      <c r="FH331" s="161"/>
      <c r="FI331" s="161"/>
      <c r="FJ331" s="161"/>
      <c r="FK331" s="161"/>
      <c r="FL331" s="161"/>
      <c r="FM331" s="136"/>
      <c r="FN331" s="136"/>
      <c r="FO331" s="161"/>
      <c r="FP331" s="161"/>
      <c r="FQ331" s="161"/>
      <c r="FR331" s="161"/>
      <c r="FS331" s="161"/>
      <c r="FT331" s="161"/>
      <c r="FU331" s="161"/>
      <c r="FV331" s="161"/>
      <c r="FW331" s="161"/>
      <c r="FX331" s="161"/>
      <c r="FY331" s="161"/>
      <c r="FZ331" s="161"/>
      <c r="GA331" s="136"/>
      <c r="GB331" s="136"/>
      <c r="GC331" s="161"/>
      <c r="GD331" s="161"/>
      <c r="GE331" s="161"/>
      <c r="GF331" s="161"/>
      <c r="GG331" s="161"/>
      <c r="GH331" s="161"/>
      <c r="GI331" s="161"/>
      <c r="GJ331" s="161"/>
      <c r="GK331" s="161"/>
      <c r="GL331" s="161"/>
      <c r="GM331" s="161"/>
      <c r="GN331" s="161"/>
    </row>
    <row r="332" spans="1:196" hidden="1">
      <c r="A332" s="154"/>
      <c r="B332" s="137" t="s">
        <v>979</v>
      </c>
      <c r="C332" s="12" t="s">
        <v>616</v>
      </c>
      <c r="D332" s="119"/>
      <c r="E332" s="119"/>
      <c r="F332" s="182">
        <v>46203</v>
      </c>
      <c r="G332" s="95">
        <v>334</v>
      </c>
      <c r="H332" s="133"/>
      <c r="I332" s="108">
        <v>46200</v>
      </c>
      <c r="J332" s="134">
        <f t="shared" si="194"/>
        <v>0</v>
      </c>
      <c r="K332" s="181" t="s">
        <v>990</v>
      </c>
      <c r="L332" s="161"/>
      <c r="M332" s="136"/>
      <c r="N332" s="136"/>
      <c r="O332" s="136"/>
      <c r="P332" s="136"/>
      <c r="Q332" s="136"/>
      <c r="R332" s="136"/>
      <c r="S332" s="161"/>
      <c r="T332" s="161"/>
      <c r="U332" s="161"/>
      <c r="V332" s="161"/>
      <c r="W332" s="161"/>
      <c r="X332" s="161"/>
      <c r="Y332" s="161">
        <v>206</v>
      </c>
      <c r="Z332" s="161"/>
      <c r="AA332" s="161">
        <v>128</v>
      </c>
      <c r="AB332" s="161"/>
      <c r="AC332" s="136"/>
      <c r="AD332" s="136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36"/>
      <c r="AR332" s="136"/>
      <c r="AS332" s="161"/>
      <c r="AT332" s="161"/>
      <c r="AU332" s="161"/>
      <c r="AV332" s="161"/>
      <c r="AW332" s="161"/>
      <c r="AX332" s="161"/>
      <c r="AY332" s="161"/>
      <c r="AZ332" s="161"/>
      <c r="BA332" s="161"/>
      <c r="BB332" s="161"/>
      <c r="BC332" s="161"/>
      <c r="BD332" s="161"/>
      <c r="BE332" s="136"/>
      <c r="BF332" s="136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36"/>
      <c r="BT332" s="136"/>
      <c r="BU332" s="161"/>
      <c r="BV332" s="161"/>
      <c r="BW332" s="161"/>
      <c r="BX332" s="161"/>
      <c r="BY332" s="161"/>
      <c r="BZ332" s="161"/>
      <c r="CA332" s="161"/>
      <c r="CB332" s="161"/>
      <c r="CC332" s="161"/>
      <c r="CD332" s="161"/>
      <c r="CE332" s="161"/>
      <c r="CF332" s="161"/>
      <c r="CG332" s="136"/>
      <c r="CH332" s="136"/>
      <c r="CI332" s="161"/>
      <c r="CJ332" s="161"/>
      <c r="CK332" s="161"/>
      <c r="CL332" s="161"/>
      <c r="CM332" s="161"/>
      <c r="CN332" s="161"/>
      <c r="CO332" s="161"/>
      <c r="CP332" s="161"/>
      <c r="CQ332" s="161"/>
      <c r="CR332" s="161"/>
      <c r="CS332" s="161"/>
      <c r="CT332" s="161"/>
      <c r="CU332" s="136"/>
      <c r="CV332" s="136"/>
      <c r="CW332" s="161"/>
      <c r="CX332" s="161"/>
      <c r="CY332" s="161"/>
      <c r="CZ332" s="161"/>
      <c r="DA332" s="161"/>
      <c r="DB332" s="161"/>
      <c r="DC332" s="161"/>
      <c r="DD332" s="161"/>
      <c r="DE332" s="161"/>
      <c r="DF332" s="161"/>
      <c r="DG332" s="161"/>
      <c r="DH332" s="161"/>
      <c r="DI332" s="136"/>
      <c r="DJ332" s="136"/>
      <c r="DK332" s="161"/>
      <c r="DL332" s="161"/>
      <c r="DM332" s="161"/>
      <c r="DN332" s="161"/>
      <c r="DO332" s="161"/>
      <c r="DP332" s="161"/>
      <c r="DQ332" s="161"/>
      <c r="DR332" s="161"/>
      <c r="DS332" s="161"/>
      <c r="DT332" s="161"/>
      <c r="DU332" s="161"/>
      <c r="DV332" s="161"/>
      <c r="DW332" s="136"/>
      <c r="DX332" s="136"/>
      <c r="DY332" s="161"/>
      <c r="DZ332" s="161"/>
      <c r="EA332" s="161"/>
      <c r="EB332" s="161"/>
      <c r="EC332" s="161"/>
      <c r="ED332" s="161"/>
      <c r="EE332" s="161"/>
      <c r="EF332" s="161"/>
      <c r="EG332" s="161"/>
      <c r="EH332" s="161"/>
      <c r="EI332" s="161"/>
      <c r="EJ332" s="161"/>
      <c r="EK332" s="136"/>
      <c r="EL332" s="136"/>
      <c r="EM332" s="136"/>
      <c r="EN332" s="136"/>
      <c r="EO332" s="136"/>
      <c r="EP332" s="136"/>
      <c r="EQ332" s="136"/>
      <c r="ER332" s="136"/>
      <c r="ES332" s="161"/>
      <c r="ET332" s="161"/>
      <c r="EU332" s="161"/>
      <c r="EV332" s="161"/>
      <c r="EW332" s="161"/>
      <c r="EX332" s="161"/>
      <c r="EY332" s="136"/>
      <c r="EZ332" s="136"/>
      <c r="FA332" s="161"/>
      <c r="FB332" s="161"/>
      <c r="FC332" s="161"/>
      <c r="FD332" s="161"/>
      <c r="FE332" s="161"/>
      <c r="FF332" s="161"/>
      <c r="FG332" s="161"/>
      <c r="FH332" s="161"/>
      <c r="FI332" s="161"/>
      <c r="FJ332" s="161"/>
      <c r="FK332" s="161"/>
      <c r="FL332" s="161"/>
      <c r="FM332" s="136"/>
      <c r="FN332" s="136"/>
      <c r="FO332" s="161"/>
      <c r="FP332" s="161"/>
      <c r="FQ332" s="161"/>
      <c r="FR332" s="161"/>
      <c r="FS332" s="161"/>
      <c r="FT332" s="161"/>
      <c r="FU332" s="161"/>
      <c r="FV332" s="161"/>
      <c r="FW332" s="161"/>
      <c r="FX332" s="161"/>
      <c r="FY332" s="161"/>
      <c r="FZ332" s="161"/>
      <c r="GA332" s="136"/>
      <c r="GB332" s="136"/>
      <c r="GC332" s="161"/>
      <c r="GD332" s="161"/>
      <c r="GE332" s="161"/>
      <c r="GF332" s="161"/>
      <c r="GG332" s="161"/>
      <c r="GH332" s="161"/>
      <c r="GI332" s="161"/>
      <c r="GJ332" s="161"/>
      <c r="GK332" s="161"/>
      <c r="GL332" s="161"/>
      <c r="GM332" s="161"/>
      <c r="GN332" s="161"/>
    </row>
    <row r="333" spans="1:196" ht="25.5" hidden="1" customHeight="1">
      <c r="A333" s="154"/>
      <c r="B333" s="126" t="s">
        <v>886</v>
      </c>
      <c r="C333" s="109" t="s">
        <v>884</v>
      </c>
      <c r="D333" s="119"/>
      <c r="E333" s="119" t="e">
        <f>VLOOKUP(C333,'[2]AVTC 标准工时'!C:G,5,0)</f>
        <v>#N/A</v>
      </c>
      <c r="F333" s="107">
        <v>46202</v>
      </c>
      <c r="G333" s="115">
        <v>500</v>
      </c>
      <c r="H333" s="6"/>
      <c r="I333" s="125">
        <v>46207</v>
      </c>
      <c r="J333" s="13">
        <f t="shared" si="194"/>
        <v>0</v>
      </c>
      <c r="K333" s="141"/>
      <c r="L333" s="161"/>
      <c r="M333" s="136"/>
      <c r="N333" s="136"/>
      <c r="O333" s="136"/>
      <c r="P333" s="136"/>
      <c r="Q333" s="136"/>
      <c r="R333" s="136"/>
      <c r="S333" s="161">
        <v>320</v>
      </c>
      <c r="T333" s="161"/>
      <c r="U333" s="161"/>
      <c r="V333" s="161"/>
      <c r="W333" s="161"/>
      <c r="X333" s="161"/>
      <c r="Y333" s="161"/>
      <c r="Z333" s="161"/>
      <c r="AA333" s="161"/>
      <c r="AB333" s="161"/>
      <c r="AC333" s="136"/>
      <c r="AD333" s="136"/>
      <c r="AE333" s="161">
        <v>180</v>
      </c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36"/>
      <c r="AR333" s="136"/>
      <c r="AS333" s="161"/>
      <c r="AT333" s="161"/>
      <c r="AU333" s="161"/>
      <c r="AV333" s="161"/>
      <c r="AW333" s="161"/>
      <c r="AX333" s="161"/>
      <c r="AY333" s="161"/>
      <c r="AZ333" s="161"/>
      <c r="BA333" s="161"/>
      <c r="BB333" s="161"/>
      <c r="BC333" s="161"/>
      <c r="BD333" s="161"/>
      <c r="BE333" s="136"/>
      <c r="BF333" s="136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36"/>
      <c r="BT333" s="136"/>
      <c r="BU333" s="161"/>
      <c r="BV333" s="161"/>
      <c r="BW333" s="161"/>
      <c r="BX333" s="161"/>
      <c r="BY333" s="161"/>
      <c r="BZ333" s="161"/>
      <c r="CA333" s="161"/>
      <c r="CB333" s="161"/>
      <c r="CC333" s="161"/>
      <c r="CD333" s="161"/>
      <c r="CE333" s="161"/>
      <c r="CF333" s="161"/>
      <c r="CG333" s="136"/>
      <c r="CH333" s="136"/>
      <c r="CI333" s="161"/>
      <c r="CJ333" s="161"/>
      <c r="CK333" s="161"/>
      <c r="CL333" s="161"/>
      <c r="CM333" s="161"/>
      <c r="CN333" s="161"/>
      <c r="CO333" s="161"/>
      <c r="CP333" s="161"/>
      <c r="CQ333" s="161"/>
      <c r="CR333" s="161"/>
      <c r="CS333" s="161"/>
      <c r="CT333" s="161"/>
      <c r="CU333" s="136"/>
      <c r="CV333" s="136"/>
      <c r="CW333" s="161"/>
      <c r="CX333" s="161"/>
      <c r="CY333" s="161"/>
      <c r="CZ333" s="161"/>
      <c r="DA333" s="161"/>
      <c r="DB333" s="161"/>
      <c r="DC333" s="161"/>
      <c r="DD333" s="161"/>
      <c r="DE333" s="161"/>
      <c r="DF333" s="161"/>
      <c r="DG333" s="161"/>
      <c r="DH333" s="161"/>
      <c r="DI333" s="136"/>
      <c r="DJ333" s="136"/>
      <c r="DK333" s="161"/>
      <c r="DL333" s="161"/>
      <c r="DM333" s="161"/>
      <c r="DN333" s="161"/>
      <c r="DO333" s="161"/>
      <c r="DP333" s="161"/>
      <c r="DQ333" s="161"/>
      <c r="DR333" s="161"/>
      <c r="DS333" s="161"/>
      <c r="DT333" s="161"/>
      <c r="DU333" s="161"/>
      <c r="DV333" s="161"/>
      <c r="DW333" s="136"/>
      <c r="DX333" s="136"/>
      <c r="DY333" s="161"/>
      <c r="DZ333" s="161"/>
      <c r="EA333" s="161"/>
      <c r="EB333" s="161"/>
      <c r="EC333" s="161"/>
      <c r="ED333" s="161"/>
      <c r="EE333" s="161"/>
      <c r="EF333" s="161"/>
      <c r="EG333" s="161"/>
      <c r="EH333" s="161"/>
      <c r="EI333" s="161"/>
      <c r="EJ333" s="161"/>
      <c r="EK333" s="136"/>
      <c r="EL333" s="136"/>
      <c r="EM333" s="136"/>
      <c r="EN333" s="136"/>
      <c r="EO333" s="136"/>
      <c r="EP333" s="136"/>
      <c r="EQ333" s="136"/>
      <c r="ER333" s="136"/>
      <c r="ES333" s="161"/>
      <c r="ET333" s="161"/>
      <c r="EU333" s="161"/>
      <c r="EV333" s="161"/>
      <c r="EW333" s="161"/>
      <c r="EX333" s="161"/>
      <c r="EY333" s="136"/>
      <c r="EZ333" s="136"/>
      <c r="FA333" s="161"/>
      <c r="FB333" s="161"/>
      <c r="FC333" s="161"/>
      <c r="FD333" s="161"/>
      <c r="FE333" s="161"/>
      <c r="FF333" s="161"/>
      <c r="FG333" s="161"/>
      <c r="FH333" s="161"/>
      <c r="FI333" s="161"/>
      <c r="FJ333" s="161"/>
      <c r="FK333" s="161"/>
      <c r="FL333" s="161"/>
      <c r="FM333" s="136"/>
      <c r="FN333" s="136"/>
      <c r="FO333" s="161"/>
      <c r="FP333" s="161"/>
      <c r="FQ333" s="161"/>
      <c r="FR333" s="161"/>
      <c r="FS333" s="161"/>
      <c r="FT333" s="161"/>
      <c r="FU333" s="161"/>
      <c r="FV333" s="161"/>
      <c r="FW333" s="161"/>
      <c r="FX333" s="161"/>
      <c r="FY333" s="161"/>
      <c r="FZ333" s="161"/>
      <c r="GA333" s="136"/>
      <c r="GB333" s="136"/>
      <c r="GC333" s="161"/>
      <c r="GD333" s="161"/>
      <c r="GE333" s="161"/>
      <c r="GF333" s="161"/>
      <c r="GG333" s="161"/>
      <c r="GH333" s="161"/>
      <c r="GI333" s="161"/>
      <c r="GJ333" s="161"/>
      <c r="GK333" s="161"/>
      <c r="GL333" s="161"/>
      <c r="GM333" s="161"/>
      <c r="GN333" s="161"/>
    </row>
    <row r="334" spans="1:196" ht="16" hidden="1" customHeight="1">
      <c r="A334" s="154"/>
      <c r="B334" s="126" t="s">
        <v>841</v>
      </c>
      <c r="C334" s="109" t="s">
        <v>605</v>
      </c>
      <c r="D334" s="119"/>
      <c r="E334" s="119"/>
      <c r="F334" s="107">
        <v>46205</v>
      </c>
      <c r="G334" s="115">
        <v>700</v>
      </c>
      <c r="H334" s="6"/>
      <c r="I334" s="125">
        <v>46193</v>
      </c>
      <c r="J334" s="13">
        <f t="shared" si="194"/>
        <v>0</v>
      </c>
      <c r="K334" s="141"/>
      <c r="L334" s="161"/>
      <c r="M334" s="136"/>
      <c r="N334" s="136"/>
      <c r="O334" s="136"/>
      <c r="P334" s="136"/>
      <c r="Q334" s="136"/>
      <c r="R334" s="136"/>
      <c r="S334" s="161"/>
      <c r="T334" s="161"/>
      <c r="U334" s="161"/>
      <c r="V334" s="161"/>
      <c r="W334" s="161"/>
      <c r="X334" s="161"/>
      <c r="Y334" s="161">
        <v>40</v>
      </c>
      <c r="Z334" s="161"/>
      <c r="AA334" s="161">
        <v>195</v>
      </c>
      <c r="AB334" s="161"/>
      <c r="AC334" s="136"/>
      <c r="AD334" s="136"/>
      <c r="AE334" s="161">
        <v>183</v>
      </c>
      <c r="AF334" s="161"/>
      <c r="AG334" s="161">
        <v>282</v>
      </c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36"/>
      <c r="AR334" s="136"/>
      <c r="AS334" s="161"/>
      <c r="AT334" s="161"/>
      <c r="AU334" s="161"/>
      <c r="AV334" s="161"/>
      <c r="AW334" s="161"/>
      <c r="AX334" s="161"/>
      <c r="AY334" s="161"/>
      <c r="AZ334" s="161"/>
      <c r="BA334" s="161"/>
      <c r="BB334" s="161"/>
      <c r="BC334" s="161"/>
      <c r="BD334" s="161"/>
      <c r="BE334" s="136"/>
      <c r="BF334" s="136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36"/>
      <c r="BT334" s="136"/>
      <c r="BU334" s="161"/>
      <c r="BV334" s="161"/>
      <c r="BW334" s="161"/>
      <c r="BX334" s="161"/>
      <c r="BY334" s="161"/>
      <c r="BZ334" s="161"/>
      <c r="CA334" s="161"/>
      <c r="CB334" s="161"/>
      <c r="CC334" s="161"/>
      <c r="CD334" s="161"/>
      <c r="CE334" s="161"/>
      <c r="CF334" s="161"/>
      <c r="CG334" s="136"/>
      <c r="CH334" s="136"/>
      <c r="CI334" s="161"/>
      <c r="CJ334" s="161"/>
      <c r="CK334" s="161"/>
      <c r="CL334" s="161"/>
      <c r="CM334" s="161"/>
      <c r="CN334" s="161"/>
      <c r="CO334" s="161"/>
      <c r="CP334" s="161"/>
      <c r="CQ334" s="161"/>
      <c r="CR334" s="161"/>
      <c r="CS334" s="161"/>
      <c r="CT334" s="161"/>
      <c r="CU334" s="136"/>
      <c r="CV334" s="136"/>
      <c r="CW334" s="161"/>
      <c r="CX334" s="161"/>
      <c r="CY334" s="161"/>
      <c r="CZ334" s="161"/>
      <c r="DA334" s="161"/>
      <c r="DB334" s="161"/>
      <c r="DC334" s="161"/>
      <c r="DD334" s="161"/>
      <c r="DE334" s="161"/>
      <c r="DF334" s="161"/>
      <c r="DG334" s="161"/>
      <c r="DH334" s="161"/>
      <c r="DI334" s="136"/>
      <c r="DJ334" s="136"/>
      <c r="DK334" s="161"/>
      <c r="DL334" s="161"/>
      <c r="DM334" s="161"/>
      <c r="DN334" s="161"/>
      <c r="DO334" s="161"/>
      <c r="DP334" s="161"/>
      <c r="DQ334" s="161"/>
      <c r="DR334" s="161"/>
      <c r="DS334" s="161"/>
      <c r="DT334" s="161"/>
      <c r="DU334" s="161"/>
      <c r="DV334" s="161"/>
      <c r="DW334" s="136"/>
      <c r="DX334" s="136"/>
      <c r="DY334" s="161"/>
      <c r="DZ334" s="161"/>
      <c r="EA334" s="161"/>
      <c r="EB334" s="161"/>
      <c r="EC334" s="161"/>
      <c r="ED334" s="161"/>
      <c r="EE334" s="161"/>
      <c r="EF334" s="161"/>
      <c r="EG334" s="161"/>
      <c r="EH334" s="161"/>
      <c r="EI334" s="161"/>
      <c r="EJ334" s="161"/>
      <c r="EK334" s="136"/>
      <c r="EL334" s="136"/>
      <c r="EM334" s="136"/>
      <c r="EN334" s="136"/>
      <c r="EO334" s="136"/>
      <c r="EP334" s="136"/>
      <c r="EQ334" s="136"/>
      <c r="ER334" s="136"/>
      <c r="ES334" s="161"/>
      <c r="ET334" s="161"/>
      <c r="EU334" s="161"/>
      <c r="EV334" s="161"/>
      <c r="EW334" s="161"/>
      <c r="EX334" s="161"/>
      <c r="EY334" s="136"/>
      <c r="EZ334" s="136"/>
      <c r="FA334" s="161"/>
      <c r="FB334" s="161"/>
      <c r="FC334" s="161"/>
      <c r="FD334" s="161"/>
      <c r="FE334" s="161"/>
      <c r="FF334" s="161"/>
      <c r="FG334" s="161"/>
      <c r="FH334" s="161"/>
      <c r="FI334" s="161"/>
      <c r="FJ334" s="161"/>
      <c r="FK334" s="161"/>
      <c r="FL334" s="161"/>
      <c r="FM334" s="136"/>
      <c r="FN334" s="136"/>
      <c r="FO334" s="161"/>
      <c r="FP334" s="161"/>
      <c r="FQ334" s="161"/>
      <c r="FR334" s="161"/>
      <c r="FS334" s="161"/>
      <c r="FT334" s="161"/>
      <c r="FU334" s="161"/>
      <c r="FV334" s="161"/>
      <c r="FW334" s="161"/>
      <c r="FX334" s="161"/>
      <c r="FY334" s="161"/>
      <c r="FZ334" s="161"/>
      <c r="GA334" s="136"/>
      <c r="GB334" s="136"/>
      <c r="GC334" s="161"/>
      <c r="GD334" s="161"/>
      <c r="GE334" s="161"/>
      <c r="GF334" s="161"/>
      <c r="GG334" s="161"/>
      <c r="GH334" s="161"/>
      <c r="GI334" s="161"/>
      <c r="GJ334" s="161"/>
      <c r="GK334" s="161"/>
      <c r="GL334" s="161"/>
      <c r="GM334" s="161"/>
      <c r="GN334" s="161"/>
    </row>
    <row r="335" spans="1:196" hidden="1">
      <c r="A335" s="154"/>
      <c r="B335" s="126" t="s">
        <v>871</v>
      </c>
      <c r="C335" s="109" t="s">
        <v>605</v>
      </c>
      <c r="D335" s="119"/>
      <c r="E335" s="119"/>
      <c r="F335" s="107">
        <v>46209</v>
      </c>
      <c r="G335" s="115">
        <v>750</v>
      </c>
      <c r="H335" s="6"/>
      <c r="I335" s="125">
        <v>46207</v>
      </c>
      <c r="J335" s="13">
        <f t="shared" si="194"/>
        <v>0</v>
      </c>
      <c r="K335" s="177"/>
      <c r="L335" s="161"/>
      <c r="M335" s="136"/>
      <c r="N335" s="136"/>
      <c r="O335" s="136"/>
      <c r="P335" s="136"/>
      <c r="Q335" s="136"/>
      <c r="R335" s="136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36"/>
      <c r="AD335" s="136"/>
      <c r="AE335" s="161"/>
      <c r="AF335" s="161"/>
      <c r="AG335" s="161">
        <v>39</v>
      </c>
      <c r="AH335" s="161"/>
      <c r="AI335" s="161">
        <v>285</v>
      </c>
      <c r="AJ335" s="161"/>
      <c r="AK335" s="161">
        <v>357</v>
      </c>
      <c r="AL335" s="161"/>
      <c r="AM335" s="161">
        <v>69</v>
      </c>
      <c r="AN335" s="161"/>
      <c r="AO335" s="161"/>
      <c r="AP335" s="161"/>
      <c r="AQ335" s="136"/>
      <c r="AR335" s="136"/>
      <c r="AS335" s="161"/>
      <c r="AT335" s="161"/>
      <c r="AU335" s="161"/>
      <c r="AV335" s="161"/>
      <c r="AW335" s="161"/>
      <c r="AX335" s="161"/>
      <c r="AY335" s="161"/>
      <c r="AZ335" s="161"/>
      <c r="BA335" s="161"/>
      <c r="BB335" s="161"/>
      <c r="BC335" s="161"/>
      <c r="BD335" s="161"/>
      <c r="BE335" s="136"/>
      <c r="BF335" s="136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36"/>
      <c r="BT335" s="136"/>
      <c r="BU335" s="161"/>
      <c r="BV335" s="161"/>
      <c r="BW335" s="161"/>
      <c r="BX335" s="161"/>
      <c r="BY335" s="161"/>
      <c r="BZ335" s="161"/>
      <c r="CA335" s="161"/>
      <c r="CB335" s="161"/>
      <c r="CC335" s="161"/>
      <c r="CD335" s="161"/>
      <c r="CE335" s="161"/>
      <c r="CF335" s="161"/>
      <c r="CG335" s="136"/>
      <c r="CH335" s="136"/>
      <c r="CI335" s="161"/>
      <c r="CJ335" s="161"/>
      <c r="CK335" s="161"/>
      <c r="CL335" s="161"/>
      <c r="CM335" s="161"/>
      <c r="CN335" s="161"/>
      <c r="CO335" s="161"/>
      <c r="CP335" s="161"/>
      <c r="CQ335" s="161"/>
      <c r="CR335" s="161"/>
      <c r="CS335" s="161"/>
      <c r="CT335" s="161"/>
      <c r="CU335" s="136"/>
      <c r="CV335" s="136"/>
      <c r="CW335" s="161"/>
      <c r="CX335" s="161"/>
      <c r="CY335" s="161"/>
      <c r="CZ335" s="161"/>
      <c r="DA335" s="161"/>
      <c r="DB335" s="161"/>
      <c r="DC335" s="161"/>
      <c r="DD335" s="161"/>
      <c r="DE335" s="161"/>
      <c r="DF335" s="161"/>
      <c r="DG335" s="161"/>
      <c r="DH335" s="161"/>
      <c r="DI335" s="136"/>
      <c r="DJ335" s="136"/>
      <c r="DK335" s="161"/>
      <c r="DL335" s="161"/>
      <c r="DM335" s="161"/>
      <c r="DN335" s="161"/>
      <c r="DO335" s="161"/>
      <c r="DP335" s="161"/>
      <c r="DQ335" s="161"/>
      <c r="DR335" s="161"/>
      <c r="DS335" s="161"/>
      <c r="DT335" s="161"/>
      <c r="DU335" s="161"/>
      <c r="DV335" s="161"/>
      <c r="DW335" s="136"/>
      <c r="DX335" s="136"/>
      <c r="DY335" s="161"/>
      <c r="DZ335" s="161"/>
      <c r="EA335" s="161"/>
      <c r="EB335" s="161"/>
      <c r="EC335" s="161"/>
      <c r="ED335" s="161"/>
      <c r="EE335" s="161"/>
      <c r="EF335" s="161"/>
      <c r="EG335" s="161"/>
      <c r="EH335" s="161"/>
      <c r="EI335" s="161"/>
      <c r="EJ335" s="161"/>
      <c r="EK335" s="136"/>
      <c r="EL335" s="136"/>
      <c r="EM335" s="136"/>
      <c r="EN335" s="136"/>
      <c r="EO335" s="136"/>
      <c r="EP335" s="136"/>
      <c r="EQ335" s="136"/>
      <c r="ER335" s="136"/>
      <c r="ES335" s="161"/>
      <c r="ET335" s="161"/>
      <c r="EU335" s="161"/>
      <c r="EV335" s="161"/>
      <c r="EW335" s="161"/>
      <c r="EX335" s="161"/>
      <c r="EY335" s="136"/>
      <c r="EZ335" s="136"/>
      <c r="FA335" s="161"/>
      <c r="FB335" s="161"/>
      <c r="FC335" s="161"/>
      <c r="FD335" s="161"/>
      <c r="FE335" s="161"/>
      <c r="FF335" s="161"/>
      <c r="FG335" s="161"/>
      <c r="FH335" s="161"/>
      <c r="FI335" s="161"/>
      <c r="FJ335" s="161"/>
      <c r="FK335" s="161"/>
      <c r="FL335" s="161"/>
      <c r="FM335" s="136"/>
      <c r="FN335" s="136"/>
      <c r="FO335" s="161"/>
      <c r="FP335" s="161"/>
      <c r="FQ335" s="161"/>
      <c r="FR335" s="161"/>
      <c r="FS335" s="161"/>
      <c r="FT335" s="161"/>
      <c r="FU335" s="161"/>
      <c r="FV335" s="161"/>
      <c r="FW335" s="161"/>
      <c r="FX335" s="161"/>
      <c r="FY335" s="161"/>
      <c r="FZ335" s="161"/>
      <c r="GA335" s="136"/>
      <c r="GB335" s="136"/>
      <c r="GC335" s="161"/>
      <c r="GD335" s="161"/>
      <c r="GE335" s="161"/>
      <c r="GF335" s="161"/>
      <c r="GG335" s="161"/>
      <c r="GH335" s="161"/>
      <c r="GI335" s="161"/>
      <c r="GJ335" s="161"/>
      <c r="GK335" s="161"/>
      <c r="GL335" s="161"/>
      <c r="GM335" s="161"/>
      <c r="GN335" s="161"/>
    </row>
    <row r="336" spans="1:196" hidden="1">
      <c r="A336" s="154"/>
      <c r="B336" s="128" t="s">
        <v>769</v>
      </c>
      <c r="C336" s="157" t="s">
        <v>774</v>
      </c>
      <c r="D336" s="138"/>
      <c r="E336" s="138"/>
      <c r="F336" s="129"/>
      <c r="G336" s="130">
        <v>15</v>
      </c>
      <c r="H336" s="129"/>
      <c r="I336" s="110">
        <v>46207</v>
      </c>
      <c r="J336" s="111">
        <f t="shared" si="194"/>
        <v>0</v>
      </c>
      <c r="K336" s="141" t="s">
        <v>1048</v>
      </c>
      <c r="L336" s="161"/>
      <c r="M336" s="136"/>
      <c r="N336" s="136"/>
      <c r="O336" s="136"/>
      <c r="P336" s="136"/>
      <c r="Q336" s="136"/>
      <c r="R336" s="136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36"/>
      <c r="AD336" s="136"/>
      <c r="AE336" s="161"/>
      <c r="AF336" s="161"/>
      <c r="AG336" s="161"/>
      <c r="AH336" s="161"/>
      <c r="AI336" s="161"/>
      <c r="AJ336" s="161"/>
      <c r="AK336" s="161"/>
      <c r="AL336" s="161"/>
      <c r="AM336" s="161">
        <v>15</v>
      </c>
      <c r="AN336" s="161"/>
      <c r="AO336" s="161"/>
      <c r="AP336" s="161"/>
      <c r="AQ336" s="136"/>
      <c r="AR336" s="136"/>
      <c r="AS336" s="161"/>
      <c r="AT336" s="161"/>
      <c r="AU336" s="161"/>
      <c r="AV336" s="161"/>
      <c r="AW336" s="161"/>
      <c r="AX336" s="161"/>
      <c r="AY336" s="161"/>
      <c r="AZ336" s="161"/>
      <c r="BA336" s="161"/>
      <c r="BB336" s="161"/>
      <c r="BC336" s="161"/>
      <c r="BD336" s="161"/>
      <c r="BE336" s="136"/>
      <c r="BF336" s="136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36"/>
      <c r="BT336" s="136"/>
      <c r="BU336" s="161"/>
      <c r="BV336" s="161"/>
      <c r="BW336" s="161"/>
      <c r="BX336" s="161"/>
      <c r="BY336" s="161"/>
      <c r="BZ336" s="161"/>
      <c r="CA336" s="161"/>
      <c r="CB336" s="161"/>
      <c r="CC336" s="161"/>
      <c r="CD336" s="161"/>
      <c r="CE336" s="161"/>
      <c r="CF336" s="161"/>
      <c r="CG336" s="136"/>
      <c r="CH336" s="136"/>
      <c r="CI336" s="161"/>
      <c r="CJ336" s="161"/>
      <c r="CK336" s="161"/>
      <c r="CL336" s="161"/>
      <c r="CM336" s="161"/>
      <c r="CN336" s="161"/>
      <c r="CO336" s="161"/>
      <c r="CP336" s="161"/>
      <c r="CQ336" s="161"/>
      <c r="CR336" s="161"/>
      <c r="CS336" s="161"/>
      <c r="CT336" s="161"/>
      <c r="CU336" s="136"/>
      <c r="CV336" s="136"/>
      <c r="CW336" s="161"/>
      <c r="CX336" s="161"/>
      <c r="CY336" s="161"/>
      <c r="CZ336" s="161"/>
      <c r="DA336" s="161"/>
      <c r="DB336" s="161"/>
      <c r="DC336" s="161"/>
      <c r="DD336" s="161"/>
      <c r="DE336" s="161"/>
      <c r="DF336" s="161"/>
      <c r="DG336" s="161"/>
      <c r="DH336" s="161"/>
      <c r="DI336" s="136"/>
      <c r="DJ336" s="136"/>
      <c r="DK336" s="161"/>
      <c r="DL336" s="161"/>
      <c r="DM336" s="161"/>
      <c r="DN336" s="161"/>
      <c r="DO336" s="161"/>
      <c r="DP336" s="161"/>
      <c r="DQ336" s="161"/>
      <c r="DR336" s="161"/>
      <c r="DS336" s="161"/>
      <c r="DT336" s="161"/>
      <c r="DU336" s="161"/>
      <c r="DV336" s="161"/>
      <c r="DW336" s="136"/>
      <c r="DX336" s="136"/>
      <c r="DY336" s="161"/>
      <c r="DZ336" s="161"/>
      <c r="EA336" s="161"/>
      <c r="EB336" s="161"/>
      <c r="EC336" s="161"/>
      <c r="ED336" s="161"/>
      <c r="EE336" s="161"/>
      <c r="EF336" s="161"/>
      <c r="EG336" s="161"/>
      <c r="EH336" s="161"/>
      <c r="EI336" s="161"/>
      <c r="EJ336" s="161"/>
      <c r="EK336" s="136"/>
      <c r="EL336" s="136"/>
      <c r="EM336" s="136"/>
      <c r="EN336" s="136"/>
      <c r="EO336" s="136"/>
      <c r="EP336" s="136"/>
      <c r="EQ336" s="136"/>
      <c r="ER336" s="136"/>
      <c r="ES336" s="161"/>
      <c r="ET336" s="161"/>
      <c r="EU336" s="161"/>
      <c r="EV336" s="161"/>
      <c r="EW336" s="161"/>
      <c r="EX336" s="161"/>
      <c r="EY336" s="136"/>
      <c r="EZ336" s="136"/>
      <c r="FA336" s="161"/>
      <c r="FB336" s="161"/>
      <c r="FC336" s="161"/>
      <c r="FD336" s="161"/>
      <c r="FE336" s="161"/>
      <c r="FF336" s="161"/>
      <c r="FG336" s="161"/>
      <c r="FH336" s="161"/>
      <c r="FI336" s="161"/>
      <c r="FJ336" s="161"/>
      <c r="FK336" s="161"/>
      <c r="FL336" s="161"/>
      <c r="FM336" s="136"/>
      <c r="FN336" s="136"/>
      <c r="FO336" s="161"/>
      <c r="FP336" s="161"/>
      <c r="FQ336" s="161"/>
      <c r="FR336" s="161"/>
      <c r="FS336" s="161"/>
      <c r="FT336" s="161"/>
      <c r="FU336" s="161"/>
      <c r="FV336" s="161"/>
      <c r="FW336" s="161"/>
      <c r="FX336" s="161"/>
      <c r="FY336" s="161"/>
      <c r="FZ336" s="161"/>
      <c r="GA336" s="136"/>
      <c r="GB336" s="136"/>
      <c r="GC336" s="161"/>
      <c r="GD336" s="161"/>
      <c r="GE336" s="161"/>
      <c r="GF336" s="161"/>
      <c r="GG336" s="161"/>
      <c r="GH336" s="161"/>
      <c r="GI336" s="161"/>
      <c r="GJ336" s="161"/>
      <c r="GK336" s="161"/>
      <c r="GL336" s="161"/>
      <c r="GM336" s="161"/>
      <c r="GN336" s="161"/>
    </row>
    <row r="337" spans="1:196" hidden="1">
      <c r="A337" s="154"/>
      <c r="B337" s="126" t="s">
        <v>873</v>
      </c>
      <c r="C337" s="109" t="s">
        <v>605</v>
      </c>
      <c r="D337" s="119"/>
      <c r="E337" s="119"/>
      <c r="F337" s="107">
        <v>46210</v>
      </c>
      <c r="G337" s="115">
        <v>400</v>
      </c>
      <c r="H337" s="6"/>
      <c r="I337" s="125">
        <v>46207</v>
      </c>
      <c r="J337" s="13">
        <f t="shared" si="194"/>
        <v>0</v>
      </c>
      <c r="K337" s="177"/>
      <c r="L337" s="161"/>
      <c r="M337" s="136"/>
      <c r="N337" s="136"/>
      <c r="O337" s="136"/>
      <c r="P337" s="136"/>
      <c r="Q337" s="136"/>
      <c r="R337" s="136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36"/>
      <c r="AD337" s="136"/>
      <c r="AE337" s="161"/>
      <c r="AF337" s="161"/>
      <c r="AG337" s="161"/>
      <c r="AH337" s="161"/>
      <c r="AI337" s="161"/>
      <c r="AJ337" s="161"/>
      <c r="AK337" s="161"/>
      <c r="AL337" s="161"/>
      <c r="AM337" s="161">
        <v>285</v>
      </c>
      <c r="AN337" s="161"/>
      <c r="AO337" s="161">
        <v>112</v>
      </c>
      <c r="AP337" s="161"/>
      <c r="AQ337" s="136"/>
      <c r="AR337" s="136"/>
      <c r="AS337" s="161">
        <v>3</v>
      </c>
      <c r="AT337" s="161"/>
      <c r="AU337" s="161"/>
      <c r="AV337" s="161"/>
      <c r="AW337" s="161"/>
      <c r="AX337" s="161"/>
      <c r="AY337" s="161"/>
      <c r="AZ337" s="161"/>
      <c r="BA337" s="161"/>
      <c r="BB337" s="161"/>
      <c r="BC337" s="161"/>
      <c r="BD337" s="161"/>
      <c r="BE337" s="136"/>
      <c r="BF337" s="136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36"/>
      <c r="BT337" s="136"/>
      <c r="BU337" s="161"/>
      <c r="BV337" s="161"/>
      <c r="BW337" s="161"/>
      <c r="BX337" s="161"/>
      <c r="BY337" s="161"/>
      <c r="BZ337" s="161"/>
      <c r="CA337" s="161"/>
      <c r="CB337" s="161"/>
      <c r="CC337" s="161"/>
      <c r="CD337" s="161"/>
      <c r="CE337" s="161"/>
      <c r="CF337" s="161"/>
      <c r="CG337" s="136"/>
      <c r="CH337" s="136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36"/>
      <c r="CV337" s="136"/>
      <c r="CW337" s="161"/>
      <c r="CX337" s="161"/>
      <c r="CY337" s="161"/>
      <c r="CZ337" s="161"/>
      <c r="DA337" s="161"/>
      <c r="DB337" s="161"/>
      <c r="DC337" s="161"/>
      <c r="DD337" s="161"/>
      <c r="DE337" s="161"/>
      <c r="DF337" s="161"/>
      <c r="DG337" s="161"/>
      <c r="DH337" s="161"/>
      <c r="DI337" s="136"/>
      <c r="DJ337" s="136"/>
      <c r="DK337" s="161"/>
      <c r="DL337" s="161"/>
      <c r="DM337" s="161"/>
      <c r="DN337" s="161"/>
      <c r="DO337" s="161"/>
      <c r="DP337" s="161"/>
      <c r="DQ337" s="161"/>
      <c r="DR337" s="161"/>
      <c r="DS337" s="161"/>
      <c r="DT337" s="161"/>
      <c r="DU337" s="161"/>
      <c r="DV337" s="161"/>
      <c r="DW337" s="136"/>
      <c r="DX337" s="136"/>
      <c r="DY337" s="161"/>
      <c r="DZ337" s="161"/>
      <c r="EA337" s="161"/>
      <c r="EB337" s="161"/>
      <c r="EC337" s="161"/>
      <c r="ED337" s="161"/>
      <c r="EE337" s="161"/>
      <c r="EF337" s="161"/>
      <c r="EG337" s="161"/>
      <c r="EH337" s="161"/>
      <c r="EI337" s="161"/>
      <c r="EJ337" s="161"/>
      <c r="EK337" s="136"/>
      <c r="EL337" s="136"/>
      <c r="EM337" s="136"/>
      <c r="EN337" s="136"/>
      <c r="EO337" s="136"/>
      <c r="EP337" s="136"/>
      <c r="EQ337" s="136"/>
      <c r="ER337" s="136"/>
      <c r="ES337" s="161"/>
      <c r="ET337" s="161"/>
      <c r="EU337" s="161"/>
      <c r="EV337" s="161"/>
      <c r="EW337" s="161"/>
      <c r="EX337" s="161"/>
      <c r="EY337" s="136"/>
      <c r="EZ337" s="136"/>
      <c r="FA337" s="161"/>
      <c r="FB337" s="161"/>
      <c r="FC337" s="161"/>
      <c r="FD337" s="161"/>
      <c r="FE337" s="161"/>
      <c r="FF337" s="161"/>
      <c r="FG337" s="161"/>
      <c r="FH337" s="161"/>
      <c r="FI337" s="161"/>
      <c r="FJ337" s="161"/>
      <c r="FK337" s="161"/>
      <c r="FL337" s="161"/>
      <c r="FM337" s="136"/>
      <c r="FN337" s="136"/>
      <c r="FO337" s="161"/>
      <c r="FP337" s="161"/>
      <c r="FQ337" s="161"/>
      <c r="FR337" s="161"/>
      <c r="FS337" s="161"/>
      <c r="FT337" s="161"/>
      <c r="FU337" s="161"/>
      <c r="FV337" s="161"/>
      <c r="FW337" s="161"/>
      <c r="FX337" s="161"/>
      <c r="FY337" s="161"/>
      <c r="FZ337" s="161"/>
      <c r="GA337" s="136"/>
      <c r="GB337" s="136"/>
      <c r="GC337" s="161"/>
      <c r="GD337" s="161"/>
      <c r="GE337" s="161"/>
      <c r="GF337" s="161"/>
      <c r="GG337" s="161"/>
      <c r="GH337" s="161"/>
      <c r="GI337" s="161"/>
      <c r="GJ337" s="161"/>
      <c r="GK337" s="161"/>
      <c r="GL337" s="161"/>
      <c r="GM337" s="161"/>
      <c r="GN337" s="161"/>
    </row>
    <row r="338" spans="1:196" hidden="1">
      <c r="A338" s="154"/>
      <c r="B338" s="126" t="s">
        <v>1088</v>
      </c>
      <c r="C338" s="109" t="s">
        <v>615</v>
      </c>
      <c r="D338" s="119"/>
      <c r="E338" s="119"/>
      <c r="F338" s="107">
        <v>46214</v>
      </c>
      <c r="G338" s="115">
        <v>350</v>
      </c>
      <c r="H338" s="6"/>
      <c r="I338" s="125">
        <v>46207</v>
      </c>
      <c r="J338" s="13">
        <f t="shared" si="194"/>
        <v>0</v>
      </c>
      <c r="K338" s="177"/>
      <c r="L338" s="161"/>
      <c r="M338" s="136"/>
      <c r="N338" s="136"/>
      <c r="O338" s="136"/>
      <c r="P338" s="136"/>
      <c r="Q338" s="136"/>
      <c r="R338" s="136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36"/>
      <c r="AD338" s="136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>
        <v>102</v>
      </c>
      <c r="AP338" s="161"/>
      <c r="AQ338" s="136"/>
      <c r="AR338" s="136"/>
      <c r="AS338" s="161">
        <v>244</v>
      </c>
      <c r="AT338" s="161"/>
      <c r="AU338" s="161">
        <v>4</v>
      </c>
      <c r="AV338" s="161"/>
      <c r="AW338" s="161"/>
      <c r="AX338" s="161"/>
      <c r="AY338" s="161"/>
      <c r="AZ338" s="161"/>
      <c r="BA338" s="161"/>
      <c r="BB338" s="161"/>
      <c r="BC338" s="161"/>
      <c r="BD338" s="161"/>
      <c r="BE338" s="136"/>
      <c r="BF338" s="136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36"/>
      <c r="BT338" s="136"/>
      <c r="BU338" s="161"/>
      <c r="BV338" s="161"/>
      <c r="BW338" s="161"/>
      <c r="BX338" s="161"/>
      <c r="BY338" s="161"/>
      <c r="BZ338" s="161"/>
      <c r="CA338" s="161"/>
      <c r="CB338" s="161"/>
      <c r="CC338" s="161"/>
      <c r="CD338" s="161"/>
      <c r="CE338" s="161"/>
      <c r="CF338" s="161"/>
      <c r="CG338" s="136"/>
      <c r="CH338" s="136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36"/>
      <c r="CV338" s="136"/>
      <c r="CW338" s="161"/>
      <c r="CX338" s="161"/>
      <c r="CY338" s="161"/>
      <c r="CZ338" s="161"/>
      <c r="DA338" s="161"/>
      <c r="DB338" s="161"/>
      <c r="DC338" s="161"/>
      <c r="DD338" s="161"/>
      <c r="DE338" s="161"/>
      <c r="DF338" s="161"/>
      <c r="DG338" s="161"/>
      <c r="DH338" s="161"/>
      <c r="DI338" s="136"/>
      <c r="DJ338" s="136"/>
      <c r="DK338" s="161"/>
      <c r="DL338" s="161"/>
      <c r="DM338" s="161"/>
      <c r="DN338" s="161"/>
      <c r="DO338" s="161"/>
      <c r="DP338" s="161"/>
      <c r="DQ338" s="161"/>
      <c r="DR338" s="161"/>
      <c r="DS338" s="161"/>
      <c r="DT338" s="161"/>
      <c r="DU338" s="161"/>
      <c r="DV338" s="161"/>
      <c r="DW338" s="136"/>
      <c r="DX338" s="136"/>
      <c r="DY338" s="161"/>
      <c r="DZ338" s="161"/>
      <c r="EA338" s="161"/>
      <c r="EB338" s="161"/>
      <c r="EC338" s="161"/>
      <c r="ED338" s="161"/>
      <c r="EE338" s="161"/>
      <c r="EF338" s="161"/>
      <c r="EG338" s="161"/>
      <c r="EH338" s="161"/>
      <c r="EI338" s="161"/>
      <c r="EJ338" s="161"/>
      <c r="EK338" s="136"/>
      <c r="EL338" s="136"/>
      <c r="EM338" s="136"/>
      <c r="EN338" s="136"/>
      <c r="EO338" s="136"/>
      <c r="EP338" s="136"/>
      <c r="EQ338" s="136"/>
      <c r="ER338" s="136"/>
      <c r="ES338" s="161"/>
      <c r="ET338" s="161"/>
      <c r="EU338" s="161"/>
      <c r="EV338" s="161"/>
      <c r="EW338" s="161"/>
      <c r="EX338" s="161"/>
      <c r="EY338" s="136"/>
      <c r="EZ338" s="136"/>
      <c r="FA338" s="161"/>
      <c r="FB338" s="161"/>
      <c r="FC338" s="161"/>
      <c r="FD338" s="161"/>
      <c r="FE338" s="161"/>
      <c r="FF338" s="161"/>
      <c r="FG338" s="161"/>
      <c r="FH338" s="161"/>
      <c r="FI338" s="161"/>
      <c r="FJ338" s="161"/>
      <c r="FK338" s="161"/>
      <c r="FL338" s="161"/>
      <c r="FM338" s="136"/>
      <c r="FN338" s="136"/>
      <c r="FO338" s="161"/>
      <c r="FP338" s="161"/>
      <c r="FQ338" s="161"/>
      <c r="FR338" s="161"/>
      <c r="FS338" s="161"/>
      <c r="FT338" s="161"/>
      <c r="FU338" s="161"/>
      <c r="FV338" s="161"/>
      <c r="FW338" s="161"/>
      <c r="FX338" s="161"/>
      <c r="FY338" s="161"/>
      <c r="FZ338" s="161"/>
      <c r="GA338" s="136"/>
      <c r="GB338" s="136"/>
      <c r="GC338" s="161"/>
      <c r="GD338" s="161"/>
      <c r="GE338" s="161"/>
      <c r="GF338" s="161"/>
      <c r="GG338" s="161"/>
      <c r="GH338" s="161"/>
      <c r="GI338" s="161"/>
      <c r="GJ338" s="161"/>
      <c r="GK338" s="161"/>
      <c r="GL338" s="161"/>
      <c r="GM338" s="161"/>
      <c r="GN338" s="161"/>
    </row>
    <row r="339" spans="1:196" hidden="1">
      <c r="A339" s="154"/>
      <c r="B339" s="126" t="s">
        <v>811</v>
      </c>
      <c r="C339" s="109" t="s">
        <v>616</v>
      </c>
      <c r="D339" s="119"/>
      <c r="E339" s="119"/>
      <c r="F339" s="107">
        <v>46213</v>
      </c>
      <c r="G339" s="115">
        <v>2520</v>
      </c>
      <c r="H339" s="6"/>
      <c r="I339" s="125">
        <v>46214</v>
      </c>
      <c r="J339" s="13">
        <f t="shared" si="194"/>
        <v>0</v>
      </c>
      <c r="K339" s="141"/>
      <c r="L339" s="161"/>
      <c r="M339" s="136"/>
      <c r="N339" s="136"/>
      <c r="O339" s="136"/>
      <c r="P339" s="136"/>
      <c r="Q339" s="136"/>
      <c r="R339" s="136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36"/>
      <c r="AD339" s="136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36"/>
      <c r="AR339" s="136"/>
      <c r="AS339" s="161">
        <v>62</v>
      </c>
      <c r="AT339" s="161"/>
      <c r="AU339" s="161">
        <v>405</v>
      </c>
      <c r="AV339" s="161"/>
      <c r="AW339" s="161">
        <v>506</v>
      </c>
      <c r="AX339" s="161"/>
      <c r="AY339" s="161">
        <v>612</v>
      </c>
      <c r="AZ339" s="161"/>
      <c r="BA339" s="161">
        <v>628</v>
      </c>
      <c r="BB339" s="161"/>
      <c r="BC339" s="161">
        <v>307</v>
      </c>
      <c r="BD339" s="161"/>
      <c r="BE339" s="136"/>
      <c r="BF339" s="136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36"/>
      <c r="BT339" s="136"/>
      <c r="BU339" s="161"/>
      <c r="BV339" s="161"/>
      <c r="BW339" s="161"/>
      <c r="BX339" s="161"/>
      <c r="BY339" s="161"/>
      <c r="BZ339" s="161"/>
      <c r="CA339" s="161"/>
      <c r="CB339" s="161"/>
      <c r="CC339" s="161"/>
      <c r="CD339" s="161"/>
      <c r="CE339" s="161"/>
      <c r="CF339" s="161"/>
      <c r="CG339" s="136"/>
      <c r="CH339" s="136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36"/>
      <c r="CV339" s="136"/>
      <c r="CW339" s="161"/>
      <c r="CX339" s="161"/>
      <c r="CY339" s="161"/>
      <c r="CZ339" s="161"/>
      <c r="DA339" s="161"/>
      <c r="DB339" s="161"/>
      <c r="DC339" s="161"/>
      <c r="DD339" s="161"/>
      <c r="DE339" s="161"/>
      <c r="DF339" s="161"/>
      <c r="DG339" s="161"/>
      <c r="DH339" s="161"/>
      <c r="DI339" s="136"/>
      <c r="DJ339" s="136"/>
      <c r="DK339" s="161"/>
      <c r="DL339" s="161"/>
      <c r="DM339" s="161"/>
      <c r="DN339" s="161"/>
      <c r="DO339" s="161"/>
      <c r="DP339" s="161"/>
      <c r="DQ339" s="161"/>
      <c r="DR339" s="161"/>
      <c r="DS339" s="161"/>
      <c r="DT339" s="161"/>
      <c r="DU339" s="161"/>
      <c r="DV339" s="161"/>
      <c r="DW339" s="136"/>
      <c r="DX339" s="136"/>
      <c r="DY339" s="161"/>
      <c r="DZ339" s="161"/>
      <c r="EA339" s="161"/>
      <c r="EB339" s="161"/>
      <c r="EC339" s="161"/>
      <c r="ED339" s="161"/>
      <c r="EE339" s="161"/>
      <c r="EF339" s="161"/>
      <c r="EG339" s="161"/>
      <c r="EH339" s="161"/>
      <c r="EI339" s="161"/>
      <c r="EJ339" s="161"/>
      <c r="EK339" s="136"/>
      <c r="EL339" s="136"/>
      <c r="EM339" s="136"/>
      <c r="EN339" s="136"/>
      <c r="EO339" s="136"/>
      <c r="EP339" s="136"/>
      <c r="EQ339" s="136"/>
      <c r="ER339" s="136"/>
      <c r="ES339" s="161"/>
      <c r="ET339" s="161"/>
      <c r="EU339" s="161"/>
      <c r="EV339" s="161"/>
      <c r="EW339" s="161"/>
      <c r="EX339" s="161"/>
      <c r="EY339" s="136"/>
      <c r="EZ339" s="136"/>
      <c r="FA339" s="161"/>
      <c r="FB339" s="161"/>
      <c r="FC339" s="161"/>
      <c r="FD339" s="161"/>
      <c r="FE339" s="161"/>
      <c r="FF339" s="161"/>
      <c r="FG339" s="161"/>
      <c r="FH339" s="161"/>
      <c r="FI339" s="161"/>
      <c r="FJ339" s="161"/>
      <c r="FK339" s="161"/>
      <c r="FL339" s="161"/>
      <c r="FM339" s="136"/>
      <c r="FN339" s="136"/>
      <c r="FO339" s="161"/>
      <c r="FP339" s="161"/>
      <c r="FQ339" s="161"/>
      <c r="FR339" s="161"/>
      <c r="FS339" s="161"/>
      <c r="FT339" s="161"/>
      <c r="FU339" s="161"/>
      <c r="FV339" s="161"/>
      <c r="FW339" s="161"/>
      <c r="FX339" s="161"/>
      <c r="FY339" s="161"/>
      <c r="FZ339" s="161"/>
      <c r="GA339" s="136"/>
      <c r="GB339" s="136"/>
      <c r="GC339" s="161"/>
      <c r="GD339" s="161"/>
      <c r="GE339" s="161"/>
      <c r="GF339" s="161"/>
      <c r="GG339" s="161"/>
      <c r="GH339" s="161"/>
      <c r="GI339" s="161"/>
      <c r="GJ339" s="161"/>
      <c r="GK339" s="161"/>
      <c r="GL339" s="161"/>
      <c r="GM339" s="161"/>
      <c r="GN339" s="161"/>
    </row>
    <row r="340" spans="1:196" hidden="1">
      <c r="A340" s="154"/>
      <c r="B340" s="126" t="s">
        <v>959</v>
      </c>
      <c r="C340" s="109" t="s">
        <v>947</v>
      </c>
      <c r="D340" s="119">
        <v>80</v>
      </c>
      <c r="E340" s="119"/>
      <c r="F340" s="107">
        <v>46220</v>
      </c>
      <c r="G340" s="115">
        <v>80</v>
      </c>
      <c r="H340" s="6"/>
      <c r="I340" s="125">
        <v>46207</v>
      </c>
      <c r="J340" s="13">
        <f t="shared" si="194"/>
        <v>0</v>
      </c>
      <c r="K340" s="141"/>
      <c r="L340" s="161"/>
      <c r="M340" s="136"/>
      <c r="N340" s="136"/>
      <c r="O340" s="136"/>
      <c r="P340" s="136"/>
      <c r="Q340" s="136"/>
      <c r="R340" s="136"/>
      <c r="S340" s="161"/>
      <c r="T340" s="161"/>
      <c r="U340" s="161"/>
      <c r="V340" s="161"/>
      <c r="W340" s="135"/>
      <c r="X340" s="135"/>
      <c r="Y340" s="135"/>
      <c r="Z340" s="135"/>
      <c r="AA340" s="135"/>
      <c r="AB340" s="135"/>
      <c r="AC340" s="136"/>
      <c r="AD340" s="136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36"/>
      <c r="AR340" s="136"/>
      <c r="AS340" s="161"/>
      <c r="AT340" s="161"/>
      <c r="AU340" s="135"/>
      <c r="AV340" s="135"/>
      <c r="AW340" s="161"/>
      <c r="AX340" s="161"/>
      <c r="AY340" s="161"/>
      <c r="AZ340" s="161"/>
      <c r="BA340" s="161"/>
      <c r="BB340" s="161"/>
      <c r="BC340" s="161">
        <v>80</v>
      </c>
      <c r="BD340" s="161"/>
      <c r="BE340" s="136"/>
      <c r="BF340" s="136"/>
      <c r="BG340" s="135"/>
      <c r="BH340" s="135"/>
      <c r="BI340" s="161"/>
      <c r="BJ340" s="161"/>
      <c r="BK340" s="161"/>
      <c r="BL340" s="161"/>
      <c r="BM340" s="161"/>
      <c r="BN340" s="161"/>
      <c r="BO340" s="135"/>
      <c r="BP340" s="135"/>
      <c r="BQ340" s="135"/>
      <c r="BR340" s="135"/>
      <c r="BS340" s="136"/>
      <c r="BT340" s="136"/>
      <c r="BU340" s="135"/>
      <c r="BV340" s="135"/>
      <c r="BW340" s="161"/>
      <c r="BX340" s="161"/>
      <c r="BY340" s="161"/>
      <c r="BZ340" s="161"/>
      <c r="CA340" s="135"/>
      <c r="CB340" s="135"/>
      <c r="CC340" s="135"/>
      <c r="CD340" s="135"/>
      <c r="CE340" s="135"/>
      <c r="CF340" s="135"/>
      <c r="CG340" s="136"/>
      <c r="CH340" s="136"/>
      <c r="CI340" s="161"/>
      <c r="CJ340" s="161"/>
      <c r="CK340" s="161"/>
      <c r="CL340" s="161"/>
      <c r="CM340" s="161"/>
      <c r="CN340" s="161"/>
      <c r="CO340" s="135"/>
      <c r="CP340" s="135"/>
      <c r="CQ340" s="135"/>
      <c r="CR340" s="135"/>
      <c r="CS340" s="135"/>
      <c r="CT340" s="135"/>
      <c r="CU340" s="136"/>
      <c r="CV340" s="136"/>
      <c r="CW340" s="161"/>
      <c r="CX340" s="161"/>
      <c r="CY340" s="161"/>
      <c r="CZ340" s="161"/>
      <c r="DA340" s="161"/>
      <c r="DB340" s="161"/>
      <c r="DC340" s="135"/>
      <c r="DD340" s="135"/>
      <c r="DE340" s="135"/>
      <c r="DF340" s="135"/>
      <c r="DG340" s="135"/>
      <c r="DH340" s="135"/>
      <c r="DI340" s="136"/>
      <c r="DJ340" s="136"/>
      <c r="DK340" s="161"/>
      <c r="DL340" s="161"/>
      <c r="DM340" s="161"/>
      <c r="DN340" s="161"/>
      <c r="DO340" s="161"/>
      <c r="DP340" s="161"/>
      <c r="DQ340" s="135"/>
      <c r="DR340" s="135"/>
      <c r="DS340" s="135"/>
      <c r="DT340" s="135"/>
      <c r="DU340" s="135"/>
      <c r="DV340" s="135"/>
      <c r="DW340" s="136"/>
      <c r="DX340" s="136"/>
      <c r="DY340" s="161"/>
      <c r="DZ340" s="161"/>
      <c r="EA340" s="161"/>
      <c r="EB340" s="161"/>
      <c r="EC340" s="161"/>
      <c r="ED340" s="161"/>
      <c r="EE340" s="135"/>
      <c r="EF340" s="135"/>
      <c r="EG340" s="135"/>
      <c r="EH340" s="135"/>
      <c r="EI340" s="135"/>
      <c r="EJ340" s="135"/>
      <c r="EK340" s="136"/>
      <c r="EL340" s="136"/>
      <c r="EM340" s="136"/>
      <c r="EN340" s="136"/>
      <c r="EO340" s="136"/>
      <c r="EP340" s="136"/>
      <c r="EQ340" s="136"/>
      <c r="ER340" s="136"/>
      <c r="ES340" s="135"/>
      <c r="ET340" s="135"/>
      <c r="EU340" s="135"/>
      <c r="EV340" s="135"/>
      <c r="EW340" s="135"/>
      <c r="EX340" s="135"/>
      <c r="EY340" s="136"/>
      <c r="EZ340" s="136"/>
      <c r="FA340" s="161"/>
      <c r="FB340" s="161"/>
      <c r="FC340" s="161"/>
      <c r="FD340" s="161"/>
      <c r="FE340" s="161"/>
      <c r="FF340" s="161"/>
      <c r="FG340" s="135"/>
      <c r="FH340" s="135"/>
      <c r="FI340" s="135"/>
      <c r="FJ340" s="135"/>
      <c r="FK340" s="135"/>
      <c r="FL340" s="135"/>
      <c r="FM340" s="136"/>
      <c r="FN340" s="136"/>
      <c r="FO340" s="161"/>
      <c r="FP340" s="161"/>
      <c r="FQ340" s="161"/>
      <c r="FR340" s="161"/>
      <c r="FS340" s="161"/>
      <c r="FT340" s="161"/>
      <c r="FU340" s="135"/>
      <c r="FV340" s="135"/>
      <c r="FW340" s="135"/>
      <c r="FX340" s="135"/>
      <c r="FY340" s="135"/>
      <c r="FZ340" s="135"/>
      <c r="GA340" s="136"/>
      <c r="GB340" s="136"/>
      <c r="GC340" s="161"/>
      <c r="GD340" s="161"/>
      <c r="GE340" s="161"/>
      <c r="GF340" s="161"/>
      <c r="GG340" s="161"/>
      <c r="GH340" s="161"/>
      <c r="GI340" s="135"/>
      <c r="GJ340" s="135"/>
      <c r="GK340" s="135"/>
      <c r="GL340" s="135"/>
      <c r="GM340" s="135"/>
      <c r="GN340" s="135"/>
    </row>
    <row r="341" spans="1:196" hidden="1">
      <c r="A341" s="154"/>
      <c r="B341" s="126" t="s">
        <v>793</v>
      </c>
      <c r="C341" s="109" t="s">
        <v>677</v>
      </c>
      <c r="D341" s="119"/>
      <c r="E341" s="119"/>
      <c r="F341" s="107">
        <v>46220</v>
      </c>
      <c r="G341" s="115">
        <v>240</v>
      </c>
      <c r="H341" s="6"/>
      <c r="I341" s="125">
        <v>46207</v>
      </c>
      <c r="J341" s="13">
        <f t="shared" si="194"/>
        <v>0</v>
      </c>
      <c r="K341" s="141"/>
      <c r="L341" s="161"/>
      <c r="M341" s="136"/>
      <c r="N341" s="136"/>
      <c r="O341" s="136"/>
      <c r="P341" s="136"/>
      <c r="Q341" s="136"/>
      <c r="R341" s="136"/>
      <c r="S341" s="161"/>
      <c r="T341" s="161"/>
      <c r="U341" s="161"/>
      <c r="V341" s="161"/>
      <c r="W341" s="161"/>
      <c r="X341" s="135"/>
      <c r="Y341" s="135"/>
      <c r="Z341" s="135"/>
      <c r="AA341" s="135"/>
      <c r="AB341" s="135"/>
      <c r="AC341" s="136"/>
      <c r="AD341" s="136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36"/>
      <c r="AR341" s="136"/>
      <c r="AS341" s="161"/>
      <c r="AT341" s="161"/>
      <c r="AU341" s="161"/>
      <c r="AV341" s="135"/>
      <c r="AW341" s="161"/>
      <c r="AX341" s="161"/>
      <c r="AY341" s="161"/>
      <c r="AZ341" s="161"/>
      <c r="BA341" s="161"/>
      <c r="BB341" s="161"/>
      <c r="BC341" s="161">
        <v>166</v>
      </c>
      <c r="BD341" s="161"/>
      <c r="BE341" s="136"/>
      <c r="BF341" s="136"/>
      <c r="BG341" s="161">
        <v>74</v>
      </c>
      <c r="BH341" s="135"/>
      <c r="BI341" s="161"/>
      <c r="BJ341" s="161"/>
      <c r="BK341" s="161"/>
      <c r="BL341" s="161"/>
      <c r="BM341" s="161"/>
      <c r="BN341" s="161"/>
      <c r="BO341" s="135"/>
      <c r="BP341" s="135"/>
      <c r="BQ341" s="135"/>
      <c r="BR341" s="135"/>
      <c r="BS341" s="136"/>
      <c r="BT341" s="136"/>
      <c r="BU341" s="135"/>
      <c r="BV341" s="135"/>
      <c r="BW341" s="161"/>
      <c r="BX341" s="161"/>
      <c r="BY341" s="161"/>
      <c r="BZ341" s="161"/>
      <c r="CA341" s="135"/>
      <c r="CB341" s="135"/>
      <c r="CC341" s="135"/>
      <c r="CD341" s="135"/>
      <c r="CE341" s="135"/>
      <c r="CF341" s="135"/>
      <c r="CG341" s="136"/>
      <c r="CH341" s="136"/>
      <c r="CI341" s="161"/>
      <c r="CJ341" s="161"/>
      <c r="CK341" s="161"/>
      <c r="CL341" s="161"/>
      <c r="CM341" s="161"/>
      <c r="CN341" s="161"/>
      <c r="CO341" s="135"/>
      <c r="CP341" s="135"/>
      <c r="CQ341" s="135"/>
      <c r="CR341" s="135"/>
      <c r="CS341" s="135"/>
      <c r="CT341" s="135"/>
      <c r="CU341" s="136"/>
      <c r="CV341" s="136"/>
      <c r="CW341" s="161"/>
      <c r="CX341" s="161"/>
      <c r="CY341" s="161"/>
      <c r="CZ341" s="161"/>
      <c r="DA341" s="161"/>
      <c r="DB341" s="161"/>
      <c r="DC341" s="135"/>
      <c r="DD341" s="135"/>
      <c r="DE341" s="135"/>
      <c r="DF341" s="135"/>
      <c r="DG341" s="135"/>
      <c r="DH341" s="135"/>
      <c r="DI341" s="136"/>
      <c r="DJ341" s="136"/>
      <c r="DK341" s="161"/>
      <c r="DL341" s="161"/>
      <c r="DM341" s="161"/>
      <c r="DN341" s="161"/>
      <c r="DO341" s="161"/>
      <c r="DP341" s="161"/>
      <c r="DQ341" s="135"/>
      <c r="DR341" s="135"/>
      <c r="DS341" s="135"/>
      <c r="DT341" s="135"/>
      <c r="DU341" s="135"/>
      <c r="DV341" s="135"/>
      <c r="DW341" s="136"/>
      <c r="DX341" s="136"/>
      <c r="DY341" s="161"/>
      <c r="DZ341" s="161"/>
      <c r="EA341" s="161"/>
      <c r="EB341" s="161"/>
      <c r="EC341" s="161"/>
      <c r="ED341" s="161"/>
      <c r="EE341" s="135"/>
      <c r="EF341" s="135"/>
      <c r="EG341" s="135"/>
      <c r="EH341" s="135"/>
      <c r="EI341" s="135"/>
      <c r="EJ341" s="135"/>
      <c r="EK341" s="136"/>
      <c r="EL341" s="136"/>
      <c r="EM341" s="136"/>
      <c r="EN341" s="136"/>
      <c r="EO341" s="136"/>
      <c r="EP341" s="136"/>
      <c r="EQ341" s="136"/>
      <c r="ER341" s="136"/>
      <c r="ES341" s="135"/>
      <c r="ET341" s="135"/>
      <c r="EU341" s="135"/>
      <c r="EV341" s="135"/>
      <c r="EW341" s="135"/>
      <c r="EX341" s="135"/>
      <c r="EY341" s="136"/>
      <c r="EZ341" s="136"/>
      <c r="FA341" s="161"/>
      <c r="FB341" s="161"/>
      <c r="FC341" s="161"/>
      <c r="FD341" s="161"/>
      <c r="FE341" s="161"/>
      <c r="FF341" s="161"/>
      <c r="FG341" s="135"/>
      <c r="FH341" s="135"/>
      <c r="FI341" s="135"/>
      <c r="FJ341" s="135"/>
      <c r="FK341" s="135"/>
      <c r="FL341" s="135"/>
      <c r="FM341" s="136"/>
      <c r="FN341" s="136"/>
      <c r="FO341" s="161"/>
      <c r="FP341" s="161"/>
      <c r="FQ341" s="161"/>
      <c r="FR341" s="161"/>
      <c r="FS341" s="161"/>
      <c r="FT341" s="161"/>
      <c r="FU341" s="135"/>
      <c r="FV341" s="135"/>
      <c r="FW341" s="135"/>
      <c r="FX341" s="135"/>
      <c r="FY341" s="135"/>
      <c r="FZ341" s="135"/>
      <c r="GA341" s="136"/>
      <c r="GB341" s="136"/>
      <c r="GC341" s="161"/>
      <c r="GD341" s="161"/>
      <c r="GE341" s="161"/>
      <c r="GF341" s="161"/>
      <c r="GG341" s="161"/>
      <c r="GH341" s="161"/>
      <c r="GI341" s="135"/>
      <c r="GJ341" s="135"/>
      <c r="GK341" s="135"/>
      <c r="GL341" s="135"/>
      <c r="GM341" s="135"/>
      <c r="GN341" s="135"/>
    </row>
    <row r="342" spans="1:196" hidden="1">
      <c r="A342" s="154"/>
      <c r="B342" s="126" t="s">
        <v>877</v>
      </c>
      <c r="C342" s="109" t="s">
        <v>679</v>
      </c>
      <c r="D342" s="119"/>
      <c r="E342" s="119"/>
      <c r="F342" s="107">
        <v>46220</v>
      </c>
      <c r="G342" s="115">
        <v>2180</v>
      </c>
      <c r="H342" s="6"/>
      <c r="I342" s="125">
        <v>46214</v>
      </c>
      <c r="J342" s="13">
        <f t="shared" si="194"/>
        <v>0</v>
      </c>
      <c r="K342" s="141"/>
      <c r="L342" s="161"/>
      <c r="M342" s="136"/>
      <c r="N342" s="136"/>
      <c r="O342" s="136"/>
      <c r="P342" s="136"/>
      <c r="Q342" s="136"/>
      <c r="R342" s="136"/>
      <c r="S342" s="161"/>
      <c r="T342" s="161"/>
      <c r="U342" s="161"/>
      <c r="V342" s="161"/>
      <c r="W342" s="135"/>
      <c r="X342" s="135"/>
      <c r="Y342" s="135"/>
      <c r="Z342" s="135"/>
      <c r="AA342" s="135"/>
      <c r="AB342" s="135"/>
      <c r="AC342" s="136"/>
      <c r="AD342" s="136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36"/>
      <c r="AR342" s="136"/>
      <c r="AS342" s="161"/>
      <c r="AT342" s="161"/>
      <c r="AU342" s="161"/>
      <c r="AV342" s="161"/>
      <c r="AW342" s="161"/>
      <c r="AX342" s="161"/>
      <c r="AY342" s="161"/>
      <c r="AZ342" s="161"/>
      <c r="BA342" s="161"/>
      <c r="BB342" s="161"/>
      <c r="BC342" s="161"/>
      <c r="BD342" s="161"/>
      <c r="BE342" s="136"/>
      <c r="BF342" s="136"/>
      <c r="BG342" s="161">
        <v>253</v>
      </c>
      <c r="BH342" s="161">
        <v>609</v>
      </c>
      <c r="BI342" s="161">
        <v>441</v>
      </c>
      <c r="BJ342" s="161">
        <v>636</v>
      </c>
      <c r="BK342" s="161">
        <v>241</v>
      </c>
      <c r="BL342" s="161"/>
      <c r="BM342" s="161"/>
      <c r="BN342" s="161"/>
      <c r="BO342" s="135"/>
      <c r="BP342" s="135"/>
      <c r="BQ342" s="135"/>
      <c r="BR342" s="135"/>
      <c r="BS342" s="136"/>
      <c r="BT342" s="136"/>
      <c r="BU342" s="135"/>
      <c r="BV342" s="135"/>
      <c r="BW342" s="161"/>
      <c r="BX342" s="161"/>
      <c r="BY342" s="161"/>
      <c r="BZ342" s="161"/>
      <c r="CA342" s="135"/>
      <c r="CB342" s="135"/>
      <c r="CC342" s="135"/>
      <c r="CD342" s="135"/>
      <c r="CE342" s="135"/>
      <c r="CF342" s="135"/>
      <c r="CG342" s="136"/>
      <c r="CH342" s="136"/>
      <c r="CI342" s="161"/>
      <c r="CJ342" s="161"/>
      <c r="CK342" s="161"/>
      <c r="CL342" s="161"/>
      <c r="CM342" s="161"/>
      <c r="CN342" s="161"/>
      <c r="CO342" s="135"/>
      <c r="CP342" s="135"/>
      <c r="CQ342" s="135"/>
      <c r="CR342" s="135"/>
      <c r="CS342" s="135"/>
      <c r="CT342" s="135"/>
      <c r="CU342" s="136"/>
      <c r="CV342" s="136"/>
      <c r="CW342" s="161"/>
      <c r="CX342" s="161"/>
      <c r="CY342" s="161"/>
      <c r="CZ342" s="161"/>
      <c r="DA342" s="161"/>
      <c r="DB342" s="161"/>
      <c r="DC342" s="135"/>
      <c r="DD342" s="135"/>
      <c r="DE342" s="135"/>
      <c r="DF342" s="135"/>
      <c r="DG342" s="135"/>
      <c r="DH342" s="135"/>
      <c r="DI342" s="136"/>
      <c r="DJ342" s="136"/>
      <c r="DK342" s="161"/>
      <c r="DL342" s="161"/>
      <c r="DM342" s="161"/>
      <c r="DN342" s="161"/>
      <c r="DO342" s="161"/>
      <c r="DP342" s="161"/>
      <c r="DQ342" s="135"/>
      <c r="DR342" s="135"/>
      <c r="DS342" s="135"/>
      <c r="DT342" s="135"/>
      <c r="DU342" s="135"/>
      <c r="DV342" s="135"/>
      <c r="DW342" s="136"/>
      <c r="DX342" s="136"/>
      <c r="DY342" s="161"/>
      <c r="DZ342" s="161"/>
      <c r="EA342" s="161"/>
      <c r="EB342" s="161"/>
      <c r="EC342" s="161"/>
      <c r="ED342" s="161"/>
      <c r="EE342" s="135"/>
      <c r="EF342" s="135"/>
      <c r="EG342" s="135"/>
      <c r="EH342" s="135"/>
      <c r="EI342" s="135"/>
      <c r="EJ342" s="135"/>
      <c r="EK342" s="136"/>
      <c r="EL342" s="136"/>
      <c r="EM342" s="136"/>
      <c r="EN342" s="136"/>
      <c r="EO342" s="136"/>
      <c r="EP342" s="136"/>
      <c r="EQ342" s="136"/>
      <c r="ER342" s="136"/>
      <c r="ES342" s="135"/>
      <c r="ET342" s="135"/>
      <c r="EU342" s="135"/>
      <c r="EV342" s="135"/>
      <c r="EW342" s="135"/>
      <c r="EX342" s="135"/>
      <c r="EY342" s="136"/>
      <c r="EZ342" s="136"/>
      <c r="FA342" s="161"/>
      <c r="FB342" s="161"/>
      <c r="FC342" s="161"/>
      <c r="FD342" s="161"/>
      <c r="FE342" s="161"/>
      <c r="FF342" s="161"/>
      <c r="FG342" s="135"/>
      <c r="FH342" s="135"/>
      <c r="FI342" s="135"/>
      <c r="FJ342" s="135"/>
      <c r="FK342" s="135"/>
      <c r="FL342" s="135"/>
      <c r="FM342" s="136"/>
      <c r="FN342" s="136"/>
      <c r="FO342" s="161"/>
      <c r="FP342" s="161"/>
      <c r="FQ342" s="161"/>
      <c r="FR342" s="161"/>
      <c r="FS342" s="161"/>
      <c r="FT342" s="161"/>
      <c r="FU342" s="135"/>
      <c r="FV342" s="135"/>
      <c r="FW342" s="135"/>
      <c r="FX342" s="135"/>
      <c r="FY342" s="135"/>
      <c r="FZ342" s="135"/>
      <c r="GA342" s="136"/>
      <c r="GB342" s="136"/>
      <c r="GC342" s="161"/>
      <c r="GD342" s="161"/>
      <c r="GE342" s="161"/>
      <c r="GF342" s="161"/>
      <c r="GG342" s="161"/>
      <c r="GH342" s="161"/>
      <c r="GI342" s="135"/>
      <c r="GJ342" s="135"/>
      <c r="GK342" s="135"/>
      <c r="GL342" s="135"/>
      <c r="GM342" s="135"/>
      <c r="GN342" s="135"/>
    </row>
    <row r="343" spans="1:196" hidden="1">
      <c r="A343" s="154"/>
      <c r="B343" s="126" t="s">
        <v>875</v>
      </c>
      <c r="C343" s="109" t="s">
        <v>679</v>
      </c>
      <c r="D343" s="119"/>
      <c r="E343" s="119"/>
      <c r="F343" s="107">
        <v>46224</v>
      </c>
      <c r="G343" s="115">
        <v>1500</v>
      </c>
      <c r="H343" s="6"/>
      <c r="I343" s="125">
        <v>46221</v>
      </c>
      <c r="J343" s="13">
        <f t="shared" si="194"/>
        <v>0</v>
      </c>
      <c r="K343" s="141" t="s">
        <v>1165</v>
      </c>
      <c r="L343" s="161"/>
      <c r="M343" s="136"/>
      <c r="N343" s="136"/>
      <c r="O343" s="136"/>
      <c r="P343" s="136"/>
      <c r="Q343" s="136"/>
      <c r="R343" s="136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36"/>
      <c r="AD343" s="136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36"/>
      <c r="AR343" s="136"/>
      <c r="AS343" s="161"/>
      <c r="AT343" s="161"/>
      <c r="AU343" s="161"/>
      <c r="AV343" s="161"/>
      <c r="AW343" s="161"/>
      <c r="AX343" s="161"/>
      <c r="AY343" s="161"/>
      <c r="AZ343" s="161"/>
      <c r="BA343" s="161"/>
      <c r="BB343" s="161"/>
      <c r="BC343" s="161"/>
      <c r="BD343" s="161"/>
      <c r="BE343" s="136"/>
      <c r="BF343" s="136"/>
      <c r="BG343" s="161"/>
      <c r="BH343" s="161"/>
      <c r="BI343" s="161"/>
      <c r="BJ343" s="161"/>
      <c r="BK343" s="161">
        <v>174</v>
      </c>
      <c r="BL343" s="161">
        <v>639</v>
      </c>
      <c r="BM343" s="161">
        <v>507</v>
      </c>
      <c r="BN343" s="161">
        <v>180</v>
      </c>
      <c r="BO343" s="135"/>
      <c r="BP343" s="135"/>
      <c r="BQ343" s="161"/>
      <c r="BR343" s="161"/>
      <c r="BS343" s="136"/>
      <c r="BT343" s="136"/>
      <c r="BU343" s="161"/>
      <c r="BV343" s="161"/>
      <c r="BW343" s="161"/>
      <c r="BX343" s="161"/>
      <c r="BY343" s="161"/>
      <c r="BZ343" s="161"/>
      <c r="CA343" s="161"/>
      <c r="CB343" s="161"/>
      <c r="CC343" s="161"/>
      <c r="CD343" s="161"/>
      <c r="CE343" s="161"/>
      <c r="CF343" s="161"/>
      <c r="CG343" s="136"/>
      <c r="CH343" s="136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36"/>
      <c r="CV343" s="136"/>
      <c r="CW343" s="161"/>
      <c r="CX343" s="161"/>
      <c r="CY343" s="161"/>
      <c r="CZ343" s="161"/>
      <c r="DA343" s="161"/>
      <c r="DB343" s="161"/>
      <c r="DC343" s="161"/>
      <c r="DD343" s="161"/>
      <c r="DE343" s="161"/>
      <c r="DF343" s="161"/>
      <c r="DG343" s="161"/>
      <c r="DH343" s="161"/>
      <c r="DI343" s="136"/>
      <c r="DJ343" s="136"/>
      <c r="DK343" s="161"/>
      <c r="DL343" s="161"/>
      <c r="DM343" s="161"/>
      <c r="DN343" s="161"/>
      <c r="DO343" s="161"/>
      <c r="DP343" s="161"/>
      <c r="DQ343" s="161"/>
      <c r="DR343" s="161"/>
      <c r="DS343" s="161"/>
      <c r="DT343" s="161"/>
      <c r="DU343" s="161"/>
      <c r="DV343" s="161"/>
      <c r="DW343" s="136"/>
      <c r="DX343" s="136"/>
      <c r="DY343" s="161"/>
      <c r="DZ343" s="161"/>
      <c r="EA343" s="161"/>
      <c r="EB343" s="161"/>
      <c r="EC343" s="161"/>
      <c r="ED343" s="161"/>
      <c r="EE343" s="161"/>
      <c r="EF343" s="161"/>
      <c r="EG343" s="161"/>
      <c r="EH343" s="161"/>
      <c r="EI343" s="161"/>
      <c r="EJ343" s="161"/>
      <c r="EK343" s="136"/>
      <c r="EL343" s="136"/>
      <c r="EM343" s="136"/>
      <c r="EN343" s="136"/>
      <c r="EO343" s="136"/>
      <c r="EP343" s="136"/>
      <c r="EQ343" s="136"/>
      <c r="ER343" s="136"/>
      <c r="ES343" s="161"/>
      <c r="ET343" s="161"/>
      <c r="EU343" s="161"/>
      <c r="EV343" s="161"/>
      <c r="EW343" s="161"/>
      <c r="EX343" s="161"/>
      <c r="EY343" s="136"/>
      <c r="EZ343" s="136"/>
      <c r="FA343" s="161"/>
      <c r="FB343" s="161"/>
      <c r="FC343" s="161"/>
      <c r="FD343" s="161"/>
      <c r="FE343" s="161"/>
      <c r="FF343" s="161"/>
      <c r="FG343" s="161"/>
      <c r="FH343" s="161"/>
      <c r="FI343" s="161"/>
      <c r="FJ343" s="161"/>
      <c r="FK343" s="161"/>
      <c r="FL343" s="161"/>
      <c r="FM343" s="136"/>
      <c r="FN343" s="136"/>
      <c r="FO343" s="161"/>
      <c r="FP343" s="161"/>
      <c r="FQ343" s="161"/>
      <c r="FR343" s="161"/>
      <c r="FS343" s="161"/>
      <c r="FT343" s="161"/>
      <c r="FU343" s="161"/>
      <c r="FV343" s="161"/>
      <c r="FW343" s="161"/>
      <c r="FX343" s="161"/>
      <c r="FY343" s="161"/>
      <c r="FZ343" s="161"/>
      <c r="GA343" s="136"/>
      <c r="GB343" s="136"/>
      <c r="GC343" s="161"/>
      <c r="GD343" s="161"/>
      <c r="GE343" s="161"/>
      <c r="GF343" s="161"/>
      <c r="GG343" s="161"/>
      <c r="GH343" s="161"/>
      <c r="GI343" s="161"/>
      <c r="GJ343" s="161"/>
      <c r="GK343" s="161"/>
      <c r="GL343" s="161"/>
      <c r="GM343" s="161"/>
      <c r="GN343" s="161"/>
    </row>
    <row r="344" spans="1:196" hidden="1">
      <c r="A344" s="154" t="s">
        <v>14</v>
      </c>
      <c r="B344" s="126" t="s">
        <v>842</v>
      </c>
      <c r="C344" s="109" t="s">
        <v>616</v>
      </c>
      <c r="D344" s="119"/>
      <c r="E344" s="119"/>
      <c r="F344" s="107">
        <v>46225</v>
      </c>
      <c r="G344" s="115">
        <v>3000</v>
      </c>
      <c r="H344" s="6"/>
      <c r="I344" s="125">
        <v>46221</v>
      </c>
      <c r="J344" s="13">
        <f t="shared" si="194"/>
        <v>0</v>
      </c>
      <c r="K344" s="141"/>
      <c r="L344" s="161"/>
      <c r="M344" s="136"/>
      <c r="N344" s="136"/>
      <c r="O344" s="136"/>
      <c r="P344" s="136"/>
      <c r="Q344" s="136"/>
      <c r="R344" s="136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36"/>
      <c r="AD344" s="136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36"/>
      <c r="AR344" s="136"/>
      <c r="AS344" s="161"/>
      <c r="AT344" s="161"/>
      <c r="AU344" s="161"/>
      <c r="AV344" s="161"/>
      <c r="AW344" s="161"/>
      <c r="AX344" s="161"/>
      <c r="AY344" s="161"/>
      <c r="AZ344" s="161"/>
      <c r="BA344" s="161"/>
      <c r="BB344" s="161"/>
      <c r="BC344" s="161"/>
      <c r="BD344" s="161"/>
      <c r="BE344" s="136"/>
      <c r="BF344" s="136"/>
      <c r="BG344" s="161"/>
      <c r="BH344" s="161"/>
      <c r="BI344" s="161"/>
      <c r="BJ344" s="161"/>
      <c r="BK344" s="161"/>
      <c r="BL344" s="161"/>
      <c r="BM344" s="161"/>
      <c r="BN344" s="161">
        <v>381</v>
      </c>
      <c r="BO344" s="161">
        <v>285</v>
      </c>
      <c r="BP344" s="161">
        <v>634</v>
      </c>
      <c r="BQ344" s="161">
        <v>507</v>
      </c>
      <c r="BR344" s="161">
        <v>605</v>
      </c>
      <c r="BS344" s="136"/>
      <c r="BT344" s="136"/>
      <c r="BU344" s="161">
        <v>427</v>
      </c>
      <c r="BV344" s="161"/>
      <c r="BW344" s="161">
        <v>161</v>
      </c>
      <c r="BX344" s="161"/>
      <c r="BY344" s="161"/>
      <c r="BZ344" s="161"/>
      <c r="CA344" s="161"/>
      <c r="CB344" s="161"/>
      <c r="CC344" s="161"/>
      <c r="CD344" s="161"/>
      <c r="CE344" s="161"/>
      <c r="CF344" s="161"/>
      <c r="CG344" s="136"/>
      <c r="CH344" s="136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36"/>
      <c r="CV344" s="136"/>
      <c r="CW344" s="161"/>
      <c r="CX344" s="161"/>
      <c r="CY344" s="161"/>
      <c r="CZ344" s="161"/>
      <c r="DA344" s="161"/>
      <c r="DB344" s="161"/>
      <c r="DC344" s="161"/>
      <c r="DD344" s="161"/>
      <c r="DE344" s="161"/>
      <c r="DF344" s="161"/>
      <c r="DG344" s="161"/>
      <c r="DH344" s="161"/>
      <c r="DI344" s="136"/>
      <c r="DJ344" s="136"/>
      <c r="DK344" s="161"/>
      <c r="DL344" s="161"/>
      <c r="DM344" s="161"/>
      <c r="DN344" s="161"/>
      <c r="DO344" s="161"/>
      <c r="DP344" s="161"/>
      <c r="DQ344" s="161"/>
      <c r="DR344" s="161"/>
      <c r="DS344" s="161"/>
      <c r="DT344" s="161"/>
      <c r="DU344" s="161"/>
      <c r="DV344" s="161"/>
      <c r="DW344" s="136"/>
      <c r="DX344" s="136"/>
      <c r="DY344" s="161"/>
      <c r="DZ344" s="161"/>
      <c r="EA344" s="161"/>
      <c r="EB344" s="161"/>
      <c r="EC344" s="161"/>
      <c r="ED344" s="161"/>
      <c r="EE344" s="161"/>
      <c r="EF344" s="161"/>
      <c r="EG344" s="161"/>
      <c r="EH344" s="161"/>
      <c r="EI344" s="161"/>
      <c r="EJ344" s="161"/>
      <c r="EK344" s="136"/>
      <c r="EL344" s="136"/>
      <c r="EM344" s="136"/>
      <c r="EN344" s="136"/>
      <c r="EO344" s="136"/>
      <c r="EP344" s="136"/>
      <c r="EQ344" s="136"/>
      <c r="ER344" s="136"/>
      <c r="ES344" s="161"/>
      <c r="ET344" s="161"/>
      <c r="EU344" s="161"/>
      <c r="EV344" s="161"/>
      <c r="EW344" s="161"/>
      <c r="EX344" s="161"/>
      <c r="EY344" s="136"/>
      <c r="EZ344" s="136"/>
      <c r="FA344" s="161"/>
      <c r="FB344" s="161"/>
      <c r="FC344" s="161"/>
      <c r="FD344" s="161"/>
      <c r="FE344" s="161"/>
      <c r="FF344" s="161"/>
      <c r="FG344" s="161"/>
      <c r="FH344" s="161"/>
      <c r="FI344" s="161"/>
      <c r="FJ344" s="161"/>
      <c r="FK344" s="161"/>
      <c r="FL344" s="161"/>
      <c r="FM344" s="136"/>
      <c r="FN344" s="136"/>
      <c r="FO344" s="161"/>
      <c r="FP344" s="161"/>
      <c r="FQ344" s="161"/>
      <c r="FR344" s="161"/>
      <c r="FS344" s="161"/>
      <c r="FT344" s="161"/>
      <c r="FU344" s="161"/>
      <c r="FV344" s="161"/>
      <c r="FW344" s="161"/>
      <c r="FX344" s="161"/>
      <c r="FY344" s="161"/>
      <c r="FZ344" s="161"/>
      <c r="GA344" s="136"/>
      <c r="GB344" s="136"/>
      <c r="GC344" s="161"/>
      <c r="GD344" s="161"/>
      <c r="GE344" s="161"/>
      <c r="GF344" s="161"/>
      <c r="GG344" s="161"/>
      <c r="GH344" s="161"/>
      <c r="GI344" s="161"/>
      <c r="GJ344" s="161"/>
      <c r="GK344" s="161"/>
      <c r="GL344" s="161"/>
      <c r="GM344" s="161"/>
      <c r="GN344" s="161"/>
    </row>
    <row r="345" spans="1:196">
      <c r="A345" s="154"/>
      <c r="B345" s="126" t="s">
        <v>1149</v>
      </c>
      <c r="C345" s="109" t="s">
        <v>679</v>
      </c>
      <c r="D345" s="119"/>
      <c r="E345" s="119"/>
      <c r="F345" s="107">
        <v>46225</v>
      </c>
      <c r="G345" s="115">
        <v>400</v>
      </c>
      <c r="H345" s="6"/>
      <c r="I345" s="125">
        <v>46221</v>
      </c>
      <c r="J345" s="13">
        <f t="shared" si="194"/>
        <v>0</v>
      </c>
      <c r="K345" s="106"/>
      <c r="L345" s="161"/>
      <c r="M345" s="136"/>
      <c r="N345" s="136"/>
      <c r="O345" s="136"/>
      <c r="P345" s="136"/>
      <c r="Q345" s="136"/>
      <c r="R345" s="136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36"/>
      <c r="AD345" s="136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36"/>
      <c r="AR345" s="136"/>
      <c r="AS345" s="161"/>
      <c r="AT345" s="161"/>
      <c r="AU345" s="161"/>
      <c r="AV345" s="161"/>
      <c r="AW345" s="161"/>
      <c r="AX345" s="161"/>
      <c r="AY345" s="161"/>
      <c r="AZ345" s="161"/>
      <c r="BA345" s="161"/>
      <c r="BB345" s="161"/>
      <c r="BC345" s="161"/>
      <c r="BD345" s="161"/>
      <c r="BE345" s="136"/>
      <c r="BF345" s="136"/>
      <c r="BG345" s="161"/>
      <c r="BH345" s="161"/>
      <c r="BI345" s="161"/>
      <c r="BJ345" s="161"/>
      <c r="BK345" s="161"/>
      <c r="BL345" s="161"/>
      <c r="BM345" s="161"/>
      <c r="BN345" s="161"/>
      <c r="BO345" s="135"/>
      <c r="BP345" s="135"/>
      <c r="BQ345" s="161"/>
      <c r="BR345" s="161"/>
      <c r="BS345" s="136"/>
      <c r="BT345" s="136"/>
      <c r="BU345" s="161"/>
      <c r="BV345" s="161"/>
      <c r="BW345" s="161">
        <v>380</v>
      </c>
      <c r="BX345" s="161"/>
      <c r="BY345" s="161"/>
      <c r="BZ345" s="161"/>
      <c r="CA345" s="161"/>
      <c r="CB345" s="161"/>
      <c r="CC345" s="161">
        <v>20</v>
      </c>
      <c r="CD345" s="161"/>
      <c r="CE345" s="161"/>
      <c r="CF345" s="161"/>
      <c r="CG345" s="136"/>
      <c r="CH345" s="136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36"/>
      <c r="CV345" s="136"/>
      <c r="CW345" s="161"/>
      <c r="CX345" s="161"/>
      <c r="CY345" s="161"/>
      <c r="CZ345" s="161"/>
      <c r="DA345" s="161"/>
      <c r="DB345" s="161"/>
      <c r="DC345" s="161"/>
      <c r="DD345" s="161"/>
      <c r="DE345" s="161"/>
      <c r="DF345" s="161"/>
      <c r="DG345" s="161"/>
      <c r="DH345" s="161"/>
      <c r="DI345" s="136"/>
      <c r="DJ345" s="136"/>
      <c r="DK345" s="161"/>
      <c r="DL345" s="161"/>
      <c r="DM345" s="161"/>
      <c r="DN345" s="161"/>
      <c r="DO345" s="161"/>
      <c r="DP345" s="161"/>
      <c r="DQ345" s="161"/>
      <c r="DR345" s="161"/>
      <c r="DS345" s="161"/>
      <c r="DT345" s="161"/>
      <c r="DU345" s="161"/>
      <c r="DV345" s="161"/>
      <c r="DW345" s="136"/>
      <c r="DX345" s="136"/>
      <c r="DY345" s="161"/>
      <c r="DZ345" s="161"/>
      <c r="EA345" s="161"/>
      <c r="EB345" s="161"/>
      <c r="EC345" s="161"/>
      <c r="ED345" s="161"/>
      <c r="EE345" s="161"/>
      <c r="EF345" s="161"/>
      <c r="EG345" s="161"/>
      <c r="EH345" s="161"/>
      <c r="EI345" s="161"/>
      <c r="EJ345" s="161"/>
      <c r="EK345" s="136"/>
      <c r="EL345" s="136"/>
      <c r="EM345" s="136"/>
      <c r="EN345" s="136"/>
      <c r="EO345" s="136"/>
      <c r="EP345" s="136"/>
      <c r="EQ345" s="136"/>
      <c r="ER345" s="136"/>
      <c r="ES345" s="161"/>
      <c r="ET345" s="161"/>
      <c r="EU345" s="161"/>
      <c r="EV345" s="161"/>
      <c r="EW345" s="161"/>
      <c r="EX345" s="161"/>
      <c r="EY345" s="136"/>
      <c r="EZ345" s="136"/>
      <c r="FA345" s="161"/>
      <c r="FB345" s="161"/>
      <c r="FC345" s="161"/>
      <c r="FD345" s="161"/>
      <c r="FE345" s="161"/>
      <c r="FF345" s="161"/>
      <c r="FG345" s="161"/>
      <c r="FH345" s="161"/>
      <c r="FI345" s="161"/>
      <c r="FJ345" s="161"/>
      <c r="FK345" s="161"/>
      <c r="FL345" s="161"/>
      <c r="FM345" s="136"/>
      <c r="FN345" s="136"/>
      <c r="FO345" s="161"/>
      <c r="FP345" s="161"/>
      <c r="FQ345" s="161"/>
      <c r="FR345" s="161"/>
      <c r="FS345" s="161"/>
      <c r="FT345" s="161"/>
      <c r="FU345" s="161"/>
      <c r="FV345" s="161"/>
      <c r="FW345" s="161"/>
      <c r="FX345" s="161"/>
      <c r="FY345" s="161"/>
      <c r="FZ345" s="161"/>
      <c r="GA345" s="136"/>
      <c r="GB345" s="136"/>
      <c r="GC345" s="161"/>
      <c r="GD345" s="161"/>
      <c r="GE345" s="161"/>
      <c r="GF345" s="161"/>
      <c r="GG345" s="161"/>
      <c r="GH345" s="161"/>
      <c r="GI345" s="161"/>
      <c r="GJ345" s="161"/>
      <c r="GK345" s="161"/>
      <c r="GL345" s="161"/>
      <c r="GM345" s="161"/>
      <c r="GN345" s="161"/>
    </row>
    <row r="346" spans="1:196">
      <c r="A346" s="154" t="s">
        <v>607</v>
      </c>
      <c r="B346" s="126" t="s">
        <v>876</v>
      </c>
      <c r="C346" s="109" t="s">
        <v>616</v>
      </c>
      <c r="D346" s="119"/>
      <c r="E346" s="119"/>
      <c r="F346" s="107">
        <v>46227</v>
      </c>
      <c r="G346" s="115">
        <v>3000</v>
      </c>
      <c r="H346" s="6"/>
      <c r="I346" s="125">
        <v>46228</v>
      </c>
      <c r="J346" s="13">
        <f t="shared" si="194"/>
        <v>0</v>
      </c>
      <c r="K346" s="141"/>
      <c r="L346" s="161"/>
      <c r="M346" s="136"/>
      <c r="N346" s="136"/>
      <c r="O346" s="136"/>
      <c r="P346" s="136"/>
      <c r="Q346" s="136"/>
      <c r="R346" s="136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36"/>
      <c r="AD346" s="136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36"/>
      <c r="AR346" s="136"/>
      <c r="AS346" s="161"/>
      <c r="AT346" s="161"/>
      <c r="AU346" s="161"/>
      <c r="AV346" s="161"/>
      <c r="AW346" s="161"/>
      <c r="AX346" s="161"/>
      <c r="AY346" s="161"/>
      <c r="AZ346" s="161"/>
      <c r="BA346" s="161"/>
      <c r="BB346" s="161"/>
      <c r="BC346" s="161"/>
      <c r="BD346" s="161"/>
      <c r="BE346" s="136"/>
      <c r="BF346" s="136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36"/>
      <c r="BT346" s="136"/>
      <c r="BU346" s="161"/>
      <c r="BV346" s="161"/>
      <c r="BW346" s="161"/>
      <c r="BX346" s="161"/>
      <c r="BY346" s="161">
        <v>364</v>
      </c>
      <c r="BZ346" s="161"/>
      <c r="CA346" s="161">
        <v>641</v>
      </c>
      <c r="CB346" s="161"/>
      <c r="CC346" s="161">
        <v>650</v>
      </c>
      <c r="CD346" s="161"/>
      <c r="CE346" s="161">
        <v>650</v>
      </c>
      <c r="CF346" s="161"/>
      <c r="CG346" s="136"/>
      <c r="CH346" s="136"/>
      <c r="CI346" s="161">
        <v>650</v>
      </c>
      <c r="CJ346" s="161"/>
      <c r="CK346" s="161">
        <v>45</v>
      </c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36"/>
      <c r="CV346" s="136"/>
      <c r="CW346" s="161"/>
      <c r="CX346" s="161"/>
      <c r="CY346" s="161"/>
      <c r="CZ346" s="161"/>
      <c r="DA346" s="161"/>
      <c r="DB346" s="161"/>
      <c r="DC346" s="161"/>
      <c r="DD346" s="161"/>
      <c r="DE346" s="161"/>
      <c r="DF346" s="161"/>
      <c r="DG346" s="161"/>
      <c r="DH346" s="161"/>
      <c r="DI346" s="136"/>
      <c r="DJ346" s="136"/>
      <c r="DK346" s="161"/>
      <c r="DL346" s="161"/>
      <c r="DM346" s="161"/>
      <c r="DN346" s="161"/>
      <c r="DO346" s="161"/>
      <c r="DP346" s="161"/>
      <c r="DQ346" s="161"/>
      <c r="DR346" s="161"/>
      <c r="DS346" s="161"/>
      <c r="DT346" s="161"/>
      <c r="DU346" s="161"/>
      <c r="DV346" s="161"/>
      <c r="DW346" s="136"/>
      <c r="DX346" s="136"/>
      <c r="DY346" s="161"/>
      <c r="DZ346" s="161"/>
      <c r="EA346" s="161"/>
      <c r="EB346" s="161"/>
      <c r="EC346" s="161"/>
      <c r="ED346" s="161"/>
      <c r="EE346" s="161"/>
      <c r="EF346" s="161"/>
      <c r="EG346" s="161"/>
      <c r="EH346" s="161"/>
      <c r="EI346" s="161"/>
      <c r="EJ346" s="161"/>
      <c r="EK346" s="136"/>
      <c r="EL346" s="136"/>
      <c r="EM346" s="136"/>
      <c r="EN346" s="136"/>
      <c r="EO346" s="136"/>
      <c r="EP346" s="136"/>
      <c r="EQ346" s="136"/>
      <c r="ER346" s="136"/>
      <c r="ES346" s="161"/>
      <c r="ET346" s="161"/>
      <c r="EU346" s="161"/>
      <c r="EV346" s="161"/>
      <c r="EW346" s="161"/>
      <c r="EX346" s="161"/>
      <c r="EY346" s="136"/>
      <c r="EZ346" s="136"/>
      <c r="FA346" s="161"/>
      <c r="FB346" s="161"/>
      <c r="FC346" s="161"/>
      <c r="FD346" s="161"/>
      <c r="FE346" s="161"/>
      <c r="FF346" s="161"/>
      <c r="FG346" s="161"/>
      <c r="FH346" s="161"/>
      <c r="FI346" s="161"/>
      <c r="FJ346" s="161"/>
      <c r="FK346" s="161"/>
      <c r="FL346" s="161"/>
      <c r="FM346" s="136"/>
      <c r="FN346" s="136"/>
      <c r="FO346" s="161"/>
      <c r="FP346" s="161"/>
      <c r="FQ346" s="161"/>
      <c r="FR346" s="161"/>
      <c r="FS346" s="161"/>
      <c r="FT346" s="161"/>
      <c r="FU346" s="161"/>
      <c r="FV346" s="161"/>
      <c r="FW346" s="161"/>
      <c r="FX346" s="161"/>
      <c r="FY346" s="161"/>
      <c r="FZ346" s="161"/>
      <c r="GA346" s="136"/>
      <c r="GB346" s="136"/>
      <c r="GC346" s="161"/>
      <c r="GD346" s="161"/>
      <c r="GE346" s="161"/>
      <c r="GF346" s="161"/>
      <c r="GG346" s="161"/>
      <c r="GH346" s="161"/>
      <c r="GI346" s="161"/>
      <c r="GJ346" s="161"/>
      <c r="GK346" s="161"/>
      <c r="GL346" s="161"/>
      <c r="GM346" s="161"/>
      <c r="GN346" s="161"/>
    </row>
    <row r="347" spans="1:196" ht="14" customHeight="1">
      <c r="A347" s="154"/>
      <c r="B347" s="126" t="s">
        <v>1005</v>
      </c>
      <c r="C347" s="109" t="s">
        <v>616</v>
      </c>
      <c r="D347" s="119"/>
      <c r="E347" s="119"/>
      <c r="F347" s="6"/>
      <c r="G347" s="115">
        <v>1000</v>
      </c>
      <c r="H347" s="6"/>
      <c r="I347" s="125">
        <v>46235</v>
      </c>
      <c r="J347" s="13">
        <f t="shared" ref="J347:J355" si="200">G347-SUM(L347:FL347)</f>
        <v>0</v>
      </c>
      <c r="K347" s="177"/>
      <c r="L347" s="161"/>
      <c r="M347" s="136"/>
      <c r="N347" s="136"/>
      <c r="O347" s="136"/>
      <c r="P347" s="136"/>
      <c r="Q347" s="136"/>
      <c r="R347" s="136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36"/>
      <c r="AD347" s="136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36"/>
      <c r="AR347" s="136"/>
      <c r="AS347" s="161"/>
      <c r="AT347" s="161"/>
      <c r="AU347" s="161"/>
      <c r="AV347" s="161"/>
      <c r="AW347" s="161"/>
      <c r="AX347" s="161"/>
      <c r="AY347" s="161"/>
      <c r="AZ347" s="161"/>
      <c r="BA347" s="161"/>
      <c r="BB347" s="161"/>
      <c r="BC347" s="161"/>
      <c r="BD347" s="161"/>
      <c r="BE347" s="136"/>
      <c r="BF347" s="136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36"/>
      <c r="BT347" s="136"/>
      <c r="BU347" s="161"/>
      <c r="BV347" s="161"/>
      <c r="BW347" s="161"/>
      <c r="BX347" s="161"/>
      <c r="BY347" s="161"/>
      <c r="BZ347" s="161"/>
      <c r="CA347" s="161"/>
      <c r="CB347" s="161"/>
      <c r="CC347" s="161"/>
      <c r="CD347" s="161"/>
      <c r="CE347" s="161"/>
      <c r="CF347" s="161"/>
      <c r="CG347" s="136"/>
      <c r="CH347" s="136"/>
      <c r="CI347" s="161"/>
      <c r="CJ347" s="161"/>
      <c r="CK347" s="161">
        <v>614</v>
      </c>
      <c r="CL347" s="161"/>
      <c r="CM347" s="161">
        <v>386</v>
      </c>
      <c r="CN347" s="161"/>
      <c r="CO347" s="161"/>
      <c r="CP347" s="161"/>
      <c r="CQ347" s="161"/>
      <c r="CR347" s="161"/>
      <c r="CS347" s="161"/>
      <c r="CT347" s="161"/>
      <c r="CU347" s="136"/>
      <c r="CV347" s="136"/>
      <c r="CW347" s="161"/>
      <c r="CX347" s="161"/>
      <c r="CY347" s="161"/>
      <c r="CZ347" s="161"/>
      <c r="DA347" s="161"/>
      <c r="DB347" s="161"/>
      <c r="DC347" s="161"/>
      <c r="DD347" s="161"/>
      <c r="DE347" s="161"/>
      <c r="DF347" s="161"/>
      <c r="DG347" s="161"/>
      <c r="DH347" s="161"/>
      <c r="DI347" s="136"/>
      <c r="DJ347" s="136"/>
      <c r="DK347" s="161"/>
      <c r="DL347" s="161"/>
      <c r="DM347" s="161"/>
      <c r="DN347" s="161"/>
      <c r="DO347" s="161"/>
      <c r="DP347" s="161"/>
      <c r="DQ347" s="161"/>
      <c r="DR347" s="161"/>
      <c r="DS347" s="161"/>
      <c r="DT347" s="161"/>
      <c r="DU347" s="161"/>
      <c r="DV347" s="161"/>
      <c r="DW347" s="136"/>
      <c r="DX347" s="136"/>
      <c r="DY347" s="161"/>
      <c r="DZ347" s="161"/>
      <c r="EA347" s="161"/>
      <c r="EB347" s="161"/>
      <c r="EC347" s="161"/>
      <c r="ED347" s="161"/>
      <c r="EE347" s="161"/>
      <c r="EF347" s="161"/>
      <c r="EG347" s="161"/>
      <c r="EH347" s="161"/>
      <c r="EI347" s="161"/>
      <c r="EJ347" s="161"/>
      <c r="EK347" s="136"/>
      <c r="EL347" s="136"/>
      <c r="EM347" s="136"/>
      <c r="EN347" s="136"/>
      <c r="EO347" s="136"/>
      <c r="EP347" s="136"/>
      <c r="EQ347" s="136"/>
      <c r="ER347" s="136"/>
      <c r="ES347" s="161"/>
      <c r="ET347" s="161"/>
      <c r="EU347" s="161"/>
      <c r="EV347" s="161"/>
      <c r="EW347" s="161"/>
      <c r="EX347" s="161"/>
      <c r="EY347" s="136"/>
      <c r="EZ347" s="136"/>
      <c r="FA347" s="161"/>
      <c r="FB347" s="161"/>
      <c r="FC347" s="161"/>
      <c r="FD347" s="161"/>
      <c r="FE347" s="161"/>
      <c r="FF347" s="161"/>
      <c r="FG347" s="161"/>
      <c r="FH347" s="161"/>
      <c r="FI347" s="161"/>
      <c r="FJ347" s="161"/>
      <c r="FK347" s="161"/>
      <c r="FL347" s="161"/>
      <c r="FM347" s="136"/>
      <c r="FN347" s="136"/>
      <c r="FO347" s="161"/>
      <c r="FP347" s="161"/>
      <c r="FQ347" s="161"/>
      <c r="FR347" s="161"/>
      <c r="FS347" s="161"/>
      <c r="FT347" s="161"/>
      <c r="FU347" s="161"/>
      <c r="FV347" s="161"/>
      <c r="FW347" s="161"/>
      <c r="FX347" s="161"/>
      <c r="FY347" s="161"/>
      <c r="FZ347" s="161"/>
      <c r="GA347" s="136"/>
      <c r="GB347" s="136"/>
      <c r="GC347" s="161"/>
      <c r="GD347" s="161"/>
      <c r="GE347" s="161"/>
      <c r="GF347" s="161"/>
      <c r="GG347" s="161"/>
      <c r="GH347" s="161"/>
      <c r="GI347" s="161"/>
      <c r="GJ347" s="161"/>
      <c r="GK347" s="161"/>
      <c r="GL347" s="161"/>
      <c r="GM347" s="161"/>
      <c r="GN347" s="161"/>
    </row>
    <row r="348" spans="1:196" ht="27" customHeight="1">
      <c r="A348" s="155"/>
      <c r="B348" s="137" t="s">
        <v>852</v>
      </c>
      <c r="C348" s="12" t="s">
        <v>250</v>
      </c>
      <c r="D348" s="119"/>
      <c r="E348" s="119"/>
      <c r="F348" s="133"/>
      <c r="G348" s="95">
        <v>10</v>
      </c>
      <c r="H348" s="133"/>
      <c r="I348" s="108">
        <v>46207</v>
      </c>
      <c r="J348" s="134">
        <f t="shared" si="200"/>
        <v>0</v>
      </c>
      <c r="K348" s="175" t="s">
        <v>850</v>
      </c>
      <c r="L348" s="161"/>
      <c r="M348" s="136"/>
      <c r="N348" s="136"/>
      <c r="O348" s="136"/>
      <c r="P348" s="136"/>
      <c r="Q348" s="136"/>
      <c r="R348" s="136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36"/>
      <c r="AD348" s="136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36"/>
      <c r="AR348" s="136"/>
      <c r="AS348" s="161"/>
      <c r="AT348" s="161"/>
      <c r="AU348" s="161"/>
      <c r="AV348" s="161"/>
      <c r="AW348" s="161"/>
      <c r="AX348" s="161"/>
      <c r="AY348" s="161"/>
      <c r="AZ348" s="161"/>
      <c r="BA348" s="161"/>
      <c r="BB348" s="161"/>
      <c r="BC348" s="161"/>
      <c r="BD348" s="161"/>
      <c r="BE348" s="136"/>
      <c r="BF348" s="136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36"/>
      <c r="BT348" s="136"/>
      <c r="BU348" s="161"/>
      <c r="BV348" s="161"/>
      <c r="BW348" s="161"/>
      <c r="BX348" s="161"/>
      <c r="BY348" s="161"/>
      <c r="BZ348" s="161"/>
      <c r="CA348" s="161"/>
      <c r="CB348" s="161"/>
      <c r="CC348" s="161"/>
      <c r="CD348" s="161"/>
      <c r="CE348" s="161"/>
      <c r="CF348" s="161"/>
      <c r="CG348" s="136"/>
      <c r="CH348" s="136"/>
      <c r="CI348" s="161"/>
      <c r="CJ348" s="161"/>
      <c r="CK348" s="161"/>
      <c r="CL348" s="161"/>
      <c r="CM348" s="161">
        <v>10</v>
      </c>
      <c r="CN348" s="161"/>
      <c r="CO348" s="161"/>
      <c r="CP348" s="161"/>
      <c r="CQ348" s="161"/>
      <c r="CR348" s="161"/>
      <c r="CS348" s="161"/>
      <c r="CT348" s="161"/>
      <c r="CU348" s="136"/>
      <c r="CV348" s="136"/>
      <c r="CW348" s="161"/>
      <c r="CX348" s="161"/>
      <c r="CY348" s="161"/>
      <c r="CZ348" s="161"/>
      <c r="DA348" s="161"/>
      <c r="DB348" s="161"/>
      <c r="DC348" s="161"/>
      <c r="DD348" s="161"/>
      <c r="DE348" s="161"/>
      <c r="DF348" s="161"/>
      <c r="DG348" s="161"/>
      <c r="DH348" s="161"/>
      <c r="DI348" s="136"/>
      <c r="DJ348" s="136"/>
      <c r="DK348" s="161"/>
      <c r="DL348" s="161"/>
      <c r="DM348" s="161"/>
      <c r="DN348" s="161"/>
      <c r="DO348" s="161"/>
      <c r="DP348" s="161"/>
      <c r="DQ348" s="161"/>
      <c r="DR348" s="161"/>
      <c r="DS348" s="161"/>
      <c r="DT348" s="161"/>
      <c r="DU348" s="161"/>
      <c r="DV348" s="161"/>
      <c r="DW348" s="136"/>
      <c r="DX348" s="136"/>
      <c r="DY348" s="161"/>
      <c r="DZ348" s="161"/>
      <c r="EA348" s="161"/>
      <c r="EB348" s="161"/>
      <c r="EC348" s="161"/>
      <c r="ED348" s="161"/>
      <c r="EE348" s="161"/>
      <c r="EF348" s="161"/>
      <c r="EG348" s="161"/>
      <c r="EH348" s="161"/>
      <c r="EI348" s="161"/>
      <c r="EJ348" s="161"/>
      <c r="EK348" s="136"/>
      <c r="EL348" s="136"/>
      <c r="EM348" s="136"/>
      <c r="EN348" s="136"/>
      <c r="EO348" s="136"/>
      <c r="EP348" s="136"/>
      <c r="EQ348" s="136"/>
      <c r="ER348" s="136"/>
      <c r="ES348" s="161"/>
      <c r="ET348" s="161"/>
      <c r="EU348" s="161"/>
      <c r="EV348" s="161"/>
      <c r="EW348" s="161"/>
      <c r="EX348" s="161"/>
      <c r="EY348" s="136"/>
      <c r="EZ348" s="136"/>
      <c r="FA348" s="161"/>
      <c r="FB348" s="161"/>
      <c r="FC348" s="161"/>
      <c r="FD348" s="161"/>
      <c r="FE348" s="161"/>
      <c r="FF348" s="161"/>
      <c r="FG348" s="161"/>
      <c r="FH348" s="161"/>
      <c r="FI348" s="161"/>
      <c r="FJ348" s="161"/>
      <c r="FK348" s="161"/>
      <c r="FL348" s="161"/>
      <c r="FM348" s="136"/>
      <c r="FN348" s="136"/>
      <c r="FO348" s="161"/>
      <c r="FP348" s="161"/>
      <c r="FQ348" s="161"/>
      <c r="FR348" s="161"/>
      <c r="FS348" s="161"/>
      <c r="FT348" s="161"/>
      <c r="FU348" s="161"/>
      <c r="FV348" s="161"/>
      <c r="FW348" s="161"/>
      <c r="FX348" s="161"/>
      <c r="FY348" s="161"/>
      <c r="FZ348" s="161"/>
      <c r="GA348" s="136"/>
      <c r="GB348" s="136"/>
      <c r="GC348" s="161"/>
      <c r="GD348" s="161"/>
      <c r="GE348" s="161"/>
      <c r="GF348" s="161"/>
      <c r="GG348" s="161"/>
      <c r="GH348" s="161"/>
      <c r="GI348" s="161"/>
      <c r="GJ348" s="161"/>
      <c r="GK348" s="161"/>
      <c r="GL348" s="161"/>
      <c r="GM348" s="161"/>
      <c r="GN348" s="161"/>
    </row>
    <row r="349" spans="1:196" ht="27" customHeight="1">
      <c r="A349" s="155"/>
      <c r="B349" s="137" t="s">
        <v>853</v>
      </c>
      <c r="C349" s="12" t="s">
        <v>250</v>
      </c>
      <c r="D349" s="119"/>
      <c r="E349" s="119"/>
      <c r="F349" s="133"/>
      <c r="G349" s="95">
        <v>10</v>
      </c>
      <c r="H349" s="133"/>
      <c r="I349" s="108">
        <v>46207</v>
      </c>
      <c r="J349" s="134">
        <f t="shared" si="200"/>
        <v>0</v>
      </c>
      <c r="K349" s="175" t="s">
        <v>851</v>
      </c>
      <c r="L349" s="161"/>
      <c r="M349" s="136"/>
      <c r="N349" s="136"/>
      <c r="O349" s="136"/>
      <c r="P349" s="136"/>
      <c r="Q349" s="136"/>
      <c r="R349" s="136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36"/>
      <c r="AD349" s="136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36"/>
      <c r="AR349" s="136"/>
      <c r="AS349" s="161"/>
      <c r="AT349" s="161"/>
      <c r="AU349" s="161"/>
      <c r="AV349" s="161"/>
      <c r="AW349" s="161"/>
      <c r="AX349" s="161"/>
      <c r="AY349" s="161"/>
      <c r="AZ349" s="161"/>
      <c r="BA349" s="161"/>
      <c r="BB349" s="161"/>
      <c r="BC349" s="161"/>
      <c r="BD349" s="161"/>
      <c r="BE349" s="136"/>
      <c r="BF349" s="136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36"/>
      <c r="BT349" s="136"/>
      <c r="BU349" s="161"/>
      <c r="BV349" s="161"/>
      <c r="BW349" s="161"/>
      <c r="BX349" s="161"/>
      <c r="BY349" s="161"/>
      <c r="BZ349" s="161"/>
      <c r="CA349" s="161"/>
      <c r="CB349" s="161"/>
      <c r="CC349" s="161"/>
      <c r="CD349" s="161"/>
      <c r="CE349" s="161"/>
      <c r="CF349" s="161"/>
      <c r="CG349" s="136"/>
      <c r="CH349" s="136"/>
      <c r="CI349" s="161"/>
      <c r="CJ349" s="161"/>
      <c r="CK349" s="161"/>
      <c r="CL349" s="161"/>
      <c r="CM349" s="161">
        <v>10</v>
      </c>
      <c r="CN349" s="161"/>
      <c r="CO349" s="161"/>
      <c r="CP349" s="161"/>
      <c r="CQ349" s="161"/>
      <c r="CR349" s="161"/>
      <c r="CS349" s="161"/>
      <c r="CT349" s="161"/>
      <c r="CU349" s="136"/>
      <c r="CV349" s="136"/>
      <c r="CW349" s="161"/>
      <c r="CX349" s="161"/>
      <c r="CY349" s="161"/>
      <c r="CZ349" s="161"/>
      <c r="DA349" s="161"/>
      <c r="DB349" s="161"/>
      <c r="DC349" s="161"/>
      <c r="DD349" s="161"/>
      <c r="DE349" s="161"/>
      <c r="DF349" s="161"/>
      <c r="DG349" s="161"/>
      <c r="DH349" s="161"/>
      <c r="DI349" s="136"/>
      <c r="DJ349" s="136"/>
      <c r="DK349" s="161"/>
      <c r="DL349" s="161"/>
      <c r="DM349" s="161"/>
      <c r="DN349" s="161"/>
      <c r="DO349" s="161"/>
      <c r="DP349" s="161"/>
      <c r="DQ349" s="161"/>
      <c r="DR349" s="161"/>
      <c r="DS349" s="161"/>
      <c r="DT349" s="161"/>
      <c r="DU349" s="161"/>
      <c r="DV349" s="161"/>
      <c r="DW349" s="136"/>
      <c r="DX349" s="136"/>
      <c r="DY349" s="161"/>
      <c r="DZ349" s="161"/>
      <c r="EA349" s="161"/>
      <c r="EB349" s="161"/>
      <c r="EC349" s="161"/>
      <c r="ED349" s="161"/>
      <c r="EE349" s="161"/>
      <c r="EF349" s="161"/>
      <c r="EG349" s="161"/>
      <c r="EH349" s="161"/>
      <c r="EI349" s="161"/>
      <c r="EJ349" s="161"/>
      <c r="EK349" s="136"/>
      <c r="EL349" s="136"/>
      <c r="EM349" s="136"/>
      <c r="EN349" s="136"/>
      <c r="EO349" s="136"/>
      <c r="EP349" s="136"/>
      <c r="EQ349" s="136"/>
      <c r="ER349" s="136"/>
      <c r="ES349" s="161"/>
      <c r="ET349" s="161"/>
      <c r="EU349" s="161"/>
      <c r="EV349" s="161"/>
      <c r="EW349" s="161"/>
      <c r="EX349" s="161"/>
      <c r="EY349" s="136"/>
      <c r="EZ349" s="136"/>
      <c r="FA349" s="161"/>
      <c r="FB349" s="161"/>
      <c r="FC349" s="161"/>
      <c r="FD349" s="161"/>
      <c r="FE349" s="161"/>
      <c r="FF349" s="161"/>
      <c r="FG349" s="161"/>
      <c r="FH349" s="161"/>
      <c r="FI349" s="161"/>
      <c r="FJ349" s="161"/>
      <c r="FK349" s="161"/>
      <c r="FL349" s="161"/>
      <c r="FM349" s="136"/>
      <c r="FN349" s="136"/>
      <c r="FO349" s="161"/>
      <c r="FP349" s="161"/>
      <c r="FQ349" s="161"/>
      <c r="FR349" s="161"/>
      <c r="FS349" s="161"/>
      <c r="FT349" s="161"/>
      <c r="FU349" s="161"/>
      <c r="FV349" s="161"/>
      <c r="FW349" s="161"/>
      <c r="FX349" s="161"/>
      <c r="FY349" s="161"/>
      <c r="FZ349" s="161"/>
      <c r="GA349" s="136"/>
      <c r="GB349" s="136"/>
      <c r="GC349" s="161"/>
      <c r="GD349" s="161"/>
      <c r="GE349" s="161"/>
      <c r="GF349" s="161"/>
      <c r="GG349" s="161"/>
      <c r="GH349" s="161"/>
      <c r="GI349" s="161"/>
      <c r="GJ349" s="161"/>
      <c r="GK349" s="161"/>
      <c r="GL349" s="161"/>
      <c r="GM349" s="161"/>
      <c r="GN349" s="161"/>
    </row>
    <row r="350" spans="1:196">
      <c r="A350" s="154"/>
      <c r="B350" s="126" t="s">
        <v>1179</v>
      </c>
      <c r="C350" s="109" t="s">
        <v>615</v>
      </c>
      <c r="D350" s="119"/>
      <c r="E350" s="119"/>
      <c r="F350" s="6"/>
      <c r="G350" s="115">
        <v>700</v>
      </c>
      <c r="H350" s="6"/>
      <c r="I350" s="125">
        <v>46242</v>
      </c>
      <c r="J350" s="13">
        <f t="shared" si="200"/>
        <v>0</v>
      </c>
      <c r="K350" s="187" t="s">
        <v>1334</v>
      </c>
      <c r="L350" s="161"/>
      <c r="M350" s="136"/>
      <c r="N350" s="136"/>
      <c r="O350" s="136"/>
      <c r="P350" s="136"/>
      <c r="Q350" s="136"/>
      <c r="R350" s="136"/>
      <c r="S350" s="161"/>
      <c r="T350" s="161"/>
      <c r="U350" s="161"/>
      <c r="V350" s="161"/>
      <c r="W350" s="135"/>
      <c r="X350" s="135"/>
      <c r="Y350" s="135"/>
      <c r="Z350" s="135"/>
      <c r="AA350" s="135"/>
      <c r="AB350" s="135"/>
      <c r="AC350" s="136"/>
      <c r="AD350" s="136"/>
      <c r="AE350" s="161"/>
      <c r="AF350" s="161"/>
      <c r="AG350" s="161"/>
      <c r="AH350" s="161"/>
      <c r="AI350" s="161"/>
      <c r="AJ350" s="161"/>
      <c r="AK350" s="135"/>
      <c r="AL350" s="135"/>
      <c r="AM350" s="135"/>
      <c r="AN350" s="135"/>
      <c r="AO350" s="135"/>
      <c r="AP350" s="135"/>
      <c r="AQ350" s="136"/>
      <c r="AR350" s="136"/>
      <c r="AS350" s="161"/>
      <c r="AT350" s="161"/>
      <c r="AU350" s="161"/>
      <c r="AV350" s="161"/>
      <c r="AW350" s="161"/>
      <c r="AX350" s="161"/>
      <c r="AY350" s="135"/>
      <c r="AZ350" s="135"/>
      <c r="BA350" s="135"/>
      <c r="BB350" s="135"/>
      <c r="BC350" s="135"/>
      <c r="BD350" s="135"/>
      <c r="BE350" s="136"/>
      <c r="BF350" s="136"/>
      <c r="BG350" s="161"/>
      <c r="BH350" s="161"/>
      <c r="BI350" s="161"/>
      <c r="BJ350" s="161"/>
      <c r="BK350" s="161"/>
      <c r="BL350" s="161"/>
      <c r="BM350" s="135"/>
      <c r="BN350" s="135"/>
      <c r="BO350" s="135"/>
      <c r="BP350" s="135"/>
      <c r="BQ350" s="135"/>
      <c r="BR350" s="135"/>
      <c r="BS350" s="136"/>
      <c r="BT350" s="136"/>
      <c r="BU350" s="161"/>
      <c r="BV350" s="161"/>
      <c r="BW350" s="161"/>
      <c r="BX350" s="161"/>
      <c r="BY350" s="161"/>
      <c r="BZ350" s="161"/>
      <c r="CA350" s="135"/>
      <c r="CB350" s="135"/>
      <c r="CC350" s="135"/>
      <c r="CD350" s="135"/>
      <c r="CE350" s="135"/>
      <c r="CF350" s="135"/>
      <c r="CG350" s="136"/>
      <c r="CH350" s="136"/>
      <c r="CI350" s="135"/>
      <c r="CJ350" s="161"/>
      <c r="CK350" s="135"/>
      <c r="CL350" s="161"/>
      <c r="CM350" s="135">
        <v>150</v>
      </c>
      <c r="CN350" s="135"/>
      <c r="CO350" s="135">
        <v>380</v>
      </c>
      <c r="CP350" s="161"/>
      <c r="CQ350" s="135">
        <v>170</v>
      </c>
      <c r="CR350" s="135"/>
      <c r="CS350" s="135"/>
      <c r="CT350" s="135"/>
      <c r="CU350" s="136"/>
      <c r="CV350" s="136"/>
      <c r="CW350" s="135"/>
      <c r="CX350" s="161"/>
      <c r="CY350" s="135"/>
      <c r="CZ350" s="161"/>
      <c r="DA350" s="135"/>
      <c r="DB350" s="161"/>
      <c r="DC350" s="161"/>
      <c r="DD350" s="161"/>
      <c r="DE350" s="135"/>
      <c r="DF350" s="135"/>
      <c r="DG350" s="135"/>
      <c r="DH350" s="135"/>
      <c r="DI350" s="136"/>
      <c r="DJ350" s="136"/>
      <c r="DK350" s="161"/>
      <c r="DL350" s="161"/>
      <c r="DM350" s="161"/>
      <c r="DN350" s="161"/>
      <c r="DO350" s="161"/>
      <c r="DP350" s="161"/>
      <c r="DQ350" s="135"/>
      <c r="DR350" s="135"/>
      <c r="DS350" s="135"/>
      <c r="DT350" s="135"/>
      <c r="DU350" s="135"/>
      <c r="DV350" s="135"/>
      <c r="DW350" s="136"/>
      <c r="DX350" s="136"/>
      <c r="DY350" s="161"/>
      <c r="DZ350" s="161"/>
      <c r="EA350" s="161"/>
      <c r="EB350" s="161"/>
      <c r="EC350" s="161"/>
      <c r="ED350" s="161"/>
      <c r="EE350" s="135"/>
      <c r="EF350" s="135"/>
      <c r="EG350" s="135"/>
      <c r="EH350" s="135"/>
      <c r="EI350" s="135"/>
      <c r="EJ350" s="135"/>
      <c r="EK350" s="136"/>
      <c r="EL350" s="136"/>
      <c r="EM350" s="136"/>
      <c r="EN350" s="136"/>
      <c r="EO350" s="136"/>
      <c r="EP350" s="136"/>
      <c r="EQ350" s="136"/>
      <c r="ER350" s="136"/>
      <c r="ES350" s="135"/>
      <c r="ET350" s="135"/>
      <c r="EU350" s="135"/>
      <c r="EV350" s="135"/>
      <c r="EW350" s="135"/>
      <c r="EX350" s="135"/>
      <c r="EY350" s="136"/>
      <c r="EZ350" s="136"/>
      <c r="FA350" s="161"/>
      <c r="FB350" s="161"/>
      <c r="FC350" s="161"/>
      <c r="FD350" s="161"/>
      <c r="FE350" s="161"/>
      <c r="FF350" s="161"/>
      <c r="FG350" s="135"/>
      <c r="FH350" s="135"/>
      <c r="FI350" s="135"/>
      <c r="FJ350" s="135"/>
      <c r="FK350" s="135"/>
      <c r="FL350" s="135"/>
      <c r="FM350" s="136"/>
      <c r="FN350" s="136"/>
      <c r="FO350" s="161"/>
      <c r="FP350" s="161"/>
      <c r="FQ350" s="161"/>
      <c r="FR350" s="161"/>
      <c r="FS350" s="161"/>
      <c r="FT350" s="161"/>
      <c r="FU350" s="135"/>
      <c r="FV350" s="135"/>
      <c r="FW350" s="135"/>
      <c r="FX350" s="135"/>
      <c r="FY350" s="135"/>
      <c r="FZ350" s="135"/>
      <c r="GA350" s="136"/>
      <c r="GB350" s="136"/>
      <c r="GC350" s="161"/>
      <c r="GD350" s="161"/>
      <c r="GE350" s="161"/>
      <c r="GF350" s="161"/>
      <c r="GG350" s="161"/>
      <c r="GH350" s="161"/>
      <c r="GI350" s="135"/>
      <c r="GJ350" s="135"/>
      <c r="GK350" s="135"/>
      <c r="GL350" s="135"/>
      <c r="GM350" s="135"/>
      <c r="GN350" s="135"/>
    </row>
    <row r="351" spans="1:196" ht="25">
      <c r="A351" s="154"/>
      <c r="B351" s="126" t="s">
        <v>1254</v>
      </c>
      <c r="C351" s="109" t="s">
        <v>615</v>
      </c>
      <c r="D351" s="119"/>
      <c r="E351" s="119"/>
      <c r="F351" s="6"/>
      <c r="G351" s="115">
        <v>300</v>
      </c>
      <c r="H351" s="6"/>
      <c r="I351" s="125">
        <v>46242</v>
      </c>
      <c r="J351" s="13">
        <f t="shared" si="200"/>
        <v>0</v>
      </c>
      <c r="K351" s="141" t="s">
        <v>1333</v>
      </c>
      <c r="L351" s="161"/>
      <c r="M351" s="136"/>
      <c r="N351" s="136"/>
      <c r="O351" s="136"/>
      <c r="P351" s="136"/>
      <c r="Q351" s="136"/>
      <c r="R351" s="136"/>
      <c r="S351" s="161"/>
      <c r="T351" s="161"/>
      <c r="U351" s="161"/>
      <c r="V351" s="161"/>
      <c r="W351" s="135"/>
      <c r="X351" s="135"/>
      <c r="Y351" s="135"/>
      <c r="Z351" s="135"/>
      <c r="AA351" s="135"/>
      <c r="AB351" s="135"/>
      <c r="AC351" s="136"/>
      <c r="AD351" s="136"/>
      <c r="AE351" s="161"/>
      <c r="AF351" s="161"/>
      <c r="AG351" s="161"/>
      <c r="AH351" s="161"/>
      <c r="AI351" s="161"/>
      <c r="AJ351" s="161"/>
      <c r="AK351" s="135"/>
      <c r="AL351" s="135"/>
      <c r="AM351" s="135"/>
      <c r="AN351" s="135"/>
      <c r="AO351" s="135"/>
      <c r="AP351" s="135"/>
      <c r="AQ351" s="136"/>
      <c r="AR351" s="136"/>
      <c r="AS351" s="161"/>
      <c r="AT351" s="161"/>
      <c r="AU351" s="161"/>
      <c r="AV351" s="161"/>
      <c r="AW351" s="161"/>
      <c r="AX351" s="161"/>
      <c r="AY351" s="135"/>
      <c r="AZ351" s="135"/>
      <c r="BA351" s="135"/>
      <c r="BB351" s="135"/>
      <c r="BC351" s="135"/>
      <c r="BD351" s="135"/>
      <c r="BE351" s="136"/>
      <c r="BF351" s="136"/>
      <c r="BG351" s="161"/>
      <c r="BH351" s="161"/>
      <c r="BI351" s="161"/>
      <c r="BJ351" s="161"/>
      <c r="BK351" s="161"/>
      <c r="BL351" s="161"/>
      <c r="BM351" s="135"/>
      <c r="BN351" s="135"/>
      <c r="BO351" s="135"/>
      <c r="BP351" s="135"/>
      <c r="BQ351" s="135"/>
      <c r="BR351" s="135"/>
      <c r="BS351" s="136"/>
      <c r="BT351" s="136"/>
      <c r="BU351" s="161"/>
      <c r="BV351" s="161"/>
      <c r="BW351" s="161"/>
      <c r="BX351" s="161"/>
      <c r="BY351" s="161"/>
      <c r="BZ351" s="161"/>
      <c r="CA351" s="135"/>
      <c r="CB351" s="135"/>
      <c r="CC351" s="135"/>
      <c r="CD351" s="135"/>
      <c r="CE351" s="135"/>
      <c r="CF351" s="135"/>
      <c r="CG351" s="136"/>
      <c r="CH351" s="136"/>
      <c r="CI351" s="135"/>
      <c r="CJ351" s="161"/>
      <c r="CK351" s="135"/>
      <c r="CL351" s="161"/>
      <c r="CM351" s="135"/>
      <c r="CN351" s="135"/>
      <c r="CO351" s="135"/>
      <c r="CP351" s="161"/>
      <c r="CQ351" s="135">
        <v>210</v>
      </c>
      <c r="CR351" s="135"/>
      <c r="CS351" s="135">
        <v>90</v>
      </c>
      <c r="CT351" s="135"/>
      <c r="CU351" s="136"/>
      <c r="CV351" s="136"/>
      <c r="CW351" s="135"/>
      <c r="CX351" s="161"/>
      <c r="CY351" s="135"/>
      <c r="CZ351" s="161"/>
      <c r="DA351" s="161"/>
      <c r="DB351" s="161"/>
      <c r="DC351" s="161"/>
      <c r="DD351" s="161"/>
      <c r="DE351" s="135"/>
      <c r="DF351" s="135"/>
      <c r="DG351" s="135"/>
      <c r="DH351" s="135"/>
      <c r="DI351" s="136"/>
      <c r="DJ351" s="136"/>
      <c r="DK351" s="161"/>
      <c r="DL351" s="161"/>
      <c r="DM351" s="161"/>
      <c r="DN351" s="161"/>
      <c r="DO351" s="161"/>
      <c r="DP351" s="161"/>
      <c r="DQ351" s="135"/>
      <c r="DR351" s="135"/>
      <c r="DS351" s="135"/>
      <c r="DT351" s="135"/>
      <c r="DU351" s="135"/>
      <c r="DV351" s="135"/>
      <c r="DW351" s="136"/>
      <c r="DX351" s="136"/>
      <c r="DY351" s="161"/>
      <c r="DZ351" s="161"/>
      <c r="EA351" s="161"/>
      <c r="EB351" s="161"/>
      <c r="EC351" s="161"/>
      <c r="ED351" s="161"/>
      <c r="EE351" s="135"/>
      <c r="EF351" s="135"/>
      <c r="EG351" s="135"/>
      <c r="EH351" s="135"/>
      <c r="EI351" s="135"/>
      <c r="EJ351" s="135"/>
      <c r="EK351" s="136"/>
      <c r="EL351" s="136"/>
      <c r="EM351" s="136"/>
      <c r="EN351" s="136"/>
      <c r="EO351" s="136"/>
      <c r="EP351" s="136"/>
      <c r="EQ351" s="136"/>
      <c r="ER351" s="136"/>
      <c r="ES351" s="135"/>
      <c r="ET351" s="135"/>
      <c r="EU351" s="135"/>
      <c r="EV351" s="135"/>
      <c r="EW351" s="135"/>
      <c r="EX351" s="135"/>
      <c r="EY351" s="136"/>
      <c r="EZ351" s="136"/>
      <c r="FA351" s="161"/>
      <c r="FB351" s="161"/>
      <c r="FC351" s="161"/>
      <c r="FD351" s="161"/>
      <c r="FE351" s="161"/>
      <c r="FF351" s="161"/>
      <c r="FG351" s="135"/>
      <c r="FH351" s="135"/>
      <c r="FI351" s="135"/>
      <c r="FJ351" s="135"/>
      <c r="FK351" s="135"/>
      <c r="FL351" s="135"/>
      <c r="FM351" s="136"/>
      <c r="FN351" s="136"/>
      <c r="FO351" s="161"/>
      <c r="FP351" s="161"/>
      <c r="FQ351" s="161"/>
      <c r="FR351" s="161"/>
      <c r="FS351" s="161"/>
      <c r="FT351" s="161"/>
      <c r="FU351" s="135"/>
      <c r="FV351" s="135"/>
      <c r="FW351" s="135"/>
      <c r="FX351" s="135"/>
      <c r="FY351" s="135"/>
      <c r="FZ351" s="135"/>
      <c r="GA351" s="136"/>
      <c r="GB351" s="136"/>
      <c r="GC351" s="161"/>
      <c r="GD351" s="161"/>
      <c r="GE351" s="161"/>
      <c r="GF351" s="161"/>
      <c r="GG351" s="161"/>
      <c r="GH351" s="161"/>
      <c r="GI351" s="135"/>
      <c r="GJ351" s="135"/>
      <c r="GK351" s="135"/>
      <c r="GL351" s="135"/>
      <c r="GM351" s="135"/>
      <c r="GN351" s="135"/>
    </row>
    <row r="352" spans="1:196" ht="25">
      <c r="A352" s="154"/>
      <c r="B352" s="126" t="s">
        <v>1072</v>
      </c>
      <c r="C352" s="109" t="s">
        <v>616</v>
      </c>
      <c r="D352" s="119"/>
      <c r="E352" s="119"/>
      <c r="F352" s="107"/>
      <c r="G352" s="115">
        <v>3500</v>
      </c>
      <c r="H352" s="6"/>
      <c r="I352" s="125">
        <v>46235</v>
      </c>
      <c r="J352" s="13">
        <f t="shared" si="200"/>
        <v>0</v>
      </c>
      <c r="K352" s="141" t="s">
        <v>1281</v>
      </c>
      <c r="L352" s="161"/>
      <c r="M352" s="136"/>
      <c r="N352" s="136"/>
      <c r="O352" s="136"/>
      <c r="P352" s="136"/>
      <c r="Q352" s="136"/>
      <c r="R352" s="136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36"/>
      <c r="AD352" s="136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36"/>
      <c r="AR352" s="136"/>
      <c r="AS352" s="161"/>
      <c r="AT352" s="161"/>
      <c r="AU352" s="161"/>
      <c r="AV352" s="161"/>
      <c r="AW352" s="161"/>
      <c r="AX352" s="161"/>
      <c r="AY352" s="161"/>
      <c r="AZ352" s="161"/>
      <c r="BA352" s="161"/>
      <c r="BB352" s="161"/>
      <c r="BC352" s="161"/>
      <c r="BD352" s="161"/>
      <c r="BE352" s="136"/>
      <c r="BF352" s="136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36"/>
      <c r="BT352" s="136"/>
      <c r="BU352" s="161"/>
      <c r="BV352" s="161"/>
      <c r="BW352" s="161"/>
      <c r="BX352" s="161"/>
      <c r="BY352" s="161"/>
      <c r="BZ352" s="161"/>
      <c r="CA352" s="161"/>
      <c r="CB352" s="161"/>
      <c r="CC352" s="161"/>
      <c r="CD352" s="161"/>
      <c r="CE352" s="161"/>
      <c r="CF352" s="161"/>
      <c r="CG352" s="136"/>
      <c r="CH352" s="136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>
        <v>650</v>
      </c>
      <c r="CT352" s="161"/>
      <c r="CU352" s="136"/>
      <c r="CV352" s="136"/>
      <c r="CW352" s="161">
        <v>650</v>
      </c>
      <c r="CX352" s="161"/>
      <c r="CY352" s="161">
        <v>650</v>
      </c>
      <c r="CZ352" s="161"/>
      <c r="DA352" s="161">
        <v>650</v>
      </c>
      <c r="DB352" s="161"/>
      <c r="DC352" s="161">
        <v>650</v>
      </c>
      <c r="DD352" s="161"/>
      <c r="DE352" s="161">
        <v>250</v>
      </c>
      <c r="DF352" s="161"/>
      <c r="DG352" s="161"/>
      <c r="DH352" s="161"/>
      <c r="DI352" s="136"/>
      <c r="DJ352" s="136"/>
      <c r="DK352" s="161"/>
      <c r="DL352" s="161"/>
      <c r="DM352" s="161"/>
      <c r="DN352" s="161"/>
      <c r="DO352" s="161"/>
      <c r="DP352" s="161"/>
      <c r="DQ352" s="161"/>
      <c r="DR352" s="161"/>
      <c r="DS352" s="161"/>
      <c r="DT352" s="161"/>
      <c r="DU352" s="161"/>
      <c r="DV352" s="161"/>
      <c r="DW352" s="136"/>
      <c r="DX352" s="136"/>
      <c r="DY352" s="161"/>
      <c r="DZ352" s="161"/>
      <c r="EA352" s="161"/>
      <c r="EB352" s="161"/>
      <c r="EC352" s="161"/>
      <c r="ED352" s="161"/>
      <c r="EE352" s="161"/>
      <c r="EF352" s="161"/>
      <c r="EG352" s="161"/>
      <c r="EH352" s="161"/>
      <c r="EI352" s="161"/>
      <c r="EJ352" s="161"/>
      <c r="EK352" s="136"/>
      <c r="EL352" s="136"/>
      <c r="EM352" s="136"/>
      <c r="EN352" s="136"/>
      <c r="EO352" s="136"/>
      <c r="EP352" s="136"/>
      <c r="EQ352" s="136"/>
      <c r="ER352" s="136"/>
      <c r="ES352" s="161"/>
      <c r="ET352" s="161"/>
      <c r="EU352" s="161"/>
      <c r="EV352" s="161"/>
      <c r="EW352" s="161"/>
      <c r="EX352" s="161"/>
      <c r="EY352" s="136"/>
      <c r="EZ352" s="136"/>
      <c r="FA352" s="161"/>
      <c r="FB352" s="161"/>
      <c r="FC352" s="161"/>
      <c r="FD352" s="161"/>
      <c r="FE352" s="161"/>
      <c r="FF352" s="161"/>
      <c r="FG352" s="161"/>
      <c r="FH352" s="161"/>
      <c r="FI352" s="161"/>
      <c r="FJ352" s="161"/>
      <c r="FK352" s="161"/>
      <c r="FL352" s="161"/>
      <c r="FM352" s="136"/>
      <c r="FN352" s="136"/>
      <c r="FO352" s="161"/>
      <c r="FP352" s="161"/>
      <c r="FQ352" s="161"/>
      <c r="FR352" s="161"/>
      <c r="FS352" s="161"/>
      <c r="FT352" s="161"/>
      <c r="FU352" s="161"/>
      <c r="FV352" s="161"/>
      <c r="FW352" s="161"/>
      <c r="FX352" s="161"/>
      <c r="FY352" s="161"/>
      <c r="FZ352" s="161"/>
      <c r="GA352" s="136"/>
      <c r="GB352" s="136"/>
      <c r="GC352" s="161"/>
      <c r="GD352" s="161"/>
      <c r="GE352" s="161"/>
      <c r="GF352" s="161"/>
      <c r="GG352" s="161"/>
      <c r="GH352" s="161"/>
      <c r="GI352" s="161"/>
      <c r="GJ352" s="161"/>
      <c r="GK352" s="161"/>
      <c r="GL352" s="161"/>
      <c r="GM352" s="161"/>
      <c r="GN352" s="161"/>
    </row>
    <row r="353" spans="1:196">
      <c r="A353" s="155"/>
      <c r="B353" s="126" t="s">
        <v>1255</v>
      </c>
      <c r="C353" s="109" t="s">
        <v>615</v>
      </c>
      <c r="D353" s="119"/>
      <c r="E353" s="119"/>
      <c r="F353" s="6"/>
      <c r="G353" s="115">
        <v>322</v>
      </c>
      <c r="H353" s="6"/>
      <c r="I353" s="125">
        <v>46242</v>
      </c>
      <c r="J353" s="13">
        <f t="shared" si="200"/>
        <v>0</v>
      </c>
      <c r="K353" s="141" t="s">
        <v>1253</v>
      </c>
      <c r="L353" s="161"/>
      <c r="M353" s="136"/>
      <c r="N353" s="136"/>
      <c r="O353" s="136"/>
      <c r="P353" s="136"/>
      <c r="Q353" s="136"/>
      <c r="R353" s="136"/>
      <c r="S353" s="161"/>
      <c r="T353" s="161"/>
      <c r="U353" s="161"/>
      <c r="V353" s="161"/>
      <c r="W353" s="135"/>
      <c r="X353" s="135"/>
      <c r="Y353" s="135"/>
      <c r="Z353" s="135"/>
      <c r="AA353" s="135"/>
      <c r="AB353" s="135"/>
      <c r="AC353" s="136"/>
      <c r="AD353" s="136"/>
      <c r="AE353" s="161"/>
      <c r="AF353" s="161"/>
      <c r="AG353" s="161"/>
      <c r="AH353" s="161"/>
      <c r="AI353" s="161"/>
      <c r="AJ353" s="161"/>
      <c r="AK353" s="135"/>
      <c r="AL353" s="135"/>
      <c r="AM353" s="135"/>
      <c r="AN353" s="135"/>
      <c r="AO353" s="135"/>
      <c r="AP353" s="135"/>
      <c r="AQ353" s="136"/>
      <c r="AR353" s="136"/>
      <c r="AS353" s="161"/>
      <c r="AT353" s="161"/>
      <c r="AU353" s="161"/>
      <c r="AV353" s="161"/>
      <c r="AW353" s="161"/>
      <c r="AX353" s="161"/>
      <c r="AY353" s="135"/>
      <c r="AZ353" s="135"/>
      <c r="BA353" s="135"/>
      <c r="BB353" s="135"/>
      <c r="BC353" s="135"/>
      <c r="BD353" s="135"/>
      <c r="BE353" s="136"/>
      <c r="BF353" s="136"/>
      <c r="BG353" s="161"/>
      <c r="BH353" s="161"/>
      <c r="BI353" s="161"/>
      <c r="BJ353" s="161"/>
      <c r="BK353" s="161"/>
      <c r="BL353" s="161"/>
      <c r="BM353" s="135"/>
      <c r="BN353" s="135"/>
      <c r="BO353" s="135"/>
      <c r="BP353" s="135"/>
      <c r="BQ353" s="135"/>
      <c r="BR353" s="135"/>
      <c r="BS353" s="136"/>
      <c r="BT353" s="136"/>
      <c r="BU353" s="161"/>
      <c r="BV353" s="161"/>
      <c r="BW353" s="161"/>
      <c r="BX353" s="161"/>
      <c r="BY353" s="161"/>
      <c r="BZ353" s="161"/>
      <c r="CA353" s="135"/>
      <c r="CB353" s="135"/>
      <c r="CC353" s="135"/>
      <c r="CD353" s="135"/>
      <c r="CE353" s="135"/>
      <c r="CF353" s="135"/>
      <c r="CG353" s="136"/>
      <c r="CH353" s="136"/>
      <c r="CI353" s="135"/>
      <c r="CJ353" s="161"/>
      <c r="CK353" s="135"/>
      <c r="CL353" s="135"/>
      <c r="CM353" s="135"/>
      <c r="CN353" s="135"/>
      <c r="CO353" s="135"/>
      <c r="CP353" s="161"/>
      <c r="CQ353" s="135"/>
      <c r="CR353" s="135"/>
      <c r="CS353" s="135"/>
      <c r="CT353" s="135"/>
      <c r="CU353" s="136"/>
      <c r="CV353" s="136"/>
      <c r="CW353" s="135"/>
      <c r="CX353" s="161"/>
      <c r="CY353" s="135"/>
      <c r="CZ353" s="161"/>
      <c r="DA353" s="135">
        <v>322</v>
      </c>
      <c r="DB353" s="161"/>
      <c r="DC353" s="161"/>
      <c r="DD353" s="161"/>
      <c r="DE353" s="135"/>
      <c r="DF353" s="135"/>
      <c r="DG353" s="135"/>
      <c r="DH353" s="135"/>
      <c r="DI353" s="136"/>
      <c r="DJ353" s="136"/>
      <c r="DK353" s="161"/>
      <c r="DL353" s="161"/>
      <c r="DM353" s="161"/>
      <c r="DN353" s="161"/>
      <c r="DO353" s="161"/>
      <c r="DP353" s="161"/>
      <c r="DQ353" s="135"/>
      <c r="DR353" s="135"/>
      <c r="DS353" s="135"/>
      <c r="DT353" s="135"/>
      <c r="DU353" s="135"/>
      <c r="DV353" s="135"/>
      <c r="DW353" s="136"/>
      <c r="DX353" s="136"/>
      <c r="DY353" s="161"/>
      <c r="DZ353" s="161"/>
      <c r="EA353" s="161"/>
      <c r="EB353" s="161"/>
      <c r="EC353" s="161"/>
      <c r="ED353" s="161"/>
      <c r="EE353" s="135"/>
      <c r="EF353" s="135"/>
      <c r="EG353" s="135"/>
      <c r="EH353" s="135"/>
      <c r="EI353" s="135"/>
      <c r="EJ353" s="135"/>
      <c r="EK353" s="136"/>
      <c r="EL353" s="136"/>
      <c r="EM353" s="136"/>
      <c r="EN353" s="136"/>
      <c r="EO353" s="136"/>
      <c r="EP353" s="136"/>
      <c r="EQ353" s="136"/>
      <c r="ER353" s="136"/>
      <c r="ES353" s="135"/>
      <c r="ET353" s="135"/>
      <c r="EU353" s="135"/>
      <c r="EV353" s="135"/>
      <c r="EW353" s="135"/>
      <c r="EX353" s="135"/>
      <c r="EY353" s="136"/>
      <c r="EZ353" s="136"/>
      <c r="FA353" s="161"/>
      <c r="FB353" s="161"/>
      <c r="FC353" s="161"/>
      <c r="FD353" s="161"/>
      <c r="FE353" s="161"/>
      <c r="FF353" s="161"/>
      <c r="FG353" s="135"/>
      <c r="FH353" s="135"/>
      <c r="FI353" s="135"/>
      <c r="FJ353" s="135"/>
      <c r="FK353" s="135"/>
      <c r="FL353" s="135"/>
      <c r="FM353" s="136"/>
      <c r="FN353" s="136"/>
      <c r="FO353" s="161"/>
      <c r="FP353" s="161"/>
      <c r="FQ353" s="161"/>
      <c r="FR353" s="135"/>
      <c r="FS353" s="135"/>
      <c r="FT353" s="135"/>
      <c r="FU353" s="135"/>
      <c r="FV353" s="135"/>
      <c r="FW353" s="135"/>
      <c r="FX353" s="135"/>
      <c r="FY353" s="135"/>
      <c r="FZ353" s="135"/>
      <c r="GA353" s="136"/>
      <c r="GB353" s="136"/>
      <c r="GC353" s="161"/>
      <c r="GD353" s="161"/>
      <c r="GE353" s="161"/>
      <c r="GF353" s="135"/>
      <c r="GG353" s="135"/>
      <c r="GH353" s="135"/>
      <c r="GI353" s="135"/>
      <c r="GJ353" s="135"/>
      <c r="GK353" s="135"/>
      <c r="GL353" s="135"/>
      <c r="GM353" s="135"/>
      <c r="GN353" s="135"/>
    </row>
    <row r="354" spans="1:196">
      <c r="A354" s="155"/>
      <c r="B354" s="126" t="s">
        <v>1180</v>
      </c>
      <c r="C354" s="109" t="s">
        <v>605</v>
      </c>
      <c r="D354" s="119"/>
      <c r="E354" s="119"/>
      <c r="F354" s="6"/>
      <c r="G354" s="115">
        <v>1678</v>
      </c>
      <c r="H354" s="6"/>
      <c r="I354" s="125">
        <v>46249</v>
      </c>
      <c r="J354" s="13">
        <f t="shared" si="200"/>
        <v>0</v>
      </c>
      <c r="K354" s="141" t="s">
        <v>1253</v>
      </c>
      <c r="L354" s="161"/>
      <c r="M354" s="136"/>
      <c r="N354" s="136"/>
      <c r="O354" s="136"/>
      <c r="P354" s="136"/>
      <c r="Q354" s="136"/>
      <c r="R354" s="136"/>
      <c r="S354" s="161"/>
      <c r="T354" s="161"/>
      <c r="U354" s="161"/>
      <c r="V354" s="161"/>
      <c r="W354" s="135"/>
      <c r="X354" s="135"/>
      <c r="Y354" s="135"/>
      <c r="Z354" s="135"/>
      <c r="AA354" s="135"/>
      <c r="AB354" s="135"/>
      <c r="AC354" s="136"/>
      <c r="AD354" s="136"/>
      <c r="AE354" s="161"/>
      <c r="AF354" s="161"/>
      <c r="AG354" s="161"/>
      <c r="AH354" s="161"/>
      <c r="AI354" s="161"/>
      <c r="AJ354" s="161"/>
      <c r="AK354" s="135"/>
      <c r="AL354" s="135"/>
      <c r="AM354" s="135"/>
      <c r="AN354" s="135"/>
      <c r="AO354" s="135"/>
      <c r="AP354" s="135"/>
      <c r="AQ354" s="136"/>
      <c r="AR354" s="136"/>
      <c r="AS354" s="161"/>
      <c r="AT354" s="161"/>
      <c r="AU354" s="161"/>
      <c r="AV354" s="161"/>
      <c r="AW354" s="161"/>
      <c r="AX354" s="161"/>
      <c r="AY354" s="135"/>
      <c r="AZ354" s="135"/>
      <c r="BA354" s="135"/>
      <c r="BB354" s="135"/>
      <c r="BC354" s="135"/>
      <c r="BD354" s="135"/>
      <c r="BE354" s="136"/>
      <c r="BF354" s="136"/>
      <c r="BG354" s="161"/>
      <c r="BH354" s="161"/>
      <c r="BI354" s="161"/>
      <c r="BJ354" s="161"/>
      <c r="BK354" s="161"/>
      <c r="BL354" s="161"/>
      <c r="BM354" s="135"/>
      <c r="BN354" s="135"/>
      <c r="BO354" s="135"/>
      <c r="BP354" s="135"/>
      <c r="BQ354" s="135"/>
      <c r="BR354" s="135"/>
      <c r="BS354" s="136"/>
      <c r="BT354" s="136"/>
      <c r="BU354" s="161"/>
      <c r="BV354" s="161"/>
      <c r="BW354" s="161"/>
      <c r="BX354" s="161"/>
      <c r="BY354" s="161"/>
      <c r="BZ354" s="161"/>
      <c r="CA354" s="135"/>
      <c r="CB354" s="135"/>
      <c r="CC354" s="135"/>
      <c r="CD354" s="135"/>
      <c r="CE354" s="135"/>
      <c r="CF354" s="135"/>
      <c r="CG354" s="136"/>
      <c r="CH354" s="136"/>
      <c r="CI354" s="161"/>
      <c r="CJ354" s="161"/>
      <c r="CK354" s="161"/>
      <c r="CL354" s="161"/>
      <c r="CM354" s="161"/>
      <c r="CN354" s="161"/>
      <c r="CO354" s="135"/>
      <c r="CP354" s="135"/>
      <c r="CQ354" s="135"/>
      <c r="CR354" s="135"/>
      <c r="CS354" s="135"/>
      <c r="CT354" s="135"/>
      <c r="CU354" s="136"/>
      <c r="CV354" s="136"/>
      <c r="CW354" s="161"/>
      <c r="CX354" s="161"/>
      <c r="CY354" s="135"/>
      <c r="CZ354" s="161"/>
      <c r="DA354" s="135">
        <v>16</v>
      </c>
      <c r="DB354" s="161"/>
      <c r="DC354" s="135">
        <v>380</v>
      </c>
      <c r="DD354" s="161"/>
      <c r="DE354" s="135">
        <v>380</v>
      </c>
      <c r="DF354" s="135"/>
      <c r="DG354" s="135">
        <v>380</v>
      </c>
      <c r="DH354" s="135"/>
      <c r="DI354" s="136"/>
      <c r="DJ354" s="136"/>
      <c r="DK354" s="135">
        <v>380</v>
      </c>
      <c r="DL354" s="161"/>
      <c r="DM354" s="135">
        <v>142</v>
      </c>
      <c r="DN354" s="161"/>
      <c r="DO354" s="135"/>
      <c r="DP354" s="161"/>
      <c r="DQ354" s="161"/>
      <c r="DR354" s="135"/>
      <c r="DS354" s="135"/>
      <c r="DT354" s="135"/>
      <c r="DU354" s="135"/>
      <c r="DV354" s="135"/>
      <c r="DW354" s="136"/>
      <c r="DX354" s="136"/>
      <c r="DY354" s="161"/>
      <c r="DZ354" s="161"/>
      <c r="EA354" s="161"/>
      <c r="EB354" s="161"/>
      <c r="EC354" s="161"/>
      <c r="ED354" s="161"/>
      <c r="EE354" s="135"/>
      <c r="EF354" s="135"/>
      <c r="EG354" s="135"/>
      <c r="EH354" s="135"/>
      <c r="EI354" s="135"/>
      <c r="EJ354" s="135"/>
      <c r="EK354" s="136"/>
      <c r="EL354" s="136"/>
      <c r="EM354" s="136"/>
      <c r="EN354" s="136"/>
      <c r="EO354" s="136"/>
      <c r="EP354" s="136"/>
      <c r="EQ354" s="136"/>
      <c r="ER354" s="136"/>
      <c r="ES354" s="135"/>
      <c r="ET354" s="135"/>
      <c r="EU354" s="135"/>
      <c r="EV354" s="135"/>
      <c r="EW354" s="135"/>
      <c r="EX354" s="135"/>
      <c r="EY354" s="136"/>
      <c r="EZ354" s="136"/>
      <c r="FA354" s="161"/>
      <c r="FB354" s="161"/>
      <c r="FC354" s="161"/>
      <c r="FD354" s="161"/>
      <c r="FE354" s="161"/>
      <c r="FF354" s="161"/>
      <c r="FG354" s="135"/>
      <c r="FH354" s="135"/>
      <c r="FI354" s="135"/>
      <c r="FJ354" s="135"/>
      <c r="FK354" s="135"/>
      <c r="FL354" s="135"/>
      <c r="FM354" s="136"/>
      <c r="FN354" s="136"/>
      <c r="FO354" s="161"/>
      <c r="FP354" s="161"/>
      <c r="FQ354" s="161"/>
      <c r="FR354" s="135"/>
      <c r="FS354" s="135"/>
      <c r="FT354" s="135"/>
      <c r="FU354" s="135"/>
      <c r="FV354" s="135"/>
      <c r="FW354" s="135"/>
      <c r="FX354" s="135"/>
      <c r="FY354" s="135"/>
      <c r="FZ354" s="135"/>
      <c r="GA354" s="136"/>
      <c r="GB354" s="136"/>
      <c r="GC354" s="161"/>
      <c r="GD354" s="161"/>
      <c r="GE354" s="161"/>
      <c r="GF354" s="135"/>
      <c r="GG354" s="135"/>
      <c r="GH354" s="135"/>
      <c r="GI354" s="135"/>
      <c r="GJ354" s="135"/>
      <c r="GK354" s="135"/>
      <c r="GL354" s="135"/>
      <c r="GM354" s="135"/>
      <c r="GN354" s="135"/>
    </row>
    <row r="355" spans="1:196" ht="25">
      <c r="A355" s="154"/>
      <c r="B355" s="126" t="s">
        <v>1073</v>
      </c>
      <c r="C355" s="109" t="s">
        <v>679</v>
      </c>
      <c r="D355" s="119"/>
      <c r="E355" s="119"/>
      <c r="F355" s="107"/>
      <c r="G355" s="115">
        <v>463</v>
      </c>
      <c r="H355" s="6"/>
      <c r="I355" s="125">
        <v>46242</v>
      </c>
      <c r="J355" s="13">
        <f t="shared" si="200"/>
        <v>0</v>
      </c>
      <c r="K355" s="141" t="s">
        <v>1223</v>
      </c>
      <c r="L355" s="135"/>
      <c r="M355" s="136"/>
      <c r="N355" s="136"/>
      <c r="O355" s="136"/>
      <c r="P355" s="136"/>
      <c r="Q355" s="136"/>
      <c r="R355" s="136"/>
      <c r="S355" s="135"/>
      <c r="T355" s="161"/>
      <c r="U355" s="161"/>
      <c r="V355" s="161"/>
      <c r="W355" s="135"/>
      <c r="X355" s="135"/>
      <c r="Y355" s="135"/>
      <c r="Z355" s="135"/>
      <c r="AA355" s="135"/>
      <c r="AB355" s="135"/>
      <c r="AC355" s="136"/>
      <c r="AD355" s="136"/>
      <c r="AE355" s="161"/>
      <c r="AF355" s="161"/>
      <c r="AG355" s="161"/>
      <c r="AH355" s="161"/>
      <c r="AI355" s="161"/>
      <c r="AJ355" s="161"/>
      <c r="AK355" s="135"/>
      <c r="AL355" s="135"/>
      <c r="AM355" s="135"/>
      <c r="AN355" s="135"/>
      <c r="AO355" s="135"/>
      <c r="AP355" s="135"/>
      <c r="AQ355" s="136"/>
      <c r="AR355" s="136"/>
      <c r="AS355" s="135"/>
      <c r="AT355" s="161"/>
      <c r="AU355" s="161"/>
      <c r="AV355" s="161"/>
      <c r="AW355" s="161"/>
      <c r="AX355" s="161"/>
      <c r="AY355" s="135"/>
      <c r="AZ355" s="135"/>
      <c r="BA355" s="135"/>
      <c r="BB355" s="135"/>
      <c r="BC355" s="135"/>
      <c r="BD355" s="135"/>
      <c r="BE355" s="136"/>
      <c r="BF355" s="136"/>
      <c r="BG355" s="161"/>
      <c r="BH355" s="161"/>
      <c r="BI355" s="161"/>
      <c r="BJ355" s="161"/>
      <c r="BK355" s="161"/>
      <c r="BL355" s="161"/>
      <c r="BM355" s="135"/>
      <c r="BN355" s="135"/>
      <c r="BO355" s="135"/>
      <c r="BP355" s="135"/>
      <c r="BQ355" s="135"/>
      <c r="BR355" s="135"/>
      <c r="BS355" s="136"/>
      <c r="BT355" s="136"/>
      <c r="BU355" s="161"/>
      <c r="BV355" s="135"/>
      <c r="BW355" s="161"/>
      <c r="BX355" s="161"/>
      <c r="BY355" s="161"/>
      <c r="BZ355" s="161"/>
      <c r="CA355" s="135"/>
      <c r="CB355" s="135"/>
      <c r="CC355" s="135"/>
      <c r="CD355" s="135"/>
      <c r="CE355" s="135"/>
      <c r="CF355" s="135"/>
      <c r="CG355" s="136"/>
      <c r="CH355" s="136"/>
      <c r="CI355" s="161"/>
      <c r="CJ355" s="135"/>
      <c r="CK355" s="135"/>
      <c r="CL355" s="161"/>
      <c r="CM355" s="161"/>
      <c r="CN355" s="161"/>
      <c r="CO355" s="161"/>
      <c r="CP355" s="161"/>
      <c r="CQ355" s="135"/>
      <c r="CR355" s="161"/>
      <c r="CS355" s="161"/>
      <c r="CT355" s="161"/>
      <c r="CU355" s="136"/>
      <c r="CV355" s="136"/>
      <c r="CW355" s="161"/>
      <c r="CX355" s="161"/>
      <c r="CY355" s="161"/>
      <c r="CZ355" s="161"/>
      <c r="DA355" s="161"/>
      <c r="DB355" s="161"/>
      <c r="DC355" s="135"/>
      <c r="DD355" s="135"/>
      <c r="DE355" s="135">
        <v>400</v>
      </c>
      <c r="DF355" s="135"/>
      <c r="DG355" s="161">
        <v>63</v>
      </c>
      <c r="DH355" s="161"/>
      <c r="DI355" s="136"/>
      <c r="DJ355" s="136"/>
      <c r="DK355" s="161"/>
      <c r="DL355" s="161"/>
      <c r="DM355" s="135"/>
      <c r="DN355" s="135"/>
      <c r="DO355" s="135"/>
      <c r="DP355" s="135"/>
      <c r="DQ355" s="135"/>
      <c r="DR355" s="135"/>
      <c r="DS355" s="161"/>
      <c r="DT355" s="161"/>
      <c r="DU355" s="161"/>
      <c r="DV355" s="161"/>
      <c r="DW355" s="136"/>
      <c r="DX355" s="136"/>
      <c r="DY355" s="161"/>
      <c r="DZ355" s="161"/>
      <c r="EA355" s="161"/>
      <c r="EB355" s="161"/>
      <c r="EC355" s="161"/>
      <c r="ED355" s="161"/>
      <c r="EE355" s="135"/>
      <c r="EF355" s="135"/>
      <c r="EG355" s="135"/>
      <c r="EH355" s="135"/>
      <c r="EI355" s="135"/>
      <c r="EJ355" s="135"/>
      <c r="EK355" s="136"/>
      <c r="EL355" s="136"/>
      <c r="EM355" s="136"/>
      <c r="EN355" s="136"/>
      <c r="EO355" s="136"/>
      <c r="EP355" s="136"/>
      <c r="EQ355" s="136"/>
      <c r="ER355" s="136"/>
      <c r="ES355" s="135"/>
      <c r="ET355" s="135"/>
      <c r="EU355" s="135"/>
      <c r="EV355" s="135"/>
      <c r="EW355" s="135"/>
      <c r="EX355" s="135"/>
      <c r="EY355" s="136"/>
      <c r="EZ355" s="136"/>
      <c r="FA355" s="161"/>
      <c r="FB355" s="161"/>
      <c r="FC355" s="161"/>
      <c r="FD355" s="161"/>
      <c r="FE355" s="161"/>
      <c r="FF355" s="161"/>
      <c r="FG355" s="135"/>
      <c r="FH355" s="135"/>
      <c r="FI355" s="135"/>
      <c r="FJ355" s="135"/>
      <c r="FK355" s="135"/>
      <c r="FL355" s="135"/>
      <c r="FM355" s="136"/>
      <c r="FN355" s="136"/>
      <c r="FO355" s="161"/>
      <c r="FP355" s="161"/>
      <c r="FQ355" s="161"/>
      <c r="FR355" s="161"/>
      <c r="FS355" s="161"/>
      <c r="FT355" s="161"/>
      <c r="FU355" s="135"/>
      <c r="FV355" s="135"/>
      <c r="FW355" s="135"/>
      <c r="FX355" s="135"/>
      <c r="FY355" s="135"/>
      <c r="FZ355" s="135"/>
      <c r="GA355" s="136"/>
      <c r="GB355" s="136"/>
      <c r="GC355" s="161"/>
      <c r="GD355" s="161"/>
      <c r="GE355" s="161"/>
      <c r="GF355" s="161"/>
      <c r="GG355" s="161"/>
      <c r="GH355" s="161"/>
      <c r="GI355" s="135"/>
      <c r="GJ355" s="135"/>
      <c r="GK355" s="135"/>
      <c r="GL355" s="135"/>
      <c r="GM355" s="135"/>
      <c r="GN355" s="135"/>
    </row>
    <row r="356" spans="1:196">
      <c r="A356" s="154"/>
      <c r="B356" s="126" t="s">
        <v>1004</v>
      </c>
      <c r="C356" s="109" t="s">
        <v>617</v>
      </c>
      <c r="D356" s="119"/>
      <c r="E356" s="119"/>
      <c r="F356" s="107"/>
      <c r="G356" s="115">
        <v>2000</v>
      </c>
      <c r="H356" s="6"/>
      <c r="I356" s="125">
        <v>46242</v>
      </c>
      <c r="J356" s="13">
        <f t="shared" si="194"/>
        <v>0</v>
      </c>
      <c r="K356" s="141" t="s">
        <v>1332</v>
      </c>
      <c r="L356" s="161"/>
      <c r="M356" s="136"/>
      <c r="N356" s="136"/>
      <c r="O356" s="136"/>
      <c r="P356" s="136"/>
      <c r="Q356" s="136"/>
      <c r="R356" s="136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36"/>
      <c r="AD356" s="136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36"/>
      <c r="AR356" s="136"/>
      <c r="AS356" s="161"/>
      <c r="AT356" s="161"/>
      <c r="AU356" s="161"/>
      <c r="AV356" s="161"/>
      <c r="AW356" s="161"/>
      <c r="AX356" s="161"/>
      <c r="AY356" s="161"/>
      <c r="AZ356" s="161"/>
      <c r="BA356" s="161"/>
      <c r="BB356" s="161"/>
      <c r="BC356" s="161"/>
      <c r="BD356" s="161"/>
      <c r="BE356" s="136"/>
      <c r="BF356" s="136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36"/>
      <c r="BT356" s="136"/>
      <c r="BU356" s="161"/>
      <c r="BV356" s="161"/>
      <c r="BW356" s="161"/>
      <c r="BX356" s="161"/>
      <c r="BY356" s="161"/>
      <c r="BZ356" s="161"/>
      <c r="CA356" s="161"/>
      <c r="CB356" s="161"/>
      <c r="CC356" s="161"/>
      <c r="CD356" s="161"/>
      <c r="CE356" s="161"/>
      <c r="CF356" s="161"/>
      <c r="CG356" s="136"/>
      <c r="CH356" s="136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36"/>
      <c r="CV356" s="136"/>
      <c r="CW356" s="161"/>
      <c r="CX356" s="161"/>
      <c r="CY356" s="161"/>
      <c r="CZ356" s="161"/>
      <c r="DA356" s="161"/>
      <c r="DB356" s="161"/>
      <c r="DC356" s="161"/>
      <c r="DD356" s="161"/>
      <c r="DE356" s="161"/>
      <c r="DF356" s="161"/>
      <c r="DG356" s="161">
        <v>600</v>
      </c>
      <c r="DH356" s="161"/>
      <c r="DI356" s="136"/>
      <c r="DJ356" s="136"/>
      <c r="DK356" s="161">
        <v>650</v>
      </c>
      <c r="DL356" s="161"/>
      <c r="DM356" s="161">
        <v>650</v>
      </c>
      <c r="DN356" s="161"/>
      <c r="DO356" s="161">
        <v>100</v>
      </c>
      <c r="DP356" s="161"/>
      <c r="DQ356" s="161"/>
      <c r="DR356" s="161"/>
      <c r="DS356" s="161"/>
      <c r="DT356" s="161"/>
      <c r="DU356" s="161"/>
      <c r="DV356" s="161"/>
      <c r="DW356" s="136"/>
      <c r="DX356" s="136"/>
      <c r="DY356" s="161"/>
      <c r="DZ356" s="161"/>
      <c r="EA356" s="161"/>
      <c r="EB356" s="161"/>
      <c r="EC356" s="161"/>
      <c r="ED356" s="161"/>
      <c r="EE356" s="161"/>
      <c r="EF356" s="161"/>
      <c r="EG356" s="161"/>
      <c r="EH356" s="161"/>
      <c r="EI356" s="161"/>
      <c r="EJ356" s="161"/>
      <c r="EK356" s="136"/>
      <c r="EL356" s="136"/>
      <c r="EM356" s="136"/>
      <c r="EN356" s="136"/>
      <c r="EO356" s="136"/>
      <c r="EP356" s="136"/>
      <c r="EQ356" s="136"/>
      <c r="ER356" s="136"/>
      <c r="ES356" s="161"/>
      <c r="ET356" s="161"/>
      <c r="EU356" s="161"/>
      <c r="EV356" s="161"/>
      <c r="EW356" s="161"/>
      <c r="EX356" s="161"/>
      <c r="EY356" s="136"/>
      <c r="EZ356" s="136"/>
      <c r="FA356" s="161"/>
      <c r="FB356" s="161"/>
      <c r="FC356" s="161"/>
      <c r="FD356" s="161"/>
      <c r="FE356" s="161"/>
      <c r="FF356" s="161"/>
      <c r="FG356" s="161"/>
      <c r="FH356" s="161"/>
      <c r="FI356" s="161"/>
      <c r="FJ356" s="161"/>
      <c r="FK356" s="161"/>
      <c r="FL356" s="161"/>
      <c r="FM356" s="136"/>
      <c r="FN356" s="136"/>
      <c r="FO356" s="161"/>
      <c r="FP356" s="161"/>
      <c r="FQ356" s="161"/>
      <c r="FR356" s="161"/>
      <c r="FS356" s="161"/>
      <c r="FT356" s="161"/>
      <c r="FU356" s="161"/>
      <c r="FV356" s="161"/>
      <c r="FW356" s="161"/>
      <c r="FX356" s="161"/>
      <c r="FY356" s="161"/>
      <c r="FZ356" s="161"/>
      <c r="GA356" s="136"/>
      <c r="GB356" s="136"/>
      <c r="GC356" s="161"/>
      <c r="GD356" s="161"/>
      <c r="GE356" s="161"/>
      <c r="GF356" s="161"/>
      <c r="GG356" s="161"/>
      <c r="GH356" s="161"/>
      <c r="GI356" s="161"/>
      <c r="GJ356" s="161"/>
      <c r="GK356" s="161"/>
      <c r="GL356" s="161"/>
      <c r="GM356" s="161"/>
      <c r="GN356" s="161"/>
    </row>
    <row r="357" spans="1:196">
      <c r="A357" s="154"/>
      <c r="B357" s="126" t="s">
        <v>1071</v>
      </c>
      <c r="C357" s="109" t="s">
        <v>617</v>
      </c>
      <c r="D357" s="119"/>
      <c r="E357" s="119"/>
      <c r="F357" s="6"/>
      <c r="G357" s="115">
        <v>2500</v>
      </c>
      <c r="H357" s="6"/>
      <c r="I357" s="125">
        <v>46242</v>
      </c>
      <c r="J357" s="13">
        <f t="shared" si="194"/>
        <v>0</v>
      </c>
      <c r="K357" s="141" t="s">
        <v>1331</v>
      </c>
      <c r="L357" s="161"/>
      <c r="M357" s="136"/>
      <c r="N357" s="136"/>
      <c r="O357" s="136"/>
      <c r="P357" s="136"/>
      <c r="Q357" s="136"/>
      <c r="R357" s="136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36"/>
      <c r="AD357" s="136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36"/>
      <c r="AR357" s="136"/>
      <c r="AS357" s="161"/>
      <c r="AT357" s="161"/>
      <c r="AU357" s="161"/>
      <c r="AV357" s="161"/>
      <c r="AW357" s="161"/>
      <c r="AX357" s="161"/>
      <c r="AY357" s="161"/>
      <c r="AZ357" s="161"/>
      <c r="BA357" s="161"/>
      <c r="BB357" s="161"/>
      <c r="BC357" s="161"/>
      <c r="BD357" s="161"/>
      <c r="BE357" s="136"/>
      <c r="BF357" s="136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36"/>
      <c r="BT357" s="136"/>
      <c r="BU357" s="161"/>
      <c r="BV357" s="161"/>
      <c r="BW357" s="161"/>
      <c r="BX357" s="161"/>
      <c r="BY357" s="161"/>
      <c r="BZ357" s="161"/>
      <c r="CA357" s="161"/>
      <c r="CB357" s="161"/>
      <c r="CC357" s="161"/>
      <c r="CD357" s="161"/>
      <c r="CE357" s="161"/>
      <c r="CF357" s="161"/>
      <c r="CG357" s="136"/>
      <c r="CH357" s="136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36"/>
      <c r="CV357" s="136"/>
      <c r="CW357" s="161"/>
      <c r="CX357" s="161"/>
      <c r="CY357" s="161"/>
      <c r="CZ357" s="161"/>
      <c r="DA357" s="161"/>
      <c r="DB357" s="161"/>
      <c r="DC357" s="161"/>
      <c r="DD357" s="161"/>
      <c r="DE357" s="161"/>
      <c r="DF357" s="161"/>
      <c r="DG357" s="161"/>
      <c r="DH357" s="161"/>
      <c r="DI357" s="136"/>
      <c r="DJ357" s="136"/>
      <c r="DK357" s="161"/>
      <c r="DL357" s="161"/>
      <c r="DM357" s="161"/>
      <c r="DN357" s="161"/>
      <c r="DO357" s="161">
        <v>550</v>
      </c>
      <c r="DP357" s="161"/>
      <c r="DQ357" s="161">
        <v>650</v>
      </c>
      <c r="DR357" s="161"/>
      <c r="DS357" s="161">
        <v>650</v>
      </c>
      <c r="DT357" s="161"/>
      <c r="DU357" s="161">
        <v>650</v>
      </c>
      <c r="DV357" s="161"/>
      <c r="DW357" s="136"/>
      <c r="DX357" s="136"/>
      <c r="DY357" s="161"/>
      <c r="DZ357" s="161"/>
      <c r="EA357" s="161"/>
      <c r="EB357" s="161"/>
      <c r="EC357" s="161"/>
      <c r="ED357" s="161"/>
      <c r="EE357" s="161"/>
      <c r="EF357" s="161"/>
      <c r="EG357" s="161"/>
      <c r="EH357" s="161"/>
      <c r="EI357" s="161"/>
      <c r="EJ357" s="161"/>
      <c r="EK357" s="136"/>
      <c r="EL357" s="136"/>
      <c r="EM357" s="136"/>
      <c r="EN357" s="136"/>
      <c r="EO357" s="136"/>
      <c r="EP357" s="136"/>
      <c r="EQ357" s="136"/>
      <c r="ER357" s="136"/>
      <c r="ES357" s="161"/>
      <c r="ET357" s="161"/>
      <c r="EU357" s="161"/>
      <c r="EV357" s="161"/>
      <c r="EW357" s="161"/>
      <c r="EX357" s="161"/>
      <c r="EY357" s="136"/>
      <c r="EZ357" s="136"/>
      <c r="FA357" s="161"/>
      <c r="FB357" s="161"/>
      <c r="FC357" s="161"/>
      <c r="FD357" s="161"/>
      <c r="FE357" s="161"/>
      <c r="FF357" s="161"/>
      <c r="FG357" s="161"/>
      <c r="FH357" s="161"/>
      <c r="FI357" s="161"/>
      <c r="FJ357" s="161"/>
      <c r="FK357" s="161"/>
      <c r="FL357" s="161"/>
      <c r="FM357" s="136"/>
      <c r="FN357" s="136"/>
      <c r="FO357" s="161"/>
      <c r="FP357" s="161"/>
      <c r="FQ357" s="161"/>
      <c r="FR357" s="161"/>
      <c r="FS357" s="161"/>
      <c r="FT357" s="161"/>
      <c r="FU357" s="161"/>
      <c r="FV357" s="161"/>
      <c r="FW357" s="161"/>
      <c r="FX357" s="161"/>
      <c r="FY357" s="161"/>
      <c r="FZ357" s="161"/>
      <c r="GA357" s="136"/>
      <c r="GB357" s="136"/>
      <c r="GC357" s="161"/>
      <c r="GD357" s="161"/>
      <c r="GE357" s="161"/>
      <c r="GF357" s="161"/>
      <c r="GG357" s="161"/>
      <c r="GH357" s="161"/>
      <c r="GI357" s="161"/>
      <c r="GJ357" s="161"/>
      <c r="GK357" s="161"/>
      <c r="GL357" s="161"/>
      <c r="GM357" s="161"/>
      <c r="GN357" s="161"/>
    </row>
    <row r="358" spans="1:196">
      <c r="A358" s="154"/>
      <c r="B358" s="126" t="s">
        <v>1304</v>
      </c>
      <c r="C358" s="109" t="s">
        <v>250</v>
      </c>
      <c r="D358" s="119"/>
      <c r="E358" s="119"/>
      <c r="F358" s="107"/>
      <c r="G358" s="115">
        <v>750</v>
      </c>
      <c r="H358" s="6"/>
      <c r="I358" s="125">
        <v>46263</v>
      </c>
      <c r="J358" s="13">
        <f>G358-SUM(L358:FL358)</f>
        <v>0</v>
      </c>
      <c r="K358" s="106"/>
      <c r="L358" s="161"/>
      <c r="M358" s="136"/>
      <c r="N358" s="136"/>
      <c r="O358" s="136"/>
      <c r="P358" s="136"/>
      <c r="Q358" s="136"/>
      <c r="R358" s="136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36"/>
      <c r="AD358" s="136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36"/>
      <c r="AR358" s="136"/>
      <c r="AS358" s="161"/>
      <c r="AT358" s="161"/>
      <c r="AU358" s="161"/>
      <c r="AV358" s="161"/>
      <c r="AW358" s="161"/>
      <c r="AX358" s="161"/>
      <c r="AY358" s="161"/>
      <c r="AZ358" s="161"/>
      <c r="BA358" s="161"/>
      <c r="BB358" s="161"/>
      <c r="BC358" s="161"/>
      <c r="BD358" s="161"/>
      <c r="BE358" s="136"/>
      <c r="BF358" s="136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36"/>
      <c r="BT358" s="136"/>
      <c r="BU358" s="161"/>
      <c r="BV358" s="161"/>
      <c r="BW358" s="161"/>
      <c r="BX358" s="161"/>
      <c r="BY358" s="161"/>
      <c r="BZ358" s="161"/>
      <c r="CA358" s="161"/>
      <c r="CB358" s="161"/>
      <c r="CC358" s="161"/>
      <c r="CD358" s="161"/>
      <c r="CE358" s="161"/>
      <c r="CF358" s="161"/>
      <c r="CG358" s="136"/>
      <c r="CH358" s="136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36"/>
      <c r="CV358" s="136"/>
      <c r="CW358" s="161"/>
      <c r="CX358" s="161"/>
      <c r="CY358" s="161"/>
      <c r="CZ358" s="161"/>
      <c r="DA358" s="161"/>
      <c r="DB358" s="161"/>
      <c r="DC358" s="161"/>
      <c r="DD358" s="161"/>
      <c r="DE358" s="161"/>
      <c r="DF358" s="161"/>
      <c r="DG358" s="161"/>
      <c r="DH358" s="161"/>
      <c r="DI358" s="136"/>
      <c r="DJ358" s="136"/>
      <c r="DK358" s="161"/>
      <c r="DL358" s="161"/>
      <c r="DM358" s="161"/>
      <c r="DN358" s="161"/>
      <c r="DO358" s="161"/>
      <c r="DP358" s="161"/>
      <c r="DQ358" s="161"/>
      <c r="DR358" s="161"/>
      <c r="DS358" s="161"/>
      <c r="DT358" s="161"/>
      <c r="DU358" s="161"/>
      <c r="DV358" s="161"/>
      <c r="DW358" s="136"/>
      <c r="DX358" s="136"/>
      <c r="DY358" s="161">
        <v>380</v>
      </c>
      <c r="DZ358" s="161"/>
      <c r="EA358" s="161">
        <v>370</v>
      </c>
      <c r="EB358" s="161"/>
      <c r="EC358" s="161"/>
      <c r="ED358" s="161"/>
      <c r="EE358" s="161"/>
      <c r="EF358" s="161"/>
      <c r="EG358" s="161"/>
      <c r="EH358" s="161"/>
      <c r="EI358" s="161"/>
      <c r="EJ358" s="161"/>
      <c r="EK358" s="136"/>
      <c r="EL358" s="136"/>
      <c r="EM358" s="136"/>
      <c r="EN358" s="136"/>
      <c r="EO358" s="136"/>
      <c r="EP358" s="136"/>
      <c r="EQ358" s="136"/>
      <c r="ER358" s="136"/>
      <c r="ES358" s="161"/>
      <c r="ET358" s="161"/>
      <c r="EU358" s="161"/>
      <c r="EV358" s="161"/>
      <c r="EW358" s="161"/>
      <c r="EX358" s="161"/>
      <c r="EY358" s="136"/>
      <c r="EZ358" s="136"/>
      <c r="FA358" s="161"/>
      <c r="FB358" s="161"/>
      <c r="FC358" s="161"/>
      <c r="FD358" s="161"/>
      <c r="FE358" s="161"/>
      <c r="FF358" s="161"/>
      <c r="FG358" s="161"/>
      <c r="FH358" s="161"/>
      <c r="FI358" s="161"/>
      <c r="FJ358" s="161"/>
      <c r="FK358" s="161"/>
      <c r="FL358" s="161"/>
      <c r="FM358" s="136"/>
      <c r="FN358" s="136"/>
      <c r="FO358" s="161"/>
      <c r="FP358" s="161"/>
      <c r="FQ358" s="161"/>
      <c r="FR358" s="161"/>
      <c r="FS358" s="161"/>
      <c r="FT358" s="161"/>
      <c r="FU358" s="161"/>
      <c r="FV358" s="161"/>
      <c r="FW358" s="161"/>
      <c r="FX358" s="161"/>
      <c r="FY358" s="161"/>
      <c r="FZ358" s="161"/>
      <c r="GA358" s="136"/>
      <c r="GB358" s="136"/>
      <c r="GC358" s="161"/>
      <c r="GD358" s="161"/>
      <c r="GE358" s="161"/>
      <c r="GF358" s="161"/>
      <c r="GG358" s="161"/>
      <c r="GH358" s="161"/>
      <c r="GI358" s="161"/>
      <c r="GJ358" s="161"/>
      <c r="GK358" s="161"/>
      <c r="GL358" s="161"/>
      <c r="GM358" s="161"/>
      <c r="GN358" s="161"/>
    </row>
    <row r="359" spans="1:196">
      <c r="A359" s="154"/>
      <c r="B359" s="126" t="s">
        <v>1305</v>
      </c>
      <c r="C359" s="109" t="s">
        <v>621</v>
      </c>
      <c r="D359" s="119"/>
      <c r="E359" s="119"/>
      <c r="F359" s="6"/>
      <c r="G359" s="115">
        <v>750</v>
      </c>
      <c r="H359" s="6"/>
      <c r="I359" s="125">
        <v>46263</v>
      </c>
      <c r="J359" s="13">
        <f>G359-SUM(L359:FL359)</f>
        <v>0</v>
      </c>
      <c r="K359" s="141"/>
      <c r="L359" s="161"/>
      <c r="M359" s="136"/>
      <c r="N359" s="136"/>
      <c r="O359" s="136"/>
      <c r="P359" s="136"/>
      <c r="Q359" s="136"/>
      <c r="R359" s="136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36"/>
      <c r="AD359" s="136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36"/>
      <c r="AR359" s="136"/>
      <c r="AS359" s="161"/>
      <c r="AT359" s="161"/>
      <c r="AU359" s="161"/>
      <c r="AV359" s="161"/>
      <c r="AW359" s="161"/>
      <c r="AX359" s="161"/>
      <c r="AY359" s="161"/>
      <c r="AZ359" s="161"/>
      <c r="BA359" s="161"/>
      <c r="BB359" s="161"/>
      <c r="BC359" s="161"/>
      <c r="BD359" s="161"/>
      <c r="BE359" s="136"/>
      <c r="BF359" s="136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36"/>
      <c r="BT359" s="136"/>
      <c r="BU359" s="161"/>
      <c r="BV359" s="161"/>
      <c r="BW359" s="161"/>
      <c r="BX359" s="161"/>
      <c r="BY359" s="161"/>
      <c r="BZ359" s="161"/>
      <c r="CA359" s="161"/>
      <c r="CB359" s="161"/>
      <c r="CC359" s="161"/>
      <c r="CD359" s="161"/>
      <c r="CE359" s="161"/>
      <c r="CF359" s="161"/>
      <c r="CG359" s="136"/>
      <c r="CH359" s="136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36"/>
      <c r="CV359" s="136"/>
      <c r="CW359" s="161"/>
      <c r="CX359" s="161"/>
      <c r="CY359" s="161"/>
      <c r="CZ359" s="161"/>
      <c r="DA359" s="161"/>
      <c r="DB359" s="161"/>
      <c r="DC359" s="161"/>
      <c r="DD359" s="161"/>
      <c r="DE359" s="161"/>
      <c r="DF359" s="161"/>
      <c r="DG359" s="161"/>
      <c r="DH359" s="161"/>
      <c r="DI359" s="136"/>
      <c r="DJ359" s="136"/>
      <c r="DK359" s="161"/>
      <c r="DL359" s="161"/>
      <c r="DM359" s="161"/>
      <c r="DN359" s="161"/>
      <c r="DO359" s="161"/>
      <c r="DP359" s="161"/>
      <c r="DQ359" s="161"/>
      <c r="DR359" s="161"/>
      <c r="DS359" s="161"/>
      <c r="DT359" s="161"/>
      <c r="DU359" s="161"/>
      <c r="DV359" s="161"/>
      <c r="DW359" s="136"/>
      <c r="DX359" s="136"/>
      <c r="DY359" s="161"/>
      <c r="DZ359" s="161"/>
      <c r="EA359" s="161"/>
      <c r="EB359" s="161"/>
      <c r="EC359" s="161">
        <v>380</v>
      </c>
      <c r="ED359" s="161"/>
      <c r="EE359" s="161">
        <v>370</v>
      </c>
      <c r="EF359" s="161"/>
      <c r="EG359" s="161"/>
      <c r="EH359" s="161"/>
      <c r="EI359" s="161"/>
      <c r="EJ359" s="161"/>
      <c r="EK359" s="136"/>
      <c r="EL359" s="136"/>
      <c r="EM359" s="136"/>
      <c r="EN359" s="136"/>
      <c r="EO359" s="136"/>
      <c r="EP359" s="136"/>
      <c r="EQ359" s="136"/>
      <c r="ER359" s="136"/>
      <c r="ES359" s="161"/>
      <c r="ET359" s="161"/>
      <c r="EU359" s="161"/>
      <c r="EV359" s="161"/>
      <c r="EW359" s="161"/>
      <c r="EX359" s="161"/>
      <c r="EY359" s="136"/>
      <c r="EZ359" s="136"/>
      <c r="FA359" s="161"/>
      <c r="FB359" s="161"/>
      <c r="FC359" s="161"/>
      <c r="FD359" s="161"/>
      <c r="FE359" s="161"/>
      <c r="FF359" s="161"/>
      <c r="FG359" s="161"/>
      <c r="FH359" s="161"/>
      <c r="FI359" s="161"/>
      <c r="FJ359" s="161"/>
      <c r="FK359" s="161"/>
      <c r="FL359" s="161"/>
      <c r="FM359" s="136"/>
      <c r="FN359" s="136"/>
      <c r="FO359" s="161"/>
      <c r="FP359" s="161"/>
      <c r="FQ359" s="161"/>
      <c r="FR359" s="161"/>
      <c r="FS359" s="161"/>
      <c r="FT359" s="161"/>
      <c r="FU359" s="161"/>
      <c r="FV359" s="161"/>
      <c r="FW359" s="161"/>
      <c r="FX359" s="161"/>
      <c r="FY359" s="161"/>
      <c r="FZ359" s="161"/>
      <c r="GA359" s="136"/>
      <c r="GB359" s="136"/>
      <c r="GC359" s="161"/>
      <c r="GD359" s="161"/>
      <c r="GE359" s="161"/>
      <c r="GF359" s="161"/>
      <c r="GG359" s="161"/>
      <c r="GH359" s="161"/>
      <c r="GI359" s="161"/>
      <c r="GJ359" s="161"/>
      <c r="GK359" s="161"/>
      <c r="GL359" s="161"/>
      <c r="GM359" s="161"/>
      <c r="GN359" s="161"/>
    </row>
    <row r="360" spans="1:196">
      <c r="A360" s="154"/>
      <c r="B360" s="126" t="s">
        <v>1303</v>
      </c>
      <c r="C360" s="109" t="s">
        <v>616</v>
      </c>
      <c r="D360" s="119"/>
      <c r="E360" s="119"/>
      <c r="F360" s="107"/>
      <c r="G360" s="115">
        <v>4500</v>
      </c>
      <c r="H360" s="6"/>
      <c r="I360" s="125">
        <v>46263</v>
      </c>
      <c r="J360" s="13">
        <f t="shared" si="194"/>
        <v>0</v>
      </c>
      <c r="K360" s="141"/>
      <c r="L360" s="161"/>
      <c r="M360" s="136"/>
      <c r="N360" s="136"/>
      <c r="O360" s="136"/>
      <c r="P360" s="136"/>
      <c r="Q360" s="136"/>
      <c r="R360" s="136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36"/>
      <c r="AD360" s="136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36"/>
      <c r="AR360" s="136"/>
      <c r="AS360" s="161"/>
      <c r="AT360" s="161"/>
      <c r="AU360" s="161"/>
      <c r="AV360" s="161"/>
      <c r="AW360" s="161"/>
      <c r="AX360" s="161"/>
      <c r="AY360" s="161"/>
      <c r="AZ360" s="161"/>
      <c r="BA360" s="161"/>
      <c r="BB360" s="161"/>
      <c r="BC360" s="161"/>
      <c r="BD360" s="161"/>
      <c r="BE360" s="136"/>
      <c r="BF360" s="136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36"/>
      <c r="BT360" s="136"/>
      <c r="BU360" s="161"/>
      <c r="BV360" s="161"/>
      <c r="BW360" s="161"/>
      <c r="BX360" s="161"/>
      <c r="BY360" s="161"/>
      <c r="BZ360" s="161"/>
      <c r="CA360" s="161"/>
      <c r="CB360" s="161"/>
      <c r="CC360" s="161"/>
      <c r="CD360" s="161"/>
      <c r="CE360" s="161"/>
      <c r="CF360" s="161"/>
      <c r="CG360" s="136"/>
      <c r="CH360" s="136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36"/>
      <c r="CV360" s="136"/>
      <c r="CW360" s="161"/>
      <c r="CX360" s="161"/>
      <c r="CY360" s="161"/>
      <c r="CZ360" s="161"/>
      <c r="DA360" s="161"/>
      <c r="DB360" s="161"/>
      <c r="DC360" s="161"/>
      <c r="DD360" s="161"/>
      <c r="DE360" s="161"/>
      <c r="DF360" s="161"/>
      <c r="DG360" s="161"/>
      <c r="DH360" s="161"/>
      <c r="DI360" s="136"/>
      <c r="DJ360" s="136"/>
      <c r="DK360" s="161"/>
      <c r="DL360" s="161"/>
      <c r="DM360" s="161"/>
      <c r="DN360" s="161"/>
      <c r="DO360" s="161"/>
      <c r="DP360" s="161"/>
      <c r="DQ360" s="161"/>
      <c r="DR360" s="161"/>
      <c r="DS360" s="161"/>
      <c r="DT360" s="161"/>
      <c r="DU360" s="161"/>
      <c r="DV360" s="161"/>
      <c r="DW360" s="136"/>
      <c r="DX360" s="136"/>
      <c r="DY360" s="161"/>
      <c r="DZ360" s="161"/>
      <c r="EA360" s="161"/>
      <c r="EB360" s="161"/>
      <c r="EC360" s="161"/>
      <c r="ED360" s="161"/>
      <c r="EE360" s="161"/>
      <c r="EF360" s="161"/>
      <c r="EG360" s="161">
        <v>650</v>
      </c>
      <c r="EH360" s="161"/>
      <c r="EI360" s="161">
        <v>650</v>
      </c>
      <c r="EJ360" s="161"/>
      <c r="EK360" s="136"/>
      <c r="EL360" s="136"/>
      <c r="EM360" s="136"/>
      <c r="EN360" s="136"/>
      <c r="EO360" s="136"/>
      <c r="EP360" s="136"/>
      <c r="EQ360" s="136"/>
      <c r="ER360" s="136"/>
      <c r="ES360" s="161">
        <v>650</v>
      </c>
      <c r="ET360" s="161"/>
      <c r="EU360" s="161">
        <v>650</v>
      </c>
      <c r="EV360" s="161"/>
      <c r="EW360" s="161">
        <v>650</v>
      </c>
      <c r="EX360" s="161"/>
      <c r="EY360" s="136"/>
      <c r="EZ360" s="136"/>
      <c r="FA360" s="161">
        <v>650</v>
      </c>
      <c r="FB360" s="161"/>
      <c r="FC360" s="161">
        <v>600</v>
      </c>
      <c r="FD360" s="161"/>
      <c r="FE360" s="161"/>
      <c r="FF360" s="161"/>
      <c r="FG360" s="161"/>
      <c r="FH360" s="161"/>
      <c r="FI360" s="161"/>
      <c r="FJ360" s="161"/>
      <c r="FK360" s="161"/>
      <c r="FL360" s="161"/>
      <c r="FM360" s="136"/>
      <c r="FN360" s="136"/>
      <c r="FO360" s="161"/>
      <c r="FP360" s="161"/>
      <c r="FQ360" s="161"/>
      <c r="FR360" s="161"/>
      <c r="FS360" s="161"/>
      <c r="FT360" s="161"/>
      <c r="FU360" s="161"/>
      <c r="FV360" s="161"/>
      <c r="FW360" s="161"/>
      <c r="FX360" s="161"/>
      <c r="FY360" s="161"/>
      <c r="FZ360" s="161"/>
      <c r="GA360" s="136"/>
      <c r="GB360" s="136"/>
      <c r="GC360" s="161"/>
      <c r="GD360" s="161"/>
      <c r="GE360" s="161"/>
      <c r="GF360" s="161"/>
      <c r="GG360" s="161"/>
      <c r="GH360" s="161"/>
      <c r="GI360" s="161"/>
      <c r="GJ360" s="161"/>
      <c r="GK360" s="161"/>
      <c r="GL360" s="161"/>
      <c r="GM360" s="161"/>
      <c r="GN360" s="161"/>
    </row>
    <row r="361" spans="1:196">
      <c r="A361" s="154"/>
      <c r="B361" s="126"/>
      <c r="C361" s="109"/>
      <c r="D361" s="119"/>
      <c r="E361" s="119"/>
      <c r="F361" s="6"/>
      <c r="G361" s="115"/>
      <c r="H361" s="6"/>
      <c r="I361" s="125"/>
      <c r="J361" s="13"/>
      <c r="K361" s="141"/>
      <c r="L361" s="161"/>
      <c r="M361" s="136"/>
      <c r="N361" s="136"/>
      <c r="O361" s="136"/>
      <c r="P361" s="136"/>
      <c r="Q361" s="136"/>
      <c r="R361" s="136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36"/>
      <c r="AD361" s="136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36"/>
      <c r="AR361" s="136"/>
      <c r="AS361" s="161"/>
      <c r="AT361" s="161"/>
      <c r="AU361" s="161"/>
      <c r="AV361" s="161"/>
      <c r="AW361" s="161"/>
      <c r="AX361" s="161"/>
      <c r="AY361" s="161"/>
      <c r="AZ361" s="161"/>
      <c r="BA361" s="161"/>
      <c r="BB361" s="161"/>
      <c r="BC361" s="161"/>
      <c r="BD361" s="161"/>
      <c r="BE361" s="136"/>
      <c r="BF361" s="136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36"/>
      <c r="BT361" s="136"/>
      <c r="BU361" s="161"/>
      <c r="BV361" s="161"/>
      <c r="BW361" s="161"/>
      <c r="BX361" s="161"/>
      <c r="BY361" s="161"/>
      <c r="BZ361" s="161"/>
      <c r="CA361" s="161"/>
      <c r="CB361" s="161"/>
      <c r="CC361" s="161"/>
      <c r="CD361" s="161"/>
      <c r="CE361" s="161"/>
      <c r="CF361" s="161"/>
      <c r="CG361" s="136"/>
      <c r="CH361" s="136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36"/>
      <c r="CV361" s="136"/>
      <c r="CW361" s="161"/>
      <c r="CX361" s="161"/>
      <c r="CY361" s="161"/>
      <c r="CZ361" s="161"/>
      <c r="DA361" s="161"/>
      <c r="DB361" s="161"/>
      <c r="DC361" s="161"/>
      <c r="DD361" s="161"/>
      <c r="DE361" s="161"/>
      <c r="DF361" s="161"/>
      <c r="DG361" s="161"/>
      <c r="DH361" s="161"/>
      <c r="DI361" s="136"/>
      <c r="DJ361" s="136"/>
      <c r="DK361" s="161"/>
      <c r="DL361" s="161"/>
      <c r="DM361" s="161"/>
      <c r="DN361" s="161"/>
      <c r="DO361" s="161"/>
      <c r="DP361" s="161"/>
      <c r="DQ361" s="161"/>
      <c r="DR361" s="161"/>
      <c r="DS361" s="161"/>
      <c r="DT361" s="161"/>
      <c r="DU361" s="161"/>
      <c r="DV361" s="161"/>
      <c r="DW361" s="136"/>
      <c r="DX361" s="136"/>
      <c r="DY361" s="161"/>
      <c r="DZ361" s="161"/>
      <c r="EA361" s="161"/>
      <c r="EB361" s="161"/>
      <c r="EC361" s="161"/>
      <c r="ED361" s="161"/>
      <c r="EE361" s="161"/>
      <c r="EF361" s="161"/>
      <c r="EG361" s="161"/>
      <c r="EH361" s="161"/>
      <c r="EI361" s="161"/>
      <c r="EJ361" s="161"/>
      <c r="EK361" s="136"/>
      <c r="EL361" s="136"/>
      <c r="EM361" s="136"/>
      <c r="EN361" s="136"/>
      <c r="EO361" s="136"/>
      <c r="EP361" s="136"/>
      <c r="EQ361" s="136"/>
      <c r="ER361" s="136"/>
      <c r="ES361" s="161"/>
      <c r="ET361" s="161"/>
      <c r="EU361" s="161"/>
      <c r="EV361" s="161"/>
      <c r="EW361" s="161"/>
      <c r="EX361" s="161"/>
      <c r="EY361" s="136"/>
      <c r="EZ361" s="136"/>
      <c r="FA361" s="161"/>
      <c r="FB361" s="161"/>
      <c r="FC361" s="161"/>
      <c r="FD361" s="161"/>
      <c r="FE361" s="161"/>
      <c r="FF361" s="161"/>
      <c r="FG361" s="161"/>
      <c r="FH361" s="161"/>
      <c r="FI361" s="161"/>
      <c r="FJ361" s="161"/>
      <c r="FK361" s="161"/>
      <c r="FL361" s="161"/>
      <c r="FM361" s="136"/>
      <c r="FN361" s="136"/>
      <c r="FO361" s="161"/>
      <c r="FP361" s="161"/>
      <c r="FQ361" s="161"/>
      <c r="FR361" s="161"/>
      <c r="FS361" s="161"/>
      <c r="FT361" s="161"/>
      <c r="FU361" s="161"/>
      <c r="FV361" s="161"/>
      <c r="FW361" s="161"/>
      <c r="FX361" s="161"/>
      <c r="FY361" s="161"/>
      <c r="FZ361" s="161"/>
      <c r="GA361" s="136"/>
      <c r="GB361" s="136"/>
      <c r="GC361" s="161"/>
      <c r="GD361" s="161"/>
      <c r="GE361" s="161"/>
      <c r="GF361" s="161"/>
      <c r="GG361" s="161"/>
      <c r="GH361" s="161"/>
      <c r="GI361" s="161"/>
      <c r="GJ361" s="161"/>
      <c r="GK361" s="161"/>
      <c r="GL361" s="161"/>
      <c r="GM361" s="161"/>
      <c r="GN361" s="161"/>
    </row>
    <row r="362" spans="1:196">
      <c r="A362" s="154"/>
      <c r="B362" s="126"/>
      <c r="C362" s="126"/>
      <c r="D362" s="119"/>
      <c r="E362" s="119"/>
      <c r="F362" s="107"/>
      <c r="G362" s="115"/>
      <c r="H362" s="6"/>
      <c r="I362" s="125"/>
      <c r="J362" s="13"/>
      <c r="K362" s="106"/>
      <c r="L362" s="161"/>
      <c r="M362" s="136"/>
      <c r="N362" s="136"/>
      <c r="O362" s="136"/>
      <c r="P362" s="136"/>
      <c r="Q362" s="136"/>
      <c r="R362" s="136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36"/>
      <c r="AD362" s="136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36"/>
      <c r="AR362" s="136"/>
      <c r="AS362" s="161"/>
      <c r="AT362" s="161"/>
      <c r="AU362" s="161"/>
      <c r="AV362" s="161"/>
      <c r="AW362" s="161"/>
      <c r="AX362" s="161"/>
      <c r="AY362" s="161"/>
      <c r="AZ362" s="161"/>
      <c r="BA362" s="161"/>
      <c r="BB362" s="161"/>
      <c r="BC362" s="161"/>
      <c r="BD362" s="161"/>
      <c r="BE362" s="136"/>
      <c r="BF362" s="136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36"/>
      <c r="BT362" s="136"/>
      <c r="BU362" s="161"/>
      <c r="BV362" s="161"/>
      <c r="BW362" s="161"/>
      <c r="BX362" s="161"/>
      <c r="BY362" s="161"/>
      <c r="BZ362" s="161"/>
      <c r="CA362" s="161"/>
      <c r="CB362" s="161"/>
      <c r="CC362" s="161"/>
      <c r="CD362" s="161"/>
      <c r="CE362" s="161"/>
      <c r="CF362" s="161"/>
      <c r="CG362" s="136"/>
      <c r="CH362" s="136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36"/>
      <c r="CV362" s="136"/>
      <c r="CW362" s="161"/>
      <c r="CX362" s="161"/>
      <c r="CY362" s="161"/>
      <c r="CZ362" s="161"/>
      <c r="DA362" s="161"/>
      <c r="DB362" s="161"/>
      <c r="DC362" s="161"/>
      <c r="DD362" s="161"/>
      <c r="DE362" s="161"/>
      <c r="DF362" s="161"/>
      <c r="DG362" s="161"/>
      <c r="DH362" s="161"/>
      <c r="DI362" s="136"/>
      <c r="DJ362" s="136"/>
      <c r="DK362" s="161"/>
      <c r="DL362" s="161"/>
      <c r="DM362" s="161"/>
      <c r="DN362" s="161"/>
      <c r="DO362" s="161"/>
      <c r="DP362" s="161"/>
      <c r="DQ362" s="161"/>
      <c r="DR362" s="161"/>
      <c r="DS362" s="161"/>
      <c r="DT362" s="161"/>
      <c r="DU362" s="161"/>
      <c r="DV362" s="161"/>
      <c r="DW362" s="136"/>
      <c r="DX362" s="136"/>
      <c r="DY362" s="161"/>
      <c r="DZ362" s="161"/>
      <c r="EA362" s="161"/>
      <c r="EB362" s="161"/>
      <c r="EC362" s="161"/>
      <c r="ED362" s="161"/>
      <c r="EE362" s="161"/>
      <c r="EF362" s="161"/>
      <c r="EG362" s="161"/>
      <c r="EH362" s="161"/>
      <c r="EI362" s="161"/>
      <c r="EJ362" s="161"/>
      <c r="EK362" s="136"/>
      <c r="EL362" s="136"/>
      <c r="EM362" s="136"/>
      <c r="EN362" s="136"/>
      <c r="EO362" s="136"/>
      <c r="EP362" s="136"/>
      <c r="EQ362" s="136"/>
      <c r="ER362" s="136"/>
      <c r="ES362" s="161"/>
      <c r="ET362" s="161"/>
      <c r="EU362" s="161"/>
      <c r="EV362" s="161"/>
      <c r="EW362" s="161"/>
      <c r="EX362" s="161"/>
      <c r="EY362" s="136"/>
      <c r="EZ362" s="136"/>
      <c r="FA362" s="161"/>
      <c r="FB362" s="161"/>
      <c r="FC362" s="161"/>
      <c r="FD362" s="161"/>
      <c r="FE362" s="161"/>
      <c r="FF362" s="161"/>
      <c r="FG362" s="161"/>
      <c r="FH362" s="161"/>
      <c r="FI362" s="161"/>
      <c r="FJ362" s="161"/>
      <c r="FK362" s="161"/>
      <c r="FL362" s="161"/>
      <c r="FM362" s="136"/>
      <c r="FN362" s="136"/>
      <c r="FO362" s="161"/>
      <c r="FP362" s="161"/>
      <c r="FQ362" s="161"/>
      <c r="FR362" s="161"/>
      <c r="FS362" s="161"/>
      <c r="FT362" s="161"/>
      <c r="FU362" s="161"/>
      <c r="FV362" s="161"/>
      <c r="FW362" s="161"/>
      <c r="FX362" s="161"/>
      <c r="FY362" s="161"/>
      <c r="FZ362" s="161"/>
      <c r="GA362" s="136"/>
      <c r="GB362" s="136"/>
      <c r="GC362" s="161"/>
      <c r="GD362" s="161"/>
      <c r="GE362" s="161"/>
      <c r="GF362" s="161"/>
      <c r="GG362" s="161"/>
      <c r="GH362" s="161"/>
      <c r="GI362" s="161"/>
      <c r="GJ362" s="161"/>
      <c r="GK362" s="161"/>
      <c r="GL362" s="161"/>
      <c r="GM362" s="161"/>
      <c r="GN362" s="161"/>
    </row>
    <row r="363" spans="1:196">
      <c r="A363" s="7"/>
      <c r="B363" s="16"/>
      <c r="C363" s="16"/>
      <c r="D363" s="16"/>
      <c r="E363" s="152"/>
      <c r="F363" s="16"/>
      <c r="G363" s="93"/>
      <c r="H363" s="17"/>
      <c r="I363" s="23"/>
      <c r="J363" s="16"/>
      <c r="K363" s="1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</row>
    <row r="364" spans="1:196" ht="15" hidden="1" customHeight="1">
      <c r="A364" s="162"/>
      <c r="B364" s="126" t="s">
        <v>735</v>
      </c>
      <c r="C364" s="174" t="s">
        <v>661</v>
      </c>
      <c r="D364" s="119" t="e">
        <f>VLOOKUP(C364,#REF!,2,0)</f>
        <v>#REF!</v>
      </c>
      <c r="E364" s="119" t="e">
        <f>VLOOKUP(C364,#REF!,5,0)</f>
        <v>#REF!</v>
      </c>
      <c r="F364" s="107">
        <v>46181</v>
      </c>
      <c r="G364" s="115">
        <v>1000</v>
      </c>
      <c r="H364" s="6"/>
      <c r="I364" s="125">
        <v>46179</v>
      </c>
      <c r="J364" s="13">
        <f t="shared" ref="J364:J407" si="201">G364-SUM(L364:FL364)</f>
        <v>0</v>
      </c>
      <c r="K364" s="141"/>
      <c r="L364" s="161">
        <v>1000</v>
      </c>
      <c r="M364" s="136"/>
      <c r="N364" s="136"/>
      <c r="O364" s="136"/>
      <c r="P364" s="136"/>
      <c r="Q364" s="136"/>
      <c r="R364" s="136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36"/>
      <c r="AD364" s="136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36"/>
      <c r="AR364" s="136"/>
      <c r="AS364" s="161"/>
      <c r="AT364" s="161"/>
      <c r="AU364" s="161"/>
      <c r="AV364" s="161"/>
      <c r="AW364" s="161"/>
      <c r="AX364" s="161"/>
      <c r="AY364" s="161"/>
      <c r="AZ364" s="161"/>
      <c r="BA364" s="161"/>
      <c r="BB364" s="161"/>
      <c r="BC364" s="161"/>
      <c r="BD364" s="161"/>
      <c r="BE364" s="136"/>
      <c r="BF364" s="136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36"/>
      <c r="BT364" s="136"/>
      <c r="BU364" s="161"/>
      <c r="BV364" s="161"/>
      <c r="BW364" s="161"/>
      <c r="BX364" s="161"/>
      <c r="BY364" s="161"/>
      <c r="BZ364" s="161"/>
      <c r="CA364" s="161"/>
      <c r="CB364" s="161"/>
      <c r="CC364" s="161"/>
      <c r="CD364" s="161"/>
      <c r="CE364" s="161"/>
      <c r="CF364" s="161"/>
      <c r="CG364" s="136"/>
      <c r="CH364" s="136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36"/>
      <c r="CV364" s="136"/>
      <c r="CW364" s="161"/>
      <c r="CX364" s="161"/>
      <c r="CY364" s="161"/>
      <c r="CZ364" s="161"/>
      <c r="DA364" s="161"/>
      <c r="DB364" s="161"/>
      <c r="DC364" s="161"/>
      <c r="DD364" s="161"/>
      <c r="DE364" s="161"/>
      <c r="DF364" s="161"/>
      <c r="DG364" s="161"/>
      <c r="DH364" s="161"/>
      <c r="DI364" s="136"/>
      <c r="DJ364" s="136"/>
      <c r="DK364" s="161"/>
      <c r="DL364" s="161"/>
      <c r="DM364" s="161"/>
      <c r="DN364" s="161"/>
      <c r="DO364" s="161"/>
      <c r="DP364" s="161"/>
      <c r="DQ364" s="161"/>
      <c r="DR364" s="161"/>
      <c r="DS364" s="161"/>
      <c r="DT364" s="161"/>
      <c r="DU364" s="161"/>
      <c r="DV364" s="161"/>
      <c r="DW364" s="136"/>
      <c r="DX364" s="136"/>
      <c r="DY364" s="161"/>
      <c r="DZ364" s="161"/>
      <c r="EA364" s="161"/>
      <c r="EB364" s="161"/>
      <c r="EC364" s="161"/>
      <c r="ED364" s="161"/>
      <c r="EE364" s="161"/>
      <c r="EF364" s="161"/>
      <c r="EG364" s="161"/>
      <c r="EH364" s="161"/>
      <c r="EI364" s="161"/>
      <c r="EJ364" s="161"/>
      <c r="EK364" s="136"/>
      <c r="EL364" s="136"/>
      <c r="EM364" s="136"/>
      <c r="EN364" s="136"/>
      <c r="EO364" s="136"/>
      <c r="EP364" s="136"/>
      <c r="EQ364" s="136"/>
      <c r="ER364" s="136"/>
      <c r="ES364" s="161"/>
      <c r="ET364" s="161"/>
      <c r="EU364" s="161"/>
      <c r="EV364" s="161"/>
      <c r="EW364" s="161"/>
      <c r="EX364" s="161"/>
      <c r="EY364" s="136"/>
      <c r="EZ364" s="136"/>
      <c r="FA364" s="161"/>
      <c r="FB364" s="161"/>
      <c r="FC364" s="161"/>
      <c r="FD364" s="161"/>
      <c r="FE364" s="161"/>
      <c r="FF364" s="161"/>
      <c r="FG364" s="161"/>
      <c r="FH364" s="161"/>
      <c r="FI364" s="161"/>
      <c r="FJ364" s="161"/>
      <c r="FK364" s="161"/>
      <c r="FL364" s="161"/>
      <c r="FM364" s="136"/>
      <c r="FN364" s="136"/>
      <c r="FO364" s="161"/>
      <c r="FP364" s="161"/>
      <c r="FQ364" s="161"/>
      <c r="FR364" s="161"/>
      <c r="FS364" s="161"/>
      <c r="FT364" s="161"/>
      <c r="FU364" s="161"/>
      <c r="FV364" s="161"/>
      <c r="FW364" s="161"/>
      <c r="FX364" s="161"/>
      <c r="FY364" s="161"/>
      <c r="FZ364" s="161"/>
      <c r="GA364" s="136"/>
      <c r="GB364" s="136"/>
      <c r="GC364" s="161"/>
      <c r="GD364" s="161"/>
      <c r="GE364" s="161"/>
      <c r="GF364" s="161"/>
      <c r="GG364" s="161"/>
      <c r="GH364" s="161"/>
      <c r="GI364" s="161"/>
      <c r="GJ364" s="161"/>
      <c r="GK364" s="161"/>
      <c r="GL364" s="161"/>
      <c r="GM364" s="161"/>
      <c r="GN364" s="161"/>
    </row>
    <row r="365" spans="1:196" ht="15" hidden="1" customHeight="1">
      <c r="A365" s="162"/>
      <c r="B365" s="126" t="s">
        <v>934</v>
      </c>
      <c r="C365" s="109" t="s">
        <v>664</v>
      </c>
      <c r="D365" s="119" t="e">
        <f>VLOOKUP(C365,#REF!,2,0)</f>
        <v>#REF!</v>
      </c>
      <c r="E365" s="119" t="e">
        <f>VLOOKUP(C365,#REF!,5,0)</f>
        <v>#REF!</v>
      </c>
      <c r="F365" s="107">
        <v>46202</v>
      </c>
      <c r="G365" s="115">
        <v>212</v>
      </c>
      <c r="H365" s="6"/>
      <c r="I365" s="125">
        <v>46200</v>
      </c>
      <c r="J365" s="13">
        <f t="shared" si="201"/>
        <v>0</v>
      </c>
      <c r="K365" s="106"/>
      <c r="L365" s="161"/>
      <c r="M365" s="136"/>
      <c r="N365" s="136"/>
      <c r="O365" s="136"/>
      <c r="P365" s="136"/>
      <c r="Q365" s="136"/>
      <c r="R365" s="136">
        <v>112</v>
      </c>
      <c r="S365" s="161">
        <v>86</v>
      </c>
      <c r="T365" s="161">
        <v>14</v>
      </c>
      <c r="U365" s="161"/>
      <c r="V365" s="161"/>
      <c r="W365" s="161"/>
      <c r="X365" s="161"/>
      <c r="Y365" s="161"/>
      <c r="Z365" s="161"/>
      <c r="AA365" s="161"/>
      <c r="AB365" s="161"/>
      <c r="AC365" s="136"/>
      <c r="AD365" s="136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36"/>
      <c r="AR365" s="136"/>
      <c r="AS365" s="161"/>
      <c r="AT365" s="161"/>
      <c r="AU365" s="161"/>
      <c r="AV365" s="161"/>
      <c r="AW365" s="161"/>
      <c r="AX365" s="161"/>
      <c r="AY365" s="161"/>
      <c r="AZ365" s="161"/>
      <c r="BA365" s="161"/>
      <c r="BB365" s="161"/>
      <c r="BC365" s="161"/>
      <c r="BD365" s="161"/>
      <c r="BE365" s="136"/>
      <c r="BF365" s="136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36"/>
      <c r="BT365" s="136"/>
      <c r="BU365" s="161"/>
      <c r="BV365" s="161"/>
      <c r="BW365" s="161"/>
      <c r="BX365" s="161"/>
      <c r="BY365" s="161"/>
      <c r="BZ365" s="161"/>
      <c r="CA365" s="161"/>
      <c r="CB365" s="161"/>
      <c r="CC365" s="161"/>
      <c r="CD365" s="161"/>
      <c r="CE365" s="161"/>
      <c r="CF365" s="161"/>
      <c r="CG365" s="136"/>
      <c r="CH365" s="136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36"/>
      <c r="CV365" s="136"/>
      <c r="CW365" s="161"/>
      <c r="CX365" s="161"/>
      <c r="CY365" s="161"/>
      <c r="CZ365" s="161"/>
      <c r="DA365" s="161"/>
      <c r="DB365" s="161"/>
      <c r="DC365" s="161"/>
      <c r="DD365" s="161"/>
      <c r="DE365" s="161"/>
      <c r="DF365" s="161"/>
      <c r="DG365" s="161"/>
      <c r="DH365" s="161"/>
      <c r="DI365" s="136"/>
      <c r="DJ365" s="136"/>
      <c r="DK365" s="161"/>
      <c r="DL365" s="161"/>
      <c r="DM365" s="161"/>
      <c r="DN365" s="161"/>
      <c r="DO365" s="161"/>
      <c r="DP365" s="161"/>
      <c r="DQ365" s="161"/>
      <c r="DR365" s="161"/>
      <c r="DS365" s="161"/>
      <c r="DT365" s="161"/>
      <c r="DU365" s="161"/>
      <c r="DV365" s="161"/>
      <c r="DW365" s="136"/>
      <c r="DX365" s="136"/>
      <c r="DY365" s="161"/>
      <c r="DZ365" s="161"/>
      <c r="EA365" s="161"/>
      <c r="EB365" s="161"/>
      <c r="EC365" s="161"/>
      <c r="ED365" s="161"/>
      <c r="EE365" s="161"/>
      <c r="EF365" s="161"/>
      <c r="EG365" s="161"/>
      <c r="EH365" s="161"/>
      <c r="EI365" s="161"/>
      <c r="EJ365" s="161"/>
      <c r="EK365" s="136"/>
      <c r="EL365" s="136"/>
      <c r="EM365" s="136"/>
      <c r="EN365" s="136"/>
      <c r="EO365" s="136"/>
      <c r="EP365" s="136"/>
      <c r="EQ365" s="136"/>
      <c r="ER365" s="136"/>
      <c r="ES365" s="161"/>
      <c r="ET365" s="161"/>
      <c r="EU365" s="161"/>
      <c r="EV365" s="161"/>
      <c r="EW365" s="161"/>
      <c r="EX365" s="161"/>
      <c r="EY365" s="136"/>
      <c r="EZ365" s="136"/>
      <c r="FA365" s="161"/>
      <c r="FB365" s="161"/>
      <c r="FC365" s="161"/>
      <c r="FD365" s="161"/>
      <c r="FE365" s="161"/>
      <c r="FF365" s="161"/>
      <c r="FG365" s="161"/>
      <c r="FH365" s="161"/>
      <c r="FI365" s="161"/>
      <c r="FJ365" s="161"/>
      <c r="FK365" s="161"/>
      <c r="FL365" s="161"/>
      <c r="FM365" s="136"/>
      <c r="FN365" s="136"/>
      <c r="FO365" s="161"/>
      <c r="FP365" s="161"/>
      <c r="FQ365" s="161"/>
      <c r="FR365" s="161"/>
      <c r="FS365" s="161"/>
      <c r="FT365" s="161"/>
      <c r="FU365" s="161"/>
      <c r="FV365" s="161"/>
      <c r="FW365" s="161"/>
      <c r="FX365" s="161"/>
      <c r="FY365" s="161"/>
      <c r="FZ365" s="161"/>
      <c r="GA365" s="136"/>
      <c r="GB365" s="136"/>
      <c r="GC365" s="161"/>
      <c r="GD365" s="161"/>
      <c r="GE365" s="161"/>
      <c r="GF365" s="161"/>
      <c r="GG365" s="161"/>
      <c r="GH365" s="161"/>
      <c r="GI365" s="161"/>
      <c r="GJ365" s="161"/>
      <c r="GK365" s="161"/>
      <c r="GL365" s="161"/>
      <c r="GM365" s="161"/>
      <c r="GN365" s="161"/>
    </row>
    <row r="366" spans="1:196" ht="23" hidden="1" customHeight="1">
      <c r="A366" s="162"/>
      <c r="B366" s="137" t="s">
        <v>962</v>
      </c>
      <c r="C366" s="137" t="s">
        <v>636</v>
      </c>
      <c r="D366" s="119" t="e">
        <f>VLOOKUP(C366,#REF!,2,0)</f>
        <v>#REF!</v>
      </c>
      <c r="E366" s="119"/>
      <c r="F366" s="133">
        <v>46203</v>
      </c>
      <c r="G366" s="95">
        <v>100</v>
      </c>
      <c r="H366" s="137"/>
      <c r="I366" s="108">
        <v>46200</v>
      </c>
      <c r="J366" s="134">
        <f t="shared" si="201"/>
        <v>0</v>
      </c>
      <c r="K366" s="131" t="s">
        <v>963</v>
      </c>
      <c r="L366" s="161"/>
      <c r="M366" s="136"/>
      <c r="N366" s="136"/>
      <c r="O366" s="136"/>
      <c r="P366" s="136"/>
      <c r="Q366" s="136"/>
      <c r="R366" s="136"/>
      <c r="S366" s="161"/>
      <c r="T366" s="161">
        <v>100</v>
      </c>
      <c r="U366" s="161"/>
      <c r="V366" s="161"/>
      <c r="W366" s="161"/>
      <c r="X366" s="161"/>
      <c r="Y366" s="161"/>
      <c r="Z366" s="161"/>
      <c r="AA366" s="161"/>
      <c r="AB366" s="161"/>
      <c r="AC366" s="136"/>
      <c r="AD366" s="136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36"/>
      <c r="AR366" s="136"/>
      <c r="AS366" s="161"/>
      <c r="AT366" s="161"/>
      <c r="AU366" s="161"/>
      <c r="AV366" s="161"/>
      <c r="AW366" s="161"/>
      <c r="AX366" s="161"/>
      <c r="AY366" s="161"/>
      <c r="AZ366" s="161"/>
      <c r="BA366" s="161"/>
      <c r="BB366" s="161"/>
      <c r="BC366" s="161"/>
      <c r="BD366" s="161"/>
      <c r="BE366" s="136"/>
      <c r="BF366" s="136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36"/>
      <c r="BT366" s="136"/>
      <c r="BU366" s="161"/>
      <c r="BV366" s="161"/>
      <c r="BW366" s="161"/>
      <c r="BX366" s="161"/>
      <c r="BY366" s="161"/>
      <c r="BZ366" s="161"/>
      <c r="CA366" s="161"/>
      <c r="CB366" s="161"/>
      <c r="CC366" s="161"/>
      <c r="CD366" s="161"/>
      <c r="CE366" s="161"/>
      <c r="CF366" s="161"/>
      <c r="CG366" s="136"/>
      <c r="CH366" s="136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36"/>
      <c r="CV366" s="136"/>
      <c r="CW366" s="161"/>
      <c r="CX366" s="161"/>
      <c r="CY366" s="161"/>
      <c r="CZ366" s="161"/>
      <c r="DA366" s="161"/>
      <c r="DB366" s="161"/>
      <c r="DC366" s="161"/>
      <c r="DD366" s="161"/>
      <c r="DE366" s="161"/>
      <c r="DF366" s="161"/>
      <c r="DG366" s="161"/>
      <c r="DH366" s="161"/>
      <c r="DI366" s="136"/>
      <c r="DJ366" s="136"/>
      <c r="DK366" s="161"/>
      <c r="DL366" s="161"/>
      <c r="DM366" s="161"/>
      <c r="DN366" s="161"/>
      <c r="DO366" s="161"/>
      <c r="DP366" s="161"/>
      <c r="DQ366" s="161"/>
      <c r="DR366" s="161"/>
      <c r="DS366" s="161"/>
      <c r="DT366" s="161"/>
      <c r="DU366" s="161"/>
      <c r="DV366" s="161"/>
      <c r="DW366" s="136"/>
      <c r="DX366" s="136"/>
      <c r="DY366" s="161"/>
      <c r="DZ366" s="161"/>
      <c r="EA366" s="161"/>
      <c r="EB366" s="161"/>
      <c r="EC366" s="161"/>
      <c r="ED366" s="161"/>
      <c r="EE366" s="161"/>
      <c r="EF366" s="161"/>
      <c r="EG366" s="161"/>
      <c r="EH366" s="161"/>
      <c r="EI366" s="161"/>
      <c r="EJ366" s="161"/>
      <c r="EK366" s="136"/>
      <c r="EL366" s="136"/>
      <c r="EM366" s="136"/>
      <c r="EN366" s="136"/>
      <c r="EO366" s="136"/>
      <c r="EP366" s="136"/>
      <c r="EQ366" s="136"/>
      <c r="ER366" s="136"/>
      <c r="ES366" s="161"/>
      <c r="ET366" s="161"/>
      <c r="EU366" s="161"/>
      <c r="EV366" s="161"/>
      <c r="EW366" s="161"/>
      <c r="EX366" s="161"/>
      <c r="EY366" s="136"/>
      <c r="EZ366" s="136"/>
      <c r="FA366" s="161"/>
      <c r="FB366" s="161"/>
      <c r="FC366" s="161"/>
      <c r="FD366" s="161"/>
      <c r="FE366" s="161"/>
      <c r="FF366" s="161"/>
      <c r="FG366" s="161"/>
      <c r="FH366" s="161"/>
      <c r="FI366" s="161"/>
      <c r="FJ366" s="161"/>
      <c r="FK366" s="161"/>
      <c r="FL366" s="161"/>
      <c r="FM366" s="136"/>
      <c r="FN366" s="136"/>
      <c r="FO366" s="161"/>
      <c r="FP366" s="161"/>
      <c r="FQ366" s="161"/>
      <c r="FR366" s="161"/>
      <c r="FS366" s="161"/>
      <c r="FT366" s="161"/>
      <c r="FU366" s="161"/>
      <c r="FV366" s="161"/>
      <c r="FW366" s="161"/>
      <c r="FX366" s="161"/>
      <c r="FY366" s="161"/>
      <c r="FZ366" s="161"/>
      <c r="GA366" s="136"/>
      <c r="GB366" s="136"/>
      <c r="GC366" s="161"/>
      <c r="GD366" s="161"/>
      <c r="GE366" s="161"/>
      <c r="GF366" s="161"/>
      <c r="GG366" s="161"/>
      <c r="GH366" s="161"/>
      <c r="GI366" s="161"/>
      <c r="GJ366" s="161"/>
      <c r="GK366" s="161"/>
      <c r="GL366" s="161"/>
      <c r="GM366" s="161"/>
      <c r="GN366" s="161"/>
    </row>
    <row r="367" spans="1:196" ht="15" hidden="1" customHeight="1">
      <c r="A367" s="162"/>
      <c r="B367" s="109" t="s">
        <v>796</v>
      </c>
      <c r="C367" s="109" t="s">
        <v>638</v>
      </c>
      <c r="D367" s="119" t="e">
        <f>VLOOKUP(C367,#REF!,2,0)</f>
        <v>#REF!</v>
      </c>
      <c r="E367" s="119"/>
      <c r="F367" s="107">
        <v>46202</v>
      </c>
      <c r="G367" s="115">
        <v>500</v>
      </c>
      <c r="H367" s="6"/>
      <c r="I367" s="125">
        <v>46200</v>
      </c>
      <c r="J367" s="13">
        <f t="shared" si="201"/>
        <v>0</v>
      </c>
      <c r="K367" s="141"/>
      <c r="L367" s="161"/>
      <c r="M367" s="136"/>
      <c r="N367" s="136"/>
      <c r="O367" s="136"/>
      <c r="P367" s="136"/>
      <c r="Q367" s="136"/>
      <c r="R367" s="136">
        <v>32</v>
      </c>
      <c r="S367" s="161">
        <v>92</v>
      </c>
      <c r="T367" s="161">
        <v>132</v>
      </c>
      <c r="U367" s="161">
        <v>92</v>
      </c>
      <c r="V367" s="161">
        <v>96</v>
      </c>
      <c r="W367" s="161">
        <v>56</v>
      </c>
      <c r="X367" s="161"/>
      <c r="Y367" s="161"/>
      <c r="Z367" s="161"/>
      <c r="AA367" s="161"/>
      <c r="AB367" s="161"/>
      <c r="AC367" s="136"/>
      <c r="AD367" s="136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36"/>
      <c r="AR367" s="136"/>
      <c r="AS367" s="161"/>
      <c r="AT367" s="161"/>
      <c r="AU367" s="161"/>
      <c r="AV367" s="161"/>
      <c r="AW367" s="161"/>
      <c r="AX367" s="161"/>
      <c r="AY367" s="161"/>
      <c r="AZ367" s="161"/>
      <c r="BA367" s="161"/>
      <c r="BB367" s="161"/>
      <c r="BC367" s="161"/>
      <c r="BD367" s="161"/>
      <c r="BE367" s="136"/>
      <c r="BF367" s="136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36"/>
      <c r="BT367" s="136"/>
      <c r="BU367" s="161"/>
      <c r="BV367" s="161"/>
      <c r="BW367" s="161"/>
      <c r="BX367" s="161"/>
      <c r="BY367" s="161"/>
      <c r="BZ367" s="161"/>
      <c r="CA367" s="161"/>
      <c r="CB367" s="161"/>
      <c r="CC367" s="161"/>
      <c r="CD367" s="161"/>
      <c r="CE367" s="161"/>
      <c r="CF367" s="161"/>
      <c r="CG367" s="136"/>
      <c r="CH367" s="136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36"/>
      <c r="CV367" s="136"/>
      <c r="CW367" s="161"/>
      <c r="CX367" s="161"/>
      <c r="CY367" s="161"/>
      <c r="CZ367" s="161"/>
      <c r="DA367" s="161"/>
      <c r="DB367" s="161"/>
      <c r="DC367" s="161"/>
      <c r="DD367" s="161"/>
      <c r="DE367" s="161"/>
      <c r="DF367" s="161"/>
      <c r="DG367" s="161"/>
      <c r="DH367" s="161"/>
      <c r="DI367" s="136"/>
      <c r="DJ367" s="136"/>
      <c r="DK367" s="161"/>
      <c r="DL367" s="161"/>
      <c r="DM367" s="161"/>
      <c r="DN367" s="161"/>
      <c r="DO367" s="161"/>
      <c r="DP367" s="161"/>
      <c r="DQ367" s="161"/>
      <c r="DR367" s="161"/>
      <c r="DS367" s="161"/>
      <c r="DT367" s="161"/>
      <c r="DU367" s="161"/>
      <c r="DV367" s="161"/>
      <c r="DW367" s="136"/>
      <c r="DX367" s="136"/>
      <c r="DY367" s="161"/>
      <c r="DZ367" s="161"/>
      <c r="EA367" s="161"/>
      <c r="EB367" s="161"/>
      <c r="EC367" s="161"/>
      <c r="ED367" s="161"/>
      <c r="EE367" s="161"/>
      <c r="EF367" s="161"/>
      <c r="EG367" s="161"/>
      <c r="EH367" s="161"/>
      <c r="EI367" s="161"/>
      <c r="EJ367" s="161"/>
      <c r="EK367" s="136"/>
      <c r="EL367" s="136"/>
      <c r="EM367" s="136"/>
      <c r="EN367" s="136"/>
      <c r="EO367" s="136"/>
      <c r="EP367" s="136"/>
      <c r="EQ367" s="136"/>
      <c r="ER367" s="136"/>
      <c r="ES367" s="161"/>
      <c r="ET367" s="161"/>
      <c r="EU367" s="161"/>
      <c r="EV367" s="161"/>
      <c r="EW367" s="161"/>
      <c r="EX367" s="161"/>
      <c r="EY367" s="136"/>
      <c r="EZ367" s="136"/>
      <c r="FA367" s="161"/>
      <c r="FB367" s="161"/>
      <c r="FC367" s="161"/>
      <c r="FD367" s="161"/>
      <c r="FE367" s="161"/>
      <c r="FF367" s="161"/>
      <c r="FG367" s="161"/>
      <c r="FH367" s="161"/>
      <c r="FI367" s="161"/>
      <c r="FJ367" s="161"/>
      <c r="FK367" s="161"/>
      <c r="FL367" s="161"/>
      <c r="FM367" s="136"/>
      <c r="FN367" s="136"/>
      <c r="FO367" s="161"/>
      <c r="FP367" s="161"/>
      <c r="FQ367" s="161"/>
      <c r="FR367" s="161"/>
      <c r="FS367" s="161"/>
      <c r="FT367" s="161"/>
      <c r="FU367" s="161"/>
      <c r="FV367" s="161"/>
      <c r="FW367" s="161"/>
      <c r="FX367" s="161"/>
      <c r="FY367" s="161"/>
      <c r="FZ367" s="161"/>
      <c r="GA367" s="136"/>
      <c r="GB367" s="136"/>
      <c r="GC367" s="161"/>
      <c r="GD367" s="161"/>
      <c r="GE367" s="161"/>
      <c r="GF367" s="161"/>
      <c r="GG367" s="161"/>
      <c r="GH367" s="161"/>
      <c r="GI367" s="161"/>
      <c r="GJ367" s="161"/>
      <c r="GK367" s="161"/>
      <c r="GL367" s="161"/>
      <c r="GM367" s="161"/>
      <c r="GN367" s="161"/>
    </row>
    <row r="368" spans="1:196" hidden="1">
      <c r="A368" s="162"/>
      <c r="B368" s="109" t="s">
        <v>889</v>
      </c>
      <c r="C368" s="109" t="s">
        <v>638</v>
      </c>
      <c r="D368" s="119" t="e">
        <f>VLOOKUP(C368,#REF!,2,0)</f>
        <v>#REF!</v>
      </c>
      <c r="E368" s="119"/>
      <c r="F368" s="107">
        <v>46203</v>
      </c>
      <c r="G368" s="115">
        <v>500</v>
      </c>
      <c r="H368" s="6"/>
      <c r="I368" s="125">
        <v>46200</v>
      </c>
      <c r="J368" s="13">
        <f t="shared" si="201"/>
        <v>0</v>
      </c>
      <c r="K368" s="141"/>
      <c r="L368" s="161"/>
      <c r="M368" s="136"/>
      <c r="N368" s="136"/>
      <c r="O368" s="136"/>
      <c r="P368" s="136"/>
      <c r="Q368" s="136"/>
      <c r="R368" s="136"/>
      <c r="S368" s="161"/>
      <c r="T368" s="161"/>
      <c r="U368" s="161"/>
      <c r="V368" s="161"/>
      <c r="W368" s="161">
        <v>66</v>
      </c>
      <c r="X368" s="161">
        <v>74</v>
      </c>
      <c r="Y368" s="161">
        <v>119</v>
      </c>
      <c r="Z368" s="161">
        <v>77</v>
      </c>
      <c r="AA368" s="161">
        <v>111</v>
      </c>
      <c r="AB368" s="161">
        <v>45</v>
      </c>
      <c r="AC368" s="136"/>
      <c r="AD368" s="136"/>
      <c r="AE368" s="161">
        <v>8</v>
      </c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36"/>
      <c r="AR368" s="136"/>
      <c r="AS368" s="161"/>
      <c r="AT368" s="161"/>
      <c r="AU368" s="161"/>
      <c r="AV368" s="161"/>
      <c r="AW368" s="161"/>
      <c r="AX368" s="161"/>
      <c r="AY368" s="161"/>
      <c r="AZ368" s="161"/>
      <c r="BA368" s="161"/>
      <c r="BB368" s="161"/>
      <c r="BC368" s="161"/>
      <c r="BD368" s="161"/>
      <c r="BE368" s="136"/>
      <c r="BF368" s="136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36"/>
      <c r="BT368" s="136"/>
      <c r="BU368" s="161"/>
      <c r="BV368" s="161"/>
      <c r="BW368" s="161"/>
      <c r="BX368" s="161"/>
      <c r="BY368" s="161"/>
      <c r="BZ368" s="161"/>
      <c r="CA368" s="161"/>
      <c r="CB368" s="161"/>
      <c r="CC368" s="161"/>
      <c r="CD368" s="161"/>
      <c r="CE368" s="161"/>
      <c r="CF368" s="161"/>
      <c r="CG368" s="136"/>
      <c r="CH368" s="136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36"/>
      <c r="CV368" s="136"/>
      <c r="CW368" s="161"/>
      <c r="CX368" s="161"/>
      <c r="CY368" s="161"/>
      <c r="CZ368" s="161"/>
      <c r="DA368" s="161"/>
      <c r="DB368" s="161"/>
      <c r="DC368" s="161"/>
      <c r="DD368" s="161"/>
      <c r="DE368" s="161"/>
      <c r="DF368" s="161"/>
      <c r="DG368" s="161"/>
      <c r="DH368" s="161"/>
      <c r="DI368" s="136"/>
      <c r="DJ368" s="136"/>
      <c r="DK368" s="161"/>
      <c r="DL368" s="161"/>
      <c r="DM368" s="161"/>
      <c r="DN368" s="161"/>
      <c r="DO368" s="161"/>
      <c r="DP368" s="161"/>
      <c r="DQ368" s="161"/>
      <c r="DR368" s="161"/>
      <c r="DS368" s="161"/>
      <c r="DT368" s="161"/>
      <c r="DU368" s="161"/>
      <c r="DV368" s="161"/>
      <c r="DW368" s="136"/>
      <c r="DX368" s="136"/>
      <c r="DY368" s="161"/>
      <c r="DZ368" s="161"/>
      <c r="EA368" s="161"/>
      <c r="EB368" s="161"/>
      <c r="EC368" s="161"/>
      <c r="ED368" s="161"/>
      <c r="EE368" s="161"/>
      <c r="EF368" s="161"/>
      <c r="EG368" s="161"/>
      <c r="EH368" s="161"/>
      <c r="EI368" s="161"/>
      <c r="EJ368" s="161"/>
      <c r="EK368" s="136"/>
      <c r="EL368" s="136"/>
      <c r="EM368" s="136"/>
      <c r="EN368" s="136"/>
      <c r="EO368" s="136"/>
      <c r="EP368" s="136"/>
      <c r="EQ368" s="136"/>
      <c r="ER368" s="136"/>
      <c r="ES368" s="161"/>
      <c r="ET368" s="161"/>
      <c r="EU368" s="161"/>
      <c r="EV368" s="161"/>
      <c r="EW368" s="161"/>
      <c r="EX368" s="161"/>
      <c r="EY368" s="136"/>
      <c r="EZ368" s="136"/>
      <c r="FA368" s="161"/>
      <c r="FB368" s="161"/>
      <c r="FC368" s="161"/>
      <c r="FD368" s="161"/>
      <c r="FE368" s="161"/>
      <c r="FF368" s="161"/>
      <c r="FG368" s="161"/>
      <c r="FH368" s="161"/>
      <c r="FI368" s="161"/>
      <c r="FJ368" s="161"/>
      <c r="FK368" s="161"/>
      <c r="FL368" s="161"/>
      <c r="FM368" s="136"/>
      <c r="FN368" s="136"/>
      <c r="FO368" s="161"/>
      <c r="FP368" s="161"/>
      <c r="FQ368" s="161"/>
      <c r="FR368" s="161"/>
      <c r="FS368" s="161"/>
      <c r="FT368" s="161"/>
      <c r="FU368" s="161"/>
      <c r="FV368" s="161"/>
      <c r="FW368" s="161"/>
      <c r="FX368" s="161"/>
      <c r="FY368" s="161"/>
      <c r="FZ368" s="161"/>
      <c r="GA368" s="136"/>
      <c r="GB368" s="136"/>
      <c r="GC368" s="161"/>
      <c r="GD368" s="161"/>
      <c r="GE368" s="161"/>
      <c r="GF368" s="161"/>
      <c r="GG368" s="161"/>
      <c r="GH368" s="161"/>
      <c r="GI368" s="161"/>
      <c r="GJ368" s="161"/>
      <c r="GK368" s="161"/>
      <c r="GL368" s="161"/>
      <c r="GM368" s="161"/>
      <c r="GN368" s="161"/>
    </row>
    <row r="369" spans="1:196" hidden="1">
      <c r="A369" s="162"/>
      <c r="B369" s="109" t="s">
        <v>980</v>
      </c>
      <c r="C369" s="109" t="s">
        <v>638</v>
      </c>
      <c r="D369" s="119" t="e">
        <f>VLOOKUP(C369,#REF!,2,0)</f>
        <v>#REF!</v>
      </c>
      <c r="E369" s="119"/>
      <c r="F369" s="107">
        <v>46205</v>
      </c>
      <c r="G369" s="115">
        <v>319</v>
      </c>
      <c r="H369" s="6"/>
      <c r="I369" s="125">
        <v>46200</v>
      </c>
      <c r="J369" s="13">
        <f t="shared" si="201"/>
        <v>0</v>
      </c>
      <c r="K369" s="141"/>
      <c r="L369" s="161"/>
      <c r="M369" s="136"/>
      <c r="N369" s="136"/>
      <c r="O369" s="136"/>
      <c r="P369" s="136"/>
      <c r="Q369" s="136"/>
      <c r="R369" s="136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36"/>
      <c r="AD369" s="136"/>
      <c r="AE369" s="161">
        <v>94</v>
      </c>
      <c r="AF369" s="161">
        <v>128</v>
      </c>
      <c r="AG369" s="161">
        <v>97</v>
      </c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36"/>
      <c r="AR369" s="136"/>
      <c r="AS369" s="161"/>
      <c r="AT369" s="161"/>
      <c r="AU369" s="161"/>
      <c r="AV369" s="161"/>
      <c r="AW369" s="161"/>
      <c r="AX369" s="161"/>
      <c r="AY369" s="161"/>
      <c r="AZ369" s="161"/>
      <c r="BA369" s="161"/>
      <c r="BB369" s="161"/>
      <c r="BC369" s="161"/>
      <c r="BD369" s="161"/>
      <c r="BE369" s="136"/>
      <c r="BF369" s="136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36"/>
      <c r="BT369" s="136"/>
      <c r="BU369" s="161"/>
      <c r="BV369" s="161"/>
      <c r="BW369" s="161"/>
      <c r="BX369" s="161"/>
      <c r="BY369" s="161"/>
      <c r="BZ369" s="161"/>
      <c r="CA369" s="161"/>
      <c r="CB369" s="161"/>
      <c r="CC369" s="161"/>
      <c r="CD369" s="161"/>
      <c r="CE369" s="161"/>
      <c r="CF369" s="161"/>
      <c r="CG369" s="136"/>
      <c r="CH369" s="136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36"/>
      <c r="CV369" s="136"/>
      <c r="CW369" s="161"/>
      <c r="CX369" s="161"/>
      <c r="CY369" s="161"/>
      <c r="CZ369" s="161"/>
      <c r="DA369" s="161"/>
      <c r="DB369" s="161"/>
      <c r="DC369" s="161"/>
      <c r="DD369" s="161"/>
      <c r="DE369" s="161"/>
      <c r="DF369" s="161"/>
      <c r="DG369" s="161"/>
      <c r="DH369" s="161"/>
      <c r="DI369" s="136"/>
      <c r="DJ369" s="136"/>
      <c r="DK369" s="161"/>
      <c r="DL369" s="161"/>
      <c r="DM369" s="161"/>
      <c r="DN369" s="161"/>
      <c r="DO369" s="161"/>
      <c r="DP369" s="161"/>
      <c r="DQ369" s="161"/>
      <c r="DR369" s="161"/>
      <c r="DS369" s="161"/>
      <c r="DT369" s="161"/>
      <c r="DU369" s="161"/>
      <c r="DV369" s="161"/>
      <c r="DW369" s="136"/>
      <c r="DX369" s="136"/>
      <c r="DY369" s="161"/>
      <c r="DZ369" s="161"/>
      <c r="EA369" s="161"/>
      <c r="EB369" s="161"/>
      <c r="EC369" s="161"/>
      <c r="ED369" s="161"/>
      <c r="EE369" s="161"/>
      <c r="EF369" s="161"/>
      <c r="EG369" s="161"/>
      <c r="EH369" s="161"/>
      <c r="EI369" s="161"/>
      <c r="EJ369" s="161"/>
      <c r="EK369" s="136"/>
      <c r="EL369" s="136"/>
      <c r="EM369" s="136"/>
      <c r="EN369" s="136"/>
      <c r="EO369" s="136"/>
      <c r="EP369" s="136"/>
      <c r="EQ369" s="136"/>
      <c r="ER369" s="136"/>
      <c r="ES369" s="161"/>
      <c r="ET369" s="161"/>
      <c r="EU369" s="161"/>
      <c r="EV369" s="161"/>
      <c r="EW369" s="161"/>
      <c r="EX369" s="161"/>
      <c r="EY369" s="136"/>
      <c r="EZ369" s="136"/>
      <c r="FA369" s="161"/>
      <c r="FB369" s="161"/>
      <c r="FC369" s="161"/>
      <c r="FD369" s="161"/>
      <c r="FE369" s="161"/>
      <c r="FF369" s="161"/>
      <c r="FG369" s="161"/>
      <c r="FH369" s="161"/>
      <c r="FI369" s="161"/>
      <c r="FJ369" s="161"/>
      <c r="FK369" s="161"/>
      <c r="FL369" s="161"/>
      <c r="FM369" s="136"/>
      <c r="FN369" s="136"/>
      <c r="FO369" s="161"/>
      <c r="FP369" s="161"/>
      <c r="FQ369" s="161"/>
      <c r="FR369" s="161"/>
      <c r="FS369" s="161"/>
      <c r="FT369" s="161"/>
      <c r="FU369" s="161"/>
      <c r="FV369" s="161"/>
      <c r="FW369" s="161"/>
      <c r="FX369" s="161"/>
      <c r="FY369" s="161"/>
      <c r="FZ369" s="161"/>
      <c r="GA369" s="136"/>
      <c r="GB369" s="136"/>
      <c r="GC369" s="161"/>
      <c r="GD369" s="161"/>
      <c r="GE369" s="161"/>
      <c r="GF369" s="161"/>
      <c r="GG369" s="161"/>
      <c r="GH369" s="161"/>
      <c r="GI369" s="161"/>
      <c r="GJ369" s="161"/>
      <c r="GK369" s="161"/>
      <c r="GL369" s="161"/>
      <c r="GM369" s="161"/>
      <c r="GN369" s="161"/>
    </row>
    <row r="370" spans="1:196" hidden="1">
      <c r="A370" s="162"/>
      <c r="B370" s="126" t="s">
        <v>794</v>
      </c>
      <c r="C370" s="109" t="s">
        <v>661</v>
      </c>
      <c r="D370" s="119" t="e">
        <f>VLOOKUP(C370,#REF!,2,0)</f>
        <v>#REF!</v>
      </c>
      <c r="E370" s="119"/>
      <c r="F370" s="107">
        <v>46202</v>
      </c>
      <c r="G370" s="115">
        <v>507</v>
      </c>
      <c r="H370" s="6"/>
      <c r="I370" s="125">
        <v>46200</v>
      </c>
      <c r="J370" s="13">
        <f t="shared" si="201"/>
        <v>0</v>
      </c>
      <c r="K370" s="141" t="s">
        <v>982</v>
      </c>
      <c r="L370" s="161"/>
      <c r="M370" s="136"/>
      <c r="N370" s="136"/>
      <c r="O370" s="136"/>
      <c r="P370" s="136"/>
      <c r="Q370" s="136"/>
      <c r="R370" s="136"/>
      <c r="S370" s="161"/>
      <c r="T370" s="161">
        <v>12</v>
      </c>
      <c r="U370" s="161">
        <v>81</v>
      </c>
      <c r="V370" s="161">
        <v>103</v>
      </c>
      <c r="W370" s="161">
        <v>103</v>
      </c>
      <c r="X370" s="161">
        <v>102</v>
      </c>
      <c r="Y370" s="161">
        <v>91</v>
      </c>
      <c r="Z370" s="161">
        <v>15</v>
      </c>
      <c r="AA370" s="161"/>
      <c r="AB370" s="161"/>
      <c r="AC370" s="136"/>
      <c r="AD370" s="136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36"/>
      <c r="AR370" s="136"/>
      <c r="AS370" s="161"/>
      <c r="AT370" s="161"/>
      <c r="AU370" s="161"/>
      <c r="AV370" s="161"/>
      <c r="AW370" s="161"/>
      <c r="AX370" s="161"/>
      <c r="AY370" s="161"/>
      <c r="AZ370" s="161"/>
      <c r="BA370" s="161"/>
      <c r="BB370" s="161"/>
      <c r="BC370" s="161"/>
      <c r="BD370" s="161"/>
      <c r="BE370" s="136"/>
      <c r="BF370" s="136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36"/>
      <c r="BT370" s="136"/>
      <c r="BU370" s="161"/>
      <c r="BV370" s="161"/>
      <c r="BW370" s="161"/>
      <c r="BX370" s="161"/>
      <c r="BY370" s="161"/>
      <c r="BZ370" s="161"/>
      <c r="CA370" s="161"/>
      <c r="CB370" s="161"/>
      <c r="CC370" s="161"/>
      <c r="CD370" s="161"/>
      <c r="CE370" s="161"/>
      <c r="CF370" s="161"/>
      <c r="CG370" s="136"/>
      <c r="CH370" s="136"/>
      <c r="CI370" s="161"/>
      <c r="CJ370" s="161"/>
      <c r="CK370" s="161"/>
      <c r="CL370" s="161"/>
      <c r="CM370" s="161"/>
      <c r="CN370" s="161"/>
      <c r="CO370" s="161"/>
      <c r="CP370" s="161"/>
      <c r="CQ370" s="161"/>
      <c r="CR370" s="161"/>
      <c r="CS370" s="161"/>
      <c r="CT370" s="161"/>
      <c r="CU370" s="136"/>
      <c r="CV370" s="136"/>
      <c r="CW370" s="161"/>
      <c r="CX370" s="161"/>
      <c r="CY370" s="161"/>
      <c r="CZ370" s="161"/>
      <c r="DA370" s="161"/>
      <c r="DB370" s="161"/>
      <c r="DC370" s="161"/>
      <c r="DD370" s="161"/>
      <c r="DE370" s="161"/>
      <c r="DF370" s="161"/>
      <c r="DG370" s="161"/>
      <c r="DH370" s="161"/>
      <c r="DI370" s="136"/>
      <c r="DJ370" s="136"/>
      <c r="DK370" s="161"/>
      <c r="DL370" s="161"/>
      <c r="DM370" s="161"/>
      <c r="DN370" s="161"/>
      <c r="DO370" s="161"/>
      <c r="DP370" s="161"/>
      <c r="DQ370" s="161"/>
      <c r="DR370" s="161"/>
      <c r="DS370" s="161"/>
      <c r="DT370" s="161"/>
      <c r="DU370" s="161"/>
      <c r="DV370" s="161"/>
      <c r="DW370" s="136"/>
      <c r="DX370" s="136"/>
      <c r="DY370" s="161"/>
      <c r="DZ370" s="161"/>
      <c r="EA370" s="161"/>
      <c r="EB370" s="161"/>
      <c r="EC370" s="161"/>
      <c r="ED370" s="161"/>
      <c r="EE370" s="161"/>
      <c r="EF370" s="161"/>
      <c r="EG370" s="161"/>
      <c r="EH370" s="161"/>
      <c r="EI370" s="161"/>
      <c r="EJ370" s="161"/>
      <c r="EK370" s="136"/>
      <c r="EL370" s="136"/>
      <c r="EM370" s="136"/>
      <c r="EN370" s="136"/>
      <c r="EO370" s="136"/>
      <c r="EP370" s="136"/>
      <c r="EQ370" s="136"/>
      <c r="ER370" s="136"/>
      <c r="ES370" s="161"/>
      <c r="ET370" s="161"/>
      <c r="EU370" s="161"/>
      <c r="EV370" s="161"/>
      <c r="EW370" s="161"/>
      <c r="EX370" s="161"/>
      <c r="EY370" s="136"/>
      <c r="EZ370" s="136"/>
      <c r="FA370" s="161"/>
      <c r="FB370" s="161"/>
      <c r="FC370" s="161"/>
      <c r="FD370" s="161"/>
      <c r="FE370" s="161"/>
      <c r="FF370" s="161"/>
      <c r="FG370" s="161"/>
      <c r="FH370" s="161"/>
      <c r="FI370" s="161"/>
      <c r="FJ370" s="161"/>
      <c r="FK370" s="161"/>
      <c r="FL370" s="161"/>
      <c r="FM370" s="136"/>
      <c r="FN370" s="136"/>
      <c r="FO370" s="161"/>
      <c r="FP370" s="161"/>
      <c r="FQ370" s="161"/>
      <c r="FR370" s="161"/>
      <c r="FS370" s="161"/>
      <c r="FT370" s="161"/>
      <c r="FU370" s="161"/>
      <c r="FV370" s="161"/>
      <c r="FW370" s="161"/>
      <c r="FX370" s="161"/>
      <c r="FY370" s="161"/>
      <c r="FZ370" s="161"/>
      <c r="GA370" s="136"/>
      <c r="GB370" s="136"/>
      <c r="GC370" s="161"/>
      <c r="GD370" s="161"/>
      <c r="GE370" s="161"/>
      <c r="GF370" s="161"/>
      <c r="GG370" s="161"/>
      <c r="GH370" s="161"/>
      <c r="GI370" s="161"/>
      <c r="GJ370" s="161"/>
      <c r="GK370" s="161"/>
      <c r="GL370" s="161"/>
      <c r="GM370" s="161"/>
      <c r="GN370" s="161"/>
    </row>
    <row r="371" spans="1:196" hidden="1">
      <c r="A371" s="162"/>
      <c r="B371" s="126" t="s">
        <v>744</v>
      </c>
      <c r="C371" s="109" t="s">
        <v>667</v>
      </c>
      <c r="D371" s="119" t="e">
        <f>VLOOKUP(C371,#REF!,2,0)</f>
        <v>#REF!</v>
      </c>
      <c r="E371" s="119" t="e">
        <f>VLOOKUP(C371,#REF!,5,0)</f>
        <v>#REF!</v>
      </c>
      <c r="F371" s="107">
        <v>46203</v>
      </c>
      <c r="G371" s="115">
        <v>240</v>
      </c>
      <c r="H371" s="6"/>
      <c r="I371" s="125">
        <v>46200</v>
      </c>
      <c r="J371" s="13">
        <f t="shared" si="201"/>
        <v>0</v>
      </c>
      <c r="K371" s="141" t="s">
        <v>982</v>
      </c>
      <c r="L371" s="161"/>
      <c r="M371" s="136"/>
      <c r="N371" s="136"/>
      <c r="O371" s="136"/>
      <c r="P371" s="136"/>
      <c r="Q371" s="136"/>
      <c r="R371" s="136"/>
      <c r="S371" s="161"/>
      <c r="T371" s="161"/>
      <c r="U371" s="161"/>
      <c r="V371" s="161"/>
      <c r="W371" s="161"/>
      <c r="X371" s="161"/>
      <c r="Y371" s="161"/>
      <c r="Z371" s="161">
        <v>88</v>
      </c>
      <c r="AA371" s="161">
        <v>100</v>
      </c>
      <c r="AB371" s="161">
        <v>52</v>
      </c>
      <c r="AC371" s="136"/>
      <c r="AD371" s="136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36"/>
      <c r="AR371" s="136"/>
      <c r="AS371" s="161"/>
      <c r="AT371" s="161"/>
      <c r="AU371" s="161"/>
      <c r="AV371" s="161"/>
      <c r="AW371" s="161"/>
      <c r="AX371" s="161"/>
      <c r="AY371" s="161"/>
      <c r="AZ371" s="161"/>
      <c r="BA371" s="161"/>
      <c r="BB371" s="161"/>
      <c r="BC371" s="161"/>
      <c r="BD371" s="161"/>
      <c r="BE371" s="136"/>
      <c r="BF371" s="136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36"/>
      <c r="BT371" s="136"/>
      <c r="BU371" s="161"/>
      <c r="BV371" s="161"/>
      <c r="BW371" s="161"/>
      <c r="BX371" s="161"/>
      <c r="BY371" s="161"/>
      <c r="BZ371" s="161"/>
      <c r="CA371" s="161"/>
      <c r="CB371" s="161"/>
      <c r="CC371" s="161"/>
      <c r="CD371" s="161"/>
      <c r="CE371" s="161"/>
      <c r="CF371" s="161"/>
      <c r="CG371" s="136"/>
      <c r="CH371" s="136"/>
      <c r="CI371" s="161"/>
      <c r="CJ371" s="161"/>
      <c r="CK371" s="161"/>
      <c r="CL371" s="161"/>
      <c r="CM371" s="161"/>
      <c r="CN371" s="161"/>
      <c r="CO371" s="161"/>
      <c r="CP371" s="161"/>
      <c r="CQ371" s="161"/>
      <c r="CR371" s="161"/>
      <c r="CS371" s="161"/>
      <c r="CT371" s="161"/>
      <c r="CU371" s="136"/>
      <c r="CV371" s="136"/>
      <c r="CW371" s="161"/>
      <c r="CX371" s="161"/>
      <c r="CY371" s="161"/>
      <c r="CZ371" s="161"/>
      <c r="DA371" s="161"/>
      <c r="DB371" s="161"/>
      <c r="DC371" s="161"/>
      <c r="DD371" s="161"/>
      <c r="DE371" s="161"/>
      <c r="DF371" s="161"/>
      <c r="DG371" s="161"/>
      <c r="DH371" s="161"/>
      <c r="DI371" s="136"/>
      <c r="DJ371" s="136"/>
      <c r="DK371" s="161"/>
      <c r="DL371" s="161"/>
      <c r="DM371" s="161"/>
      <c r="DN371" s="161"/>
      <c r="DO371" s="161"/>
      <c r="DP371" s="161"/>
      <c r="DQ371" s="161"/>
      <c r="DR371" s="161"/>
      <c r="DS371" s="161"/>
      <c r="DT371" s="161"/>
      <c r="DU371" s="161"/>
      <c r="DV371" s="161"/>
      <c r="DW371" s="136"/>
      <c r="DX371" s="136"/>
      <c r="DY371" s="161"/>
      <c r="DZ371" s="161"/>
      <c r="EA371" s="161"/>
      <c r="EB371" s="161"/>
      <c r="EC371" s="161"/>
      <c r="ED371" s="161"/>
      <c r="EE371" s="161"/>
      <c r="EF371" s="161"/>
      <c r="EG371" s="161"/>
      <c r="EH371" s="161"/>
      <c r="EI371" s="161"/>
      <c r="EJ371" s="161"/>
      <c r="EK371" s="136"/>
      <c r="EL371" s="136"/>
      <c r="EM371" s="136"/>
      <c r="EN371" s="136"/>
      <c r="EO371" s="136"/>
      <c r="EP371" s="136"/>
      <c r="EQ371" s="136"/>
      <c r="ER371" s="136"/>
      <c r="ES371" s="161"/>
      <c r="ET371" s="161"/>
      <c r="EU371" s="161"/>
      <c r="EV371" s="161"/>
      <c r="EW371" s="161"/>
      <c r="EX371" s="161"/>
      <c r="EY371" s="136"/>
      <c r="EZ371" s="136"/>
      <c r="FA371" s="161"/>
      <c r="FB371" s="161"/>
      <c r="FC371" s="161"/>
      <c r="FD371" s="161"/>
      <c r="FE371" s="161"/>
      <c r="FF371" s="161"/>
      <c r="FG371" s="161"/>
      <c r="FH371" s="161"/>
      <c r="FI371" s="161"/>
      <c r="FJ371" s="161"/>
      <c r="FK371" s="161"/>
      <c r="FL371" s="161"/>
      <c r="FM371" s="136"/>
      <c r="FN371" s="136"/>
      <c r="FO371" s="161"/>
      <c r="FP371" s="161"/>
      <c r="FQ371" s="161"/>
      <c r="FR371" s="161"/>
      <c r="FS371" s="161"/>
      <c r="FT371" s="161"/>
      <c r="FU371" s="161"/>
      <c r="FV371" s="161"/>
      <c r="FW371" s="161"/>
      <c r="FX371" s="161"/>
      <c r="FY371" s="161"/>
      <c r="FZ371" s="161"/>
      <c r="GA371" s="136"/>
      <c r="GB371" s="136"/>
      <c r="GC371" s="161"/>
      <c r="GD371" s="161"/>
      <c r="GE371" s="161"/>
      <c r="GF371" s="161"/>
      <c r="GG371" s="161"/>
      <c r="GH371" s="161"/>
      <c r="GI371" s="161"/>
      <c r="GJ371" s="161"/>
      <c r="GK371" s="161"/>
      <c r="GL371" s="161"/>
      <c r="GM371" s="161"/>
      <c r="GN371" s="161"/>
    </row>
    <row r="372" spans="1:196" hidden="1">
      <c r="A372" s="162"/>
      <c r="B372" s="126" t="s">
        <v>746</v>
      </c>
      <c r="C372" s="109" t="s">
        <v>663</v>
      </c>
      <c r="D372" s="119" t="e">
        <f>VLOOKUP(C372,#REF!,2,0)</f>
        <v>#REF!</v>
      </c>
      <c r="E372" s="119" t="e">
        <f>VLOOKUP(C372,#REF!,5,0)</f>
        <v>#REF!</v>
      </c>
      <c r="F372" s="107">
        <v>46205</v>
      </c>
      <c r="G372" s="115">
        <v>60</v>
      </c>
      <c r="H372" s="6"/>
      <c r="I372" s="125">
        <v>46200</v>
      </c>
      <c r="J372" s="13">
        <f t="shared" si="201"/>
        <v>0</v>
      </c>
      <c r="K372" s="141"/>
      <c r="L372" s="161"/>
      <c r="M372" s="136"/>
      <c r="N372" s="136"/>
      <c r="O372" s="136"/>
      <c r="P372" s="136"/>
      <c r="Q372" s="136"/>
      <c r="R372" s="136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>
        <v>44</v>
      </c>
      <c r="AC372" s="136"/>
      <c r="AD372" s="136"/>
      <c r="AE372" s="161">
        <v>16</v>
      </c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36"/>
      <c r="AR372" s="136"/>
      <c r="AS372" s="161"/>
      <c r="AT372" s="161"/>
      <c r="AU372" s="161"/>
      <c r="AV372" s="161"/>
      <c r="AW372" s="161"/>
      <c r="AX372" s="161"/>
      <c r="AY372" s="161"/>
      <c r="AZ372" s="161"/>
      <c r="BA372" s="161"/>
      <c r="BB372" s="161"/>
      <c r="BC372" s="161"/>
      <c r="BD372" s="161"/>
      <c r="BE372" s="136"/>
      <c r="BF372" s="136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36"/>
      <c r="BT372" s="136"/>
      <c r="BU372" s="161"/>
      <c r="BV372" s="161"/>
      <c r="BW372" s="161"/>
      <c r="BX372" s="161"/>
      <c r="BY372" s="161"/>
      <c r="BZ372" s="161"/>
      <c r="CA372" s="161"/>
      <c r="CB372" s="161"/>
      <c r="CC372" s="161"/>
      <c r="CD372" s="161"/>
      <c r="CE372" s="161"/>
      <c r="CF372" s="161"/>
      <c r="CG372" s="136"/>
      <c r="CH372" s="136"/>
      <c r="CI372" s="161"/>
      <c r="CJ372" s="161"/>
      <c r="CK372" s="161"/>
      <c r="CL372" s="161"/>
      <c r="CM372" s="161"/>
      <c r="CN372" s="161"/>
      <c r="CO372" s="161"/>
      <c r="CP372" s="161"/>
      <c r="CQ372" s="161"/>
      <c r="CR372" s="161"/>
      <c r="CS372" s="161"/>
      <c r="CT372" s="161"/>
      <c r="CU372" s="136"/>
      <c r="CV372" s="136"/>
      <c r="CW372" s="161"/>
      <c r="CX372" s="161"/>
      <c r="CY372" s="161"/>
      <c r="CZ372" s="161"/>
      <c r="DA372" s="161"/>
      <c r="DB372" s="161"/>
      <c r="DC372" s="161"/>
      <c r="DD372" s="161"/>
      <c r="DE372" s="161"/>
      <c r="DF372" s="161"/>
      <c r="DG372" s="161"/>
      <c r="DH372" s="161"/>
      <c r="DI372" s="136"/>
      <c r="DJ372" s="136"/>
      <c r="DK372" s="161"/>
      <c r="DL372" s="161"/>
      <c r="DM372" s="161"/>
      <c r="DN372" s="161"/>
      <c r="DO372" s="161"/>
      <c r="DP372" s="161"/>
      <c r="DQ372" s="161"/>
      <c r="DR372" s="161"/>
      <c r="DS372" s="161"/>
      <c r="DT372" s="161"/>
      <c r="DU372" s="161"/>
      <c r="DV372" s="161"/>
      <c r="DW372" s="136"/>
      <c r="DX372" s="136"/>
      <c r="DY372" s="161"/>
      <c r="DZ372" s="161"/>
      <c r="EA372" s="161"/>
      <c r="EB372" s="161"/>
      <c r="EC372" s="161"/>
      <c r="ED372" s="161"/>
      <c r="EE372" s="161"/>
      <c r="EF372" s="161"/>
      <c r="EG372" s="161"/>
      <c r="EH372" s="161"/>
      <c r="EI372" s="161"/>
      <c r="EJ372" s="161"/>
      <c r="EK372" s="136"/>
      <c r="EL372" s="136"/>
      <c r="EM372" s="136"/>
      <c r="EN372" s="136"/>
      <c r="EO372" s="136"/>
      <c r="EP372" s="136"/>
      <c r="EQ372" s="136"/>
      <c r="ER372" s="136"/>
      <c r="ES372" s="161"/>
      <c r="ET372" s="161"/>
      <c r="EU372" s="161"/>
      <c r="EV372" s="161"/>
      <c r="EW372" s="161"/>
      <c r="EX372" s="161"/>
      <c r="EY372" s="136"/>
      <c r="EZ372" s="136"/>
      <c r="FA372" s="161"/>
      <c r="FB372" s="161"/>
      <c r="FC372" s="161"/>
      <c r="FD372" s="161"/>
      <c r="FE372" s="161"/>
      <c r="FF372" s="161"/>
      <c r="FG372" s="161"/>
      <c r="FH372" s="161"/>
      <c r="FI372" s="161"/>
      <c r="FJ372" s="161"/>
      <c r="FK372" s="161"/>
      <c r="FL372" s="161"/>
      <c r="FM372" s="136"/>
      <c r="FN372" s="136"/>
      <c r="FO372" s="161"/>
      <c r="FP372" s="161"/>
      <c r="FQ372" s="161"/>
      <c r="FR372" s="161"/>
      <c r="FS372" s="161"/>
      <c r="FT372" s="161"/>
      <c r="FU372" s="161"/>
      <c r="FV372" s="161"/>
      <c r="FW372" s="161"/>
      <c r="FX372" s="161"/>
      <c r="FY372" s="161"/>
      <c r="FZ372" s="161"/>
      <c r="GA372" s="136"/>
      <c r="GB372" s="136"/>
      <c r="GC372" s="161"/>
      <c r="GD372" s="161"/>
      <c r="GE372" s="161"/>
      <c r="GF372" s="161"/>
      <c r="GG372" s="161"/>
      <c r="GH372" s="161"/>
      <c r="GI372" s="161"/>
      <c r="GJ372" s="161"/>
      <c r="GK372" s="161"/>
      <c r="GL372" s="161"/>
      <c r="GM372" s="161"/>
      <c r="GN372" s="161"/>
    </row>
    <row r="373" spans="1:196" ht="18" hidden="1" customHeight="1">
      <c r="A373" s="162"/>
      <c r="B373" s="126" t="s">
        <v>745</v>
      </c>
      <c r="C373" s="109" t="s">
        <v>662</v>
      </c>
      <c r="D373" s="119" t="e">
        <f>VLOOKUP(C373,#REF!,2,0)</f>
        <v>#REF!</v>
      </c>
      <c r="E373" s="119" t="e">
        <f>VLOOKUP(C373,#REF!,5,0)</f>
        <v>#REF!</v>
      </c>
      <c r="F373" s="107">
        <v>46205</v>
      </c>
      <c r="G373" s="115">
        <v>200</v>
      </c>
      <c r="H373" s="6"/>
      <c r="I373" s="125">
        <v>46200</v>
      </c>
      <c r="J373" s="13">
        <f t="shared" si="201"/>
        <v>0</v>
      </c>
      <c r="K373" s="141"/>
      <c r="L373" s="161"/>
      <c r="M373" s="136"/>
      <c r="N373" s="136"/>
      <c r="O373" s="136"/>
      <c r="P373" s="136"/>
      <c r="Q373" s="136"/>
      <c r="R373" s="136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36"/>
      <c r="AD373" s="136"/>
      <c r="AE373" s="161">
        <v>85</v>
      </c>
      <c r="AF373" s="161">
        <v>104</v>
      </c>
      <c r="AG373" s="161">
        <v>11</v>
      </c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36"/>
      <c r="AR373" s="136"/>
      <c r="AS373" s="161"/>
      <c r="AT373" s="161"/>
      <c r="AU373" s="161"/>
      <c r="AV373" s="161"/>
      <c r="AW373" s="161"/>
      <c r="AX373" s="161"/>
      <c r="AY373" s="161"/>
      <c r="AZ373" s="161"/>
      <c r="BA373" s="161"/>
      <c r="BB373" s="161"/>
      <c r="BC373" s="161"/>
      <c r="BD373" s="161"/>
      <c r="BE373" s="136"/>
      <c r="BF373" s="136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36"/>
      <c r="BT373" s="136"/>
      <c r="BU373" s="161"/>
      <c r="BV373" s="161"/>
      <c r="BW373" s="161"/>
      <c r="BX373" s="161"/>
      <c r="BY373" s="161"/>
      <c r="BZ373" s="161"/>
      <c r="CA373" s="161"/>
      <c r="CB373" s="161"/>
      <c r="CC373" s="161"/>
      <c r="CD373" s="161"/>
      <c r="CE373" s="161"/>
      <c r="CF373" s="161"/>
      <c r="CG373" s="136"/>
      <c r="CH373" s="136"/>
      <c r="CI373" s="161"/>
      <c r="CJ373" s="161"/>
      <c r="CK373" s="161"/>
      <c r="CL373" s="161"/>
      <c r="CM373" s="161"/>
      <c r="CN373" s="161"/>
      <c r="CO373" s="161"/>
      <c r="CP373" s="161"/>
      <c r="CQ373" s="161"/>
      <c r="CR373" s="161"/>
      <c r="CS373" s="161"/>
      <c r="CT373" s="161"/>
      <c r="CU373" s="136"/>
      <c r="CV373" s="136"/>
      <c r="CW373" s="161"/>
      <c r="CX373" s="161"/>
      <c r="CY373" s="161"/>
      <c r="CZ373" s="161"/>
      <c r="DA373" s="161"/>
      <c r="DB373" s="161"/>
      <c r="DC373" s="161"/>
      <c r="DD373" s="161"/>
      <c r="DE373" s="161"/>
      <c r="DF373" s="161"/>
      <c r="DG373" s="161"/>
      <c r="DH373" s="161"/>
      <c r="DI373" s="136"/>
      <c r="DJ373" s="136"/>
      <c r="DK373" s="161"/>
      <c r="DL373" s="161"/>
      <c r="DM373" s="161"/>
      <c r="DN373" s="161"/>
      <c r="DO373" s="161"/>
      <c r="DP373" s="161"/>
      <c r="DQ373" s="161"/>
      <c r="DR373" s="161"/>
      <c r="DS373" s="161"/>
      <c r="DT373" s="161"/>
      <c r="DU373" s="161"/>
      <c r="DV373" s="161"/>
      <c r="DW373" s="136"/>
      <c r="DX373" s="136"/>
      <c r="DY373" s="161"/>
      <c r="DZ373" s="161"/>
      <c r="EA373" s="161"/>
      <c r="EB373" s="161"/>
      <c r="EC373" s="161"/>
      <c r="ED373" s="161"/>
      <c r="EE373" s="161"/>
      <c r="EF373" s="161"/>
      <c r="EG373" s="161"/>
      <c r="EH373" s="161"/>
      <c r="EI373" s="161"/>
      <c r="EJ373" s="161"/>
      <c r="EK373" s="136"/>
      <c r="EL373" s="136"/>
      <c r="EM373" s="136"/>
      <c r="EN373" s="136"/>
      <c r="EO373" s="136"/>
      <c r="EP373" s="136"/>
      <c r="EQ373" s="136"/>
      <c r="ER373" s="136"/>
      <c r="ES373" s="161"/>
      <c r="ET373" s="161"/>
      <c r="EU373" s="161"/>
      <c r="EV373" s="161"/>
      <c r="EW373" s="161"/>
      <c r="EX373" s="161"/>
      <c r="EY373" s="136"/>
      <c r="EZ373" s="136"/>
      <c r="FA373" s="161"/>
      <c r="FB373" s="161"/>
      <c r="FC373" s="161"/>
      <c r="FD373" s="161"/>
      <c r="FE373" s="161"/>
      <c r="FF373" s="161"/>
      <c r="FG373" s="161"/>
      <c r="FH373" s="161"/>
      <c r="FI373" s="161"/>
      <c r="FJ373" s="161"/>
      <c r="FK373" s="161"/>
      <c r="FL373" s="161"/>
      <c r="FM373" s="136"/>
      <c r="FN373" s="136"/>
      <c r="FO373" s="161"/>
      <c r="FP373" s="161"/>
      <c r="FQ373" s="161"/>
      <c r="FR373" s="161"/>
      <c r="FS373" s="161"/>
      <c r="FT373" s="161"/>
      <c r="FU373" s="161"/>
      <c r="FV373" s="161"/>
      <c r="FW373" s="161"/>
      <c r="FX373" s="161"/>
      <c r="FY373" s="161"/>
      <c r="FZ373" s="161"/>
      <c r="GA373" s="136"/>
      <c r="GB373" s="136"/>
      <c r="GC373" s="161"/>
      <c r="GD373" s="161"/>
      <c r="GE373" s="161"/>
      <c r="GF373" s="161"/>
      <c r="GG373" s="161"/>
      <c r="GH373" s="161"/>
      <c r="GI373" s="161"/>
      <c r="GJ373" s="161"/>
      <c r="GK373" s="161"/>
      <c r="GL373" s="161"/>
      <c r="GM373" s="161"/>
      <c r="GN373" s="161"/>
    </row>
    <row r="374" spans="1:196" hidden="1">
      <c r="A374" s="162"/>
      <c r="B374" s="178" t="s">
        <v>814</v>
      </c>
      <c r="C374" s="109" t="s">
        <v>638</v>
      </c>
      <c r="D374" s="119" t="e">
        <f>VLOOKUP(C374,#REF!,2,0)</f>
        <v>#REF!</v>
      </c>
      <c r="E374" s="119"/>
      <c r="F374" s="107">
        <v>46207</v>
      </c>
      <c r="G374" s="115">
        <v>892</v>
      </c>
      <c r="H374" s="6"/>
      <c r="I374" s="125">
        <v>46207</v>
      </c>
      <c r="J374" s="13">
        <f t="shared" si="201"/>
        <v>0</v>
      </c>
      <c r="K374" s="141"/>
      <c r="L374" s="161"/>
      <c r="M374" s="136"/>
      <c r="N374" s="136"/>
      <c r="O374" s="136"/>
      <c r="P374" s="136"/>
      <c r="Q374" s="136"/>
      <c r="R374" s="136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36"/>
      <c r="AD374" s="136"/>
      <c r="AE374" s="161"/>
      <c r="AF374" s="161"/>
      <c r="AG374" s="161">
        <v>43</v>
      </c>
      <c r="AH374" s="161">
        <v>123</v>
      </c>
      <c r="AI374" s="161">
        <v>118</v>
      </c>
      <c r="AJ374" s="161">
        <v>120</v>
      </c>
      <c r="AK374" s="161">
        <v>107</v>
      </c>
      <c r="AL374" s="161">
        <v>125</v>
      </c>
      <c r="AM374" s="161">
        <v>130</v>
      </c>
      <c r="AN374" s="161">
        <v>110</v>
      </c>
      <c r="AO374" s="161">
        <v>16</v>
      </c>
      <c r="AP374" s="161"/>
      <c r="AQ374" s="136"/>
      <c r="AR374" s="136"/>
      <c r="AS374" s="161"/>
      <c r="AT374" s="161"/>
      <c r="AU374" s="161"/>
      <c r="AV374" s="161"/>
      <c r="AW374" s="161"/>
      <c r="AX374" s="161"/>
      <c r="AY374" s="161"/>
      <c r="AZ374" s="161"/>
      <c r="BA374" s="161"/>
      <c r="BB374" s="161"/>
      <c r="BC374" s="161"/>
      <c r="BD374" s="161"/>
      <c r="BE374" s="136"/>
      <c r="BF374" s="136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36"/>
      <c r="BT374" s="136"/>
      <c r="BU374" s="161"/>
      <c r="BV374" s="161"/>
      <c r="BW374" s="161"/>
      <c r="BX374" s="161"/>
      <c r="BY374" s="161"/>
      <c r="BZ374" s="161"/>
      <c r="CA374" s="161"/>
      <c r="CB374" s="161"/>
      <c r="CC374" s="161"/>
      <c r="CD374" s="161"/>
      <c r="CE374" s="161"/>
      <c r="CF374" s="161"/>
      <c r="CG374" s="136"/>
      <c r="CH374" s="136"/>
      <c r="CI374" s="161"/>
      <c r="CJ374" s="161"/>
      <c r="CK374" s="161"/>
      <c r="CL374" s="161"/>
      <c r="CM374" s="161"/>
      <c r="CN374" s="161"/>
      <c r="CO374" s="161"/>
      <c r="CP374" s="161"/>
      <c r="CQ374" s="161"/>
      <c r="CR374" s="161"/>
      <c r="CS374" s="161"/>
      <c r="CT374" s="161"/>
      <c r="CU374" s="136"/>
      <c r="CV374" s="136"/>
      <c r="CW374" s="161"/>
      <c r="CX374" s="161"/>
      <c r="CY374" s="161"/>
      <c r="CZ374" s="161"/>
      <c r="DA374" s="161"/>
      <c r="DB374" s="161"/>
      <c r="DC374" s="161"/>
      <c r="DD374" s="161"/>
      <c r="DE374" s="161"/>
      <c r="DF374" s="161"/>
      <c r="DG374" s="161"/>
      <c r="DH374" s="161"/>
      <c r="DI374" s="136"/>
      <c r="DJ374" s="136"/>
      <c r="DK374" s="161"/>
      <c r="DL374" s="161"/>
      <c r="DM374" s="161"/>
      <c r="DN374" s="161"/>
      <c r="DO374" s="161"/>
      <c r="DP374" s="161"/>
      <c r="DQ374" s="161"/>
      <c r="DR374" s="161"/>
      <c r="DS374" s="161"/>
      <c r="DT374" s="161"/>
      <c r="DU374" s="161"/>
      <c r="DV374" s="161"/>
      <c r="DW374" s="136"/>
      <c r="DX374" s="136"/>
      <c r="DY374" s="161"/>
      <c r="DZ374" s="161"/>
      <c r="EA374" s="161"/>
      <c r="EB374" s="161"/>
      <c r="EC374" s="161"/>
      <c r="ED374" s="161"/>
      <c r="EE374" s="161"/>
      <c r="EF374" s="161"/>
      <c r="EG374" s="161"/>
      <c r="EH374" s="161"/>
      <c r="EI374" s="161"/>
      <c r="EJ374" s="161"/>
      <c r="EK374" s="136"/>
      <c r="EL374" s="136"/>
      <c r="EM374" s="136"/>
      <c r="EN374" s="136"/>
      <c r="EO374" s="136"/>
      <c r="EP374" s="136"/>
      <c r="EQ374" s="136"/>
      <c r="ER374" s="136"/>
      <c r="ES374" s="161"/>
      <c r="ET374" s="161"/>
      <c r="EU374" s="161"/>
      <c r="EV374" s="161"/>
      <c r="EW374" s="161"/>
      <c r="EX374" s="161"/>
      <c r="EY374" s="136"/>
      <c r="EZ374" s="136"/>
      <c r="FA374" s="161"/>
      <c r="FB374" s="161"/>
      <c r="FC374" s="161"/>
      <c r="FD374" s="161"/>
      <c r="FE374" s="161"/>
      <c r="FF374" s="161"/>
      <c r="FG374" s="161"/>
      <c r="FH374" s="161"/>
      <c r="FI374" s="161"/>
      <c r="FJ374" s="161"/>
      <c r="FK374" s="161"/>
      <c r="FL374" s="161"/>
      <c r="FM374" s="136"/>
      <c r="FN374" s="136"/>
      <c r="FO374" s="161"/>
      <c r="FP374" s="161"/>
      <c r="FQ374" s="161"/>
      <c r="FR374" s="161"/>
      <c r="FS374" s="161"/>
      <c r="FT374" s="161"/>
      <c r="FU374" s="161"/>
      <c r="FV374" s="161"/>
      <c r="FW374" s="161"/>
      <c r="FX374" s="161"/>
      <c r="FY374" s="161"/>
      <c r="FZ374" s="161"/>
      <c r="GA374" s="136"/>
      <c r="GB374" s="136"/>
      <c r="GC374" s="161"/>
      <c r="GD374" s="161"/>
      <c r="GE374" s="161"/>
      <c r="GF374" s="161"/>
      <c r="GG374" s="161"/>
      <c r="GH374" s="161"/>
      <c r="GI374" s="161"/>
      <c r="GJ374" s="161"/>
      <c r="GK374" s="161"/>
      <c r="GL374" s="161"/>
      <c r="GM374" s="161"/>
      <c r="GN374" s="161"/>
    </row>
    <row r="375" spans="1:196" hidden="1">
      <c r="A375" s="162"/>
      <c r="B375" s="178" t="s">
        <v>843</v>
      </c>
      <c r="C375" s="109" t="s">
        <v>638</v>
      </c>
      <c r="D375" s="119" t="e">
        <f>VLOOKUP(C375,#REF!,2,0)</f>
        <v>#REF!</v>
      </c>
      <c r="E375" s="119"/>
      <c r="F375" s="107">
        <v>46213</v>
      </c>
      <c r="G375" s="115">
        <v>100</v>
      </c>
      <c r="H375" s="6"/>
      <c r="I375" s="125">
        <v>46214</v>
      </c>
      <c r="J375" s="13">
        <f t="shared" si="201"/>
        <v>0</v>
      </c>
      <c r="K375" s="141"/>
      <c r="L375" s="161"/>
      <c r="M375" s="136"/>
      <c r="N375" s="136"/>
      <c r="O375" s="136"/>
      <c r="P375" s="136"/>
      <c r="Q375" s="136"/>
      <c r="R375" s="136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36"/>
      <c r="AD375" s="136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>
        <v>100</v>
      </c>
      <c r="AP375" s="161"/>
      <c r="AQ375" s="136"/>
      <c r="AR375" s="136"/>
      <c r="AS375" s="161"/>
      <c r="AT375" s="161"/>
      <c r="AU375" s="161"/>
      <c r="AV375" s="161"/>
      <c r="AW375" s="161"/>
      <c r="AX375" s="161"/>
      <c r="AY375" s="161"/>
      <c r="AZ375" s="161"/>
      <c r="BA375" s="161"/>
      <c r="BB375" s="161"/>
      <c r="BC375" s="161"/>
      <c r="BD375" s="161"/>
      <c r="BE375" s="136"/>
      <c r="BF375" s="136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36"/>
      <c r="BT375" s="136"/>
      <c r="BU375" s="161"/>
      <c r="BV375" s="161"/>
      <c r="BW375" s="161"/>
      <c r="BX375" s="161"/>
      <c r="BY375" s="161"/>
      <c r="BZ375" s="161"/>
      <c r="CA375" s="161"/>
      <c r="CB375" s="161"/>
      <c r="CC375" s="161"/>
      <c r="CD375" s="161"/>
      <c r="CE375" s="161"/>
      <c r="CF375" s="161"/>
      <c r="CG375" s="136"/>
      <c r="CH375" s="136"/>
      <c r="CI375" s="161"/>
      <c r="CJ375" s="161"/>
      <c r="CK375" s="161"/>
      <c r="CL375" s="161"/>
      <c r="CM375" s="161"/>
      <c r="CN375" s="161"/>
      <c r="CO375" s="161"/>
      <c r="CP375" s="161"/>
      <c r="CQ375" s="161"/>
      <c r="CR375" s="161"/>
      <c r="CS375" s="161"/>
      <c r="CT375" s="161"/>
      <c r="CU375" s="136"/>
      <c r="CV375" s="136"/>
      <c r="CW375" s="161"/>
      <c r="CX375" s="161"/>
      <c r="CY375" s="161"/>
      <c r="CZ375" s="161"/>
      <c r="DA375" s="161"/>
      <c r="DB375" s="161"/>
      <c r="DC375" s="161"/>
      <c r="DD375" s="161"/>
      <c r="DE375" s="161"/>
      <c r="DF375" s="161"/>
      <c r="DG375" s="161"/>
      <c r="DH375" s="161"/>
      <c r="DI375" s="136"/>
      <c r="DJ375" s="136"/>
      <c r="DK375" s="161"/>
      <c r="DL375" s="161"/>
      <c r="DM375" s="161"/>
      <c r="DN375" s="161"/>
      <c r="DO375" s="161"/>
      <c r="DP375" s="161"/>
      <c r="DQ375" s="161"/>
      <c r="DR375" s="161"/>
      <c r="DS375" s="161"/>
      <c r="DT375" s="161"/>
      <c r="DU375" s="161"/>
      <c r="DV375" s="161"/>
      <c r="DW375" s="136"/>
      <c r="DX375" s="136"/>
      <c r="DY375" s="161"/>
      <c r="DZ375" s="161"/>
      <c r="EA375" s="161"/>
      <c r="EB375" s="161"/>
      <c r="EC375" s="161"/>
      <c r="ED375" s="161"/>
      <c r="EE375" s="161"/>
      <c r="EF375" s="161"/>
      <c r="EG375" s="161"/>
      <c r="EH375" s="161"/>
      <c r="EI375" s="161"/>
      <c r="EJ375" s="161"/>
      <c r="EK375" s="136"/>
      <c r="EL375" s="136"/>
      <c r="EM375" s="136"/>
      <c r="EN375" s="136"/>
      <c r="EO375" s="136"/>
      <c r="EP375" s="136"/>
      <c r="EQ375" s="136"/>
      <c r="ER375" s="136"/>
      <c r="ES375" s="161"/>
      <c r="ET375" s="161"/>
      <c r="EU375" s="161"/>
      <c r="EV375" s="161"/>
      <c r="EW375" s="161"/>
      <c r="EX375" s="161"/>
      <c r="EY375" s="136"/>
      <c r="EZ375" s="136"/>
      <c r="FA375" s="161"/>
      <c r="FB375" s="161"/>
      <c r="FC375" s="161"/>
      <c r="FD375" s="161"/>
      <c r="FE375" s="161"/>
      <c r="FF375" s="161"/>
      <c r="FG375" s="161"/>
      <c r="FH375" s="161"/>
      <c r="FI375" s="161"/>
      <c r="FJ375" s="161"/>
      <c r="FK375" s="161"/>
      <c r="FL375" s="161"/>
      <c r="FM375" s="136"/>
      <c r="FN375" s="136"/>
      <c r="FO375" s="161"/>
      <c r="FP375" s="161"/>
      <c r="FQ375" s="161"/>
      <c r="FR375" s="161"/>
      <c r="FS375" s="161"/>
      <c r="FT375" s="161"/>
      <c r="FU375" s="161"/>
      <c r="FV375" s="161"/>
      <c r="FW375" s="161"/>
      <c r="FX375" s="161"/>
      <c r="FY375" s="161"/>
      <c r="FZ375" s="161"/>
      <c r="GA375" s="136"/>
      <c r="GB375" s="136"/>
      <c r="GC375" s="161"/>
      <c r="GD375" s="161"/>
      <c r="GE375" s="161"/>
      <c r="GF375" s="161"/>
      <c r="GG375" s="161"/>
      <c r="GH375" s="161"/>
      <c r="GI375" s="161"/>
      <c r="GJ375" s="161"/>
      <c r="GK375" s="161"/>
      <c r="GL375" s="161"/>
      <c r="GM375" s="161"/>
      <c r="GN375" s="161"/>
    </row>
    <row r="376" spans="1:196" hidden="1">
      <c r="A376" s="162"/>
      <c r="B376" s="126" t="s">
        <v>1085</v>
      </c>
      <c r="C376" s="109" t="s">
        <v>638</v>
      </c>
      <c r="D376" s="119" t="e">
        <f>VLOOKUP(C376,#REF!,2,0)</f>
        <v>#REF!</v>
      </c>
      <c r="E376" s="119"/>
      <c r="F376" s="107">
        <v>46213</v>
      </c>
      <c r="G376" s="115">
        <v>500</v>
      </c>
      <c r="H376" s="6"/>
      <c r="I376" s="125">
        <v>46214</v>
      </c>
      <c r="J376" s="13">
        <f t="shared" si="201"/>
        <v>0</v>
      </c>
      <c r="K376" s="141"/>
      <c r="L376" s="161"/>
      <c r="M376" s="136"/>
      <c r="N376" s="136"/>
      <c r="O376" s="136"/>
      <c r="P376" s="136"/>
      <c r="Q376" s="136"/>
      <c r="R376" s="136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36"/>
      <c r="AD376" s="136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>
        <v>105</v>
      </c>
      <c r="AQ376" s="136"/>
      <c r="AR376" s="136"/>
      <c r="AS376" s="161">
        <v>115</v>
      </c>
      <c r="AT376" s="161">
        <v>113</v>
      </c>
      <c r="AU376" s="161">
        <v>115</v>
      </c>
      <c r="AV376" s="161">
        <v>52</v>
      </c>
      <c r="AW376" s="161"/>
      <c r="AX376" s="161"/>
      <c r="AY376" s="161"/>
      <c r="AZ376" s="161"/>
      <c r="BA376" s="161"/>
      <c r="BB376" s="161"/>
      <c r="BC376" s="161"/>
      <c r="BD376" s="161"/>
      <c r="BE376" s="136"/>
      <c r="BF376" s="136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36"/>
      <c r="BT376" s="136"/>
      <c r="BU376" s="161"/>
      <c r="BV376" s="161"/>
      <c r="BW376" s="161"/>
      <c r="BX376" s="161"/>
      <c r="BY376" s="161"/>
      <c r="BZ376" s="161"/>
      <c r="CA376" s="161"/>
      <c r="CB376" s="161"/>
      <c r="CC376" s="161"/>
      <c r="CD376" s="161"/>
      <c r="CE376" s="161"/>
      <c r="CF376" s="161"/>
      <c r="CG376" s="136"/>
      <c r="CH376" s="136"/>
      <c r="CI376" s="161"/>
      <c r="CJ376" s="161"/>
      <c r="CK376" s="161"/>
      <c r="CL376" s="161"/>
      <c r="CM376" s="161"/>
      <c r="CN376" s="161"/>
      <c r="CO376" s="161"/>
      <c r="CP376" s="161"/>
      <c r="CQ376" s="161"/>
      <c r="CR376" s="161"/>
      <c r="CS376" s="161"/>
      <c r="CT376" s="161"/>
      <c r="CU376" s="136"/>
      <c r="CV376" s="136"/>
      <c r="CW376" s="161"/>
      <c r="CX376" s="161"/>
      <c r="CY376" s="161"/>
      <c r="CZ376" s="161"/>
      <c r="DA376" s="161"/>
      <c r="DB376" s="161"/>
      <c r="DC376" s="161"/>
      <c r="DD376" s="161"/>
      <c r="DE376" s="161"/>
      <c r="DF376" s="161"/>
      <c r="DG376" s="161"/>
      <c r="DH376" s="161"/>
      <c r="DI376" s="136"/>
      <c r="DJ376" s="136"/>
      <c r="DK376" s="161"/>
      <c r="DL376" s="161"/>
      <c r="DM376" s="161"/>
      <c r="DN376" s="161"/>
      <c r="DO376" s="161"/>
      <c r="DP376" s="161"/>
      <c r="DQ376" s="161"/>
      <c r="DR376" s="161"/>
      <c r="DS376" s="161"/>
      <c r="DT376" s="161"/>
      <c r="DU376" s="161"/>
      <c r="DV376" s="161"/>
      <c r="DW376" s="136"/>
      <c r="DX376" s="136"/>
      <c r="DY376" s="161"/>
      <c r="DZ376" s="161"/>
      <c r="EA376" s="161"/>
      <c r="EB376" s="161"/>
      <c r="EC376" s="161"/>
      <c r="ED376" s="161"/>
      <c r="EE376" s="161"/>
      <c r="EF376" s="161"/>
      <c r="EG376" s="161"/>
      <c r="EH376" s="161"/>
      <c r="EI376" s="161"/>
      <c r="EJ376" s="161"/>
      <c r="EK376" s="136"/>
      <c r="EL376" s="136"/>
      <c r="EM376" s="136"/>
      <c r="EN376" s="136"/>
      <c r="EO376" s="136"/>
      <c r="EP376" s="136"/>
      <c r="EQ376" s="136"/>
      <c r="ER376" s="136"/>
      <c r="ES376" s="161"/>
      <c r="ET376" s="161"/>
      <c r="EU376" s="161"/>
      <c r="EV376" s="161"/>
      <c r="EW376" s="161"/>
      <c r="EX376" s="161"/>
      <c r="EY376" s="136"/>
      <c r="EZ376" s="136"/>
      <c r="FA376" s="161"/>
      <c r="FB376" s="161"/>
      <c r="FC376" s="161"/>
      <c r="FD376" s="161"/>
      <c r="FE376" s="161"/>
      <c r="FF376" s="161"/>
      <c r="FG376" s="161"/>
      <c r="FH376" s="161"/>
      <c r="FI376" s="161"/>
      <c r="FJ376" s="161"/>
      <c r="FK376" s="161"/>
      <c r="FL376" s="161"/>
      <c r="FM376" s="136"/>
      <c r="FN376" s="136"/>
      <c r="FO376" s="161"/>
      <c r="FP376" s="161"/>
      <c r="FQ376" s="161"/>
      <c r="FR376" s="161"/>
      <c r="FS376" s="161"/>
      <c r="FT376" s="161"/>
      <c r="FU376" s="161"/>
      <c r="FV376" s="161"/>
      <c r="FW376" s="161"/>
      <c r="FX376" s="161"/>
      <c r="FY376" s="161"/>
      <c r="FZ376" s="161"/>
      <c r="GA376" s="136"/>
      <c r="GB376" s="136"/>
      <c r="GC376" s="161"/>
      <c r="GD376" s="161"/>
      <c r="GE376" s="161"/>
      <c r="GF376" s="161"/>
      <c r="GG376" s="161"/>
      <c r="GH376" s="161"/>
      <c r="GI376" s="161"/>
      <c r="GJ376" s="161"/>
      <c r="GK376" s="161"/>
      <c r="GL376" s="161"/>
      <c r="GM376" s="161"/>
      <c r="GN376" s="161"/>
    </row>
    <row r="377" spans="1:196" ht="14" hidden="1" customHeight="1">
      <c r="A377" s="162"/>
      <c r="B377" s="126" t="s">
        <v>813</v>
      </c>
      <c r="C377" s="109" t="s">
        <v>661</v>
      </c>
      <c r="D377" s="119" t="e">
        <f>VLOOKUP(C377,#REF!,2,0)</f>
        <v>#REF!</v>
      </c>
      <c r="E377" s="119"/>
      <c r="F377" s="107">
        <v>46207</v>
      </c>
      <c r="G377" s="115">
        <v>420</v>
      </c>
      <c r="H377" s="6"/>
      <c r="I377" s="125">
        <v>46207</v>
      </c>
      <c r="J377" s="13">
        <f t="shared" si="201"/>
        <v>0</v>
      </c>
      <c r="K377" s="141"/>
      <c r="L377" s="161"/>
      <c r="M377" s="136"/>
      <c r="N377" s="136"/>
      <c r="O377" s="136"/>
      <c r="P377" s="136"/>
      <c r="Q377" s="136"/>
      <c r="R377" s="136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36"/>
      <c r="AD377" s="136"/>
      <c r="AE377" s="161"/>
      <c r="AF377" s="161"/>
      <c r="AG377" s="161">
        <v>90</v>
      </c>
      <c r="AH377" s="161">
        <v>104</v>
      </c>
      <c r="AI377" s="161">
        <v>106</v>
      </c>
      <c r="AJ377" s="161">
        <v>104</v>
      </c>
      <c r="AK377" s="161">
        <v>16</v>
      </c>
      <c r="AL377" s="161"/>
      <c r="AM377" s="161"/>
      <c r="AN377" s="161"/>
      <c r="AO377" s="161"/>
      <c r="AP377" s="161"/>
      <c r="AQ377" s="136"/>
      <c r="AR377" s="136"/>
      <c r="AS377" s="161"/>
      <c r="AT377" s="161"/>
      <c r="AU377" s="161"/>
      <c r="AV377" s="161"/>
      <c r="AW377" s="161"/>
      <c r="AX377" s="161"/>
      <c r="AY377" s="161"/>
      <c r="AZ377" s="161"/>
      <c r="BA377" s="161"/>
      <c r="BB377" s="161"/>
      <c r="BC377" s="161"/>
      <c r="BD377" s="161"/>
      <c r="BE377" s="136"/>
      <c r="BF377" s="136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36"/>
      <c r="BT377" s="136"/>
      <c r="BU377" s="161"/>
      <c r="BV377" s="161"/>
      <c r="BW377" s="161"/>
      <c r="BX377" s="161"/>
      <c r="BY377" s="161"/>
      <c r="BZ377" s="161"/>
      <c r="CA377" s="161"/>
      <c r="CB377" s="161"/>
      <c r="CC377" s="161"/>
      <c r="CD377" s="161"/>
      <c r="CE377" s="161"/>
      <c r="CF377" s="161"/>
      <c r="CG377" s="136"/>
      <c r="CH377" s="136"/>
      <c r="CI377" s="161"/>
      <c r="CJ377" s="161"/>
      <c r="CK377" s="161"/>
      <c r="CL377" s="161"/>
      <c r="CM377" s="161"/>
      <c r="CN377" s="161"/>
      <c r="CO377" s="161"/>
      <c r="CP377" s="161"/>
      <c r="CQ377" s="161"/>
      <c r="CR377" s="161"/>
      <c r="CS377" s="161"/>
      <c r="CT377" s="161"/>
      <c r="CU377" s="136"/>
      <c r="CV377" s="136"/>
      <c r="CW377" s="161"/>
      <c r="CX377" s="161"/>
      <c r="CY377" s="161"/>
      <c r="CZ377" s="161"/>
      <c r="DA377" s="161"/>
      <c r="DB377" s="161"/>
      <c r="DC377" s="161"/>
      <c r="DD377" s="161"/>
      <c r="DE377" s="161"/>
      <c r="DF377" s="161"/>
      <c r="DG377" s="161"/>
      <c r="DH377" s="161"/>
      <c r="DI377" s="136"/>
      <c r="DJ377" s="136"/>
      <c r="DK377" s="161"/>
      <c r="DL377" s="161"/>
      <c r="DM377" s="161"/>
      <c r="DN377" s="161"/>
      <c r="DO377" s="161"/>
      <c r="DP377" s="161"/>
      <c r="DQ377" s="161"/>
      <c r="DR377" s="161"/>
      <c r="DS377" s="161"/>
      <c r="DT377" s="161"/>
      <c r="DU377" s="161"/>
      <c r="DV377" s="161"/>
      <c r="DW377" s="136"/>
      <c r="DX377" s="136"/>
      <c r="DY377" s="161"/>
      <c r="DZ377" s="161"/>
      <c r="EA377" s="161"/>
      <c r="EB377" s="161"/>
      <c r="EC377" s="161"/>
      <c r="ED377" s="161"/>
      <c r="EE377" s="161"/>
      <c r="EF377" s="161"/>
      <c r="EG377" s="161"/>
      <c r="EH377" s="161"/>
      <c r="EI377" s="161"/>
      <c r="EJ377" s="161"/>
      <c r="EK377" s="136"/>
      <c r="EL377" s="136"/>
      <c r="EM377" s="136"/>
      <c r="EN377" s="136"/>
      <c r="EO377" s="136"/>
      <c r="EP377" s="136"/>
      <c r="EQ377" s="136"/>
      <c r="ER377" s="136"/>
      <c r="ES377" s="161"/>
      <c r="ET377" s="161"/>
      <c r="EU377" s="161"/>
      <c r="EV377" s="161"/>
      <c r="EW377" s="161"/>
      <c r="EX377" s="161"/>
      <c r="EY377" s="136"/>
      <c r="EZ377" s="136"/>
      <c r="FA377" s="161"/>
      <c r="FB377" s="161"/>
      <c r="FC377" s="161"/>
      <c r="FD377" s="161"/>
      <c r="FE377" s="161"/>
      <c r="FF377" s="161"/>
      <c r="FG377" s="161"/>
      <c r="FH377" s="161"/>
      <c r="FI377" s="161"/>
      <c r="FJ377" s="161"/>
      <c r="FK377" s="161"/>
      <c r="FL377" s="161"/>
      <c r="FM377" s="136"/>
      <c r="FN377" s="136"/>
      <c r="FO377" s="161"/>
      <c r="FP377" s="161"/>
      <c r="FQ377" s="161"/>
      <c r="FR377" s="161"/>
      <c r="FS377" s="161"/>
      <c r="FT377" s="161"/>
      <c r="FU377" s="161"/>
      <c r="FV377" s="161"/>
      <c r="FW377" s="161"/>
      <c r="FX377" s="161"/>
      <c r="FY377" s="161"/>
      <c r="FZ377" s="161"/>
      <c r="GA377" s="136"/>
      <c r="GB377" s="136"/>
      <c r="GC377" s="161"/>
      <c r="GD377" s="161"/>
      <c r="GE377" s="161"/>
      <c r="GF377" s="161"/>
      <c r="GG377" s="161"/>
      <c r="GH377" s="161"/>
      <c r="GI377" s="161"/>
      <c r="GJ377" s="161"/>
      <c r="GK377" s="161"/>
      <c r="GL377" s="161"/>
      <c r="GM377" s="161"/>
      <c r="GN377" s="161"/>
    </row>
    <row r="378" spans="1:196" hidden="1">
      <c r="A378" s="162"/>
      <c r="B378" s="126" t="s">
        <v>761</v>
      </c>
      <c r="C378" s="109" t="s">
        <v>667</v>
      </c>
      <c r="D378" s="119" t="e">
        <f>VLOOKUP(C378,#REF!,2,0)</f>
        <v>#REF!</v>
      </c>
      <c r="E378" s="119" t="e">
        <f>VLOOKUP(C378,#REF!,5,0)</f>
        <v>#REF!</v>
      </c>
      <c r="F378" s="107">
        <v>46210</v>
      </c>
      <c r="G378" s="115">
        <v>450</v>
      </c>
      <c r="H378" s="6"/>
      <c r="I378" s="125">
        <v>46207</v>
      </c>
      <c r="J378" s="13">
        <f t="shared" si="201"/>
        <v>0</v>
      </c>
      <c r="K378" s="141"/>
      <c r="L378" s="161"/>
      <c r="M378" s="136"/>
      <c r="N378" s="136"/>
      <c r="O378" s="136"/>
      <c r="P378" s="136"/>
      <c r="Q378" s="136"/>
      <c r="R378" s="136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36"/>
      <c r="AD378" s="136"/>
      <c r="AE378" s="161"/>
      <c r="AF378" s="161"/>
      <c r="AG378" s="161"/>
      <c r="AH378" s="161"/>
      <c r="AI378" s="161"/>
      <c r="AJ378" s="161"/>
      <c r="AK378" s="161">
        <v>89</v>
      </c>
      <c r="AL378" s="161">
        <v>104</v>
      </c>
      <c r="AM378" s="161">
        <v>104</v>
      </c>
      <c r="AN378" s="161">
        <v>104</v>
      </c>
      <c r="AO378" s="161">
        <v>49</v>
      </c>
      <c r="AP378" s="161"/>
      <c r="AQ378" s="136"/>
      <c r="AR378" s="136"/>
      <c r="AS378" s="161"/>
      <c r="AT378" s="161"/>
      <c r="AU378" s="161"/>
      <c r="AV378" s="161"/>
      <c r="AW378" s="161"/>
      <c r="AX378" s="161"/>
      <c r="AY378" s="161"/>
      <c r="AZ378" s="161"/>
      <c r="BA378" s="161"/>
      <c r="BB378" s="161"/>
      <c r="BC378" s="161"/>
      <c r="BD378" s="161"/>
      <c r="BE378" s="136"/>
      <c r="BF378" s="136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36"/>
      <c r="BT378" s="136"/>
      <c r="BU378" s="161"/>
      <c r="BV378" s="161"/>
      <c r="BW378" s="161"/>
      <c r="BX378" s="161"/>
      <c r="BY378" s="161"/>
      <c r="BZ378" s="161"/>
      <c r="CA378" s="161"/>
      <c r="CB378" s="161"/>
      <c r="CC378" s="161"/>
      <c r="CD378" s="161"/>
      <c r="CE378" s="161"/>
      <c r="CF378" s="161"/>
      <c r="CG378" s="136"/>
      <c r="CH378" s="136"/>
      <c r="CI378" s="161"/>
      <c r="CJ378" s="161"/>
      <c r="CK378" s="161"/>
      <c r="CL378" s="161"/>
      <c r="CM378" s="161"/>
      <c r="CN378" s="161"/>
      <c r="CO378" s="161"/>
      <c r="CP378" s="161"/>
      <c r="CQ378" s="161"/>
      <c r="CR378" s="161"/>
      <c r="CS378" s="161"/>
      <c r="CT378" s="161"/>
      <c r="CU378" s="136"/>
      <c r="CV378" s="136"/>
      <c r="CW378" s="161"/>
      <c r="CX378" s="161"/>
      <c r="CY378" s="161"/>
      <c r="CZ378" s="161"/>
      <c r="DA378" s="161"/>
      <c r="DB378" s="161"/>
      <c r="DC378" s="161"/>
      <c r="DD378" s="161"/>
      <c r="DE378" s="161"/>
      <c r="DF378" s="161"/>
      <c r="DG378" s="161"/>
      <c r="DH378" s="161"/>
      <c r="DI378" s="136"/>
      <c r="DJ378" s="136"/>
      <c r="DK378" s="161"/>
      <c r="DL378" s="161"/>
      <c r="DM378" s="161"/>
      <c r="DN378" s="161"/>
      <c r="DO378" s="161"/>
      <c r="DP378" s="161"/>
      <c r="DQ378" s="161"/>
      <c r="DR378" s="161"/>
      <c r="DS378" s="161"/>
      <c r="DT378" s="161"/>
      <c r="DU378" s="161"/>
      <c r="DV378" s="161"/>
      <c r="DW378" s="136"/>
      <c r="DX378" s="136"/>
      <c r="DY378" s="161"/>
      <c r="DZ378" s="161"/>
      <c r="EA378" s="161"/>
      <c r="EB378" s="161"/>
      <c r="EC378" s="161"/>
      <c r="ED378" s="161"/>
      <c r="EE378" s="161"/>
      <c r="EF378" s="161"/>
      <c r="EG378" s="161"/>
      <c r="EH378" s="161"/>
      <c r="EI378" s="161"/>
      <c r="EJ378" s="161"/>
      <c r="EK378" s="136"/>
      <c r="EL378" s="136"/>
      <c r="EM378" s="136"/>
      <c r="EN378" s="136"/>
      <c r="EO378" s="136"/>
      <c r="EP378" s="136"/>
      <c r="EQ378" s="136"/>
      <c r="ER378" s="136"/>
      <c r="ES378" s="161"/>
      <c r="ET378" s="161"/>
      <c r="EU378" s="161"/>
      <c r="EV378" s="161"/>
      <c r="EW378" s="161"/>
      <c r="EX378" s="161"/>
      <c r="EY378" s="136"/>
      <c r="EZ378" s="136"/>
      <c r="FA378" s="161"/>
      <c r="FB378" s="161"/>
      <c r="FC378" s="161"/>
      <c r="FD378" s="161"/>
      <c r="FE378" s="161"/>
      <c r="FF378" s="161"/>
      <c r="FG378" s="161"/>
      <c r="FH378" s="161"/>
      <c r="FI378" s="161"/>
      <c r="FJ378" s="161"/>
      <c r="FK378" s="161"/>
      <c r="FL378" s="161"/>
      <c r="FM378" s="136"/>
      <c r="FN378" s="136"/>
      <c r="FO378" s="161"/>
      <c r="FP378" s="161"/>
      <c r="FQ378" s="161"/>
      <c r="FR378" s="161"/>
      <c r="FS378" s="161"/>
      <c r="FT378" s="161"/>
      <c r="FU378" s="161"/>
      <c r="FV378" s="161"/>
      <c r="FW378" s="161"/>
      <c r="FX378" s="161"/>
      <c r="FY378" s="161"/>
      <c r="FZ378" s="161"/>
      <c r="GA378" s="136"/>
      <c r="GB378" s="136"/>
      <c r="GC378" s="161"/>
      <c r="GD378" s="161"/>
      <c r="GE378" s="161"/>
      <c r="GF378" s="161"/>
      <c r="GG378" s="161"/>
      <c r="GH378" s="161"/>
      <c r="GI378" s="161"/>
      <c r="GJ378" s="161"/>
      <c r="GK378" s="161"/>
      <c r="GL378" s="161"/>
      <c r="GM378" s="161"/>
      <c r="GN378" s="161"/>
    </row>
    <row r="379" spans="1:196" hidden="1">
      <c r="A379" s="162"/>
      <c r="B379" s="126" t="s">
        <v>762</v>
      </c>
      <c r="C379" s="109" t="s">
        <v>662</v>
      </c>
      <c r="D379" s="119" t="e">
        <f>VLOOKUP(C379,#REF!,2,0)</f>
        <v>#REF!</v>
      </c>
      <c r="E379" s="119" t="e">
        <f>VLOOKUP(C379,#REF!,5,0)</f>
        <v>#REF!</v>
      </c>
      <c r="F379" s="107">
        <v>46213</v>
      </c>
      <c r="G379" s="115">
        <v>22</v>
      </c>
      <c r="H379" s="6"/>
      <c r="I379" s="125">
        <v>46207</v>
      </c>
      <c r="J379" s="13">
        <f t="shared" si="201"/>
        <v>0</v>
      </c>
      <c r="K379" s="141"/>
      <c r="L379" s="161"/>
      <c r="M379" s="136"/>
      <c r="N379" s="136"/>
      <c r="O379" s="136"/>
      <c r="P379" s="136"/>
      <c r="Q379" s="136"/>
      <c r="R379" s="136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36"/>
      <c r="AD379" s="136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>
        <v>22</v>
      </c>
      <c r="AP379" s="161"/>
      <c r="AQ379" s="136"/>
      <c r="AR379" s="136"/>
      <c r="AS379" s="161"/>
      <c r="AT379" s="161"/>
      <c r="AU379" s="161"/>
      <c r="AV379" s="161"/>
      <c r="AW379" s="161"/>
      <c r="AX379" s="161"/>
      <c r="AY379" s="161"/>
      <c r="AZ379" s="161"/>
      <c r="BA379" s="161"/>
      <c r="BB379" s="161"/>
      <c r="BC379" s="161"/>
      <c r="BD379" s="161"/>
      <c r="BE379" s="136"/>
      <c r="BF379" s="136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36"/>
      <c r="BT379" s="136"/>
      <c r="BU379" s="161"/>
      <c r="BV379" s="161"/>
      <c r="BW379" s="161"/>
      <c r="BX379" s="161"/>
      <c r="BY379" s="161"/>
      <c r="BZ379" s="161"/>
      <c r="CA379" s="161"/>
      <c r="CB379" s="161"/>
      <c r="CC379" s="161"/>
      <c r="CD379" s="161"/>
      <c r="CE379" s="161"/>
      <c r="CF379" s="161"/>
      <c r="CG379" s="136"/>
      <c r="CH379" s="136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36"/>
      <c r="CV379" s="136"/>
      <c r="CW379" s="161"/>
      <c r="CX379" s="161"/>
      <c r="CY379" s="161"/>
      <c r="CZ379" s="161"/>
      <c r="DA379" s="161"/>
      <c r="DB379" s="161"/>
      <c r="DC379" s="161"/>
      <c r="DD379" s="161"/>
      <c r="DE379" s="161"/>
      <c r="DF379" s="161"/>
      <c r="DG379" s="161"/>
      <c r="DH379" s="161"/>
      <c r="DI379" s="136"/>
      <c r="DJ379" s="136"/>
      <c r="DK379" s="161"/>
      <c r="DL379" s="161"/>
      <c r="DM379" s="161"/>
      <c r="DN379" s="161"/>
      <c r="DO379" s="161"/>
      <c r="DP379" s="161"/>
      <c r="DQ379" s="161"/>
      <c r="DR379" s="161"/>
      <c r="DS379" s="161"/>
      <c r="DT379" s="161"/>
      <c r="DU379" s="161"/>
      <c r="DV379" s="161"/>
      <c r="DW379" s="136"/>
      <c r="DX379" s="136"/>
      <c r="DY379" s="161"/>
      <c r="DZ379" s="161"/>
      <c r="EA379" s="161"/>
      <c r="EB379" s="161"/>
      <c r="EC379" s="161"/>
      <c r="ED379" s="161"/>
      <c r="EE379" s="161"/>
      <c r="EF379" s="161"/>
      <c r="EG379" s="161"/>
      <c r="EH379" s="161"/>
      <c r="EI379" s="161"/>
      <c r="EJ379" s="161"/>
      <c r="EK379" s="136"/>
      <c r="EL379" s="136"/>
      <c r="EM379" s="136"/>
      <c r="EN379" s="136"/>
      <c r="EO379" s="136"/>
      <c r="EP379" s="136"/>
      <c r="EQ379" s="136"/>
      <c r="ER379" s="136"/>
      <c r="ES379" s="161"/>
      <c r="ET379" s="161"/>
      <c r="EU379" s="161"/>
      <c r="EV379" s="161"/>
      <c r="EW379" s="161"/>
      <c r="EX379" s="161"/>
      <c r="EY379" s="136"/>
      <c r="EZ379" s="136"/>
      <c r="FA379" s="161"/>
      <c r="FB379" s="161"/>
      <c r="FC379" s="161"/>
      <c r="FD379" s="161"/>
      <c r="FE379" s="161"/>
      <c r="FF379" s="161"/>
      <c r="FG379" s="161"/>
      <c r="FH379" s="161"/>
      <c r="FI379" s="161"/>
      <c r="FJ379" s="161"/>
      <c r="FK379" s="161"/>
      <c r="FL379" s="161"/>
      <c r="FM379" s="136"/>
      <c r="FN379" s="136"/>
      <c r="FO379" s="161"/>
      <c r="FP379" s="161"/>
      <c r="FQ379" s="161"/>
      <c r="FR379" s="161"/>
      <c r="FS379" s="161"/>
      <c r="FT379" s="161"/>
      <c r="FU379" s="161"/>
      <c r="FV379" s="161"/>
      <c r="FW379" s="161"/>
      <c r="FX379" s="161"/>
      <c r="FY379" s="161"/>
      <c r="FZ379" s="161"/>
      <c r="GA379" s="136"/>
      <c r="GB379" s="136"/>
      <c r="GC379" s="161"/>
      <c r="GD379" s="161"/>
      <c r="GE379" s="161"/>
      <c r="GF379" s="161"/>
      <c r="GG379" s="161"/>
      <c r="GH379" s="161"/>
      <c r="GI379" s="161"/>
      <c r="GJ379" s="161"/>
      <c r="GK379" s="161"/>
      <c r="GL379" s="161"/>
      <c r="GM379" s="161"/>
      <c r="GN379" s="161"/>
    </row>
    <row r="380" spans="1:196" hidden="1">
      <c r="A380" s="162"/>
      <c r="B380" s="126" t="s">
        <v>812</v>
      </c>
      <c r="C380" s="109" t="s">
        <v>652</v>
      </c>
      <c r="D380" s="119" t="e">
        <f>VLOOKUP(C380,#REF!,2,0)</f>
        <v>#REF!</v>
      </c>
      <c r="E380" s="119"/>
      <c r="F380" s="107">
        <v>46213</v>
      </c>
      <c r="G380" s="115">
        <v>100</v>
      </c>
      <c r="H380" s="6"/>
      <c r="I380" s="125">
        <v>46214</v>
      </c>
      <c r="J380" s="13">
        <f t="shared" si="201"/>
        <v>0</v>
      </c>
      <c r="K380" s="141"/>
      <c r="L380" s="161"/>
      <c r="M380" s="136"/>
      <c r="N380" s="136"/>
      <c r="O380" s="136"/>
      <c r="P380" s="136"/>
      <c r="Q380" s="136"/>
      <c r="R380" s="136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36"/>
      <c r="AD380" s="136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>
        <v>32</v>
      </c>
      <c r="AP380" s="161">
        <v>68</v>
      </c>
      <c r="AQ380" s="136"/>
      <c r="AR380" s="136"/>
      <c r="AS380" s="161"/>
      <c r="AT380" s="161"/>
      <c r="AU380" s="161"/>
      <c r="AV380" s="161"/>
      <c r="AW380" s="161"/>
      <c r="AX380" s="161"/>
      <c r="AY380" s="161"/>
      <c r="AZ380" s="161"/>
      <c r="BA380" s="161"/>
      <c r="BB380" s="161"/>
      <c r="BC380" s="161"/>
      <c r="BD380" s="161"/>
      <c r="BE380" s="136"/>
      <c r="BF380" s="136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36"/>
      <c r="BT380" s="136"/>
      <c r="BU380" s="161"/>
      <c r="BV380" s="161"/>
      <c r="BW380" s="161"/>
      <c r="BX380" s="161"/>
      <c r="BY380" s="161"/>
      <c r="BZ380" s="161"/>
      <c r="CA380" s="161"/>
      <c r="CB380" s="161"/>
      <c r="CC380" s="161"/>
      <c r="CD380" s="161"/>
      <c r="CE380" s="161"/>
      <c r="CF380" s="161"/>
      <c r="CG380" s="136"/>
      <c r="CH380" s="136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36"/>
      <c r="CV380" s="136"/>
      <c r="CW380" s="161"/>
      <c r="CX380" s="161"/>
      <c r="CY380" s="161"/>
      <c r="CZ380" s="161"/>
      <c r="DA380" s="161"/>
      <c r="DB380" s="161"/>
      <c r="DC380" s="161"/>
      <c r="DD380" s="161"/>
      <c r="DE380" s="161"/>
      <c r="DF380" s="161"/>
      <c r="DG380" s="161"/>
      <c r="DH380" s="161"/>
      <c r="DI380" s="136"/>
      <c r="DJ380" s="136"/>
      <c r="DK380" s="161"/>
      <c r="DL380" s="161"/>
      <c r="DM380" s="161"/>
      <c r="DN380" s="161"/>
      <c r="DO380" s="161"/>
      <c r="DP380" s="161"/>
      <c r="DQ380" s="161"/>
      <c r="DR380" s="161"/>
      <c r="DS380" s="161"/>
      <c r="DT380" s="161"/>
      <c r="DU380" s="161"/>
      <c r="DV380" s="161"/>
      <c r="DW380" s="136"/>
      <c r="DX380" s="136"/>
      <c r="DY380" s="161"/>
      <c r="DZ380" s="161"/>
      <c r="EA380" s="161"/>
      <c r="EB380" s="161"/>
      <c r="EC380" s="161"/>
      <c r="ED380" s="161"/>
      <c r="EE380" s="161"/>
      <c r="EF380" s="161"/>
      <c r="EG380" s="161"/>
      <c r="EH380" s="161"/>
      <c r="EI380" s="161"/>
      <c r="EJ380" s="161"/>
      <c r="EK380" s="136"/>
      <c r="EL380" s="136"/>
      <c r="EM380" s="136"/>
      <c r="EN380" s="136"/>
      <c r="EO380" s="136"/>
      <c r="EP380" s="136"/>
      <c r="EQ380" s="136"/>
      <c r="ER380" s="136"/>
      <c r="ES380" s="161"/>
      <c r="ET380" s="161"/>
      <c r="EU380" s="161"/>
      <c r="EV380" s="161"/>
      <c r="EW380" s="161"/>
      <c r="EX380" s="161"/>
      <c r="EY380" s="136"/>
      <c r="EZ380" s="136"/>
      <c r="FA380" s="161"/>
      <c r="FB380" s="161"/>
      <c r="FC380" s="161"/>
      <c r="FD380" s="161"/>
      <c r="FE380" s="161"/>
      <c r="FF380" s="161"/>
      <c r="FG380" s="161"/>
      <c r="FH380" s="161"/>
      <c r="FI380" s="161"/>
      <c r="FJ380" s="161"/>
      <c r="FK380" s="161"/>
      <c r="FL380" s="161"/>
      <c r="FM380" s="136"/>
      <c r="FN380" s="136"/>
      <c r="FO380" s="161"/>
      <c r="FP380" s="161"/>
      <c r="FQ380" s="161"/>
      <c r="FR380" s="161"/>
      <c r="FS380" s="161"/>
      <c r="FT380" s="161"/>
      <c r="FU380" s="161"/>
      <c r="FV380" s="161"/>
      <c r="FW380" s="161"/>
      <c r="FX380" s="161"/>
      <c r="FY380" s="161"/>
      <c r="FZ380" s="161"/>
      <c r="GA380" s="136"/>
      <c r="GB380" s="136"/>
      <c r="GC380" s="161"/>
      <c r="GD380" s="161"/>
      <c r="GE380" s="161"/>
      <c r="GF380" s="161"/>
      <c r="GG380" s="161"/>
      <c r="GH380" s="161"/>
      <c r="GI380" s="161"/>
      <c r="GJ380" s="161"/>
      <c r="GK380" s="161"/>
      <c r="GL380" s="161"/>
      <c r="GM380" s="161"/>
      <c r="GN380" s="161"/>
    </row>
    <row r="381" spans="1:196" hidden="1">
      <c r="A381" s="162"/>
      <c r="B381" s="126" t="s">
        <v>1087</v>
      </c>
      <c r="C381" s="109" t="s">
        <v>638</v>
      </c>
      <c r="D381" s="119" t="e">
        <f>VLOOKUP(C381,#REF!,2,0)</f>
        <v>#REF!</v>
      </c>
      <c r="E381" s="119"/>
      <c r="F381" s="107">
        <v>46216</v>
      </c>
      <c r="G381" s="115">
        <v>525</v>
      </c>
      <c r="H381" s="6"/>
      <c r="I381" s="125">
        <v>46214</v>
      </c>
      <c r="J381" s="13">
        <f t="shared" si="201"/>
        <v>0</v>
      </c>
      <c r="K381" s="141"/>
      <c r="L381" s="161"/>
      <c r="M381" s="136"/>
      <c r="N381" s="136"/>
      <c r="O381" s="136"/>
      <c r="P381" s="136"/>
      <c r="Q381" s="136"/>
      <c r="R381" s="136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36"/>
      <c r="AD381" s="136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36"/>
      <c r="AR381" s="136"/>
      <c r="AS381" s="161"/>
      <c r="AT381" s="161"/>
      <c r="AU381" s="161"/>
      <c r="AV381" s="161">
        <v>52</v>
      </c>
      <c r="AW381" s="161">
        <v>110</v>
      </c>
      <c r="AX381" s="161">
        <v>104</v>
      </c>
      <c r="AY381" s="161">
        <v>130</v>
      </c>
      <c r="AZ381" s="161">
        <v>104</v>
      </c>
      <c r="BA381" s="161">
        <v>25</v>
      </c>
      <c r="BB381" s="161"/>
      <c r="BC381" s="161"/>
      <c r="BD381" s="161"/>
      <c r="BE381" s="136"/>
      <c r="BF381" s="136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36"/>
      <c r="BT381" s="136"/>
      <c r="BU381" s="161"/>
      <c r="BV381" s="161"/>
      <c r="BW381" s="161"/>
      <c r="BX381" s="161"/>
      <c r="BY381" s="161"/>
      <c r="BZ381" s="161"/>
      <c r="CA381" s="161"/>
      <c r="CB381" s="161"/>
      <c r="CC381" s="161"/>
      <c r="CD381" s="161"/>
      <c r="CE381" s="161"/>
      <c r="CF381" s="161"/>
      <c r="CG381" s="136"/>
      <c r="CH381" s="136"/>
      <c r="CI381" s="161"/>
      <c r="CJ381" s="161"/>
      <c r="CK381" s="161"/>
      <c r="CL381" s="161"/>
      <c r="CM381" s="161"/>
      <c r="CN381" s="161"/>
      <c r="CO381" s="161"/>
      <c r="CP381" s="161"/>
      <c r="CQ381" s="161"/>
      <c r="CR381" s="161"/>
      <c r="CS381" s="161"/>
      <c r="CT381" s="161"/>
      <c r="CU381" s="136"/>
      <c r="CV381" s="136"/>
      <c r="CW381" s="161"/>
      <c r="CX381" s="161"/>
      <c r="CY381" s="161"/>
      <c r="CZ381" s="161"/>
      <c r="DA381" s="161"/>
      <c r="DB381" s="161"/>
      <c r="DC381" s="161"/>
      <c r="DD381" s="161"/>
      <c r="DE381" s="161"/>
      <c r="DF381" s="161"/>
      <c r="DG381" s="161"/>
      <c r="DH381" s="161"/>
      <c r="DI381" s="136"/>
      <c r="DJ381" s="136"/>
      <c r="DK381" s="161"/>
      <c r="DL381" s="161"/>
      <c r="DM381" s="161"/>
      <c r="DN381" s="161"/>
      <c r="DO381" s="161"/>
      <c r="DP381" s="161"/>
      <c r="DQ381" s="161"/>
      <c r="DR381" s="161"/>
      <c r="DS381" s="161"/>
      <c r="DT381" s="161"/>
      <c r="DU381" s="161"/>
      <c r="DV381" s="161"/>
      <c r="DW381" s="136"/>
      <c r="DX381" s="136"/>
      <c r="DY381" s="161"/>
      <c r="DZ381" s="161"/>
      <c r="EA381" s="161"/>
      <c r="EB381" s="161"/>
      <c r="EC381" s="161"/>
      <c r="ED381" s="161"/>
      <c r="EE381" s="161"/>
      <c r="EF381" s="161"/>
      <c r="EG381" s="161"/>
      <c r="EH381" s="161"/>
      <c r="EI381" s="161"/>
      <c r="EJ381" s="161"/>
      <c r="EK381" s="136"/>
      <c r="EL381" s="136"/>
      <c r="EM381" s="136"/>
      <c r="EN381" s="136"/>
      <c r="EO381" s="136"/>
      <c r="EP381" s="136"/>
      <c r="EQ381" s="136"/>
      <c r="ER381" s="136"/>
      <c r="ES381" s="161"/>
      <c r="ET381" s="161"/>
      <c r="EU381" s="161"/>
      <c r="EV381" s="161"/>
      <c r="EW381" s="161"/>
      <c r="EX381" s="161"/>
      <c r="EY381" s="136"/>
      <c r="EZ381" s="136"/>
      <c r="FA381" s="161"/>
      <c r="FB381" s="161"/>
      <c r="FC381" s="161"/>
      <c r="FD381" s="161"/>
      <c r="FE381" s="161"/>
      <c r="FF381" s="161"/>
      <c r="FG381" s="161"/>
      <c r="FH381" s="161"/>
      <c r="FI381" s="161"/>
      <c r="FJ381" s="161"/>
      <c r="FK381" s="161"/>
      <c r="FL381" s="161"/>
      <c r="FM381" s="136"/>
      <c r="FN381" s="136"/>
      <c r="FO381" s="161"/>
      <c r="FP381" s="161"/>
      <c r="FQ381" s="161"/>
      <c r="FR381" s="161"/>
      <c r="FS381" s="161"/>
      <c r="FT381" s="161"/>
      <c r="FU381" s="161"/>
      <c r="FV381" s="161"/>
      <c r="FW381" s="161"/>
      <c r="FX381" s="161"/>
      <c r="FY381" s="161"/>
      <c r="FZ381" s="161"/>
      <c r="GA381" s="136"/>
      <c r="GB381" s="136"/>
      <c r="GC381" s="161"/>
      <c r="GD381" s="161"/>
      <c r="GE381" s="161"/>
      <c r="GF381" s="161"/>
      <c r="GG381" s="161"/>
      <c r="GH381" s="161"/>
      <c r="GI381" s="161"/>
      <c r="GJ381" s="161"/>
      <c r="GK381" s="161"/>
      <c r="GL381" s="161"/>
      <c r="GM381" s="161"/>
      <c r="GN381" s="161"/>
    </row>
    <row r="382" spans="1:196" hidden="1">
      <c r="A382" s="162"/>
      <c r="B382" s="126" t="s">
        <v>1060</v>
      </c>
      <c r="C382" s="109" t="s">
        <v>1061</v>
      </c>
      <c r="D382" s="119" t="e">
        <f>VLOOKUP(C382,#REF!,2,0)</f>
        <v>#REF!</v>
      </c>
      <c r="E382" s="119"/>
      <c r="F382" s="107">
        <v>46213</v>
      </c>
      <c r="G382" s="115">
        <v>500</v>
      </c>
      <c r="H382" s="6"/>
      <c r="I382" s="125">
        <v>46214</v>
      </c>
      <c r="J382" s="13">
        <f t="shared" si="201"/>
        <v>0</v>
      </c>
      <c r="K382" s="141"/>
      <c r="L382" s="161"/>
      <c r="M382" s="136"/>
      <c r="N382" s="136"/>
      <c r="O382" s="136"/>
      <c r="P382" s="136"/>
      <c r="Q382" s="136"/>
      <c r="R382" s="136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36"/>
      <c r="AD382" s="136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>
        <v>36</v>
      </c>
      <c r="AQ382" s="136"/>
      <c r="AR382" s="136"/>
      <c r="AS382" s="161">
        <v>104</v>
      </c>
      <c r="AT382" s="161">
        <v>104</v>
      </c>
      <c r="AU382" s="161">
        <v>103</v>
      </c>
      <c r="AV382" s="161">
        <v>104</v>
      </c>
      <c r="AW382" s="161">
        <v>49</v>
      </c>
      <c r="AX382" s="161"/>
      <c r="AY382" s="161"/>
      <c r="AZ382" s="161"/>
      <c r="BA382" s="161"/>
      <c r="BB382" s="161"/>
      <c r="BC382" s="161"/>
      <c r="BD382" s="161"/>
      <c r="BE382" s="136"/>
      <c r="BF382" s="136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36"/>
      <c r="BT382" s="136"/>
      <c r="BU382" s="161"/>
      <c r="BV382" s="161"/>
      <c r="BW382" s="161"/>
      <c r="BX382" s="161"/>
      <c r="BY382" s="161"/>
      <c r="BZ382" s="161"/>
      <c r="CA382" s="161"/>
      <c r="CB382" s="161"/>
      <c r="CC382" s="161"/>
      <c r="CD382" s="161"/>
      <c r="CE382" s="161"/>
      <c r="CF382" s="161"/>
      <c r="CG382" s="136"/>
      <c r="CH382" s="136"/>
      <c r="CI382" s="161"/>
      <c r="CJ382" s="161"/>
      <c r="CK382" s="161"/>
      <c r="CL382" s="161"/>
      <c r="CM382" s="161"/>
      <c r="CN382" s="161"/>
      <c r="CO382" s="161"/>
      <c r="CP382" s="161"/>
      <c r="CQ382" s="161"/>
      <c r="CR382" s="161"/>
      <c r="CS382" s="161"/>
      <c r="CT382" s="161"/>
      <c r="CU382" s="136"/>
      <c r="CV382" s="136"/>
      <c r="CW382" s="161"/>
      <c r="CX382" s="161"/>
      <c r="CY382" s="161"/>
      <c r="CZ382" s="161"/>
      <c r="DA382" s="161"/>
      <c r="DB382" s="161"/>
      <c r="DC382" s="161"/>
      <c r="DD382" s="161"/>
      <c r="DE382" s="161"/>
      <c r="DF382" s="161"/>
      <c r="DG382" s="161"/>
      <c r="DH382" s="161"/>
      <c r="DI382" s="136"/>
      <c r="DJ382" s="136"/>
      <c r="DK382" s="161"/>
      <c r="DL382" s="161"/>
      <c r="DM382" s="161"/>
      <c r="DN382" s="161"/>
      <c r="DO382" s="161"/>
      <c r="DP382" s="161"/>
      <c r="DQ382" s="161"/>
      <c r="DR382" s="161"/>
      <c r="DS382" s="161"/>
      <c r="DT382" s="161"/>
      <c r="DU382" s="161"/>
      <c r="DV382" s="161"/>
      <c r="DW382" s="136"/>
      <c r="DX382" s="136"/>
      <c r="DY382" s="161"/>
      <c r="DZ382" s="161"/>
      <c r="EA382" s="161"/>
      <c r="EB382" s="161"/>
      <c r="EC382" s="161"/>
      <c r="ED382" s="161"/>
      <c r="EE382" s="161"/>
      <c r="EF382" s="161"/>
      <c r="EG382" s="161"/>
      <c r="EH382" s="161"/>
      <c r="EI382" s="161"/>
      <c r="EJ382" s="161"/>
      <c r="EK382" s="136"/>
      <c r="EL382" s="136"/>
      <c r="EM382" s="136"/>
      <c r="EN382" s="136"/>
      <c r="EO382" s="136"/>
      <c r="EP382" s="136"/>
      <c r="EQ382" s="136"/>
      <c r="ER382" s="136"/>
      <c r="ES382" s="161"/>
      <c r="ET382" s="161"/>
      <c r="EU382" s="161"/>
      <c r="EV382" s="161"/>
      <c r="EW382" s="161"/>
      <c r="EX382" s="161"/>
      <c r="EY382" s="136"/>
      <c r="EZ382" s="136"/>
      <c r="FA382" s="161"/>
      <c r="FB382" s="161"/>
      <c r="FC382" s="161"/>
      <c r="FD382" s="161"/>
      <c r="FE382" s="161"/>
      <c r="FF382" s="161"/>
      <c r="FG382" s="161"/>
      <c r="FH382" s="161"/>
      <c r="FI382" s="161"/>
      <c r="FJ382" s="161"/>
      <c r="FK382" s="161"/>
      <c r="FL382" s="161"/>
      <c r="FM382" s="136"/>
      <c r="FN382" s="136"/>
      <c r="FO382" s="161"/>
      <c r="FP382" s="161"/>
      <c r="FQ382" s="161"/>
      <c r="FR382" s="161"/>
      <c r="FS382" s="161"/>
      <c r="FT382" s="161"/>
      <c r="FU382" s="161"/>
      <c r="FV382" s="161"/>
      <c r="FW382" s="161"/>
      <c r="FX382" s="161"/>
      <c r="FY382" s="161"/>
      <c r="FZ382" s="161"/>
      <c r="GA382" s="136"/>
      <c r="GB382" s="136"/>
      <c r="GC382" s="161"/>
      <c r="GD382" s="161"/>
      <c r="GE382" s="161"/>
      <c r="GF382" s="161"/>
      <c r="GG382" s="161"/>
      <c r="GH382" s="161"/>
      <c r="GI382" s="161"/>
      <c r="GJ382" s="161"/>
      <c r="GK382" s="161"/>
      <c r="GL382" s="161"/>
      <c r="GM382" s="161"/>
      <c r="GN382" s="161"/>
    </row>
    <row r="383" spans="1:196" hidden="1">
      <c r="A383" s="162"/>
      <c r="B383" s="126" t="s">
        <v>1086</v>
      </c>
      <c r="C383" s="109" t="s">
        <v>1061</v>
      </c>
      <c r="D383" s="119" t="e">
        <f>VLOOKUP(C383,#REF!,2,0)</f>
        <v>#REF!</v>
      </c>
      <c r="E383" s="119"/>
      <c r="F383" s="107">
        <v>46217</v>
      </c>
      <c r="G383" s="115">
        <v>525</v>
      </c>
      <c r="H383" s="6"/>
      <c r="I383" s="125">
        <v>46214</v>
      </c>
      <c r="J383" s="13">
        <f t="shared" si="201"/>
        <v>0</v>
      </c>
      <c r="K383" s="141"/>
      <c r="L383" s="161"/>
      <c r="M383" s="136"/>
      <c r="N383" s="136"/>
      <c r="O383" s="136"/>
      <c r="P383" s="136"/>
      <c r="Q383" s="136"/>
      <c r="R383" s="136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36"/>
      <c r="AD383" s="136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36"/>
      <c r="AR383" s="136"/>
      <c r="AS383" s="161"/>
      <c r="AT383" s="161"/>
      <c r="AU383" s="161"/>
      <c r="AV383" s="161"/>
      <c r="AW383" s="161">
        <v>55</v>
      </c>
      <c r="AX383" s="161">
        <v>104</v>
      </c>
      <c r="AY383" s="161">
        <v>104</v>
      </c>
      <c r="AZ383" s="161">
        <v>104</v>
      </c>
      <c r="BA383" s="161">
        <v>104</v>
      </c>
      <c r="BB383" s="161">
        <v>54</v>
      </c>
      <c r="BC383" s="161"/>
      <c r="BD383" s="161"/>
      <c r="BE383" s="136"/>
      <c r="BF383" s="136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36"/>
      <c r="BT383" s="136"/>
      <c r="BU383" s="161"/>
      <c r="BV383" s="161"/>
      <c r="BW383" s="161"/>
      <c r="BX383" s="161"/>
      <c r="BY383" s="161"/>
      <c r="BZ383" s="161"/>
      <c r="CA383" s="161"/>
      <c r="CB383" s="161"/>
      <c r="CC383" s="161"/>
      <c r="CD383" s="161"/>
      <c r="CE383" s="161"/>
      <c r="CF383" s="161"/>
      <c r="CG383" s="136"/>
      <c r="CH383" s="136"/>
      <c r="CI383" s="161"/>
      <c r="CJ383" s="161"/>
      <c r="CK383" s="161"/>
      <c r="CL383" s="161"/>
      <c r="CM383" s="161"/>
      <c r="CN383" s="161"/>
      <c r="CO383" s="161"/>
      <c r="CP383" s="161"/>
      <c r="CQ383" s="161"/>
      <c r="CR383" s="161"/>
      <c r="CS383" s="161"/>
      <c r="CT383" s="161"/>
      <c r="CU383" s="136"/>
      <c r="CV383" s="136"/>
      <c r="CW383" s="161"/>
      <c r="CX383" s="161"/>
      <c r="CY383" s="161"/>
      <c r="CZ383" s="161"/>
      <c r="DA383" s="161"/>
      <c r="DB383" s="161"/>
      <c r="DC383" s="161"/>
      <c r="DD383" s="161"/>
      <c r="DE383" s="161"/>
      <c r="DF383" s="161"/>
      <c r="DG383" s="161"/>
      <c r="DH383" s="161"/>
      <c r="DI383" s="136"/>
      <c r="DJ383" s="136"/>
      <c r="DK383" s="161"/>
      <c r="DL383" s="161"/>
      <c r="DM383" s="161"/>
      <c r="DN383" s="161"/>
      <c r="DO383" s="161"/>
      <c r="DP383" s="161"/>
      <c r="DQ383" s="161"/>
      <c r="DR383" s="161"/>
      <c r="DS383" s="161"/>
      <c r="DT383" s="161"/>
      <c r="DU383" s="161"/>
      <c r="DV383" s="161"/>
      <c r="DW383" s="136"/>
      <c r="DX383" s="136"/>
      <c r="DY383" s="161"/>
      <c r="DZ383" s="161"/>
      <c r="EA383" s="161"/>
      <c r="EB383" s="161"/>
      <c r="EC383" s="161"/>
      <c r="ED383" s="161"/>
      <c r="EE383" s="161"/>
      <c r="EF383" s="161"/>
      <c r="EG383" s="161"/>
      <c r="EH383" s="161"/>
      <c r="EI383" s="161"/>
      <c r="EJ383" s="161"/>
      <c r="EK383" s="136"/>
      <c r="EL383" s="136"/>
      <c r="EM383" s="136"/>
      <c r="EN383" s="136"/>
      <c r="EO383" s="136"/>
      <c r="EP383" s="136"/>
      <c r="EQ383" s="136"/>
      <c r="ER383" s="136"/>
      <c r="ES383" s="161"/>
      <c r="ET383" s="161"/>
      <c r="EU383" s="161"/>
      <c r="EV383" s="161"/>
      <c r="EW383" s="161"/>
      <c r="EX383" s="161"/>
      <c r="EY383" s="136"/>
      <c r="EZ383" s="136"/>
      <c r="FA383" s="161"/>
      <c r="FB383" s="161"/>
      <c r="FC383" s="161"/>
      <c r="FD383" s="161"/>
      <c r="FE383" s="161"/>
      <c r="FF383" s="161"/>
      <c r="FG383" s="161"/>
      <c r="FH383" s="161"/>
      <c r="FI383" s="161"/>
      <c r="FJ383" s="161"/>
      <c r="FK383" s="161"/>
      <c r="FL383" s="161"/>
      <c r="FM383" s="136"/>
      <c r="FN383" s="136"/>
      <c r="FO383" s="161"/>
      <c r="FP383" s="161"/>
      <c r="FQ383" s="161"/>
      <c r="FR383" s="161"/>
      <c r="FS383" s="161"/>
      <c r="FT383" s="161"/>
      <c r="FU383" s="161"/>
      <c r="FV383" s="161"/>
      <c r="FW383" s="161"/>
      <c r="FX383" s="161"/>
      <c r="FY383" s="161"/>
      <c r="FZ383" s="161"/>
      <c r="GA383" s="136"/>
      <c r="GB383" s="136"/>
      <c r="GC383" s="161"/>
      <c r="GD383" s="161"/>
      <c r="GE383" s="161"/>
      <c r="GF383" s="161"/>
      <c r="GG383" s="161"/>
      <c r="GH383" s="161"/>
      <c r="GI383" s="161"/>
      <c r="GJ383" s="161"/>
      <c r="GK383" s="161"/>
      <c r="GL383" s="161"/>
      <c r="GM383" s="161"/>
      <c r="GN383" s="161"/>
    </row>
    <row r="384" spans="1:196">
      <c r="A384" s="162"/>
      <c r="B384" s="178" t="s">
        <v>880</v>
      </c>
      <c r="C384" s="109" t="s">
        <v>638</v>
      </c>
      <c r="D384" s="119" t="e">
        <f>VLOOKUP(C384,#REF!,2,0)</f>
        <v>#REF!</v>
      </c>
      <c r="E384" s="119"/>
      <c r="F384" s="107">
        <v>46219</v>
      </c>
      <c r="G384" s="115">
        <v>915</v>
      </c>
      <c r="H384" s="6"/>
      <c r="I384" s="125">
        <v>46221</v>
      </c>
      <c r="J384" s="13">
        <f t="shared" si="201"/>
        <v>0</v>
      </c>
      <c r="K384" s="141"/>
      <c r="L384" s="161"/>
      <c r="M384" s="136"/>
      <c r="N384" s="136"/>
      <c r="O384" s="136"/>
      <c r="P384" s="136"/>
      <c r="Q384" s="136"/>
      <c r="R384" s="136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36"/>
      <c r="AD384" s="136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36"/>
      <c r="AR384" s="136"/>
      <c r="AS384" s="161"/>
      <c r="AT384" s="161"/>
      <c r="AU384" s="161"/>
      <c r="AV384" s="161"/>
      <c r="AW384" s="161"/>
      <c r="AX384" s="161"/>
      <c r="AY384" s="161"/>
      <c r="AZ384" s="161"/>
      <c r="BA384" s="161">
        <v>91</v>
      </c>
      <c r="BB384" s="161">
        <v>117</v>
      </c>
      <c r="BC384" s="161">
        <v>103</v>
      </c>
      <c r="BD384" s="161">
        <v>104</v>
      </c>
      <c r="BE384" s="136"/>
      <c r="BF384" s="136"/>
      <c r="BG384" s="161">
        <v>108</v>
      </c>
      <c r="BH384" s="161">
        <v>115</v>
      </c>
      <c r="BI384" s="161">
        <v>91</v>
      </c>
      <c r="BJ384" s="161">
        <v>78</v>
      </c>
      <c r="BK384" s="161">
        <v>35</v>
      </c>
      <c r="BL384" s="161"/>
      <c r="BM384" s="161"/>
      <c r="BN384" s="161"/>
      <c r="BO384" s="161"/>
      <c r="BP384" s="161"/>
      <c r="BQ384" s="161"/>
      <c r="BR384" s="161"/>
      <c r="BS384" s="136"/>
      <c r="BT384" s="136"/>
      <c r="BU384" s="161"/>
      <c r="BV384" s="161"/>
      <c r="BW384" s="161"/>
      <c r="BX384" s="161"/>
      <c r="BY384" s="161"/>
      <c r="BZ384" s="161"/>
      <c r="CA384" s="161"/>
      <c r="CB384" s="161"/>
      <c r="CC384" s="161"/>
      <c r="CD384" s="161"/>
      <c r="CE384" s="161"/>
      <c r="CF384" s="161">
        <v>73</v>
      </c>
      <c r="CG384" s="136"/>
      <c r="CH384" s="136"/>
      <c r="CI384" s="161"/>
      <c r="CJ384" s="161"/>
      <c r="CK384" s="161"/>
      <c r="CL384" s="161"/>
      <c r="CM384" s="161"/>
      <c r="CN384" s="161"/>
      <c r="CO384" s="161"/>
      <c r="CP384" s="161"/>
      <c r="CQ384" s="161"/>
      <c r="CR384" s="161"/>
      <c r="CS384" s="161"/>
      <c r="CT384" s="161"/>
      <c r="CU384" s="136"/>
      <c r="CV384" s="136"/>
      <c r="CW384" s="161"/>
      <c r="CX384" s="161"/>
      <c r="CY384" s="161"/>
      <c r="CZ384" s="161"/>
      <c r="DA384" s="161"/>
      <c r="DB384" s="161"/>
      <c r="DC384" s="161"/>
      <c r="DD384" s="161"/>
      <c r="DE384" s="161"/>
      <c r="DF384" s="161"/>
      <c r="DG384" s="161"/>
      <c r="DH384" s="161"/>
      <c r="DI384" s="136"/>
      <c r="DJ384" s="136"/>
      <c r="DK384" s="161"/>
      <c r="DL384" s="161"/>
      <c r="DM384" s="161"/>
      <c r="DN384" s="161"/>
      <c r="DO384" s="161"/>
      <c r="DP384" s="161"/>
      <c r="DQ384" s="161"/>
      <c r="DR384" s="161"/>
      <c r="DS384" s="161"/>
      <c r="DT384" s="161"/>
      <c r="DU384" s="161"/>
      <c r="DV384" s="161"/>
      <c r="DW384" s="136"/>
      <c r="DX384" s="136"/>
      <c r="DY384" s="161"/>
      <c r="DZ384" s="161"/>
      <c r="EA384" s="161"/>
      <c r="EB384" s="161"/>
      <c r="EC384" s="161"/>
      <c r="ED384" s="161"/>
      <c r="EE384" s="161"/>
      <c r="EF384" s="161"/>
      <c r="EG384" s="161"/>
      <c r="EH384" s="161"/>
      <c r="EI384" s="161"/>
      <c r="EJ384" s="161"/>
      <c r="EK384" s="136"/>
      <c r="EL384" s="136"/>
      <c r="EM384" s="136"/>
      <c r="EN384" s="136"/>
      <c r="EO384" s="136"/>
      <c r="EP384" s="136"/>
      <c r="EQ384" s="136"/>
      <c r="ER384" s="136"/>
      <c r="ES384" s="161"/>
      <c r="ET384" s="161"/>
      <c r="EU384" s="161"/>
      <c r="EV384" s="161"/>
      <c r="EW384" s="161"/>
      <c r="EX384" s="161"/>
      <c r="EY384" s="136"/>
      <c r="EZ384" s="136"/>
      <c r="FA384" s="161"/>
      <c r="FB384" s="161"/>
      <c r="FC384" s="161"/>
      <c r="FD384" s="161"/>
      <c r="FE384" s="161"/>
      <c r="FF384" s="161"/>
      <c r="FG384" s="161"/>
      <c r="FH384" s="161"/>
      <c r="FI384" s="161"/>
      <c r="FJ384" s="161"/>
      <c r="FK384" s="161"/>
      <c r="FL384" s="161"/>
      <c r="FM384" s="136"/>
      <c r="FN384" s="136"/>
      <c r="FO384" s="161"/>
      <c r="FP384" s="161"/>
      <c r="FQ384" s="161"/>
      <c r="FR384" s="161"/>
      <c r="FS384" s="161"/>
      <c r="FT384" s="161"/>
      <c r="FU384" s="161"/>
      <c r="FV384" s="161"/>
      <c r="FW384" s="161"/>
      <c r="FX384" s="161"/>
      <c r="FY384" s="161"/>
      <c r="FZ384" s="161"/>
      <c r="GA384" s="136"/>
      <c r="GB384" s="136"/>
      <c r="GC384" s="161"/>
      <c r="GD384" s="161"/>
      <c r="GE384" s="161"/>
      <c r="GF384" s="161"/>
      <c r="GG384" s="161"/>
      <c r="GH384" s="161"/>
      <c r="GI384" s="161"/>
      <c r="GJ384" s="161"/>
      <c r="GK384" s="161"/>
      <c r="GL384" s="161"/>
      <c r="GM384" s="161"/>
      <c r="GN384" s="161"/>
    </row>
    <row r="385" spans="1:196" ht="16" customHeight="1">
      <c r="A385" s="162" t="s">
        <v>612</v>
      </c>
      <c r="B385" s="126" t="s">
        <v>1113</v>
      </c>
      <c r="C385" s="109" t="s">
        <v>1114</v>
      </c>
      <c r="D385" s="119" t="e">
        <f>VLOOKUP(C385,#REF!,2,0)</f>
        <v>#REF!</v>
      </c>
      <c r="E385" s="119"/>
      <c r="F385" s="107">
        <v>46220</v>
      </c>
      <c r="G385" s="115">
        <v>877</v>
      </c>
      <c r="H385" s="107">
        <v>46227</v>
      </c>
      <c r="I385" s="125">
        <v>46221</v>
      </c>
      <c r="J385" s="13">
        <f t="shared" si="201"/>
        <v>0</v>
      </c>
      <c r="K385" s="141" t="s">
        <v>1335</v>
      </c>
      <c r="L385" s="161"/>
      <c r="M385" s="136"/>
      <c r="N385" s="136"/>
      <c r="O385" s="136"/>
      <c r="P385" s="136"/>
      <c r="Q385" s="136"/>
      <c r="R385" s="136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36"/>
      <c r="AD385" s="136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36"/>
      <c r="AR385" s="136"/>
      <c r="AS385" s="161"/>
      <c r="AT385" s="161"/>
      <c r="AU385" s="161"/>
      <c r="AV385" s="161"/>
      <c r="AW385" s="161"/>
      <c r="AX385" s="161"/>
      <c r="AY385" s="161"/>
      <c r="AZ385" s="161"/>
      <c r="BA385" s="161"/>
      <c r="BB385" s="161">
        <v>50</v>
      </c>
      <c r="BC385" s="161">
        <v>104</v>
      </c>
      <c r="BD385" s="161">
        <v>104</v>
      </c>
      <c r="BE385" s="136"/>
      <c r="BF385" s="136"/>
      <c r="BG385" s="161">
        <v>85</v>
      </c>
      <c r="BH385" s="161">
        <v>104</v>
      </c>
      <c r="BI385" s="161">
        <v>98</v>
      </c>
      <c r="BJ385" s="161">
        <v>11</v>
      </c>
      <c r="BK385" s="161">
        <v>41</v>
      </c>
      <c r="BL385" s="161"/>
      <c r="BM385" s="161"/>
      <c r="BN385" s="161"/>
      <c r="BO385" s="161"/>
      <c r="BP385" s="161"/>
      <c r="BQ385" s="161"/>
      <c r="BR385" s="161"/>
      <c r="BS385" s="136"/>
      <c r="BT385" s="136"/>
      <c r="BU385" s="161"/>
      <c r="BV385" s="161"/>
      <c r="BW385" s="161"/>
      <c r="BX385" s="161"/>
      <c r="BY385" s="161"/>
      <c r="BZ385" s="161"/>
      <c r="CA385" s="161"/>
      <c r="CB385" s="161"/>
      <c r="CC385" s="161"/>
      <c r="CD385" s="161"/>
      <c r="CE385" s="161"/>
      <c r="CF385" s="161"/>
      <c r="CG385" s="136"/>
      <c r="CH385" s="136"/>
      <c r="CI385" s="161">
        <v>120</v>
      </c>
      <c r="CJ385" s="161">
        <v>120</v>
      </c>
      <c r="CK385" s="161">
        <v>40</v>
      </c>
      <c r="CL385" s="161"/>
      <c r="CM385" s="161"/>
      <c r="CN385" s="161"/>
      <c r="CO385" s="161"/>
      <c r="CP385" s="161"/>
      <c r="CQ385" s="161"/>
      <c r="CR385" s="161"/>
      <c r="CS385" s="161"/>
      <c r="CT385" s="161"/>
      <c r="CU385" s="136"/>
      <c r="CV385" s="136"/>
      <c r="CW385" s="161"/>
      <c r="CX385" s="161"/>
      <c r="CY385" s="161"/>
      <c r="CZ385" s="161"/>
      <c r="DA385" s="161"/>
      <c r="DB385" s="161"/>
      <c r="DC385" s="161"/>
      <c r="DD385" s="161"/>
      <c r="DE385" s="161"/>
      <c r="DF385" s="161"/>
      <c r="DG385" s="161"/>
      <c r="DH385" s="161"/>
      <c r="DI385" s="136"/>
      <c r="DJ385" s="136"/>
      <c r="DK385" s="161"/>
      <c r="DL385" s="161"/>
      <c r="DM385" s="161"/>
      <c r="DN385" s="161"/>
      <c r="DO385" s="161"/>
      <c r="DP385" s="161"/>
      <c r="DQ385" s="161"/>
      <c r="DR385" s="161"/>
      <c r="DS385" s="161"/>
      <c r="DT385" s="161"/>
      <c r="DU385" s="161"/>
      <c r="DV385" s="161"/>
      <c r="DW385" s="136"/>
      <c r="DX385" s="136"/>
      <c r="DY385" s="161"/>
      <c r="DZ385" s="161"/>
      <c r="EA385" s="161"/>
      <c r="EB385" s="161"/>
      <c r="EC385" s="161"/>
      <c r="ED385" s="161"/>
      <c r="EE385" s="161"/>
      <c r="EF385" s="161"/>
      <c r="EG385" s="161"/>
      <c r="EH385" s="161"/>
      <c r="EI385" s="161"/>
      <c r="EJ385" s="161"/>
      <c r="EK385" s="136"/>
      <c r="EL385" s="136"/>
      <c r="EM385" s="136"/>
      <c r="EN385" s="136"/>
      <c r="EO385" s="136"/>
      <c r="EP385" s="136"/>
      <c r="EQ385" s="136"/>
      <c r="ER385" s="136"/>
      <c r="ES385" s="161"/>
      <c r="ET385" s="161"/>
      <c r="EU385" s="161"/>
      <c r="EV385" s="161"/>
      <c r="EW385" s="161"/>
      <c r="EX385" s="161"/>
      <c r="EY385" s="136"/>
      <c r="EZ385" s="136"/>
      <c r="FA385" s="161"/>
      <c r="FB385" s="161"/>
      <c r="FC385" s="161"/>
      <c r="FD385" s="161"/>
      <c r="FE385" s="161"/>
      <c r="FF385" s="161"/>
      <c r="FG385" s="161"/>
      <c r="FH385" s="161"/>
      <c r="FI385" s="161"/>
      <c r="FJ385" s="161"/>
      <c r="FK385" s="161"/>
      <c r="FL385" s="161"/>
      <c r="FM385" s="136"/>
      <c r="FN385" s="136"/>
      <c r="FO385" s="161"/>
      <c r="FP385" s="161"/>
      <c r="FQ385" s="161"/>
      <c r="FR385" s="161"/>
      <c r="FS385" s="161"/>
      <c r="FT385" s="161"/>
      <c r="FU385" s="161"/>
      <c r="FV385" s="161"/>
      <c r="FW385" s="161"/>
      <c r="FX385" s="161"/>
      <c r="FY385" s="161"/>
      <c r="FZ385" s="161"/>
      <c r="GA385" s="136"/>
      <c r="GB385" s="136"/>
      <c r="GC385" s="161"/>
      <c r="GD385" s="161"/>
      <c r="GE385" s="161"/>
      <c r="GF385" s="161"/>
      <c r="GG385" s="161"/>
      <c r="GH385" s="161"/>
      <c r="GI385" s="161"/>
      <c r="GJ385" s="161"/>
      <c r="GK385" s="161"/>
      <c r="GL385" s="161"/>
      <c r="GM385" s="161"/>
      <c r="GN385" s="161"/>
    </row>
    <row r="386" spans="1:196" ht="14" customHeight="1">
      <c r="A386" s="162"/>
      <c r="B386" s="178" t="s">
        <v>844</v>
      </c>
      <c r="C386" s="109" t="s">
        <v>639</v>
      </c>
      <c r="D386" s="119" t="e">
        <f>VLOOKUP(C386,#REF!,2,0)</f>
        <v>#REF!</v>
      </c>
      <c r="E386" s="119"/>
      <c r="F386" s="107">
        <v>46224</v>
      </c>
      <c r="G386" s="115">
        <v>20</v>
      </c>
      <c r="H386" s="6"/>
      <c r="I386" s="125">
        <v>46235</v>
      </c>
      <c r="J386" s="13">
        <f t="shared" si="201"/>
        <v>0</v>
      </c>
      <c r="K386" s="141" t="s">
        <v>1313</v>
      </c>
      <c r="L386" s="161"/>
      <c r="M386" s="136"/>
      <c r="N386" s="136"/>
      <c r="O386" s="136"/>
      <c r="P386" s="136"/>
      <c r="Q386" s="136"/>
      <c r="R386" s="136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36"/>
      <c r="AD386" s="136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36"/>
      <c r="AR386" s="136"/>
      <c r="AS386" s="161"/>
      <c r="AT386" s="161"/>
      <c r="AU386" s="161"/>
      <c r="AV386" s="161"/>
      <c r="AW386" s="161"/>
      <c r="AX386" s="161"/>
      <c r="AY386" s="161"/>
      <c r="AZ386" s="161"/>
      <c r="BA386" s="161"/>
      <c r="BB386" s="161"/>
      <c r="BC386" s="161"/>
      <c r="BD386" s="161"/>
      <c r="BE386" s="136"/>
      <c r="BF386" s="136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36"/>
      <c r="BT386" s="136"/>
      <c r="BU386" s="161"/>
      <c r="BV386" s="161"/>
      <c r="BW386" s="161"/>
      <c r="BX386" s="161"/>
      <c r="BY386" s="161"/>
      <c r="BZ386" s="161"/>
      <c r="CA386" s="161"/>
      <c r="CB386" s="161"/>
      <c r="CC386" s="161"/>
      <c r="CD386" s="161"/>
      <c r="CE386" s="161"/>
      <c r="CF386" s="161">
        <v>20</v>
      </c>
      <c r="CG386" s="136"/>
      <c r="CH386" s="136"/>
      <c r="CI386" s="161"/>
      <c r="CJ386" s="161"/>
      <c r="CK386" s="161"/>
      <c r="CL386" s="161"/>
      <c r="CM386" s="161"/>
      <c r="CN386" s="161"/>
      <c r="CO386" s="161"/>
      <c r="CP386" s="161"/>
      <c r="CQ386" s="161"/>
      <c r="CR386" s="161"/>
      <c r="CS386" s="161"/>
      <c r="CT386" s="161"/>
      <c r="CU386" s="136"/>
      <c r="CV386" s="136"/>
      <c r="CW386" s="161"/>
      <c r="CX386" s="161"/>
      <c r="CY386" s="161"/>
      <c r="CZ386" s="161"/>
      <c r="DA386" s="161"/>
      <c r="DB386" s="161"/>
      <c r="DC386" s="161"/>
      <c r="DD386" s="161"/>
      <c r="DE386" s="161"/>
      <c r="DF386" s="161"/>
      <c r="DG386" s="161"/>
      <c r="DH386" s="161"/>
      <c r="DI386" s="136"/>
      <c r="DJ386" s="136"/>
      <c r="DK386" s="161"/>
      <c r="DL386" s="161"/>
      <c r="DM386" s="161"/>
      <c r="DN386" s="161"/>
      <c r="DO386" s="161"/>
      <c r="DP386" s="161"/>
      <c r="DQ386" s="161"/>
      <c r="DR386" s="161"/>
      <c r="DS386" s="161"/>
      <c r="DT386" s="161"/>
      <c r="DU386" s="161"/>
      <c r="DV386" s="161"/>
      <c r="DW386" s="136"/>
      <c r="DX386" s="136"/>
      <c r="DY386" s="161"/>
      <c r="DZ386" s="161"/>
      <c r="EA386" s="161"/>
      <c r="EB386" s="161"/>
      <c r="EC386" s="161"/>
      <c r="ED386" s="161"/>
      <c r="EE386" s="161"/>
      <c r="EF386" s="161"/>
      <c r="EG386" s="161"/>
      <c r="EH386" s="161"/>
      <c r="EI386" s="161"/>
      <c r="EJ386" s="161"/>
      <c r="EK386" s="136"/>
      <c r="EL386" s="136"/>
      <c r="EM386" s="136"/>
      <c r="EN386" s="136"/>
      <c r="EO386" s="136"/>
      <c r="EP386" s="136"/>
      <c r="EQ386" s="136"/>
      <c r="ER386" s="136"/>
      <c r="ES386" s="161"/>
      <c r="ET386" s="161"/>
      <c r="EU386" s="161"/>
      <c r="EV386" s="161"/>
      <c r="EW386" s="161"/>
      <c r="EX386" s="161"/>
      <c r="EY386" s="136"/>
      <c r="EZ386" s="136"/>
      <c r="FA386" s="161"/>
      <c r="FB386" s="161"/>
      <c r="FC386" s="161"/>
      <c r="FD386" s="161"/>
      <c r="FE386" s="161"/>
      <c r="FF386" s="161"/>
      <c r="FG386" s="161"/>
      <c r="FH386" s="161"/>
      <c r="FI386" s="161"/>
      <c r="FJ386" s="161"/>
      <c r="FK386" s="161"/>
      <c r="FL386" s="161"/>
      <c r="FM386" s="136"/>
      <c r="FN386" s="136"/>
      <c r="FO386" s="161"/>
      <c r="FP386" s="161"/>
      <c r="FQ386" s="161"/>
      <c r="FR386" s="161"/>
      <c r="FS386" s="161"/>
      <c r="FT386" s="161"/>
      <c r="FU386" s="161"/>
      <c r="FV386" s="161"/>
      <c r="FW386" s="161"/>
      <c r="FX386" s="161"/>
      <c r="FY386" s="161"/>
      <c r="FZ386" s="161"/>
      <c r="GA386" s="136"/>
      <c r="GB386" s="136"/>
      <c r="GC386" s="161"/>
      <c r="GD386" s="161"/>
      <c r="GE386" s="161"/>
      <c r="GF386" s="161"/>
      <c r="GG386" s="161"/>
      <c r="GH386" s="161"/>
      <c r="GI386" s="161"/>
      <c r="GJ386" s="161"/>
      <c r="GK386" s="161"/>
      <c r="GL386" s="161"/>
      <c r="GM386" s="161"/>
      <c r="GN386" s="161"/>
    </row>
    <row r="387" spans="1:196">
      <c r="A387" s="162"/>
      <c r="B387" s="178" t="s">
        <v>1012</v>
      </c>
      <c r="C387" s="109" t="s">
        <v>639</v>
      </c>
      <c r="D387" s="119" t="e">
        <f>VLOOKUP(C387,#REF!,2,0)</f>
        <v>#REF!</v>
      </c>
      <c r="E387" s="119"/>
      <c r="F387" s="107">
        <v>46224</v>
      </c>
      <c r="G387" s="115">
        <v>30</v>
      </c>
      <c r="H387" s="6"/>
      <c r="I387" s="125">
        <v>46228</v>
      </c>
      <c r="J387" s="13">
        <f t="shared" si="201"/>
        <v>0</v>
      </c>
      <c r="K387" s="141" t="s">
        <v>1213</v>
      </c>
      <c r="L387" s="161"/>
      <c r="M387" s="136"/>
      <c r="N387" s="136"/>
      <c r="O387" s="136"/>
      <c r="P387" s="136"/>
      <c r="Q387" s="136"/>
      <c r="R387" s="136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36"/>
      <c r="AD387" s="136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36"/>
      <c r="AR387" s="136"/>
      <c r="AS387" s="161"/>
      <c r="AT387" s="161"/>
      <c r="AU387" s="161"/>
      <c r="AV387" s="161"/>
      <c r="AW387" s="161"/>
      <c r="AX387" s="161"/>
      <c r="AY387" s="161"/>
      <c r="AZ387" s="161"/>
      <c r="BA387" s="161"/>
      <c r="BB387" s="161"/>
      <c r="BC387" s="161"/>
      <c r="BD387" s="161"/>
      <c r="BE387" s="136"/>
      <c r="BF387" s="136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36"/>
      <c r="BT387" s="136"/>
      <c r="BU387" s="161"/>
      <c r="BV387" s="161"/>
      <c r="BW387" s="161"/>
      <c r="BX387" s="161"/>
      <c r="BY387" s="161"/>
      <c r="BZ387" s="161"/>
      <c r="CA387" s="161"/>
      <c r="CB387" s="161"/>
      <c r="CC387" s="161"/>
      <c r="CD387" s="161"/>
      <c r="CE387" s="161"/>
      <c r="CF387" s="161">
        <v>30</v>
      </c>
      <c r="CG387" s="136"/>
      <c r="CH387" s="136"/>
      <c r="CI387" s="161"/>
      <c r="CJ387" s="161"/>
      <c r="CK387" s="161"/>
      <c r="CL387" s="161"/>
      <c r="CM387" s="161"/>
      <c r="CN387" s="161"/>
      <c r="CO387" s="161"/>
      <c r="CP387" s="161"/>
      <c r="CQ387" s="161"/>
      <c r="CR387" s="161"/>
      <c r="CS387" s="161"/>
      <c r="CT387" s="161"/>
      <c r="CU387" s="136"/>
      <c r="CV387" s="136"/>
      <c r="CW387" s="161"/>
      <c r="CX387" s="161"/>
      <c r="CY387" s="161"/>
      <c r="CZ387" s="161"/>
      <c r="DA387" s="161"/>
      <c r="DB387" s="161"/>
      <c r="DC387" s="161"/>
      <c r="DD387" s="161"/>
      <c r="DE387" s="161"/>
      <c r="DF387" s="161"/>
      <c r="DG387" s="161"/>
      <c r="DH387" s="161"/>
      <c r="DI387" s="136"/>
      <c r="DJ387" s="136"/>
      <c r="DK387" s="161"/>
      <c r="DL387" s="161"/>
      <c r="DM387" s="161"/>
      <c r="DN387" s="161"/>
      <c r="DO387" s="161"/>
      <c r="DP387" s="161"/>
      <c r="DQ387" s="161"/>
      <c r="DR387" s="161"/>
      <c r="DS387" s="161"/>
      <c r="DT387" s="161"/>
      <c r="DU387" s="161"/>
      <c r="DV387" s="161"/>
      <c r="DW387" s="136"/>
      <c r="DX387" s="136"/>
      <c r="DY387" s="161"/>
      <c r="DZ387" s="161"/>
      <c r="EA387" s="161"/>
      <c r="EB387" s="161"/>
      <c r="EC387" s="161"/>
      <c r="ED387" s="161"/>
      <c r="EE387" s="161"/>
      <c r="EF387" s="161"/>
      <c r="EG387" s="161"/>
      <c r="EH387" s="161"/>
      <c r="EI387" s="161"/>
      <c r="EJ387" s="161"/>
      <c r="EK387" s="136"/>
      <c r="EL387" s="136"/>
      <c r="EM387" s="136"/>
      <c r="EN387" s="136"/>
      <c r="EO387" s="136"/>
      <c r="EP387" s="136"/>
      <c r="EQ387" s="136"/>
      <c r="ER387" s="136"/>
      <c r="ES387" s="161"/>
      <c r="ET387" s="161"/>
      <c r="EU387" s="161"/>
      <c r="EV387" s="161"/>
      <c r="EW387" s="161"/>
      <c r="EX387" s="161"/>
      <c r="EY387" s="136"/>
      <c r="EZ387" s="136"/>
      <c r="FA387" s="161"/>
      <c r="FB387" s="161"/>
      <c r="FC387" s="161"/>
      <c r="FD387" s="161"/>
      <c r="FE387" s="161"/>
      <c r="FF387" s="161"/>
      <c r="FG387" s="161"/>
      <c r="FH387" s="161"/>
      <c r="FI387" s="161"/>
      <c r="FJ387" s="161"/>
      <c r="FK387" s="161"/>
      <c r="FL387" s="161"/>
      <c r="FM387" s="136"/>
      <c r="FN387" s="136"/>
      <c r="FO387" s="161"/>
      <c r="FP387" s="161"/>
      <c r="FQ387" s="161"/>
      <c r="FR387" s="161"/>
      <c r="FS387" s="161"/>
      <c r="FT387" s="161"/>
      <c r="FU387" s="161"/>
      <c r="FV387" s="161"/>
      <c r="FW387" s="161"/>
      <c r="FX387" s="161"/>
      <c r="FY387" s="161"/>
      <c r="FZ387" s="161"/>
      <c r="GA387" s="136"/>
      <c r="GB387" s="136"/>
      <c r="GC387" s="161"/>
      <c r="GD387" s="161"/>
      <c r="GE387" s="161"/>
      <c r="GF387" s="161"/>
      <c r="GG387" s="161"/>
      <c r="GH387" s="161"/>
      <c r="GI387" s="161"/>
      <c r="GJ387" s="161"/>
      <c r="GK387" s="161"/>
      <c r="GL387" s="161"/>
      <c r="GM387" s="161"/>
      <c r="GN387" s="161"/>
    </row>
    <row r="388" spans="1:196">
      <c r="A388" s="162"/>
      <c r="B388" s="178" t="s">
        <v>956</v>
      </c>
      <c r="C388" s="109" t="s">
        <v>638</v>
      </c>
      <c r="D388" s="119" t="e">
        <f>VLOOKUP(C388,#REF!,2,0)</f>
        <v>#REF!</v>
      </c>
      <c r="E388" s="119"/>
      <c r="F388" s="107">
        <v>46224</v>
      </c>
      <c r="G388" s="115">
        <v>904</v>
      </c>
      <c r="H388" s="6"/>
      <c r="I388" s="125">
        <v>46235</v>
      </c>
      <c r="J388" s="13">
        <f t="shared" si="201"/>
        <v>0</v>
      </c>
      <c r="K388" s="141"/>
      <c r="L388" s="161"/>
      <c r="M388" s="136"/>
      <c r="N388" s="136"/>
      <c r="O388" s="136"/>
      <c r="P388" s="136"/>
      <c r="Q388" s="136"/>
      <c r="R388" s="136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36"/>
      <c r="AD388" s="136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36"/>
      <c r="AR388" s="136"/>
      <c r="AS388" s="161"/>
      <c r="AT388" s="161"/>
      <c r="AU388" s="161"/>
      <c r="AV388" s="161"/>
      <c r="AW388" s="161"/>
      <c r="AX388" s="161"/>
      <c r="AY388" s="161"/>
      <c r="AZ388" s="161"/>
      <c r="BA388" s="161"/>
      <c r="BB388" s="161"/>
      <c r="BC388" s="161"/>
      <c r="BD388" s="161"/>
      <c r="BE388" s="136"/>
      <c r="BF388" s="136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36"/>
      <c r="BT388" s="136"/>
      <c r="BU388" s="161"/>
      <c r="BV388" s="161"/>
      <c r="BW388" s="161"/>
      <c r="BX388" s="161"/>
      <c r="BY388" s="161"/>
      <c r="BZ388" s="161"/>
      <c r="CA388" s="161"/>
      <c r="CB388" s="161"/>
      <c r="CC388" s="161"/>
      <c r="CD388" s="161"/>
      <c r="CE388" s="161"/>
      <c r="CF388" s="161"/>
      <c r="CG388" s="136"/>
      <c r="CH388" s="136"/>
      <c r="CI388" s="161">
        <v>130</v>
      </c>
      <c r="CJ388" s="161">
        <v>130</v>
      </c>
      <c r="CK388" s="161">
        <v>130</v>
      </c>
      <c r="CL388" s="161">
        <v>130</v>
      </c>
      <c r="CM388" s="161">
        <v>130</v>
      </c>
      <c r="CN388" s="161">
        <v>130</v>
      </c>
      <c r="CO388" s="161">
        <v>124</v>
      </c>
      <c r="CP388" s="161"/>
      <c r="CQ388" s="161"/>
      <c r="CR388" s="161"/>
      <c r="CS388" s="161"/>
      <c r="CT388" s="161"/>
      <c r="CU388" s="136"/>
      <c r="CV388" s="136"/>
      <c r="CW388" s="161"/>
      <c r="CX388" s="161"/>
      <c r="CY388" s="161"/>
      <c r="CZ388" s="161"/>
      <c r="DA388" s="161"/>
      <c r="DB388" s="161"/>
      <c r="DC388" s="161"/>
      <c r="DD388" s="161"/>
      <c r="DE388" s="161"/>
      <c r="DF388" s="161"/>
      <c r="DG388" s="161"/>
      <c r="DH388" s="161"/>
      <c r="DI388" s="136"/>
      <c r="DJ388" s="136"/>
      <c r="DK388" s="161"/>
      <c r="DL388" s="161"/>
      <c r="DM388" s="161"/>
      <c r="DN388" s="161"/>
      <c r="DO388" s="161"/>
      <c r="DP388" s="161"/>
      <c r="DQ388" s="161"/>
      <c r="DR388" s="161"/>
      <c r="DS388" s="161"/>
      <c r="DT388" s="161"/>
      <c r="DU388" s="161"/>
      <c r="DV388" s="161"/>
      <c r="DW388" s="136"/>
      <c r="DX388" s="136"/>
      <c r="DY388" s="161"/>
      <c r="DZ388" s="161"/>
      <c r="EA388" s="161"/>
      <c r="EB388" s="161"/>
      <c r="EC388" s="161"/>
      <c r="ED388" s="161"/>
      <c r="EE388" s="161"/>
      <c r="EF388" s="161"/>
      <c r="EG388" s="161"/>
      <c r="EH388" s="161"/>
      <c r="EI388" s="161"/>
      <c r="EJ388" s="161"/>
      <c r="EK388" s="136"/>
      <c r="EL388" s="136"/>
      <c r="EM388" s="136"/>
      <c r="EN388" s="136"/>
      <c r="EO388" s="136"/>
      <c r="EP388" s="136"/>
      <c r="EQ388" s="136"/>
      <c r="ER388" s="136"/>
      <c r="ES388" s="161"/>
      <c r="ET388" s="161"/>
      <c r="EU388" s="161"/>
      <c r="EV388" s="161"/>
      <c r="EW388" s="161"/>
      <c r="EX388" s="161"/>
      <c r="EY388" s="136"/>
      <c r="EZ388" s="136"/>
      <c r="FA388" s="161"/>
      <c r="FB388" s="161"/>
      <c r="FC388" s="161"/>
      <c r="FD388" s="161"/>
      <c r="FE388" s="161"/>
      <c r="FF388" s="161"/>
      <c r="FG388" s="161"/>
      <c r="FH388" s="161"/>
      <c r="FI388" s="161"/>
      <c r="FJ388" s="161"/>
      <c r="FK388" s="161"/>
      <c r="FL388" s="161"/>
      <c r="FM388" s="136"/>
      <c r="FN388" s="136"/>
      <c r="FO388" s="161"/>
      <c r="FP388" s="161"/>
      <c r="FQ388" s="161"/>
      <c r="FR388" s="161"/>
      <c r="FS388" s="161"/>
      <c r="FT388" s="161"/>
      <c r="FU388" s="161"/>
      <c r="FV388" s="161"/>
      <c r="FW388" s="161"/>
      <c r="FX388" s="161"/>
      <c r="FY388" s="161"/>
      <c r="FZ388" s="161"/>
      <c r="GA388" s="136"/>
      <c r="GB388" s="136"/>
      <c r="GC388" s="161"/>
      <c r="GD388" s="161"/>
      <c r="GE388" s="161"/>
      <c r="GF388" s="161"/>
      <c r="GG388" s="161"/>
      <c r="GH388" s="161"/>
      <c r="GI388" s="161"/>
      <c r="GJ388" s="161"/>
      <c r="GK388" s="161"/>
      <c r="GL388" s="161"/>
      <c r="GM388" s="161"/>
      <c r="GN388" s="161"/>
    </row>
    <row r="389" spans="1:196">
      <c r="A389" s="162"/>
      <c r="B389" s="178" t="s">
        <v>1205</v>
      </c>
      <c r="C389" s="109" t="s">
        <v>638</v>
      </c>
      <c r="D389" s="119" t="e">
        <f>VLOOKUP(C389,#REF!,2,0)</f>
        <v>#REF!</v>
      </c>
      <c r="E389" s="119"/>
      <c r="F389" s="107"/>
      <c r="G389" s="115">
        <v>120</v>
      </c>
      <c r="H389" s="6"/>
      <c r="I389" s="125">
        <v>46235</v>
      </c>
      <c r="J389" s="13">
        <f t="shared" si="201"/>
        <v>0</v>
      </c>
      <c r="K389" s="141" t="s">
        <v>1314</v>
      </c>
      <c r="L389" s="161"/>
      <c r="M389" s="136"/>
      <c r="N389" s="136"/>
      <c r="O389" s="136"/>
      <c r="P389" s="136"/>
      <c r="Q389" s="136"/>
      <c r="R389" s="136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36"/>
      <c r="AD389" s="136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36"/>
      <c r="AR389" s="136"/>
      <c r="AS389" s="161"/>
      <c r="AT389" s="161"/>
      <c r="AU389" s="161"/>
      <c r="AV389" s="161"/>
      <c r="AW389" s="161"/>
      <c r="AX389" s="161"/>
      <c r="AY389" s="161"/>
      <c r="AZ389" s="161"/>
      <c r="BA389" s="161"/>
      <c r="BB389" s="161"/>
      <c r="BC389" s="161"/>
      <c r="BD389" s="161"/>
      <c r="BE389" s="136"/>
      <c r="BF389" s="136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36"/>
      <c r="BT389" s="136"/>
      <c r="BU389" s="161"/>
      <c r="BV389" s="161"/>
      <c r="BW389" s="161"/>
      <c r="BX389" s="161"/>
      <c r="BY389" s="161"/>
      <c r="BZ389" s="161"/>
      <c r="CA389" s="161"/>
      <c r="CB389" s="161"/>
      <c r="CC389" s="161"/>
      <c r="CD389" s="161"/>
      <c r="CE389" s="161"/>
      <c r="CF389" s="161"/>
      <c r="CG389" s="136"/>
      <c r="CH389" s="136"/>
      <c r="CI389" s="161"/>
      <c r="CJ389" s="161"/>
      <c r="CK389" s="161"/>
      <c r="CL389" s="161"/>
      <c r="CM389" s="161"/>
      <c r="CN389" s="161"/>
      <c r="CO389" s="161">
        <v>6</v>
      </c>
      <c r="CP389" s="161">
        <v>114</v>
      </c>
      <c r="CQ389" s="161"/>
      <c r="CR389" s="161"/>
      <c r="CS389" s="161"/>
      <c r="CT389" s="161"/>
      <c r="CU389" s="136"/>
      <c r="CV389" s="136"/>
      <c r="CW389" s="161"/>
      <c r="CX389" s="161"/>
      <c r="CY389" s="161"/>
      <c r="CZ389" s="161"/>
      <c r="DA389" s="161"/>
      <c r="DB389" s="161"/>
      <c r="DC389" s="161"/>
      <c r="DD389" s="161"/>
      <c r="DE389" s="161"/>
      <c r="DF389" s="161"/>
      <c r="DG389" s="161"/>
      <c r="DH389" s="161"/>
      <c r="DI389" s="136"/>
      <c r="DJ389" s="136"/>
      <c r="DK389" s="161"/>
      <c r="DL389" s="161"/>
      <c r="DM389" s="161"/>
      <c r="DN389" s="161"/>
      <c r="DO389" s="161"/>
      <c r="DP389" s="161"/>
      <c r="DQ389" s="161"/>
      <c r="DR389" s="161"/>
      <c r="DS389" s="161"/>
      <c r="DT389" s="161"/>
      <c r="DU389" s="161"/>
      <c r="DV389" s="161"/>
      <c r="DW389" s="136"/>
      <c r="DX389" s="136"/>
      <c r="DY389" s="161"/>
      <c r="DZ389" s="161"/>
      <c r="EA389" s="161"/>
      <c r="EB389" s="161"/>
      <c r="EC389" s="161"/>
      <c r="ED389" s="161"/>
      <c r="EE389" s="161"/>
      <c r="EF389" s="161"/>
      <c r="EG389" s="161"/>
      <c r="EH389" s="161"/>
      <c r="EI389" s="161"/>
      <c r="EJ389" s="161"/>
      <c r="EK389" s="136"/>
      <c r="EL389" s="136"/>
      <c r="EM389" s="136"/>
      <c r="EN389" s="136"/>
      <c r="EO389" s="136"/>
      <c r="EP389" s="136"/>
      <c r="EQ389" s="136"/>
      <c r="ER389" s="136"/>
      <c r="ES389" s="161"/>
      <c r="ET389" s="161"/>
      <c r="EU389" s="161"/>
      <c r="EV389" s="161"/>
      <c r="EW389" s="161"/>
      <c r="EX389" s="161"/>
      <c r="EY389" s="136"/>
      <c r="EZ389" s="136"/>
      <c r="FA389" s="161"/>
      <c r="FB389" s="161"/>
      <c r="FC389" s="161"/>
      <c r="FD389" s="161"/>
      <c r="FE389" s="161"/>
      <c r="FF389" s="161"/>
      <c r="FG389" s="161"/>
      <c r="FH389" s="161"/>
      <c r="FI389" s="161"/>
      <c r="FJ389" s="161"/>
      <c r="FK389" s="161"/>
      <c r="FL389" s="161"/>
      <c r="FM389" s="136"/>
      <c r="FN389" s="136"/>
      <c r="FO389" s="161"/>
      <c r="FP389" s="161"/>
      <c r="FQ389" s="161"/>
      <c r="FR389" s="161"/>
      <c r="FS389" s="161"/>
      <c r="FT389" s="161"/>
      <c r="FU389" s="161"/>
      <c r="FV389" s="161"/>
      <c r="FW389" s="161"/>
      <c r="FX389" s="161"/>
      <c r="FY389" s="161"/>
      <c r="FZ389" s="161"/>
      <c r="GA389" s="136"/>
      <c r="GB389" s="136"/>
      <c r="GC389" s="161"/>
      <c r="GD389" s="161"/>
      <c r="GE389" s="161"/>
      <c r="GF389" s="161"/>
      <c r="GG389" s="161"/>
      <c r="GH389" s="161"/>
      <c r="GI389" s="161"/>
      <c r="GJ389" s="161"/>
      <c r="GK389" s="161"/>
      <c r="GL389" s="161"/>
      <c r="GM389" s="161"/>
      <c r="GN389" s="161"/>
    </row>
    <row r="390" spans="1:196">
      <c r="A390" s="162"/>
      <c r="B390" s="126" t="s">
        <v>1308</v>
      </c>
      <c r="C390" s="109" t="s">
        <v>666</v>
      </c>
      <c r="D390" s="119"/>
      <c r="E390" s="119"/>
      <c r="F390" s="107"/>
      <c r="G390" s="115">
        <v>20</v>
      </c>
      <c r="H390" s="6"/>
      <c r="I390" s="125">
        <v>46235</v>
      </c>
      <c r="J390" s="13">
        <f>G390-SUM(L390:FL390)</f>
        <v>0</v>
      </c>
      <c r="K390" s="141"/>
      <c r="L390" s="161"/>
      <c r="M390" s="136"/>
      <c r="N390" s="136"/>
      <c r="O390" s="136"/>
      <c r="P390" s="136"/>
      <c r="Q390" s="136"/>
      <c r="R390" s="136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36"/>
      <c r="AD390" s="136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36"/>
      <c r="AR390" s="136"/>
      <c r="AS390" s="161"/>
      <c r="AT390" s="161"/>
      <c r="AU390" s="161"/>
      <c r="AV390" s="161"/>
      <c r="AW390" s="161"/>
      <c r="AX390" s="161"/>
      <c r="AY390" s="161"/>
      <c r="AZ390" s="161"/>
      <c r="BA390" s="161"/>
      <c r="BB390" s="161"/>
      <c r="BC390" s="161"/>
      <c r="BD390" s="161"/>
      <c r="BE390" s="136"/>
      <c r="BF390" s="136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36"/>
      <c r="BT390" s="136"/>
      <c r="BU390" s="161"/>
      <c r="BV390" s="161"/>
      <c r="BW390" s="161"/>
      <c r="BX390" s="161"/>
      <c r="BY390" s="161"/>
      <c r="BZ390" s="161"/>
      <c r="CA390" s="161"/>
      <c r="CB390" s="161"/>
      <c r="CC390" s="161"/>
      <c r="CD390" s="161"/>
      <c r="CE390" s="161"/>
      <c r="CF390" s="161"/>
      <c r="CG390" s="136"/>
      <c r="CH390" s="136"/>
      <c r="CI390" s="161"/>
      <c r="CJ390" s="161"/>
      <c r="CK390" s="161">
        <v>20</v>
      </c>
      <c r="CL390" s="161"/>
      <c r="CM390" s="161"/>
      <c r="CN390" s="161"/>
      <c r="CO390" s="161"/>
      <c r="CP390" s="161"/>
      <c r="CQ390" s="161"/>
      <c r="CR390" s="161"/>
      <c r="CS390" s="161"/>
      <c r="CT390" s="161"/>
      <c r="CU390" s="136"/>
      <c r="CV390" s="136"/>
      <c r="CW390" s="161"/>
      <c r="CX390" s="161"/>
      <c r="CY390" s="161"/>
      <c r="CZ390" s="161"/>
      <c r="DA390" s="161"/>
      <c r="DB390" s="161"/>
      <c r="DC390" s="161"/>
      <c r="DD390" s="161"/>
      <c r="DE390" s="161"/>
      <c r="DF390" s="161"/>
      <c r="DG390" s="161"/>
      <c r="DH390" s="161"/>
      <c r="DI390" s="136"/>
      <c r="DJ390" s="136"/>
      <c r="DK390" s="161"/>
      <c r="DL390" s="161"/>
      <c r="DM390" s="161"/>
      <c r="DN390" s="161"/>
      <c r="DO390" s="161"/>
      <c r="DP390" s="161"/>
      <c r="DQ390" s="161"/>
      <c r="DR390" s="161"/>
      <c r="DS390" s="161"/>
      <c r="DT390" s="161"/>
      <c r="DU390" s="161"/>
      <c r="DV390" s="161"/>
      <c r="DW390" s="136"/>
      <c r="DX390" s="136"/>
      <c r="DY390" s="161"/>
      <c r="DZ390" s="161"/>
      <c r="EA390" s="161"/>
      <c r="EB390" s="161"/>
      <c r="EC390" s="161"/>
      <c r="ED390" s="161"/>
      <c r="EE390" s="161"/>
      <c r="EF390" s="161"/>
      <c r="EG390" s="161"/>
      <c r="EH390" s="161"/>
      <c r="EI390" s="161"/>
      <c r="EJ390" s="161"/>
      <c r="EK390" s="136"/>
      <c r="EL390" s="136"/>
      <c r="EM390" s="136"/>
      <c r="EN390" s="136"/>
      <c r="EO390" s="136"/>
      <c r="EP390" s="136"/>
      <c r="EQ390" s="136"/>
      <c r="ER390" s="136"/>
      <c r="ES390" s="161"/>
      <c r="ET390" s="161"/>
      <c r="EU390" s="161"/>
      <c r="EV390" s="161"/>
      <c r="EW390" s="161"/>
      <c r="EX390" s="161"/>
      <c r="EY390" s="136"/>
      <c r="EZ390" s="136"/>
      <c r="FA390" s="161"/>
      <c r="FB390" s="161"/>
      <c r="FC390" s="161"/>
      <c r="FD390" s="161"/>
      <c r="FE390" s="161"/>
      <c r="FF390" s="161"/>
      <c r="FG390" s="161"/>
      <c r="FH390" s="161"/>
      <c r="FI390" s="161"/>
      <c r="FJ390" s="161"/>
      <c r="FK390" s="161"/>
      <c r="FL390" s="161"/>
      <c r="FM390" s="136"/>
      <c r="FN390" s="136"/>
      <c r="FO390" s="161"/>
      <c r="FP390" s="161"/>
      <c r="FQ390" s="161"/>
      <c r="FR390" s="161"/>
      <c r="FS390" s="161"/>
      <c r="FT390" s="161"/>
      <c r="FU390" s="161"/>
      <c r="FV390" s="161"/>
      <c r="FW390" s="161"/>
      <c r="FX390" s="161"/>
      <c r="FY390" s="161"/>
      <c r="FZ390" s="161"/>
      <c r="GA390" s="136"/>
      <c r="GB390" s="136"/>
      <c r="GC390" s="161"/>
      <c r="GD390" s="161"/>
      <c r="GE390" s="161"/>
      <c r="GF390" s="161"/>
      <c r="GG390" s="161"/>
      <c r="GH390" s="161"/>
      <c r="GI390" s="161"/>
      <c r="GJ390" s="161"/>
      <c r="GK390" s="161"/>
      <c r="GL390" s="161"/>
      <c r="GM390" s="161"/>
      <c r="GN390" s="161"/>
    </row>
    <row r="391" spans="1:196">
      <c r="A391" s="162"/>
      <c r="B391" s="126" t="s">
        <v>1183</v>
      </c>
      <c r="C391" s="109" t="s">
        <v>1184</v>
      </c>
      <c r="D391" s="119"/>
      <c r="E391" s="119"/>
      <c r="F391" s="107"/>
      <c r="G391" s="115">
        <v>15</v>
      </c>
      <c r="H391" s="6"/>
      <c r="I391" s="125">
        <v>46235</v>
      </c>
      <c r="J391" s="13">
        <f>G391-SUM(L391:FL391)</f>
        <v>0</v>
      </c>
      <c r="K391" s="141"/>
      <c r="L391" s="161"/>
      <c r="M391" s="136"/>
      <c r="N391" s="136"/>
      <c r="O391" s="136"/>
      <c r="P391" s="136"/>
      <c r="Q391" s="136"/>
      <c r="R391" s="136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36"/>
      <c r="AD391" s="136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36"/>
      <c r="AR391" s="136"/>
      <c r="AS391" s="161"/>
      <c r="AT391" s="161"/>
      <c r="AU391" s="161"/>
      <c r="AV391" s="161"/>
      <c r="AW391" s="161"/>
      <c r="AX391" s="161"/>
      <c r="AY391" s="161"/>
      <c r="AZ391" s="161"/>
      <c r="BA391" s="161"/>
      <c r="BB391" s="161"/>
      <c r="BC391" s="161"/>
      <c r="BD391" s="161"/>
      <c r="BE391" s="136"/>
      <c r="BF391" s="136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36"/>
      <c r="BT391" s="136"/>
      <c r="BU391" s="161"/>
      <c r="BV391" s="161"/>
      <c r="BW391" s="161"/>
      <c r="BX391" s="161"/>
      <c r="BY391" s="161"/>
      <c r="BZ391" s="161"/>
      <c r="CA391" s="161"/>
      <c r="CB391" s="161"/>
      <c r="CC391" s="161"/>
      <c r="CD391" s="161"/>
      <c r="CE391" s="161"/>
      <c r="CF391" s="161"/>
      <c r="CG391" s="136"/>
      <c r="CH391" s="136"/>
      <c r="CI391" s="161"/>
      <c r="CJ391" s="161"/>
      <c r="CK391" s="161">
        <v>15</v>
      </c>
      <c r="CL391" s="161"/>
      <c r="CM391" s="161"/>
      <c r="CN391" s="161"/>
      <c r="CO391" s="161"/>
      <c r="CP391" s="161"/>
      <c r="CQ391" s="161"/>
      <c r="CR391" s="161"/>
      <c r="CS391" s="161"/>
      <c r="CT391" s="161"/>
      <c r="CU391" s="136"/>
      <c r="CV391" s="136"/>
      <c r="CW391" s="161"/>
      <c r="CX391" s="161"/>
      <c r="CY391" s="161"/>
      <c r="CZ391" s="161"/>
      <c r="DA391" s="161"/>
      <c r="DB391" s="161"/>
      <c r="DC391" s="161"/>
      <c r="DD391" s="161"/>
      <c r="DE391" s="161"/>
      <c r="DF391" s="161"/>
      <c r="DG391" s="161"/>
      <c r="DH391" s="161"/>
      <c r="DI391" s="136"/>
      <c r="DJ391" s="136"/>
      <c r="DK391" s="161"/>
      <c r="DL391" s="161"/>
      <c r="DM391" s="161"/>
      <c r="DN391" s="161"/>
      <c r="DO391" s="161"/>
      <c r="DP391" s="161"/>
      <c r="DQ391" s="161"/>
      <c r="DR391" s="161"/>
      <c r="DS391" s="161"/>
      <c r="DT391" s="161"/>
      <c r="DU391" s="161"/>
      <c r="DV391" s="161"/>
      <c r="DW391" s="136"/>
      <c r="DX391" s="136"/>
      <c r="DY391" s="161"/>
      <c r="DZ391" s="161"/>
      <c r="EA391" s="161"/>
      <c r="EB391" s="161"/>
      <c r="EC391" s="161"/>
      <c r="ED391" s="161"/>
      <c r="EE391" s="161"/>
      <c r="EF391" s="161"/>
      <c r="EG391" s="161"/>
      <c r="EH391" s="161"/>
      <c r="EI391" s="161"/>
      <c r="EJ391" s="161"/>
      <c r="EK391" s="136"/>
      <c r="EL391" s="136"/>
      <c r="EM391" s="136"/>
      <c r="EN391" s="136"/>
      <c r="EO391" s="136"/>
      <c r="EP391" s="136"/>
      <c r="EQ391" s="136"/>
      <c r="ER391" s="136"/>
      <c r="ES391" s="161"/>
      <c r="ET391" s="161"/>
      <c r="EU391" s="161"/>
      <c r="EV391" s="161"/>
      <c r="EW391" s="161"/>
      <c r="EX391" s="161"/>
      <c r="EY391" s="136"/>
      <c r="EZ391" s="136"/>
      <c r="FA391" s="161"/>
      <c r="FB391" s="161"/>
      <c r="FC391" s="161"/>
      <c r="FD391" s="161"/>
      <c r="FE391" s="161"/>
      <c r="FF391" s="161"/>
      <c r="FG391" s="161"/>
      <c r="FH391" s="161"/>
      <c r="FI391" s="161"/>
      <c r="FJ391" s="161"/>
      <c r="FK391" s="161"/>
      <c r="FL391" s="161"/>
      <c r="FM391" s="136"/>
      <c r="FN391" s="136"/>
      <c r="FO391" s="161"/>
      <c r="FP391" s="161"/>
      <c r="FQ391" s="161"/>
      <c r="FR391" s="161"/>
      <c r="FS391" s="161"/>
      <c r="FT391" s="161"/>
      <c r="FU391" s="161"/>
      <c r="FV391" s="161"/>
      <c r="FW391" s="161"/>
      <c r="FX391" s="161"/>
      <c r="FY391" s="161"/>
      <c r="FZ391" s="161"/>
      <c r="GA391" s="136"/>
      <c r="GB391" s="136"/>
      <c r="GC391" s="161"/>
      <c r="GD391" s="161"/>
      <c r="GE391" s="161"/>
      <c r="GF391" s="161"/>
      <c r="GG391" s="161"/>
      <c r="GH391" s="161"/>
      <c r="GI391" s="161"/>
      <c r="GJ391" s="161"/>
      <c r="GK391" s="161"/>
      <c r="GL391" s="161"/>
      <c r="GM391" s="161"/>
      <c r="GN391" s="161"/>
    </row>
    <row r="392" spans="1:196">
      <c r="A392" s="162"/>
      <c r="B392" s="126" t="s">
        <v>1123</v>
      </c>
      <c r="C392" s="109" t="s">
        <v>1114</v>
      </c>
      <c r="D392" s="119" t="e">
        <f>VLOOKUP(C392,#REF!,2,0)</f>
        <v>#REF!</v>
      </c>
      <c r="E392" s="119"/>
      <c r="F392" s="107"/>
      <c r="G392" s="115">
        <v>500</v>
      </c>
      <c r="H392" s="6"/>
      <c r="I392" s="125">
        <v>46235</v>
      </c>
      <c r="J392" s="13">
        <f>G392-SUM(L392:FL392)</f>
        <v>0</v>
      </c>
      <c r="K392" s="186" t="s">
        <v>1216</v>
      </c>
      <c r="L392" s="161"/>
      <c r="M392" s="136"/>
      <c r="N392" s="136"/>
      <c r="O392" s="136"/>
      <c r="P392" s="136"/>
      <c r="Q392" s="136"/>
      <c r="R392" s="136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36"/>
      <c r="AD392" s="136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36"/>
      <c r="AR392" s="136"/>
      <c r="AS392" s="161"/>
      <c r="AT392" s="161"/>
      <c r="AU392" s="161"/>
      <c r="AV392" s="161"/>
      <c r="AW392" s="161"/>
      <c r="AX392" s="161"/>
      <c r="AY392" s="161"/>
      <c r="AZ392" s="161"/>
      <c r="BA392" s="161"/>
      <c r="BB392" s="161"/>
      <c r="BC392" s="161"/>
      <c r="BD392" s="161"/>
      <c r="BE392" s="136"/>
      <c r="BF392" s="136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36"/>
      <c r="BT392" s="136"/>
      <c r="BU392" s="161"/>
      <c r="BV392" s="161"/>
      <c r="BW392" s="161"/>
      <c r="BX392" s="161"/>
      <c r="BY392" s="161"/>
      <c r="BZ392" s="161"/>
      <c r="CA392" s="161"/>
      <c r="CB392" s="161"/>
      <c r="CC392" s="161"/>
      <c r="CD392" s="161"/>
      <c r="CE392" s="161"/>
      <c r="CF392" s="161"/>
      <c r="CG392" s="136"/>
      <c r="CH392" s="136"/>
      <c r="CI392" s="161"/>
      <c r="CJ392" s="161"/>
      <c r="CK392" s="161">
        <v>45</v>
      </c>
      <c r="CL392" s="161">
        <v>120</v>
      </c>
      <c r="CM392" s="161">
        <v>120</v>
      </c>
      <c r="CN392" s="161">
        <v>120</v>
      </c>
      <c r="CO392" s="161">
        <v>95</v>
      </c>
      <c r="CP392" s="161"/>
      <c r="CQ392" s="161"/>
      <c r="CR392" s="161"/>
      <c r="CS392" s="161"/>
      <c r="CT392" s="161"/>
      <c r="CU392" s="136"/>
      <c r="CV392" s="136"/>
      <c r="CW392" s="161"/>
      <c r="CX392" s="161"/>
      <c r="CY392" s="161"/>
      <c r="CZ392" s="161"/>
      <c r="DA392" s="161"/>
      <c r="DB392" s="161"/>
      <c r="DC392" s="161"/>
      <c r="DD392" s="161"/>
      <c r="DE392" s="161"/>
      <c r="DF392" s="161"/>
      <c r="DG392" s="161"/>
      <c r="DH392" s="161"/>
      <c r="DI392" s="136"/>
      <c r="DJ392" s="136"/>
      <c r="DK392" s="161"/>
      <c r="DL392" s="161"/>
      <c r="DM392" s="161"/>
      <c r="DN392" s="161"/>
      <c r="DO392" s="161"/>
      <c r="DP392" s="161"/>
      <c r="DQ392" s="161"/>
      <c r="DR392" s="161"/>
      <c r="DS392" s="161"/>
      <c r="DT392" s="161"/>
      <c r="DU392" s="161"/>
      <c r="DV392" s="161"/>
      <c r="DW392" s="136"/>
      <c r="DX392" s="136"/>
      <c r="DY392" s="161"/>
      <c r="DZ392" s="161"/>
      <c r="EA392" s="161"/>
      <c r="EB392" s="161"/>
      <c r="EC392" s="161"/>
      <c r="ED392" s="161"/>
      <c r="EE392" s="161"/>
      <c r="EF392" s="161"/>
      <c r="EG392" s="161"/>
      <c r="EH392" s="161"/>
      <c r="EI392" s="161"/>
      <c r="EJ392" s="161"/>
      <c r="EK392" s="136"/>
      <c r="EL392" s="136"/>
      <c r="EM392" s="136"/>
      <c r="EN392" s="136"/>
      <c r="EO392" s="136"/>
      <c r="EP392" s="136"/>
      <c r="EQ392" s="136"/>
      <c r="ER392" s="136"/>
      <c r="ES392" s="161"/>
      <c r="ET392" s="161"/>
      <c r="EU392" s="161"/>
      <c r="EV392" s="161"/>
      <c r="EW392" s="161"/>
      <c r="EX392" s="161"/>
      <c r="EY392" s="136"/>
      <c r="EZ392" s="136"/>
      <c r="FA392" s="161"/>
      <c r="FB392" s="161"/>
      <c r="FC392" s="161"/>
      <c r="FD392" s="161"/>
      <c r="FE392" s="161"/>
      <c r="FF392" s="161"/>
      <c r="FG392" s="161"/>
      <c r="FH392" s="161"/>
      <c r="FI392" s="161"/>
      <c r="FJ392" s="161"/>
      <c r="FK392" s="161"/>
      <c r="FL392" s="161"/>
      <c r="FM392" s="136"/>
      <c r="FN392" s="136"/>
      <c r="FO392" s="161"/>
      <c r="FP392" s="161"/>
      <c r="FQ392" s="161"/>
      <c r="FR392" s="161"/>
      <c r="FS392" s="161"/>
      <c r="FT392" s="161"/>
      <c r="FU392" s="161"/>
      <c r="FV392" s="161"/>
      <c r="FW392" s="161"/>
      <c r="FX392" s="161"/>
      <c r="FY392" s="161"/>
      <c r="FZ392" s="161"/>
      <c r="GA392" s="136"/>
      <c r="GB392" s="136"/>
      <c r="GC392" s="161"/>
      <c r="GD392" s="161"/>
      <c r="GE392" s="161"/>
      <c r="GF392" s="161"/>
      <c r="GG392" s="161"/>
      <c r="GH392" s="161"/>
      <c r="GI392" s="161"/>
      <c r="GJ392" s="161"/>
      <c r="GK392" s="161"/>
      <c r="GL392" s="161"/>
      <c r="GM392" s="161"/>
      <c r="GN392" s="161"/>
    </row>
    <row r="393" spans="1:196">
      <c r="A393" s="162"/>
      <c r="B393" s="126" t="s">
        <v>1181</v>
      </c>
      <c r="C393" s="109" t="s">
        <v>1182</v>
      </c>
      <c r="D393" s="119"/>
      <c r="E393" s="119"/>
      <c r="F393" s="107"/>
      <c r="G393" s="115">
        <v>500</v>
      </c>
      <c r="H393" s="6"/>
      <c r="I393" s="125">
        <v>46235</v>
      </c>
      <c r="J393" s="13">
        <f>G393-SUM(L393:FL393)</f>
        <v>0</v>
      </c>
      <c r="K393" s="141"/>
      <c r="L393" s="161"/>
      <c r="M393" s="136"/>
      <c r="N393" s="136"/>
      <c r="O393" s="136"/>
      <c r="P393" s="136"/>
      <c r="Q393" s="136"/>
      <c r="R393" s="136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36"/>
      <c r="AD393" s="136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36"/>
      <c r="AR393" s="136"/>
      <c r="AS393" s="161"/>
      <c r="AT393" s="161"/>
      <c r="AU393" s="161"/>
      <c r="AV393" s="161"/>
      <c r="AW393" s="161"/>
      <c r="AX393" s="161"/>
      <c r="AY393" s="161"/>
      <c r="AZ393" s="161"/>
      <c r="BA393" s="161"/>
      <c r="BB393" s="161"/>
      <c r="BC393" s="161"/>
      <c r="BD393" s="161"/>
      <c r="BE393" s="136"/>
      <c r="BF393" s="136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36"/>
      <c r="BT393" s="136"/>
      <c r="BU393" s="161"/>
      <c r="BV393" s="161"/>
      <c r="BW393" s="161"/>
      <c r="BX393" s="161"/>
      <c r="BY393" s="161"/>
      <c r="BZ393" s="161"/>
      <c r="CA393" s="161"/>
      <c r="CB393" s="161"/>
      <c r="CC393" s="161"/>
      <c r="CD393" s="161"/>
      <c r="CE393" s="161"/>
      <c r="CF393" s="161"/>
      <c r="CG393" s="136"/>
      <c r="CH393" s="136"/>
      <c r="CI393" s="161"/>
      <c r="CJ393" s="161"/>
      <c r="CK393" s="161"/>
      <c r="CL393" s="161"/>
      <c r="CM393" s="161"/>
      <c r="CN393" s="161"/>
      <c r="CO393" s="161">
        <v>45</v>
      </c>
      <c r="CP393" s="161">
        <v>120</v>
      </c>
      <c r="CQ393" s="161">
        <v>120</v>
      </c>
      <c r="CR393" s="161">
        <v>120</v>
      </c>
      <c r="CS393" s="161">
        <v>95</v>
      </c>
      <c r="CT393" s="161"/>
      <c r="CU393" s="136"/>
      <c r="CV393" s="136"/>
      <c r="CW393" s="161"/>
      <c r="CX393" s="161"/>
      <c r="CY393" s="161"/>
      <c r="CZ393" s="161"/>
      <c r="DA393" s="161"/>
      <c r="DB393" s="161"/>
      <c r="DC393" s="161"/>
      <c r="DD393" s="161"/>
      <c r="DE393" s="161"/>
      <c r="DF393" s="161"/>
      <c r="DG393" s="161"/>
      <c r="DH393" s="161"/>
      <c r="DI393" s="136"/>
      <c r="DJ393" s="136"/>
      <c r="DK393" s="161"/>
      <c r="DL393" s="161"/>
      <c r="DM393" s="161"/>
      <c r="DN393" s="161"/>
      <c r="DO393" s="161"/>
      <c r="DP393" s="161"/>
      <c r="DQ393" s="161"/>
      <c r="DR393" s="161"/>
      <c r="DS393" s="161"/>
      <c r="DT393" s="161"/>
      <c r="DU393" s="161"/>
      <c r="DV393" s="161"/>
      <c r="DW393" s="136"/>
      <c r="DX393" s="136"/>
      <c r="DY393" s="161"/>
      <c r="DZ393" s="161"/>
      <c r="EA393" s="161"/>
      <c r="EB393" s="161"/>
      <c r="EC393" s="161"/>
      <c r="ED393" s="161"/>
      <c r="EE393" s="161"/>
      <c r="EF393" s="161"/>
      <c r="EG393" s="161"/>
      <c r="EH393" s="161"/>
      <c r="EI393" s="161"/>
      <c r="EJ393" s="161"/>
      <c r="EK393" s="136"/>
      <c r="EL393" s="136"/>
      <c r="EM393" s="136"/>
      <c r="EN393" s="136"/>
      <c r="EO393" s="136"/>
      <c r="EP393" s="136"/>
      <c r="EQ393" s="136"/>
      <c r="ER393" s="136"/>
      <c r="ES393" s="161"/>
      <c r="ET393" s="161"/>
      <c r="EU393" s="161"/>
      <c r="EV393" s="161"/>
      <c r="EW393" s="161"/>
      <c r="EX393" s="161"/>
      <c r="EY393" s="136"/>
      <c r="EZ393" s="136"/>
      <c r="FA393" s="161"/>
      <c r="FB393" s="161"/>
      <c r="FC393" s="161"/>
      <c r="FD393" s="161"/>
      <c r="FE393" s="161"/>
      <c r="FF393" s="161"/>
      <c r="FG393" s="161"/>
      <c r="FH393" s="161"/>
      <c r="FI393" s="161"/>
      <c r="FJ393" s="161"/>
      <c r="FK393" s="161"/>
      <c r="FL393" s="161"/>
      <c r="FM393" s="136"/>
      <c r="FN393" s="136"/>
      <c r="FO393" s="161"/>
      <c r="FP393" s="161"/>
      <c r="FQ393" s="161"/>
      <c r="FR393" s="161"/>
      <c r="FS393" s="161"/>
      <c r="FT393" s="161"/>
      <c r="FU393" s="161"/>
      <c r="FV393" s="161"/>
      <c r="FW393" s="161"/>
      <c r="FX393" s="161"/>
      <c r="FY393" s="161"/>
      <c r="FZ393" s="161"/>
      <c r="GA393" s="136"/>
      <c r="GB393" s="136"/>
      <c r="GC393" s="161"/>
      <c r="GD393" s="161"/>
      <c r="GE393" s="161"/>
      <c r="GF393" s="161"/>
      <c r="GG393" s="161"/>
      <c r="GH393" s="161"/>
      <c r="GI393" s="161"/>
      <c r="GJ393" s="161"/>
      <c r="GK393" s="161"/>
      <c r="GL393" s="161"/>
      <c r="GM393" s="161"/>
      <c r="GN393" s="161"/>
    </row>
    <row r="394" spans="1:196">
      <c r="A394" s="162"/>
      <c r="B394" s="142" t="s">
        <v>730</v>
      </c>
      <c r="C394" s="143" t="s">
        <v>717</v>
      </c>
      <c r="D394" s="119"/>
      <c r="E394" s="119" t="e">
        <f>VLOOKUP(C394,#REF!,5,0)</f>
        <v>#REF!</v>
      </c>
      <c r="F394" s="148"/>
      <c r="G394" s="188">
        <v>200</v>
      </c>
      <c r="H394" s="148"/>
      <c r="I394" s="145" t="s">
        <v>691</v>
      </c>
      <c r="J394" s="146">
        <f t="shared" si="201"/>
        <v>0</v>
      </c>
      <c r="K394" s="147" t="s">
        <v>721</v>
      </c>
      <c r="L394" s="161"/>
      <c r="M394" s="136"/>
      <c r="N394" s="136"/>
      <c r="O394" s="136"/>
      <c r="P394" s="136"/>
      <c r="Q394" s="136"/>
      <c r="R394" s="136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36"/>
      <c r="AD394" s="136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36"/>
      <c r="AR394" s="136"/>
      <c r="AS394" s="161"/>
      <c r="AT394" s="161"/>
      <c r="AU394" s="161"/>
      <c r="AV394" s="161"/>
      <c r="AW394" s="161"/>
      <c r="AX394" s="161"/>
      <c r="AY394" s="161"/>
      <c r="AZ394" s="161"/>
      <c r="BA394" s="161"/>
      <c r="BB394" s="161"/>
      <c r="BC394" s="161"/>
      <c r="BD394" s="161"/>
      <c r="BE394" s="136"/>
      <c r="BF394" s="136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36"/>
      <c r="BT394" s="136"/>
      <c r="BU394" s="161"/>
      <c r="BV394" s="161"/>
      <c r="BW394" s="161"/>
      <c r="BX394" s="161"/>
      <c r="BY394" s="161"/>
      <c r="BZ394" s="161"/>
      <c r="CA394" s="161"/>
      <c r="CB394" s="161"/>
      <c r="CC394" s="161"/>
      <c r="CD394" s="161"/>
      <c r="CE394" s="161"/>
      <c r="CF394" s="161"/>
      <c r="CG394" s="136"/>
      <c r="CH394" s="136"/>
      <c r="CI394" s="161"/>
      <c r="CJ394" s="161"/>
      <c r="CK394" s="161"/>
      <c r="CL394" s="161"/>
      <c r="CM394" s="161"/>
      <c r="CN394" s="161"/>
      <c r="CO394" s="161"/>
      <c r="CP394" s="161"/>
      <c r="CQ394" s="161"/>
      <c r="CR394" s="161"/>
      <c r="CS394" s="161"/>
      <c r="CT394" s="161"/>
      <c r="CU394" s="136"/>
      <c r="CV394" s="136"/>
      <c r="CW394" s="161"/>
      <c r="CX394" s="161"/>
      <c r="CY394" s="161"/>
      <c r="CZ394" s="161"/>
      <c r="DA394" s="161"/>
      <c r="DB394" s="161"/>
      <c r="DC394" s="161"/>
      <c r="DD394" s="161"/>
      <c r="DE394" s="161"/>
      <c r="DF394" s="161"/>
      <c r="DG394" s="161">
        <v>200</v>
      </c>
      <c r="DH394" s="161"/>
      <c r="DI394" s="136"/>
      <c r="DJ394" s="136"/>
      <c r="DK394" s="161"/>
      <c r="DL394" s="161"/>
      <c r="DM394" s="161"/>
      <c r="DN394" s="161"/>
      <c r="DO394" s="161"/>
      <c r="DP394" s="161"/>
      <c r="DQ394" s="161"/>
      <c r="DR394" s="161"/>
      <c r="DS394" s="161"/>
      <c r="DT394" s="161"/>
      <c r="DU394" s="161"/>
      <c r="DV394" s="161"/>
      <c r="DW394" s="136"/>
      <c r="DX394" s="136"/>
      <c r="DY394" s="161"/>
      <c r="DZ394" s="161"/>
      <c r="EA394" s="161"/>
      <c r="EB394" s="161"/>
      <c r="EC394" s="161"/>
      <c r="ED394" s="161"/>
      <c r="EE394" s="161"/>
      <c r="EF394" s="161"/>
      <c r="EG394" s="161"/>
      <c r="EH394" s="161"/>
      <c r="EI394" s="161"/>
      <c r="EJ394" s="161"/>
      <c r="EK394" s="136"/>
      <c r="EL394" s="136"/>
      <c r="EM394" s="136"/>
      <c r="EN394" s="136"/>
      <c r="EO394" s="136"/>
      <c r="EP394" s="136"/>
      <c r="EQ394" s="136"/>
      <c r="ER394" s="136"/>
      <c r="ES394" s="161"/>
      <c r="ET394" s="161"/>
      <c r="EU394" s="161"/>
      <c r="EV394" s="161"/>
      <c r="EW394" s="161"/>
      <c r="EX394" s="161"/>
      <c r="EY394" s="136"/>
      <c r="EZ394" s="136"/>
      <c r="FA394" s="161"/>
      <c r="FB394" s="161"/>
      <c r="FC394" s="161"/>
      <c r="FD394" s="161"/>
      <c r="FE394" s="161"/>
      <c r="FF394" s="161"/>
      <c r="FG394" s="161"/>
      <c r="FH394" s="161"/>
      <c r="FI394" s="161"/>
      <c r="FJ394" s="161"/>
      <c r="FK394" s="161"/>
      <c r="FL394" s="161"/>
      <c r="FM394" s="136"/>
      <c r="FN394" s="136"/>
      <c r="FO394" s="161"/>
      <c r="FP394" s="161"/>
      <c r="FQ394" s="161"/>
      <c r="FR394" s="161"/>
      <c r="FS394" s="161"/>
      <c r="FT394" s="161"/>
      <c r="FU394" s="161"/>
      <c r="FV394" s="161"/>
      <c r="FW394" s="161"/>
      <c r="FX394" s="161"/>
      <c r="FY394" s="161"/>
      <c r="FZ394" s="161"/>
      <c r="GA394" s="136"/>
      <c r="GB394" s="136"/>
      <c r="GC394" s="161"/>
      <c r="GD394" s="161"/>
      <c r="GE394" s="161"/>
      <c r="GF394" s="161"/>
      <c r="GG394" s="161"/>
      <c r="GH394" s="161"/>
      <c r="GI394" s="161"/>
      <c r="GJ394" s="161"/>
      <c r="GK394" s="161"/>
      <c r="GL394" s="161"/>
      <c r="GM394" s="161"/>
      <c r="GN394" s="161"/>
    </row>
    <row r="395" spans="1:196" ht="22.5" customHeight="1">
      <c r="A395" s="162"/>
      <c r="B395" s="142" t="s">
        <v>731</v>
      </c>
      <c r="C395" s="143" t="s">
        <v>718</v>
      </c>
      <c r="D395" s="119"/>
      <c r="E395" s="119" t="e">
        <f>VLOOKUP(C395,#REF!,5,0)</f>
        <v>#REF!</v>
      </c>
      <c r="F395" s="148"/>
      <c r="G395" s="188">
        <v>122</v>
      </c>
      <c r="H395" s="148"/>
      <c r="I395" s="145" t="s">
        <v>691</v>
      </c>
      <c r="J395" s="146">
        <f t="shared" si="201"/>
        <v>0</v>
      </c>
      <c r="K395" s="147" t="s">
        <v>722</v>
      </c>
      <c r="L395" s="161"/>
      <c r="M395" s="136"/>
      <c r="N395" s="136"/>
      <c r="O395" s="136"/>
      <c r="P395" s="136"/>
      <c r="Q395" s="136"/>
      <c r="R395" s="136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36"/>
      <c r="AD395" s="136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36"/>
      <c r="AR395" s="136"/>
      <c r="AS395" s="161"/>
      <c r="AT395" s="161"/>
      <c r="AU395" s="161"/>
      <c r="AV395" s="161"/>
      <c r="AW395" s="161"/>
      <c r="AX395" s="161"/>
      <c r="AY395" s="161"/>
      <c r="AZ395" s="161"/>
      <c r="BA395" s="161"/>
      <c r="BB395" s="161"/>
      <c r="BC395" s="161"/>
      <c r="BD395" s="161"/>
      <c r="BE395" s="136"/>
      <c r="BF395" s="136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36"/>
      <c r="BT395" s="136"/>
      <c r="BU395" s="161"/>
      <c r="BV395" s="161"/>
      <c r="BW395" s="161"/>
      <c r="BX395" s="161"/>
      <c r="BY395" s="161"/>
      <c r="BZ395" s="161"/>
      <c r="CA395" s="161"/>
      <c r="CB395" s="161"/>
      <c r="CC395" s="161"/>
      <c r="CD395" s="161"/>
      <c r="CE395" s="161"/>
      <c r="CF395" s="161"/>
      <c r="CG395" s="136"/>
      <c r="CH395" s="136"/>
      <c r="CI395" s="161"/>
      <c r="CJ395" s="161"/>
      <c r="CK395" s="161"/>
      <c r="CL395" s="161"/>
      <c r="CM395" s="161"/>
      <c r="CN395" s="161"/>
      <c r="CO395" s="161"/>
      <c r="CP395" s="161"/>
      <c r="CQ395" s="161"/>
      <c r="CR395" s="161"/>
      <c r="CS395" s="161"/>
      <c r="CT395" s="161"/>
      <c r="CU395" s="136"/>
      <c r="CV395" s="136"/>
      <c r="CW395" s="161"/>
      <c r="CX395" s="161"/>
      <c r="CY395" s="161"/>
      <c r="CZ395" s="161"/>
      <c r="DA395" s="161"/>
      <c r="DB395" s="161"/>
      <c r="DC395" s="161"/>
      <c r="DD395" s="161"/>
      <c r="DE395" s="161"/>
      <c r="DF395" s="161"/>
      <c r="DG395" s="161">
        <v>122</v>
      </c>
      <c r="DH395" s="161"/>
      <c r="DI395" s="136"/>
      <c r="DJ395" s="136"/>
      <c r="DK395" s="161"/>
      <c r="DL395" s="161"/>
      <c r="DM395" s="161"/>
      <c r="DN395" s="161"/>
      <c r="DO395" s="161"/>
      <c r="DP395" s="161"/>
      <c r="DQ395" s="161"/>
      <c r="DR395" s="161"/>
      <c r="DS395" s="161"/>
      <c r="DT395" s="161"/>
      <c r="DU395" s="161"/>
      <c r="DV395" s="161"/>
      <c r="DW395" s="136"/>
      <c r="DX395" s="136"/>
      <c r="DY395" s="161"/>
      <c r="DZ395" s="161"/>
      <c r="EA395" s="161"/>
      <c r="EB395" s="161"/>
      <c r="EC395" s="161"/>
      <c r="ED395" s="161"/>
      <c r="EE395" s="161"/>
      <c r="EF395" s="161"/>
      <c r="EG395" s="161"/>
      <c r="EH395" s="161"/>
      <c r="EI395" s="161"/>
      <c r="EJ395" s="161"/>
      <c r="EK395" s="136"/>
      <c r="EL395" s="136"/>
      <c r="EM395" s="136"/>
      <c r="EN395" s="136"/>
      <c r="EO395" s="136"/>
      <c r="EP395" s="136"/>
      <c r="EQ395" s="136"/>
      <c r="ER395" s="136"/>
      <c r="ES395" s="161"/>
      <c r="ET395" s="161"/>
      <c r="EU395" s="161"/>
      <c r="EV395" s="161"/>
      <c r="EW395" s="161"/>
      <c r="EX395" s="161"/>
      <c r="EY395" s="136"/>
      <c r="EZ395" s="136"/>
      <c r="FA395" s="161"/>
      <c r="FB395" s="161"/>
      <c r="FC395" s="161"/>
      <c r="FD395" s="161"/>
      <c r="FE395" s="161"/>
      <c r="FF395" s="161"/>
      <c r="FG395" s="161"/>
      <c r="FH395" s="161"/>
      <c r="FI395" s="161"/>
      <c r="FJ395" s="161"/>
      <c r="FK395" s="161"/>
      <c r="FL395" s="161"/>
      <c r="FM395" s="136"/>
      <c r="FN395" s="136"/>
      <c r="FO395" s="161"/>
      <c r="FP395" s="161"/>
      <c r="FQ395" s="161"/>
      <c r="FR395" s="161"/>
      <c r="FS395" s="161"/>
      <c r="FT395" s="161"/>
      <c r="FU395" s="161"/>
      <c r="FV395" s="161"/>
      <c r="FW395" s="161"/>
      <c r="FX395" s="161"/>
      <c r="FY395" s="161"/>
      <c r="FZ395" s="161"/>
      <c r="GA395" s="136"/>
      <c r="GB395" s="136"/>
      <c r="GC395" s="161"/>
      <c r="GD395" s="161"/>
      <c r="GE395" s="161"/>
      <c r="GF395" s="161"/>
      <c r="GG395" s="161"/>
      <c r="GH395" s="161"/>
      <c r="GI395" s="161"/>
      <c r="GJ395" s="161"/>
      <c r="GK395" s="161"/>
      <c r="GL395" s="161"/>
      <c r="GM395" s="161"/>
      <c r="GN395" s="161"/>
    </row>
    <row r="396" spans="1:196" ht="25" customHeight="1">
      <c r="A396" s="162"/>
      <c r="B396" s="142" t="s">
        <v>732</v>
      </c>
      <c r="C396" s="143" t="s">
        <v>719</v>
      </c>
      <c r="D396" s="119"/>
      <c r="E396" s="119" t="e">
        <f>VLOOKUP(C396,#REF!,5,0)</f>
        <v>#REF!</v>
      </c>
      <c r="F396" s="148"/>
      <c r="G396" s="188">
        <v>109</v>
      </c>
      <c r="H396" s="148"/>
      <c r="I396" s="145" t="s">
        <v>691</v>
      </c>
      <c r="J396" s="146">
        <f t="shared" si="201"/>
        <v>0</v>
      </c>
      <c r="K396" s="147" t="s">
        <v>723</v>
      </c>
      <c r="L396" s="161"/>
      <c r="M396" s="136"/>
      <c r="N396" s="136"/>
      <c r="O396" s="136"/>
      <c r="P396" s="136"/>
      <c r="Q396" s="136"/>
      <c r="R396" s="136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36"/>
      <c r="AD396" s="136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36"/>
      <c r="AR396" s="136"/>
      <c r="AS396" s="161"/>
      <c r="AT396" s="161"/>
      <c r="AU396" s="161"/>
      <c r="AV396" s="161"/>
      <c r="AW396" s="161"/>
      <c r="AX396" s="161"/>
      <c r="AY396" s="161"/>
      <c r="AZ396" s="161"/>
      <c r="BA396" s="161"/>
      <c r="BB396" s="161"/>
      <c r="BC396" s="161"/>
      <c r="BD396" s="161"/>
      <c r="BE396" s="136"/>
      <c r="BF396" s="136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36"/>
      <c r="BT396" s="136"/>
      <c r="BU396" s="161"/>
      <c r="BV396" s="161"/>
      <c r="BW396" s="161"/>
      <c r="BX396" s="161"/>
      <c r="BY396" s="161"/>
      <c r="BZ396" s="161"/>
      <c r="CA396" s="161"/>
      <c r="CB396" s="161"/>
      <c r="CC396" s="161"/>
      <c r="CD396" s="161"/>
      <c r="CE396" s="161"/>
      <c r="CF396" s="161"/>
      <c r="CG396" s="136"/>
      <c r="CH396" s="136"/>
      <c r="CI396" s="161"/>
      <c r="CJ396" s="161"/>
      <c r="CK396" s="161"/>
      <c r="CL396" s="161"/>
      <c r="CM396" s="161"/>
      <c r="CN396" s="161"/>
      <c r="CO396" s="161"/>
      <c r="CP396" s="161"/>
      <c r="CQ396" s="161"/>
      <c r="CR396" s="161"/>
      <c r="CS396" s="161"/>
      <c r="CT396" s="161"/>
      <c r="CU396" s="136"/>
      <c r="CV396" s="136"/>
      <c r="CW396" s="161"/>
      <c r="CX396" s="161"/>
      <c r="CY396" s="161"/>
      <c r="CZ396" s="161"/>
      <c r="DA396" s="161"/>
      <c r="DB396" s="161"/>
      <c r="DC396" s="161"/>
      <c r="DD396" s="161"/>
      <c r="DE396" s="161"/>
      <c r="DF396" s="161"/>
      <c r="DG396" s="161">
        <v>109</v>
      </c>
      <c r="DH396" s="161"/>
      <c r="DI396" s="136"/>
      <c r="DJ396" s="136"/>
      <c r="DK396" s="161"/>
      <c r="DL396" s="161"/>
      <c r="DM396" s="161"/>
      <c r="DN396" s="161"/>
      <c r="DO396" s="161"/>
      <c r="DP396" s="161"/>
      <c r="DQ396" s="161"/>
      <c r="DR396" s="161"/>
      <c r="DS396" s="161"/>
      <c r="DT396" s="161"/>
      <c r="DU396" s="161"/>
      <c r="DV396" s="161"/>
      <c r="DW396" s="136"/>
      <c r="DX396" s="136"/>
      <c r="DY396" s="161"/>
      <c r="DZ396" s="161"/>
      <c r="EA396" s="161"/>
      <c r="EB396" s="161"/>
      <c r="EC396" s="161"/>
      <c r="ED396" s="161"/>
      <c r="EE396" s="161"/>
      <c r="EF396" s="161"/>
      <c r="EG396" s="161"/>
      <c r="EH396" s="161"/>
      <c r="EI396" s="161"/>
      <c r="EJ396" s="161"/>
      <c r="EK396" s="136"/>
      <c r="EL396" s="136"/>
      <c r="EM396" s="136"/>
      <c r="EN396" s="136"/>
      <c r="EO396" s="136"/>
      <c r="EP396" s="136"/>
      <c r="EQ396" s="136"/>
      <c r="ER396" s="136"/>
      <c r="ES396" s="161"/>
      <c r="ET396" s="161"/>
      <c r="EU396" s="161"/>
      <c r="EV396" s="161"/>
      <c r="EW396" s="161"/>
      <c r="EX396" s="161"/>
      <c r="EY396" s="136"/>
      <c r="EZ396" s="136"/>
      <c r="FA396" s="161"/>
      <c r="FB396" s="161"/>
      <c r="FC396" s="161"/>
      <c r="FD396" s="161"/>
      <c r="FE396" s="161"/>
      <c r="FF396" s="161"/>
      <c r="FG396" s="161"/>
      <c r="FH396" s="161"/>
      <c r="FI396" s="161"/>
      <c r="FJ396" s="161"/>
      <c r="FK396" s="161"/>
      <c r="FL396" s="161"/>
      <c r="FM396" s="136"/>
      <c r="FN396" s="136"/>
      <c r="FO396" s="161"/>
      <c r="FP396" s="161"/>
      <c r="FQ396" s="161"/>
      <c r="FR396" s="161"/>
      <c r="FS396" s="161"/>
      <c r="FT396" s="161"/>
      <c r="FU396" s="161"/>
      <c r="FV396" s="161"/>
      <c r="FW396" s="161"/>
      <c r="FX396" s="161"/>
      <c r="FY396" s="161"/>
      <c r="FZ396" s="161"/>
      <c r="GA396" s="136"/>
      <c r="GB396" s="136"/>
      <c r="GC396" s="161"/>
      <c r="GD396" s="161"/>
      <c r="GE396" s="161"/>
      <c r="GF396" s="161"/>
      <c r="GG396" s="161"/>
      <c r="GH396" s="161"/>
      <c r="GI396" s="161"/>
      <c r="GJ396" s="161"/>
      <c r="GK396" s="161"/>
      <c r="GL396" s="161"/>
      <c r="GM396" s="161"/>
      <c r="GN396" s="161"/>
    </row>
    <row r="397" spans="1:196" ht="25">
      <c r="A397" s="162"/>
      <c r="B397" s="142" t="s">
        <v>733</v>
      </c>
      <c r="C397" s="143" t="s">
        <v>720</v>
      </c>
      <c r="D397" s="119"/>
      <c r="E397" s="119" t="e">
        <f>VLOOKUP(C397,#REF!,5,0)</f>
        <v>#REF!</v>
      </c>
      <c r="F397" s="148"/>
      <c r="G397" s="188">
        <v>54</v>
      </c>
      <c r="H397" s="148"/>
      <c r="I397" s="145" t="s">
        <v>691</v>
      </c>
      <c r="J397" s="146">
        <f t="shared" si="201"/>
        <v>0</v>
      </c>
      <c r="K397" s="147" t="s">
        <v>724</v>
      </c>
      <c r="L397" s="161"/>
      <c r="M397" s="136"/>
      <c r="N397" s="136"/>
      <c r="O397" s="136"/>
      <c r="P397" s="136"/>
      <c r="Q397" s="136"/>
      <c r="R397" s="136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36"/>
      <c r="AD397" s="136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36"/>
      <c r="AR397" s="136"/>
      <c r="AS397" s="161"/>
      <c r="AT397" s="161"/>
      <c r="AU397" s="161"/>
      <c r="AV397" s="161"/>
      <c r="AW397" s="161"/>
      <c r="AX397" s="161"/>
      <c r="AY397" s="161"/>
      <c r="AZ397" s="161"/>
      <c r="BA397" s="161"/>
      <c r="BB397" s="161"/>
      <c r="BC397" s="161"/>
      <c r="BD397" s="161"/>
      <c r="BE397" s="136"/>
      <c r="BF397" s="136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36"/>
      <c r="BT397" s="136"/>
      <c r="BU397" s="161"/>
      <c r="BV397" s="161"/>
      <c r="BW397" s="161"/>
      <c r="BX397" s="161"/>
      <c r="BY397" s="161"/>
      <c r="BZ397" s="161"/>
      <c r="CA397" s="161"/>
      <c r="CB397" s="161"/>
      <c r="CC397" s="161"/>
      <c r="CD397" s="161"/>
      <c r="CE397" s="161"/>
      <c r="CF397" s="161"/>
      <c r="CG397" s="136"/>
      <c r="CH397" s="136"/>
      <c r="CI397" s="161"/>
      <c r="CJ397" s="161"/>
      <c r="CK397" s="161"/>
      <c r="CL397" s="161"/>
      <c r="CM397" s="161"/>
      <c r="CN397" s="161"/>
      <c r="CO397" s="161"/>
      <c r="CP397" s="161"/>
      <c r="CQ397" s="161"/>
      <c r="CR397" s="161"/>
      <c r="CS397" s="161"/>
      <c r="CT397" s="161"/>
      <c r="CU397" s="136"/>
      <c r="CV397" s="136"/>
      <c r="CW397" s="161"/>
      <c r="CX397" s="161"/>
      <c r="CY397" s="161"/>
      <c r="CZ397" s="161"/>
      <c r="DA397" s="161"/>
      <c r="DB397" s="161"/>
      <c r="DC397" s="161"/>
      <c r="DD397" s="161"/>
      <c r="DE397" s="161"/>
      <c r="DF397" s="161"/>
      <c r="DG397" s="161">
        <v>54</v>
      </c>
      <c r="DH397" s="161"/>
      <c r="DI397" s="136"/>
      <c r="DJ397" s="136"/>
      <c r="DK397" s="161"/>
      <c r="DL397" s="161"/>
      <c r="DM397" s="161"/>
      <c r="DN397" s="161"/>
      <c r="DO397" s="161"/>
      <c r="DP397" s="161"/>
      <c r="DQ397" s="161"/>
      <c r="DR397" s="161"/>
      <c r="DS397" s="161"/>
      <c r="DT397" s="161"/>
      <c r="DU397" s="161"/>
      <c r="DV397" s="161"/>
      <c r="DW397" s="136"/>
      <c r="DX397" s="136"/>
      <c r="DY397" s="161"/>
      <c r="DZ397" s="161"/>
      <c r="EA397" s="161"/>
      <c r="EB397" s="161"/>
      <c r="EC397" s="161"/>
      <c r="ED397" s="161"/>
      <c r="EE397" s="161"/>
      <c r="EF397" s="161"/>
      <c r="EG397" s="161"/>
      <c r="EH397" s="161"/>
      <c r="EI397" s="161"/>
      <c r="EJ397" s="161"/>
      <c r="EK397" s="136"/>
      <c r="EL397" s="136"/>
      <c r="EM397" s="136"/>
      <c r="EN397" s="136"/>
      <c r="EO397" s="136"/>
      <c r="EP397" s="136"/>
      <c r="EQ397" s="136"/>
      <c r="ER397" s="136"/>
      <c r="ES397" s="161"/>
      <c r="ET397" s="161"/>
      <c r="EU397" s="161"/>
      <c r="EV397" s="161"/>
      <c r="EW397" s="161"/>
      <c r="EX397" s="161"/>
      <c r="EY397" s="136"/>
      <c r="EZ397" s="136"/>
      <c r="FA397" s="161"/>
      <c r="FB397" s="161"/>
      <c r="FC397" s="161"/>
      <c r="FD397" s="161"/>
      <c r="FE397" s="161"/>
      <c r="FF397" s="161"/>
      <c r="FG397" s="161"/>
      <c r="FH397" s="161"/>
      <c r="FI397" s="161"/>
      <c r="FJ397" s="161"/>
      <c r="FK397" s="161"/>
      <c r="FL397" s="161"/>
      <c r="FM397" s="136"/>
      <c r="FN397" s="136"/>
      <c r="FO397" s="161"/>
      <c r="FP397" s="161"/>
      <c r="FQ397" s="161"/>
      <c r="FR397" s="161"/>
      <c r="FS397" s="161"/>
      <c r="FT397" s="161"/>
      <c r="FU397" s="161"/>
      <c r="FV397" s="161"/>
      <c r="FW397" s="161"/>
      <c r="FX397" s="161"/>
      <c r="FY397" s="161"/>
      <c r="FZ397" s="161"/>
      <c r="GA397" s="136"/>
      <c r="GB397" s="136"/>
      <c r="GC397" s="161"/>
      <c r="GD397" s="161"/>
      <c r="GE397" s="161"/>
      <c r="GF397" s="161"/>
      <c r="GG397" s="161"/>
      <c r="GH397" s="161"/>
      <c r="GI397" s="161"/>
      <c r="GJ397" s="161"/>
      <c r="GK397" s="161"/>
      <c r="GL397" s="161"/>
      <c r="GM397" s="161"/>
      <c r="GN397" s="161"/>
    </row>
    <row r="398" spans="1:196">
      <c r="A398" s="162"/>
      <c r="B398" s="142" t="s">
        <v>973</v>
      </c>
      <c r="C398" s="143" t="s">
        <v>717</v>
      </c>
      <c r="D398" s="119"/>
      <c r="E398" s="119"/>
      <c r="F398" s="148"/>
      <c r="G398" s="188">
        <v>20</v>
      </c>
      <c r="H398" s="148"/>
      <c r="I398" s="145" t="s">
        <v>755</v>
      </c>
      <c r="J398" s="146">
        <f t="shared" si="201"/>
        <v>0</v>
      </c>
      <c r="K398" s="147" t="s">
        <v>721</v>
      </c>
      <c r="L398" s="161"/>
      <c r="M398" s="136"/>
      <c r="N398" s="136"/>
      <c r="O398" s="136"/>
      <c r="P398" s="136"/>
      <c r="Q398" s="136"/>
      <c r="R398" s="136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36"/>
      <c r="AD398" s="136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36"/>
      <c r="AR398" s="136"/>
      <c r="AS398" s="161"/>
      <c r="AT398" s="161"/>
      <c r="AU398" s="161"/>
      <c r="AV398" s="161"/>
      <c r="AW398" s="161"/>
      <c r="AX398" s="161"/>
      <c r="AY398" s="161"/>
      <c r="AZ398" s="161"/>
      <c r="BA398" s="161"/>
      <c r="BB398" s="161"/>
      <c r="BC398" s="161"/>
      <c r="BD398" s="161"/>
      <c r="BE398" s="136"/>
      <c r="BF398" s="136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36"/>
      <c r="BT398" s="136"/>
      <c r="BU398" s="161"/>
      <c r="BV398" s="161"/>
      <c r="BW398" s="161"/>
      <c r="BX398" s="161"/>
      <c r="BY398" s="161"/>
      <c r="BZ398" s="161"/>
      <c r="CA398" s="161"/>
      <c r="CB398" s="161"/>
      <c r="CC398" s="161"/>
      <c r="CD398" s="161"/>
      <c r="CE398" s="161"/>
      <c r="CF398" s="161"/>
      <c r="CG398" s="136"/>
      <c r="CH398" s="136"/>
      <c r="CI398" s="161"/>
      <c r="CJ398" s="161"/>
      <c r="CK398" s="161"/>
      <c r="CL398" s="161"/>
      <c r="CM398" s="161"/>
      <c r="CN398" s="161"/>
      <c r="CO398" s="161"/>
      <c r="CP398" s="161"/>
      <c r="CQ398" s="161"/>
      <c r="CR398" s="161"/>
      <c r="CS398" s="161"/>
      <c r="CT398" s="161"/>
      <c r="CU398" s="136"/>
      <c r="CV398" s="136"/>
      <c r="CW398" s="161"/>
      <c r="CX398" s="161"/>
      <c r="CY398" s="161"/>
      <c r="CZ398" s="161"/>
      <c r="DA398" s="161"/>
      <c r="DB398" s="161"/>
      <c r="DC398" s="161"/>
      <c r="DD398" s="161"/>
      <c r="DE398" s="161"/>
      <c r="DF398" s="161"/>
      <c r="DG398" s="161">
        <v>20</v>
      </c>
      <c r="DH398" s="161"/>
      <c r="DI398" s="136"/>
      <c r="DJ398" s="136"/>
      <c r="DK398" s="161"/>
      <c r="DL398" s="161"/>
      <c r="DM398" s="161"/>
      <c r="DN398" s="161"/>
      <c r="DO398" s="161"/>
      <c r="DP398" s="161"/>
      <c r="DQ398" s="161"/>
      <c r="DR398" s="161"/>
      <c r="DS398" s="161"/>
      <c r="DT398" s="161"/>
      <c r="DU398" s="161"/>
      <c r="DV398" s="161"/>
      <c r="DW398" s="136"/>
      <c r="DX398" s="136"/>
      <c r="DY398" s="161"/>
      <c r="DZ398" s="161"/>
      <c r="EA398" s="161"/>
      <c r="EB398" s="161"/>
      <c r="EC398" s="161"/>
      <c r="ED398" s="161"/>
      <c r="EE398" s="161"/>
      <c r="EF398" s="161"/>
      <c r="EG398" s="161"/>
      <c r="EH398" s="161"/>
      <c r="EI398" s="161"/>
      <c r="EJ398" s="161"/>
      <c r="EK398" s="136"/>
      <c r="EL398" s="136"/>
      <c r="EM398" s="136"/>
      <c r="EN398" s="136"/>
      <c r="EO398" s="136"/>
      <c r="EP398" s="136"/>
      <c r="EQ398" s="136"/>
      <c r="ER398" s="136"/>
      <c r="ES398" s="161"/>
      <c r="ET398" s="161"/>
      <c r="EU398" s="161"/>
      <c r="EV398" s="161"/>
      <c r="EW398" s="161"/>
      <c r="EX398" s="161"/>
      <c r="EY398" s="136"/>
      <c r="EZ398" s="136"/>
      <c r="FA398" s="161"/>
      <c r="FB398" s="161"/>
      <c r="FC398" s="161"/>
      <c r="FD398" s="161"/>
      <c r="FE398" s="161"/>
      <c r="FF398" s="161"/>
      <c r="FG398" s="161"/>
      <c r="FH398" s="161"/>
      <c r="FI398" s="161"/>
      <c r="FJ398" s="161"/>
      <c r="FK398" s="161"/>
      <c r="FL398" s="161"/>
      <c r="FM398" s="136"/>
      <c r="FN398" s="136"/>
      <c r="FO398" s="161"/>
      <c r="FP398" s="161"/>
      <c r="FQ398" s="161"/>
      <c r="FR398" s="161"/>
      <c r="FS398" s="161"/>
      <c r="FT398" s="161"/>
      <c r="FU398" s="161"/>
      <c r="FV398" s="161"/>
      <c r="FW398" s="161"/>
      <c r="FX398" s="161"/>
      <c r="FY398" s="161"/>
      <c r="FZ398" s="161"/>
      <c r="GA398" s="136"/>
      <c r="GB398" s="136"/>
      <c r="GC398" s="161"/>
      <c r="GD398" s="161"/>
      <c r="GE398" s="161"/>
      <c r="GF398" s="161"/>
      <c r="GG398" s="161"/>
      <c r="GH398" s="161"/>
      <c r="GI398" s="161"/>
      <c r="GJ398" s="161"/>
      <c r="GK398" s="161"/>
      <c r="GL398" s="161"/>
      <c r="GM398" s="161"/>
      <c r="GN398" s="161"/>
    </row>
    <row r="399" spans="1:196">
      <c r="A399" s="162"/>
      <c r="B399" s="142" t="s">
        <v>974</v>
      </c>
      <c r="C399" s="143" t="s">
        <v>719</v>
      </c>
      <c r="D399" s="119"/>
      <c r="E399" s="119"/>
      <c r="F399" s="148"/>
      <c r="G399" s="188">
        <v>17</v>
      </c>
      <c r="H399" s="148"/>
      <c r="I399" s="145" t="s">
        <v>755</v>
      </c>
      <c r="J399" s="146">
        <f t="shared" si="201"/>
        <v>0</v>
      </c>
      <c r="K399" s="147" t="s">
        <v>723</v>
      </c>
      <c r="L399" s="161"/>
      <c r="M399" s="136"/>
      <c r="N399" s="136"/>
      <c r="O399" s="136"/>
      <c r="P399" s="136"/>
      <c r="Q399" s="136"/>
      <c r="R399" s="136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36"/>
      <c r="AD399" s="136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36"/>
      <c r="AR399" s="136"/>
      <c r="AS399" s="161"/>
      <c r="AT399" s="161"/>
      <c r="AU399" s="161"/>
      <c r="AV399" s="161"/>
      <c r="AW399" s="161"/>
      <c r="AX399" s="161"/>
      <c r="AY399" s="161"/>
      <c r="AZ399" s="161"/>
      <c r="BA399" s="161"/>
      <c r="BB399" s="161"/>
      <c r="BC399" s="161"/>
      <c r="BD399" s="161"/>
      <c r="BE399" s="136"/>
      <c r="BF399" s="136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36"/>
      <c r="BT399" s="136"/>
      <c r="BU399" s="161"/>
      <c r="BV399" s="161"/>
      <c r="BW399" s="161"/>
      <c r="BX399" s="161"/>
      <c r="BY399" s="161"/>
      <c r="BZ399" s="161"/>
      <c r="CA399" s="161"/>
      <c r="CB399" s="161"/>
      <c r="CC399" s="161"/>
      <c r="CD399" s="161"/>
      <c r="CE399" s="161"/>
      <c r="CF399" s="161"/>
      <c r="CG399" s="136"/>
      <c r="CH399" s="136"/>
      <c r="CI399" s="161"/>
      <c r="CJ399" s="161"/>
      <c r="CK399" s="161"/>
      <c r="CL399" s="161"/>
      <c r="CM399" s="161"/>
      <c r="CN399" s="161"/>
      <c r="CO399" s="161"/>
      <c r="CP399" s="161"/>
      <c r="CQ399" s="161"/>
      <c r="CR399" s="161"/>
      <c r="CS399" s="161"/>
      <c r="CT399" s="161"/>
      <c r="CU399" s="136"/>
      <c r="CV399" s="136"/>
      <c r="CW399" s="161"/>
      <c r="CX399" s="161"/>
      <c r="CY399" s="161"/>
      <c r="CZ399" s="161"/>
      <c r="DA399" s="161"/>
      <c r="DB399" s="161"/>
      <c r="DC399" s="161"/>
      <c r="DD399" s="161"/>
      <c r="DE399" s="161"/>
      <c r="DF399" s="161"/>
      <c r="DG399" s="161">
        <v>17</v>
      </c>
      <c r="DH399" s="161"/>
      <c r="DI399" s="136"/>
      <c r="DJ399" s="136"/>
      <c r="DK399" s="161"/>
      <c r="DL399" s="161"/>
      <c r="DM399" s="161"/>
      <c r="DN399" s="161"/>
      <c r="DO399" s="161"/>
      <c r="DP399" s="161"/>
      <c r="DQ399" s="161"/>
      <c r="DR399" s="161"/>
      <c r="DS399" s="161"/>
      <c r="DT399" s="161"/>
      <c r="DU399" s="161"/>
      <c r="DV399" s="161"/>
      <c r="DW399" s="136"/>
      <c r="DX399" s="136"/>
      <c r="DY399" s="161"/>
      <c r="DZ399" s="161"/>
      <c r="EA399" s="161"/>
      <c r="EB399" s="161"/>
      <c r="EC399" s="161"/>
      <c r="ED399" s="161"/>
      <c r="EE399" s="161"/>
      <c r="EF399" s="161"/>
      <c r="EG399" s="161"/>
      <c r="EH399" s="161"/>
      <c r="EI399" s="161"/>
      <c r="EJ399" s="161"/>
      <c r="EK399" s="136"/>
      <c r="EL399" s="136"/>
      <c r="EM399" s="136"/>
      <c r="EN399" s="136"/>
      <c r="EO399" s="136"/>
      <c r="EP399" s="136"/>
      <c r="EQ399" s="136"/>
      <c r="ER399" s="136"/>
      <c r="ES399" s="161"/>
      <c r="ET399" s="161"/>
      <c r="EU399" s="161"/>
      <c r="EV399" s="161"/>
      <c r="EW399" s="161"/>
      <c r="EX399" s="161"/>
      <c r="EY399" s="136"/>
      <c r="EZ399" s="136"/>
      <c r="FA399" s="161"/>
      <c r="FB399" s="161"/>
      <c r="FC399" s="161"/>
      <c r="FD399" s="161"/>
      <c r="FE399" s="161"/>
      <c r="FF399" s="161"/>
      <c r="FG399" s="161"/>
      <c r="FH399" s="161"/>
      <c r="FI399" s="161"/>
      <c r="FJ399" s="161"/>
      <c r="FK399" s="161"/>
      <c r="FL399" s="161"/>
      <c r="FM399" s="136"/>
      <c r="FN399" s="136"/>
      <c r="FO399" s="161"/>
      <c r="FP399" s="161"/>
      <c r="FQ399" s="161"/>
      <c r="FR399" s="161"/>
      <c r="FS399" s="161"/>
      <c r="FT399" s="161"/>
      <c r="FU399" s="161"/>
      <c r="FV399" s="161"/>
      <c r="FW399" s="161"/>
      <c r="FX399" s="161"/>
      <c r="FY399" s="161"/>
      <c r="FZ399" s="161"/>
      <c r="GA399" s="136"/>
      <c r="GB399" s="136"/>
      <c r="GC399" s="161"/>
      <c r="GD399" s="161"/>
      <c r="GE399" s="161"/>
      <c r="GF399" s="161"/>
      <c r="GG399" s="161"/>
      <c r="GH399" s="161"/>
      <c r="GI399" s="161"/>
      <c r="GJ399" s="161"/>
      <c r="GK399" s="161"/>
      <c r="GL399" s="161"/>
      <c r="GM399" s="161"/>
      <c r="GN399" s="161"/>
    </row>
    <row r="400" spans="1:196" ht="25">
      <c r="A400" s="162"/>
      <c r="B400" s="142" t="s">
        <v>975</v>
      </c>
      <c r="C400" s="143" t="s">
        <v>803</v>
      </c>
      <c r="D400" s="119"/>
      <c r="E400" s="119"/>
      <c r="F400" s="148"/>
      <c r="G400" s="188">
        <v>10</v>
      </c>
      <c r="H400" s="148"/>
      <c r="I400" s="145" t="s">
        <v>755</v>
      </c>
      <c r="J400" s="146">
        <f t="shared" si="201"/>
        <v>0</v>
      </c>
      <c r="K400" s="147" t="s">
        <v>724</v>
      </c>
      <c r="L400" s="161"/>
      <c r="M400" s="136"/>
      <c r="N400" s="136"/>
      <c r="O400" s="136"/>
      <c r="P400" s="136"/>
      <c r="Q400" s="136"/>
      <c r="R400" s="136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36"/>
      <c r="AD400" s="136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36"/>
      <c r="AR400" s="136"/>
      <c r="AS400" s="161"/>
      <c r="AT400" s="161"/>
      <c r="AU400" s="161"/>
      <c r="AV400" s="161"/>
      <c r="AW400" s="161"/>
      <c r="AX400" s="161"/>
      <c r="AY400" s="161"/>
      <c r="AZ400" s="161"/>
      <c r="BA400" s="161"/>
      <c r="BB400" s="161"/>
      <c r="BC400" s="161"/>
      <c r="BD400" s="161"/>
      <c r="BE400" s="136"/>
      <c r="BF400" s="136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36"/>
      <c r="BT400" s="136"/>
      <c r="BU400" s="161"/>
      <c r="BV400" s="161"/>
      <c r="BW400" s="161"/>
      <c r="BX400" s="161"/>
      <c r="BY400" s="161"/>
      <c r="BZ400" s="161"/>
      <c r="CA400" s="161"/>
      <c r="CB400" s="161"/>
      <c r="CC400" s="161"/>
      <c r="CD400" s="161"/>
      <c r="CE400" s="161"/>
      <c r="CF400" s="161"/>
      <c r="CG400" s="136"/>
      <c r="CH400" s="136"/>
      <c r="CI400" s="161"/>
      <c r="CJ400" s="161"/>
      <c r="CK400" s="161"/>
      <c r="CL400" s="161"/>
      <c r="CM400" s="161"/>
      <c r="CN400" s="161"/>
      <c r="CO400" s="161"/>
      <c r="CP400" s="161"/>
      <c r="CQ400" s="161"/>
      <c r="CR400" s="161"/>
      <c r="CS400" s="161"/>
      <c r="CT400" s="161"/>
      <c r="CU400" s="136"/>
      <c r="CV400" s="136"/>
      <c r="CW400" s="161"/>
      <c r="CX400" s="161"/>
      <c r="CY400" s="161"/>
      <c r="CZ400" s="161"/>
      <c r="DA400" s="161"/>
      <c r="DB400" s="161"/>
      <c r="DC400" s="161"/>
      <c r="DD400" s="161"/>
      <c r="DE400" s="161"/>
      <c r="DF400" s="161"/>
      <c r="DG400" s="161">
        <v>10</v>
      </c>
      <c r="DH400" s="161"/>
      <c r="DI400" s="136"/>
      <c r="DJ400" s="136"/>
      <c r="DK400" s="161"/>
      <c r="DL400" s="161"/>
      <c r="DM400" s="161"/>
      <c r="DN400" s="161"/>
      <c r="DO400" s="161"/>
      <c r="DP400" s="161"/>
      <c r="DQ400" s="161"/>
      <c r="DR400" s="161"/>
      <c r="DS400" s="161"/>
      <c r="DT400" s="161"/>
      <c r="DU400" s="161"/>
      <c r="DV400" s="161"/>
      <c r="DW400" s="136"/>
      <c r="DX400" s="136"/>
      <c r="DY400" s="161"/>
      <c r="DZ400" s="161"/>
      <c r="EA400" s="161"/>
      <c r="EB400" s="161"/>
      <c r="EC400" s="161"/>
      <c r="ED400" s="161"/>
      <c r="EE400" s="161"/>
      <c r="EF400" s="161"/>
      <c r="EG400" s="161"/>
      <c r="EH400" s="161"/>
      <c r="EI400" s="161"/>
      <c r="EJ400" s="161"/>
      <c r="EK400" s="136"/>
      <c r="EL400" s="136"/>
      <c r="EM400" s="136"/>
      <c r="EN400" s="136"/>
      <c r="EO400" s="136"/>
      <c r="EP400" s="136"/>
      <c r="EQ400" s="136"/>
      <c r="ER400" s="136"/>
      <c r="ES400" s="161"/>
      <c r="ET400" s="161"/>
      <c r="EU400" s="161"/>
      <c r="EV400" s="161"/>
      <c r="EW400" s="161"/>
      <c r="EX400" s="161"/>
      <c r="EY400" s="136"/>
      <c r="EZ400" s="136"/>
      <c r="FA400" s="161"/>
      <c r="FB400" s="161"/>
      <c r="FC400" s="161"/>
      <c r="FD400" s="161"/>
      <c r="FE400" s="161"/>
      <c r="FF400" s="161"/>
      <c r="FG400" s="161"/>
      <c r="FH400" s="161"/>
      <c r="FI400" s="161"/>
      <c r="FJ400" s="161"/>
      <c r="FK400" s="161"/>
      <c r="FL400" s="161"/>
      <c r="FM400" s="136"/>
      <c r="FN400" s="136"/>
      <c r="FO400" s="161"/>
      <c r="FP400" s="161"/>
      <c r="FQ400" s="161"/>
      <c r="FR400" s="161"/>
      <c r="FS400" s="161"/>
      <c r="FT400" s="161"/>
      <c r="FU400" s="161"/>
      <c r="FV400" s="161"/>
      <c r="FW400" s="161"/>
      <c r="FX400" s="161"/>
      <c r="FY400" s="161"/>
      <c r="FZ400" s="161"/>
      <c r="GA400" s="136"/>
      <c r="GB400" s="136"/>
      <c r="GC400" s="161"/>
      <c r="GD400" s="161"/>
      <c r="GE400" s="161"/>
      <c r="GF400" s="161"/>
      <c r="GG400" s="161"/>
      <c r="GH400" s="161"/>
      <c r="GI400" s="161"/>
      <c r="GJ400" s="161"/>
      <c r="GK400" s="161"/>
      <c r="GL400" s="161"/>
      <c r="GM400" s="161"/>
      <c r="GN400" s="161"/>
    </row>
    <row r="401" spans="1:196">
      <c r="A401" s="162"/>
      <c r="B401" s="142" t="s">
        <v>976</v>
      </c>
      <c r="C401" s="143" t="s">
        <v>718</v>
      </c>
      <c r="D401" s="119"/>
      <c r="E401" s="119"/>
      <c r="F401" s="148"/>
      <c r="G401" s="188">
        <v>16</v>
      </c>
      <c r="H401" s="148"/>
      <c r="I401" s="145" t="s">
        <v>755</v>
      </c>
      <c r="J401" s="146">
        <f t="shared" si="201"/>
        <v>0</v>
      </c>
      <c r="K401" s="147" t="s">
        <v>722</v>
      </c>
      <c r="L401" s="161"/>
      <c r="M401" s="136"/>
      <c r="N401" s="136"/>
      <c r="O401" s="136"/>
      <c r="P401" s="136"/>
      <c r="Q401" s="136"/>
      <c r="R401" s="136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36"/>
      <c r="AD401" s="136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36"/>
      <c r="AR401" s="136"/>
      <c r="AS401" s="161"/>
      <c r="AT401" s="161"/>
      <c r="AU401" s="161"/>
      <c r="AV401" s="161"/>
      <c r="AW401" s="161"/>
      <c r="AX401" s="161"/>
      <c r="AY401" s="161"/>
      <c r="AZ401" s="161"/>
      <c r="BA401" s="161"/>
      <c r="BB401" s="161"/>
      <c r="BC401" s="161"/>
      <c r="BD401" s="161"/>
      <c r="BE401" s="136"/>
      <c r="BF401" s="136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36"/>
      <c r="BT401" s="136"/>
      <c r="BU401" s="161"/>
      <c r="BV401" s="161"/>
      <c r="BW401" s="161"/>
      <c r="BX401" s="161"/>
      <c r="BY401" s="161"/>
      <c r="BZ401" s="161"/>
      <c r="CA401" s="161"/>
      <c r="CB401" s="161"/>
      <c r="CC401" s="161"/>
      <c r="CD401" s="161"/>
      <c r="CE401" s="161"/>
      <c r="CF401" s="161"/>
      <c r="CG401" s="136"/>
      <c r="CH401" s="136"/>
      <c r="CI401" s="161"/>
      <c r="CJ401" s="161"/>
      <c r="CK401" s="161"/>
      <c r="CL401" s="161"/>
      <c r="CM401" s="161"/>
      <c r="CN401" s="161"/>
      <c r="CO401" s="161"/>
      <c r="CP401" s="161"/>
      <c r="CQ401" s="161"/>
      <c r="CR401" s="161"/>
      <c r="CS401" s="161"/>
      <c r="CT401" s="161"/>
      <c r="CU401" s="136"/>
      <c r="CV401" s="136"/>
      <c r="CW401" s="161"/>
      <c r="CX401" s="161"/>
      <c r="CY401" s="161"/>
      <c r="CZ401" s="161"/>
      <c r="DA401" s="161"/>
      <c r="DB401" s="161"/>
      <c r="DC401" s="161"/>
      <c r="DD401" s="161"/>
      <c r="DE401" s="161"/>
      <c r="DF401" s="161"/>
      <c r="DG401" s="161">
        <v>16</v>
      </c>
      <c r="DH401" s="161"/>
      <c r="DI401" s="136"/>
      <c r="DJ401" s="136"/>
      <c r="DK401" s="161"/>
      <c r="DL401" s="161"/>
      <c r="DM401" s="161"/>
      <c r="DN401" s="161"/>
      <c r="DO401" s="161"/>
      <c r="DP401" s="161"/>
      <c r="DQ401" s="161"/>
      <c r="DR401" s="161"/>
      <c r="DS401" s="161"/>
      <c r="DT401" s="161"/>
      <c r="DU401" s="161"/>
      <c r="DV401" s="161"/>
      <c r="DW401" s="136"/>
      <c r="DX401" s="136"/>
      <c r="DY401" s="161"/>
      <c r="DZ401" s="161"/>
      <c r="EA401" s="161"/>
      <c r="EB401" s="161"/>
      <c r="EC401" s="161"/>
      <c r="ED401" s="161"/>
      <c r="EE401" s="161"/>
      <c r="EF401" s="161"/>
      <c r="EG401" s="161"/>
      <c r="EH401" s="161"/>
      <c r="EI401" s="161"/>
      <c r="EJ401" s="161"/>
      <c r="EK401" s="136"/>
      <c r="EL401" s="136"/>
      <c r="EM401" s="136"/>
      <c r="EN401" s="136"/>
      <c r="EO401" s="136"/>
      <c r="EP401" s="136"/>
      <c r="EQ401" s="136"/>
      <c r="ER401" s="136"/>
      <c r="ES401" s="161"/>
      <c r="ET401" s="161"/>
      <c r="EU401" s="161"/>
      <c r="EV401" s="161"/>
      <c r="EW401" s="161"/>
      <c r="EX401" s="161"/>
      <c r="EY401" s="136"/>
      <c r="EZ401" s="136"/>
      <c r="FA401" s="161"/>
      <c r="FB401" s="161"/>
      <c r="FC401" s="161"/>
      <c r="FD401" s="161"/>
      <c r="FE401" s="161"/>
      <c r="FF401" s="161"/>
      <c r="FG401" s="161"/>
      <c r="FH401" s="161"/>
      <c r="FI401" s="161"/>
      <c r="FJ401" s="161"/>
      <c r="FK401" s="161"/>
      <c r="FL401" s="161"/>
      <c r="FM401" s="136"/>
      <c r="FN401" s="136"/>
      <c r="FO401" s="161"/>
      <c r="FP401" s="161"/>
      <c r="FQ401" s="161"/>
      <c r="FR401" s="161"/>
      <c r="FS401" s="161"/>
      <c r="FT401" s="161"/>
      <c r="FU401" s="161"/>
      <c r="FV401" s="161"/>
      <c r="FW401" s="161"/>
      <c r="FX401" s="161"/>
      <c r="FY401" s="161"/>
      <c r="FZ401" s="161"/>
      <c r="GA401" s="136"/>
      <c r="GB401" s="136"/>
      <c r="GC401" s="161"/>
      <c r="GD401" s="161"/>
      <c r="GE401" s="161"/>
      <c r="GF401" s="161"/>
      <c r="GG401" s="161"/>
      <c r="GH401" s="161"/>
      <c r="GI401" s="161"/>
      <c r="GJ401" s="161"/>
      <c r="GK401" s="161"/>
      <c r="GL401" s="161"/>
      <c r="GM401" s="161"/>
      <c r="GN401" s="161"/>
    </row>
    <row r="402" spans="1:196">
      <c r="A402" s="162"/>
      <c r="B402" s="142" t="s">
        <v>1055</v>
      </c>
      <c r="C402" s="143" t="s">
        <v>717</v>
      </c>
      <c r="D402" s="119"/>
      <c r="E402" s="119"/>
      <c r="F402" s="148"/>
      <c r="G402" s="188">
        <v>150</v>
      </c>
      <c r="H402" s="148"/>
      <c r="I402" s="145" t="s">
        <v>756</v>
      </c>
      <c r="J402" s="146">
        <f t="shared" si="201"/>
        <v>0</v>
      </c>
      <c r="K402" s="147" t="s">
        <v>721</v>
      </c>
      <c r="L402" s="161"/>
      <c r="M402" s="136"/>
      <c r="N402" s="136"/>
      <c r="O402" s="136"/>
      <c r="P402" s="136"/>
      <c r="Q402" s="136"/>
      <c r="R402" s="136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36"/>
      <c r="AD402" s="136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36"/>
      <c r="AR402" s="136"/>
      <c r="AS402" s="161"/>
      <c r="AT402" s="161"/>
      <c r="AU402" s="161"/>
      <c r="AV402" s="161"/>
      <c r="AW402" s="161"/>
      <c r="AX402" s="161"/>
      <c r="AY402" s="161"/>
      <c r="AZ402" s="161"/>
      <c r="BA402" s="161"/>
      <c r="BB402" s="161"/>
      <c r="BC402" s="161"/>
      <c r="BD402" s="161"/>
      <c r="BE402" s="136"/>
      <c r="BF402" s="136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36"/>
      <c r="BT402" s="136"/>
      <c r="BU402" s="161"/>
      <c r="BV402" s="161"/>
      <c r="BW402" s="161"/>
      <c r="BX402" s="161"/>
      <c r="BY402" s="161"/>
      <c r="BZ402" s="161"/>
      <c r="CA402" s="161"/>
      <c r="CB402" s="161"/>
      <c r="CC402" s="161"/>
      <c r="CD402" s="161"/>
      <c r="CE402" s="161"/>
      <c r="CF402" s="161"/>
      <c r="CG402" s="136"/>
      <c r="CH402" s="136"/>
      <c r="CI402" s="161"/>
      <c r="CJ402" s="161"/>
      <c r="CK402" s="161"/>
      <c r="CL402" s="161"/>
      <c r="CM402" s="161"/>
      <c r="CN402" s="161"/>
      <c r="CO402" s="161"/>
      <c r="CP402" s="161"/>
      <c r="CQ402" s="161"/>
      <c r="CR402" s="161"/>
      <c r="CS402" s="161"/>
      <c r="CT402" s="161"/>
      <c r="CU402" s="136"/>
      <c r="CV402" s="136"/>
      <c r="CW402" s="161"/>
      <c r="CX402" s="161"/>
      <c r="CY402" s="161"/>
      <c r="CZ402" s="161"/>
      <c r="DA402" s="161"/>
      <c r="DB402" s="161"/>
      <c r="DC402" s="161"/>
      <c r="DD402" s="161"/>
      <c r="DE402" s="161"/>
      <c r="DF402" s="161"/>
      <c r="DG402" s="161">
        <v>150</v>
      </c>
      <c r="DH402" s="161"/>
      <c r="DI402" s="136"/>
      <c r="DJ402" s="136"/>
      <c r="DK402" s="161"/>
      <c r="DL402" s="161"/>
      <c r="DM402" s="161"/>
      <c r="DN402" s="161"/>
      <c r="DO402" s="161"/>
      <c r="DP402" s="161"/>
      <c r="DQ402" s="161"/>
      <c r="DR402" s="161"/>
      <c r="DS402" s="161"/>
      <c r="DT402" s="161"/>
      <c r="DU402" s="161"/>
      <c r="DV402" s="161"/>
      <c r="DW402" s="136"/>
      <c r="DX402" s="136"/>
      <c r="DY402" s="161"/>
      <c r="DZ402" s="161"/>
      <c r="EA402" s="161"/>
      <c r="EB402" s="161"/>
      <c r="EC402" s="161"/>
      <c r="ED402" s="161"/>
      <c r="EE402" s="161"/>
      <c r="EF402" s="161"/>
      <c r="EG402" s="161"/>
      <c r="EH402" s="161"/>
      <c r="EI402" s="161"/>
      <c r="EJ402" s="161"/>
      <c r="EK402" s="136"/>
      <c r="EL402" s="136"/>
      <c r="EM402" s="136"/>
      <c r="EN402" s="136"/>
      <c r="EO402" s="136"/>
      <c r="EP402" s="136"/>
      <c r="EQ402" s="136"/>
      <c r="ER402" s="136"/>
      <c r="ES402" s="161"/>
      <c r="ET402" s="161"/>
      <c r="EU402" s="161"/>
      <c r="EV402" s="161"/>
      <c r="EW402" s="161"/>
      <c r="EX402" s="161"/>
      <c r="EY402" s="136"/>
      <c r="EZ402" s="136"/>
      <c r="FA402" s="161"/>
      <c r="FB402" s="161"/>
      <c r="FC402" s="161"/>
      <c r="FD402" s="161"/>
      <c r="FE402" s="161"/>
      <c r="FF402" s="161"/>
      <c r="FG402" s="161"/>
      <c r="FH402" s="161"/>
      <c r="FI402" s="161"/>
      <c r="FJ402" s="161"/>
      <c r="FK402" s="161"/>
      <c r="FL402" s="161"/>
      <c r="FM402" s="136"/>
      <c r="FN402" s="136"/>
      <c r="FO402" s="161"/>
      <c r="FP402" s="161"/>
      <c r="FQ402" s="161"/>
      <c r="FR402" s="161"/>
      <c r="FS402" s="161"/>
      <c r="FT402" s="161"/>
      <c r="FU402" s="161"/>
      <c r="FV402" s="161"/>
      <c r="FW402" s="161"/>
      <c r="FX402" s="161"/>
      <c r="FY402" s="161"/>
      <c r="FZ402" s="161"/>
      <c r="GA402" s="136"/>
      <c r="GB402" s="136"/>
      <c r="GC402" s="161"/>
      <c r="GD402" s="161"/>
      <c r="GE402" s="161"/>
      <c r="GF402" s="161"/>
      <c r="GG402" s="161"/>
      <c r="GH402" s="161"/>
      <c r="GI402" s="161"/>
      <c r="GJ402" s="161"/>
      <c r="GK402" s="161"/>
      <c r="GL402" s="161"/>
      <c r="GM402" s="161"/>
      <c r="GN402" s="161"/>
    </row>
    <row r="403" spans="1:196">
      <c r="A403" s="162"/>
      <c r="B403" s="142" t="s">
        <v>1056</v>
      </c>
      <c r="C403" s="143" t="s">
        <v>719</v>
      </c>
      <c r="D403" s="119"/>
      <c r="E403" s="119"/>
      <c r="F403" s="148"/>
      <c r="G403" s="188">
        <v>72</v>
      </c>
      <c r="H403" s="148"/>
      <c r="I403" s="145" t="s">
        <v>756</v>
      </c>
      <c r="J403" s="146">
        <f t="shared" si="201"/>
        <v>0</v>
      </c>
      <c r="K403" s="147" t="s">
        <v>723</v>
      </c>
      <c r="L403" s="161"/>
      <c r="M403" s="136"/>
      <c r="N403" s="136"/>
      <c r="O403" s="136"/>
      <c r="P403" s="136"/>
      <c r="Q403" s="136"/>
      <c r="R403" s="136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36"/>
      <c r="AD403" s="136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36"/>
      <c r="AR403" s="136"/>
      <c r="AS403" s="161"/>
      <c r="AT403" s="161"/>
      <c r="AU403" s="161"/>
      <c r="AV403" s="161"/>
      <c r="AW403" s="161"/>
      <c r="AX403" s="161"/>
      <c r="AY403" s="161"/>
      <c r="AZ403" s="161"/>
      <c r="BA403" s="161"/>
      <c r="BB403" s="161"/>
      <c r="BC403" s="161"/>
      <c r="BD403" s="161"/>
      <c r="BE403" s="136"/>
      <c r="BF403" s="136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36"/>
      <c r="BT403" s="136"/>
      <c r="BU403" s="161"/>
      <c r="BV403" s="161"/>
      <c r="BW403" s="161"/>
      <c r="BX403" s="161"/>
      <c r="BY403" s="161"/>
      <c r="BZ403" s="161"/>
      <c r="CA403" s="161"/>
      <c r="CB403" s="161"/>
      <c r="CC403" s="161"/>
      <c r="CD403" s="161"/>
      <c r="CE403" s="161"/>
      <c r="CF403" s="161"/>
      <c r="CG403" s="136"/>
      <c r="CH403" s="136"/>
      <c r="CI403" s="161"/>
      <c r="CJ403" s="161"/>
      <c r="CK403" s="161"/>
      <c r="CL403" s="161"/>
      <c r="CM403" s="161"/>
      <c r="CN403" s="161"/>
      <c r="CO403" s="161"/>
      <c r="CP403" s="161"/>
      <c r="CQ403" s="161"/>
      <c r="CR403" s="161"/>
      <c r="CS403" s="161"/>
      <c r="CT403" s="161"/>
      <c r="CU403" s="136"/>
      <c r="CV403" s="136"/>
      <c r="CW403" s="161"/>
      <c r="CX403" s="161"/>
      <c r="CY403" s="161"/>
      <c r="CZ403" s="161"/>
      <c r="DA403" s="161"/>
      <c r="DB403" s="161"/>
      <c r="DC403" s="161"/>
      <c r="DD403" s="161"/>
      <c r="DE403" s="161"/>
      <c r="DF403" s="161"/>
      <c r="DG403" s="161">
        <v>72</v>
      </c>
      <c r="DH403" s="161"/>
      <c r="DI403" s="136"/>
      <c r="DJ403" s="136"/>
      <c r="DK403" s="161"/>
      <c r="DL403" s="161"/>
      <c r="DM403" s="161"/>
      <c r="DN403" s="161"/>
      <c r="DO403" s="161"/>
      <c r="DP403" s="161"/>
      <c r="DQ403" s="161"/>
      <c r="DR403" s="161"/>
      <c r="DS403" s="161"/>
      <c r="DT403" s="161"/>
      <c r="DU403" s="161"/>
      <c r="DV403" s="161"/>
      <c r="DW403" s="136"/>
      <c r="DX403" s="136"/>
      <c r="DY403" s="161"/>
      <c r="DZ403" s="161"/>
      <c r="EA403" s="161"/>
      <c r="EB403" s="161"/>
      <c r="EC403" s="161"/>
      <c r="ED403" s="161"/>
      <c r="EE403" s="161"/>
      <c r="EF403" s="161"/>
      <c r="EG403" s="161"/>
      <c r="EH403" s="161"/>
      <c r="EI403" s="161"/>
      <c r="EJ403" s="161"/>
      <c r="EK403" s="136"/>
      <c r="EL403" s="136"/>
      <c r="EM403" s="136"/>
      <c r="EN403" s="136"/>
      <c r="EO403" s="136"/>
      <c r="EP403" s="136"/>
      <c r="EQ403" s="136"/>
      <c r="ER403" s="136"/>
      <c r="ES403" s="161"/>
      <c r="ET403" s="161"/>
      <c r="EU403" s="161"/>
      <c r="EV403" s="161"/>
      <c r="EW403" s="161"/>
      <c r="EX403" s="161"/>
      <c r="EY403" s="136"/>
      <c r="EZ403" s="136"/>
      <c r="FA403" s="161"/>
      <c r="FB403" s="161"/>
      <c r="FC403" s="161"/>
      <c r="FD403" s="161"/>
      <c r="FE403" s="161"/>
      <c r="FF403" s="161"/>
      <c r="FG403" s="161"/>
      <c r="FH403" s="161"/>
      <c r="FI403" s="161"/>
      <c r="FJ403" s="161"/>
      <c r="FK403" s="161"/>
      <c r="FL403" s="161"/>
      <c r="FM403" s="136"/>
      <c r="FN403" s="136"/>
      <c r="FO403" s="161"/>
      <c r="FP403" s="161"/>
      <c r="FQ403" s="161"/>
      <c r="FR403" s="161"/>
      <c r="FS403" s="161"/>
      <c r="FT403" s="161"/>
      <c r="FU403" s="161"/>
      <c r="FV403" s="161"/>
      <c r="FW403" s="161"/>
      <c r="FX403" s="161"/>
      <c r="FY403" s="161"/>
      <c r="FZ403" s="161"/>
      <c r="GA403" s="136"/>
      <c r="GB403" s="136"/>
      <c r="GC403" s="161"/>
      <c r="GD403" s="161"/>
      <c r="GE403" s="161"/>
      <c r="GF403" s="161"/>
      <c r="GG403" s="161"/>
      <c r="GH403" s="161"/>
      <c r="GI403" s="161"/>
      <c r="GJ403" s="161"/>
      <c r="GK403" s="161"/>
      <c r="GL403" s="161"/>
      <c r="GM403" s="161"/>
      <c r="GN403" s="161"/>
    </row>
    <row r="404" spans="1:196" ht="25">
      <c r="A404" s="162"/>
      <c r="B404" s="142" t="s">
        <v>1057</v>
      </c>
      <c r="C404" s="143" t="s">
        <v>803</v>
      </c>
      <c r="D404" s="119"/>
      <c r="E404" s="119"/>
      <c r="F404" s="148"/>
      <c r="G404" s="188">
        <v>104</v>
      </c>
      <c r="H404" s="148"/>
      <c r="I404" s="145" t="s">
        <v>756</v>
      </c>
      <c r="J404" s="146">
        <f t="shared" si="201"/>
        <v>0</v>
      </c>
      <c r="K404" s="147" t="s">
        <v>724</v>
      </c>
      <c r="L404" s="161"/>
      <c r="M404" s="136"/>
      <c r="N404" s="136"/>
      <c r="O404" s="136"/>
      <c r="P404" s="136"/>
      <c r="Q404" s="136"/>
      <c r="R404" s="136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36"/>
      <c r="AD404" s="136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36"/>
      <c r="AR404" s="136"/>
      <c r="AS404" s="161"/>
      <c r="AT404" s="161"/>
      <c r="AU404" s="161"/>
      <c r="AV404" s="161"/>
      <c r="AW404" s="161"/>
      <c r="AX404" s="161"/>
      <c r="AY404" s="161"/>
      <c r="AZ404" s="161"/>
      <c r="BA404" s="161"/>
      <c r="BB404" s="161"/>
      <c r="BC404" s="161"/>
      <c r="BD404" s="161"/>
      <c r="BE404" s="136"/>
      <c r="BF404" s="136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36"/>
      <c r="BT404" s="136"/>
      <c r="BU404" s="161"/>
      <c r="BV404" s="161"/>
      <c r="BW404" s="161"/>
      <c r="BX404" s="161"/>
      <c r="BY404" s="161"/>
      <c r="BZ404" s="161"/>
      <c r="CA404" s="161"/>
      <c r="CB404" s="161"/>
      <c r="CC404" s="161"/>
      <c r="CD404" s="161"/>
      <c r="CE404" s="161"/>
      <c r="CF404" s="161"/>
      <c r="CG404" s="136"/>
      <c r="CH404" s="136"/>
      <c r="CI404" s="161"/>
      <c r="CJ404" s="161"/>
      <c r="CK404" s="161"/>
      <c r="CL404" s="161"/>
      <c r="CM404" s="161"/>
      <c r="CN404" s="161"/>
      <c r="CO404" s="161"/>
      <c r="CP404" s="161"/>
      <c r="CQ404" s="161"/>
      <c r="CR404" s="161"/>
      <c r="CS404" s="161"/>
      <c r="CT404" s="161"/>
      <c r="CU404" s="136"/>
      <c r="CV404" s="136"/>
      <c r="CW404" s="161"/>
      <c r="CX404" s="161"/>
      <c r="CY404" s="161"/>
      <c r="CZ404" s="161"/>
      <c r="DA404" s="161"/>
      <c r="DB404" s="161"/>
      <c r="DC404" s="161"/>
      <c r="DD404" s="161"/>
      <c r="DE404" s="161"/>
      <c r="DF404" s="161"/>
      <c r="DG404" s="161">
        <v>104</v>
      </c>
      <c r="DH404" s="161"/>
      <c r="DI404" s="136"/>
      <c r="DJ404" s="136"/>
      <c r="DK404" s="161"/>
      <c r="DL404" s="161"/>
      <c r="DM404" s="161"/>
      <c r="DN404" s="161"/>
      <c r="DO404" s="161"/>
      <c r="DP404" s="161"/>
      <c r="DQ404" s="161"/>
      <c r="DR404" s="161"/>
      <c r="DS404" s="161"/>
      <c r="DT404" s="161"/>
      <c r="DU404" s="161"/>
      <c r="DV404" s="161"/>
      <c r="DW404" s="136"/>
      <c r="DX404" s="136"/>
      <c r="DY404" s="161"/>
      <c r="DZ404" s="161"/>
      <c r="EA404" s="161"/>
      <c r="EB404" s="161"/>
      <c r="EC404" s="161"/>
      <c r="ED404" s="161"/>
      <c r="EE404" s="161"/>
      <c r="EF404" s="161"/>
      <c r="EG404" s="161"/>
      <c r="EH404" s="161"/>
      <c r="EI404" s="161"/>
      <c r="EJ404" s="161"/>
      <c r="EK404" s="136"/>
      <c r="EL404" s="136"/>
      <c r="EM404" s="136"/>
      <c r="EN404" s="136"/>
      <c r="EO404" s="136"/>
      <c r="EP404" s="136"/>
      <c r="EQ404" s="136"/>
      <c r="ER404" s="136"/>
      <c r="ES404" s="161"/>
      <c r="ET404" s="161"/>
      <c r="EU404" s="161"/>
      <c r="EV404" s="161"/>
      <c r="EW404" s="161"/>
      <c r="EX404" s="161"/>
      <c r="EY404" s="136"/>
      <c r="EZ404" s="136"/>
      <c r="FA404" s="161"/>
      <c r="FB404" s="161"/>
      <c r="FC404" s="161"/>
      <c r="FD404" s="161"/>
      <c r="FE404" s="161"/>
      <c r="FF404" s="161"/>
      <c r="FG404" s="161"/>
      <c r="FH404" s="161"/>
      <c r="FI404" s="161"/>
      <c r="FJ404" s="161"/>
      <c r="FK404" s="161"/>
      <c r="FL404" s="161"/>
      <c r="FM404" s="136"/>
      <c r="FN404" s="136"/>
      <c r="FO404" s="161"/>
      <c r="FP404" s="161"/>
      <c r="FQ404" s="161"/>
      <c r="FR404" s="161"/>
      <c r="FS404" s="161"/>
      <c r="FT404" s="161"/>
      <c r="FU404" s="161"/>
      <c r="FV404" s="161"/>
      <c r="FW404" s="161"/>
      <c r="FX404" s="161"/>
      <c r="FY404" s="161"/>
      <c r="FZ404" s="161"/>
      <c r="GA404" s="136"/>
      <c r="GB404" s="136"/>
      <c r="GC404" s="161"/>
      <c r="GD404" s="161"/>
      <c r="GE404" s="161"/>
      <c r="GF404" s="161"/>
      <c r="GG404" s="161"/>
      <c r="GH404" s="161"/>
      <c r="GI404" s="161"/>
      <c r="GJ404" s="161"/>
      <c r="GK404" s="161"/>
      <c r="GL404" s="161"/>
      <c r="GM404" s="161"/>
      <c r="GN404" s="161"/>
    </row>
    <row r="405" spans="1:196">
      <c r="A405" s="162"/>
      <c r="B405" s="142" t="s">
        <v>1058</v>
      </c>
      <c r="C405" s="143" t="s">
        <v>718</v>
      </c>
      <c r="D405" s="119"/>
      <c r="E405" s="119"/>
      <c r="F405" s="148"/>
      <c r="G405" s="188">
        <v>84</v>
      </c>
      <c r="H405" s="148"/>
      <c r="I405" s="145" t="s">
        <v>756</v>
      </c>
      <c r="J405" s="146">
        <f t="shared" si="201"/>
        <v>0</v>
      </c>
      <c r="K405" s="147" t="s">
        <v>722</v>
      </c>
      <c r="L405" s="161"/>
      <c r="M405" s="136"/>
      <c r="N405" s="136"/>
      <c r="O405" s="136"/>
      <c r="P405" s="136"/>
      <c r="Q405" s="136"/>
      <c r="R405" s="136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36"/>
      <c r="AD405" s="136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36"/>
      <c r="AR405" s="136"/>
      <c r="AS405" s="161"/>
      <c r="AT405" s="161"/>
      <c r="AU405" s="161"/>
      <c r="AV405" s="161"/>
      <c r="AW405" s="161"/>
      <c r="AX405" s="161"/>
      <c r="AY405" s="161"/>
      <c r="AZ405" s="161"/>
      <c r="BA405" s="161"/>
      <c r="BB405" s="161"/>
      <c r="BC405" s="161"/>
      <c r="BD405" s="161"/>
      <c r="BE405" s="136"/>
      <c r="BF405" s="136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36"/>
      <c r="BT405" s="136"/>
      <c r="BU405" s="161"/>
      <c r="BV405" s="161"/>
      <c r="BW405" s="161"/>
      <c r="BX405" s="161"/>
      <c r="BY405" s="161"/>
      <c r="BZ405" s="161"/>
      <c r="CA405" s="161"/>
      <c r="CB405" s="161"/>
      <c r="CC405" s="161"/>
      <c r="CD405" s="161"/>
      <c r="CE405" s="161"/>
      <c r="CF405" s="161"/>
      <c r="CG405" s="136"/>
      <c r="CH405" s="136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36"/>
      <c r="CV405" s="136"/>
      <c r="CW405" s="161"/>
      <c r="CX405" s="161"/>
      <c r="CY405" s="161"/>
      <c r="CZ405" s="161"/>
      <c r="DA405" s="161"/>
      <c r="DB405" s="161"/>
      <c r="DC405" s="161"/>
      <c r="DD405" s="161"/>
      <c r="DE405" s="161"/>
      <c r="DF405" s="161"/>
      <c r="DG405" s="161">
        <v>84</v>
      </c>
      <c r="DH405" s="161"/>
      <c r="DI405" s="136"/>
      <c r="DJ405" s="136"/>
      <c r="DK405" s="161"/>
      <c r="DL405" s="161"/>
      <c r="DM405" s="161"/>
      <c r="DN405" s="161"/>
      <c r="DO405" s="161"/>
      <c r="DP405" s="161"/>
      <c r="DQ405" s="161"/>
      <c r="DR405" s="161"/>
      <c r="DS405" s="161"/>
      <c r="DT405" s="161"/>
      <c r="DU405" s="161"/>
      <c r="DV405" s="161"/>
      <c r="DW405" s="136"/>
      <c r="DX405" s="136"/>
      <c r="DY405" s="161"/>
      <c r="DZ405" s="161"/>
      <c r="EA405" s="161"/>
      <c r="EB405" s="161"/>
      <c r="EC405" s="161"/>
      <c r="ED405" s="161"/>
      <c r="EE405" s="161"/>
      <c r="EF405" s="161"/>
      <c r="EG405" s="161"/>
      <c r="EH405" s="161"/>
      <c r="EI405" s="161"/>
      <c r="EJ405" s="161"/>
      <c r="EK405" s="136"/>
      <c r="EL405" s="136"/>
      <c r="EM405" s="136"/>
      <c r="EN405" s="136"/>
      <c r="EO405" s="136"/>
      <c r="EP405" s="136"/>
      <c r="EQ405" s="136"/>
      <c r="ER405" s="136"/>
      <c r="ES405" s="161"/>
      <c r="ET405" s="161"/>
      <c r="EU405" s="161"/>
      <c r="EV405" s="161"/>
      <c r="EW405" s="161"/>
      <c r="EX405" s="161"/>
      <c r="EY405" s="136"/>
      <c r="EZ405" s="136"/>
      <c r="FA405" s="161"/>
      <c r="FB405" s="161"/>
      <c r="FC405" s="161"/>
      <c r="FD405" s="161"/>
      <c r="FE405" s="161"/>
      <c r="FF405" s="161"/>
      <c r="FG405" s="161"/>
      <c r="FH405" s="161"/>
      <c r="FI405" s="161"/>
      <c r="FJ405" s="161"/>
      <c r="FK405" s="161"/>
      <c r="FL405" s="161"/>
      <c r="FM405" s="136"/>
      <c r="FN405" s="136"/>
      <c r="FO405" s="161"/>
      <c r="FP405" s="161"/>
      <c r="FQ405" s="161"/>
      <c r="FR405" s="161"/>
      <c r="FS405" s="161"/>
      <c r="FT405" s="161"/>
      <c r="FU405" s="161"/>
      <c r="FV405" s="161"/>
      <c r="FW405" s="161"/>
      <c r="FX405" s="161"/>
      <c r="FY405" s="161"/>
      <c r="FZ405" s="161"/>
      <c r="GA405" s="136"/>
      <c r="GB405" s="136"/>
      <c r="GC405" s="161"/>
      <c r="GD405" s="161"/>
      <c r="GE405" s="161"/>
      <c r="GF405" s="161"/>
      <c r="GG405" s="161"/>
      <c r="GH405" s="161"/>
      <c r="GI405" s="161"/>
      <c r="GJ405" s="161"/>
      <c r="GK405" s="161"/>
      <c r="GL405" s="161"/>
      <c r="GM405" s="161"/>
      <c r="GN405" s="161"/>
    </row>
    <row r="406" spans="1:196">
      <c r="A406" s="162"/>
      <c r="B406" s="178" t="s">
        <v>1133</v>
      </c>
      <c r="C406" s="109" t="s">
        <v>639</v>
      </c>
      <c r="D406" s="119"/>
      <c r="E406" s="119"/>
      <c r="F406" s="107"/>
      <c r="G406" s="115">
        <v>205</v>
      </c>
      <c r="H406" s="6"/>
      <c r="I406" s="125">
        <v>46242</v>
      </c>
      <c r="J406" s="13">
        <f t="shared" si="201"/>
        <v>0</v>
      </c>
      <c r="K406" s="141"/>
      <c r="L406" s="161"/>
      <c r="M406" s="136"/>
      <c r="N406" s="136"/>
      <c r="O406" s="136"/>
      <c r="P406" s="136"/>
      <c r="Q406" s="136"/>
      <c r="R406" s="136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36"/>
      <c r="AD406" s="136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36"/>
      <c r="AR406" s="136"/>
      <c r="AS406" s="161"/>
      <c r="AT406" s="161"/>
      <c r="AU406" s="161"/>
      <c r="AV406" s="161"/>
      <c r="AW406" s="161"/>
      <c r="AX406" s="161"/>
      <c r="AY406" s="161"/>
      <c r="AZ406" s="161"/>
      <c r="BA406" s="161"/>
      <c r="BB406" s="161"/>
      <c r="BC406" s="161"/>
      <c r="BD406" s="161"/>
      <c r="BE406" s="136"/>
      <c r="BF406" s="136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36"/>
      <c r="BT406" s="136"/>
      <c r="BU406" s="161"/>
      <c r="BV406" s="161"/>
      <c r="BW406" s="161"/>
      <c r="BX406" s="161"/>
      <c r="BY406" s="161"/>
      <c r="BZ406" s="161"/>
      <c r="CA406" s="161"/>
      <c r="CB406" s="161"/>
      <c r="CC406" s="161"/>
      <c r="CD406" s="161"/>
      <c r="CE406" s="161"/>
      <c r="CF406" s="161"/>
      <c r="CG406" s="136"/>
      <c r="CH406" s="136"/>
      <c r="CI406" s="161"/>
      <c r="CJ406" s="161"/>
      <c r="CK406" s="161"/>
      <c r="CL406" s="161"/>
      <c r="CM406" s="161"/>
      <c r="CN406" s="161"/>
      <c r="CO406" s="161"/>
      <c r="CP406" s="161">
        <v>16</v>
      </c>
      <c r="CQ406" s="161">
        <v>130</v>
      </c>
      <c r="CR406" s="161">
        <v>59</v>
      </c>
      <c r="CS406" s="161"/>
      <c r="CT406" s="161"/>
      <c r="CU406" s="136"/>
      <c r="CV406" s="136"/>
      <c r="CW406" s="161"/>
      <c r="CX406" s="161"/>
      <c r="CY406" s="161"/>
      <c r="CZ406" s="161"/>
      <c r="DA406" s="161"/>
      <c r="DB406" s="161"/>
      <c r="DC406" s="161"/>
      <c r="DD406" s="161"/>
      <c r="DE406" s="161"/>
      <c r="DF406" s="161"/>
      <c r="DG406" s="161"/>
      <c r="DH406" s="161"/>
      <c r="DI406" s="136"/>
      <c r="DJ406" s="136"/>
      <c r="DK406" s="161"/>
      <c r="DL406" s="161"/>
      <c r="DM406" s="161"/>
      <c r="DN406" s="161"/>
      <c r="DO406" s="161"/>
      <c r="DP406" s="161"/>
      <c r="DQ406" s="161"/>
      <c r="DR406" s="161"/>
      <c r="DS406" s="161"/>
      <c r="DT406" s="161"/>
      <c r="DU406" s="161"/>
      <c r="DV406" s="161"/>
      <c r="DW406" s="136"/>
      <c r="DX406" s="136"/>
      <c r="DY406" s="161"/>
      <c r="DZ406" s="161"/>
      <c r="EA406" s="161"/>
      <c r="EB406" s="161"/>
      <c r="EC406" s="161"/>
      <c r="ED406" s="161"/>
      <c r="EE406" s="161"/>
      <c r="EF406" s="161"/>
      <c r="EG406" s="161"/>
      <c r="EH406" s="161"/>
      <c r="EI406" s="161"/>
      <c r="EJ406" s="161"/>
      <c r="EK406" s="136"/>
      <c r="EL406" s="136"/>
      <c r="EM406" s="136"/>
      <c r="EN406" s="136"/>
      <c r="EO406" s="136"/>
      <c r="EP406" s="136"/>
      <c r="EQ406" s="136"/>
      <c r="ER406" s="136"/>
      <c r="ES406" s="161"/>
      <c r="ET406" s="161"/>
      <c r="EU406" s="161"/>
      <c r="EV406" s="161"/>
      <c r="EW406" s="161"/>
      <c r="EX406" s="161"/>
      <c r="EY406" s="136"/>
      <c r="EZ406" s="136"/>
      <c r="FA406" s="161"/>
      <c r="FB406" s="161"/>
      <c r="FC406" s="161"/>
      <c r="FD406" s="161"/>
      <c r="FE406" s="161"/>
      <c r="FF406" s="161"/>
      <c r="FG406" s="161"/>
      <c r="FH406" s="161"/>
      <c r="FI406" s="161"/>
      <c r="FJ406" s="161"/>
      <c r="FK406" s="161"/>
      <c r="FL406" s="161"/>
      <c r="FM406" s="136"/>
      <c r="FN406" s="136"/>
      <c r="FO406" s="161"/>
      <c r="FP406" s="161"/>
      <c r="FQ406" s="161"/>
      <c r="FR406" s="161"/>
      <c r="FS406" s="161"/>
      <c r="FT406" s="161"/>
      <c r="FU406" s="161"/>
      <c r="FV406" s="161"/>
      <c r="FW406" s="161"/>
      <c r="FX406" s="161"/>
      <c r="FY406" s="161"/>
      <c r="FZ406" s="161"/>
      <c r="GA406" s="136"/>
      <c r="GB406" s="136"/>
      <c r="GC406" s="161"/>
      <c r="GD406" s="161"/>
      <c r="GE406" s="161"/>
      <c r="GF406" s="161"/>
      <c r="GG406" s="161"/>
      <c r="GH406" s="161"/>
      <c r="GI406" s="161"/>
      <c r="GJ406" s="161"/>
      <c r="GK406" s="161"/>
      <c r="GL406" s="161"/>
      <c r="GM406" s="161"/>
      <c r="GN406" s="161"/>
    </row>
    <row r="407" spans="1:196">
      <c r="A407" s="162"/>
      <c r="B407" s="178" t="s">
        <v>1013</v>
      </c>
      <c r="C407" s="109" t="s">
        <v>638</v>
      </c>
      <c r="D407" s="119"/>
      <c r="E407" s="119"/>
      <c r="F407" s="107"/>
      <c r="G407" s="115">
        <v>1400</v>
      </c>
      <c r="H407" s="6"/>
      <c r="I407" s="125">
        <v>46242</v>
      </c>
      <c r="J407" s="13">
        <f t="shared" si="201"/>
        <v>0</v>
      </c>
      <c r="K407" s="141"/>
      <c r="L407" s="161"/>
      <c r="M407" s="136"/>
      <c r="N407" s="136"/>
      <c r="O407" s="136"/>
      <c r="P407" s="136"/>
      <c r="Q407" s="136"/>
      <c r="R407" s="136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36"/>
      <c r="AD407" s="136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36"/>
      <c r="AR407" s="136"/>
      <c r="AS407" s="161"/>
      <c r="AT407" s="161"/>
      <c r="AU407" s="161"/>
      <c r="AV407" s="161"/>
      <c r="AW407" s="161"/>
      <c r="AX407" s="161"/>
      <c r="AY407" s="161"/>
      <c r="AZ407" s="161"/>
      <c r="BA407" s="161"/>
      <c r="BB407" s="161"/>
      <c r="BC407" s="161"/>
      <c r="BD407" s="161"/>
      <c r="BE407" s="136"/>
      <c r="BF407" s="136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36"/>
      <c r="BT407" s="136"/>
      <c r="BU407" s="161"/>
      <c r="BV407" s="161"/>
      <c r="BW407" s="161"/>
      <c r="BX407" s="161"/>
      <c r="BY407" s="161"/>
      <c r="BZ407" s="161"/>
      <c r="CA407" s="161"/>
      <c r="CB407" s="161"/>
      <c r="CC407" s="161"/>
      <c r="CD407" s="161"/>
      <c r="CE407" s="161"/>
      <c r="CF407" s="161"/>
      <c r="CG407" s="136"/>
      <c r="CH407" s="136"/>
      <c r="CI407" s="161"/>
      <c r="CJ407" s="161"/>
      <c r="CK407" s="161"/>
      <c r="CL407" s="161"/>
      <c r="CM407" s="161"/>
      <c r="CN407" s="161"/>
      <c r="CO407" s="161"/>
      <c r="CP407" s="161"/>
      <c r="CQ407" s="161"/>
      <c r="CR407" s="161">
        <v>71</v>
      </c>
      <c r="CS407" s="161">
        <v>130</v>
      </c>
      <c r="CT407" s="161">
        <v>130</v>
      </c>
      <c r="CU407" s="136"/>
      <c r="CV407" s="136"/>
      <c r="CW407" s="161">
        <v>150</v>
      </c>
      <c r="CX407" s="161">
        <v>150</v>
      </c>
      <c r="CY407" s="161">
        <v>150</v>
      </c>
      <c r="CZ407" s="161">
        <v>150</v>
      </c>
      <c r="DA407" s="161">
        <v>150</v>
      </c>
      <c r="DB407" s="161">
        <v>150</v>
      </c>
      <c r="DC407" s="161">
        <v>150</v>
      </c>
      <c r="DD407" s="161">
        <v>19</v>
      </c>
      <c r="DE407" s="161"/>
      <c r="DF407" s="161"/>
      <c r="DG407" s="161"/>
      <c r="DH407" s="161"/>
      <c r="DI407" s="136"/>
      <c r="DJ407" s="136"/>
      <c r="DK407" s="161"/>
      <c r="DL407" s="161"/>
      <c r="DM407" s="161"/>
      <c r="DN407" s="161"/>
      <c r="DO407" s="161"/>
      <c r="DP407" s="161"/>
      <c r="DQ407" s="161"/>
      <c r="DR407" s="161"/>
      <c r="DS407" s="161"/>
      <c r="DT407" s="161"/>
      <c r="DU407" s="161"/>
      <c r="DV407" s="161"/>
      <c r="DW407" s="136"/>
      <c r="DX407" s="136"/>
      <c r="DY407" s="161"/>
      <c r="DZ407" s="161"/>
      <c r="EA407" s="161"/>
      <c r="EB407" s="161"/>
      <c r="EC407" s="161"/>
      <c r="ED407" s="161"/>
      <c r="EE407" s="161"/>
      <c r="EF407" s="161"/>
      <c r="EG407" s="161"/>
      <c r="EH407" s="161"/>
      <c r="EI407" s="161"/>
      <c r="EJ407" s="161"/>
      <c r="EK407" s="136"/>
      <c r="EL407" s="136"/>
      <c r="EM407" s="136"/>
      <c r="EN407" s="136"/>
      <c r="EO407" s="136"/>
      <c r="EP407" s="136"/>
      <c r="EQ407" s="136"/>
      <c r="ER407" s="136"/>
      <c r="ES407" s="161"/>
      <c r="ET407" s="161"/>
      <c r="EU407" s="161"/>
      <c r="EV407" s="161"/>
      <c r="EW407" s="161"/>
      <c r="EX407" s="161"/>
      <c r="EY407" s="136"/>
      <c r="EZ407" s="136"/>
      <c r="FA407" s="161"/>
      <c r="FB407" s="161"/>
      <c r="FC407" s="161"/>
      <c r="FD407" s="161"/>
      <c r="FE407" s="161"/>
      <c r="FF407" s="161"/>
      <c r="FG407" s="161"/>
      <c r="FH407" s="161"/>
      <c r="FI407" s="161"/>
      <c r="FJ407" s="161"/>
      <c r="FK407" s="161"/>
      <c r="FL407" s="161"/>
      <c r="FM407" s="136"/>
      <c r="FN407" s="136"/>
      <c r="FO407" s="161"/>
      <c r="FP407" s="161"/>
      <c r="FQ407" s="161"/>
      <c r="FR407" s="161"/>
      <c r="FS407" s="161"/>
      <c r="FT407" s="161"/>
      <c r="FU407" s="161"/>
      <c r="FV407" s="161"/>
      <c r="FW407" s="161"/>
      <c r="FX407" s="161"/>
      <c r="FY407" s="161"/>
      <c r="FZ407" s="161"/>
      <c r="GA407" s="136"/>
      <c r="GB407" s="136"/>
      <c r="GC407" s="161"/>
      <c r="GD407" s="161"/>
      <c r="GE407" s="161"/>
      <c r="GF407" s="161"/>
      <c r="GG407" s="161"/>
      <c r="GH407" s="161"/>
      <c r="GI407" s="161"/>
      <c r="GJ407" s="161"/>
      <c r="GK407" s="161"/>
      <c r="GL407" s="161"/>
      <c r="GM407" s="161"/>
      <c r="GN407" s="161"/>
    </row>
    <row r="408" spans="1:196">
      <c r="A408" s="162"/>
      <c r="B408" s="126" t="s">
        <v>1074</v>
      </c>
      <c r="C408" s="109" t="s">
        <v>636</v>
      </c>
      <c r="D408" s="119"/>
      <c r="E408" s="119"/>
      <c r="F408" s="107"/>
      <c r="G408" s="115">
        <v>400</v>
      </c>
      <c r="H408" s="6"/>
      <c r="I408" s="125">
        <v>46242</v>
      </c>
      <c r="J408" s="13">
        <f t="shared" ref="J408:J463" si="202">G408-SUM(L408:FL408)</f>
        <v>0</v>
      </c>
      <c r="K408" s="141"/>
      <c r="L408" s="161"/>
      <c r="M408" s="136"/>
      <c r="N408" s="136"/>
      <c r="O408" s="136"/>
      <c r="P408" s="136"/>
      <c r="Q408" s="136"/>
      <c r="R408" s="136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36"/>
      <c r="AD408" s="136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36"/>
      <c r="AR408" s="136"/>
      <c r="AS408" s="161"/>
      <c r="AT408" s="161"/>
      <c r="AU408" s="161"/>
      <c r="AV408" s="161"/>
      <c r="AW408" s="161"/>
      <c r="AX408" s="161"/>
      <c r="AY408" s="161"/>
      <c r="AZ408" s="161"/>
      <c r="BA408" s="161"/>
      <c r="BB408" s="161"/>
      <c r="BC408" s="161"/>
      <c r="BD408" s="161"/>
      <c r="BE408" s="136"/>
      <c r="BF408" s="136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36"/>
      <c r="BT408" s="136"/>
      <c r="BU408" s="161"/>
      <c r="BV408" s="161"/>
      <c r="BW408" s="161"/>
      <c r="BX408" s="161"/>
      <c r="BY408" s="161"/>
      <c r="BZ408" s="161"/>
      <c r="CA408" s="161"/>
      <c r="CB408" s="161"/>
      <c r="CC408" s="161"/>
      <c r="CD408" s="161"/>
      <c r="CE408" s="161"/>
      <c r="CF408" s="161"/>
      <c r="CG408" s="136"/>
      <c r="CH408" s="136"/>
      <c r="CI408" s="161"/>
      <c r="CJ408" s="161"/>
      <c r="CK408" s="161"/>
      <c r="CL408" s="161"/>
      <c r="CM408" s="161"/>
      <c r="CN408" s="161"/>
      <c r="CO408" s="161"/>
      <c r="CP408" s="161"/>
      <c r="CQ408" s="161"/>
      <c r="CR408" s="161"/>
      <c r="CS408" s="161">
        <v>25</v>
      </c>
      <c r="CT408" s="161">
        <v>120</v>
      </c>
      <c r="CU408" s="136"/>
      <c r="CV408" s="136"/>
      <c r="CW408" s="161">
        <v>140</v>
      </c>
      <c r="CX408" s="161">
        <v>115</v>
      </c>
      <c r="CY408" s="161"/>
      <c r="CZ408" s="161"/>
      <c r="DA408" s="161"/>
      <c r="DB408" s="161"/>
      <c r="DC408" s="161"/>
      <c r="DD408" s="161"/>
      <c r="DE408" s="161"/>
      <c r="DF408" s="161"/>
      <c r="DG408" s="161"/>
      <c r="DH408" s="161"/>
      <c r="DI408" s="136"/>
      <c r="DJ408" s="136"/>
      <c r="DK408" s="161"/>
      <c r="DL408" s="161"/>
      <c r="DM408" s="161"/>
      <c r="DN408" s="161"/>
      <c r="DO408" s="161"/>
      <c r="DP408" s="161"/>
      <c r="DQ408" s="161"/>
      <c r="DR408" s="161"/>
      <c r="DS408" s="161"/>
      <c r="DT408" s="161"/>
      <c r="DU408" s="161"/>
      <c r="DV408" s="161"/>
      <c r="DW408" s="136"/>
      <c r="DX408" s="136"/>
      <c r="DY408" s="161"/>
      <c r="DZ408" s="161"/>
      <c r="EA408" s="161"/>
      <c r="EB408" s="161"/>
      <c r="EC408" s="161"/>
      <c r="ED408" s="161"/>
      <c r="EE408" s="161"/>
      <c r="EF408" s="161"/>
      <c r="EG408" s="161"/>
      <c r="EH408" s="161"/>
      <c r="EI408" s="161"/>
      <c r="EJ408" s="161"/>
      <c r="EK408" s="136"/>
      <c r="EL408" s="136"/>
      <c r="EM408" s="136"/>
      <c r="EN408" s="136"/>
      <c r="EO408" s="136"/>
      <c r="EP408" s="136"/>
      <c r="EQ408" s="136"/>
      <c r="ER408" s="136"/>
      <c r="ES408" s="161"/>
      <c r="ET408" s="161"/>
      <c r="EU408" s="161"/>
      <c r="EV408" s="161"/>
      <c r="EW408" s="161"/>
      <c r="EX408" s="161"/>
      <c r="EY408" s="136"/>
      <c r="EZ408" s="136"/>
      <c r="FA408" s="161"/>
      <c r="FB408" s="161"/>
      <c r="FC408" s="161"/>
      <c r="FD408" s="161"/>
      <c r="FE408" s="161"/>
      <c r="FF408" s="161"/>
      <c r="FG408" s="161"/>
      <c r="FH408" s="161"/>
      <c r="FI408" s="161"/>
      <c r="FJ408" s="161"/>
      <c r="FK408" s="161"/>
      <c r="FL408" s="161"/>
      <c r="FM408" s="136"/>
      <c r="FN408" s="136"/>
      <c r="FO408" s="161"/>
      <c r="FP408" s="161"/>
      <c r="FQ408" s="161"/>
      <c r="FR408" s="161"/>
      <c r="FS408" s="161"/>
      <c r="FT408" s="161"/>
      <c r="FU408" s="161"/>
      <c r="FV408" s="161"/>
      <c r="FW408" s="161"/>
      <c r="FX408" s="161"/>
      <c r="FY408" s="161"/>
      <c r="FZ408" s="161"/>
      <c r="GA408" s="136"/>
      <c r="GB408" s="136"/>
      <c r="GC408" s="161"/>
      <c r="GD408" s="161"/>
      <c r="GE408" s="161"/>
      <c r="GF408" s="161"/>
      <c r="GG408" s="161"/>
      <c r="GH408" s="161"/>
      <c r="GI408" s="161"/>
      <c r="GJ408" s="161"/>
      <c r="GK408" s="161"/>
      <c r="GL408" s="161"/>
      <c r="GM408" s="161"/>
      <c r="GN408" s="161"/>
    </row>
    <row r="409" spans="1:196">
      <c r="A409" s="162"/>
      <c r="B409" s="126" t="s">
        <v>1075</v>
      </c>
      <c r="C409" s="109" t="s">
        <v>637</v>
      </c>
      <c r="D409" s="119"/>
      <c r="E409" s="119"/>
      <c r="F409" s="107"/>
      <c r="G409" s="115">
        <v>150</v>
      </c>
      <c r="H409" s="6"/>
      <c r="I409" s="125">
        <v>46242</v>
      </c>
      <c r="J409" s="13">
        <f t="shared" si="202"/>
        <v>0</v>
      </c>
      <c r="K409" s="141"/>
      <c r="L409" s="161"/>
      <c r="M409" s="136"/>
      <c r="N409" s="136"/>
      <c r="O409" s="136"/>
      <c r="P409" s="136"/>
      <c r="Q409" s="136"/>
      <c r="R409" s="136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36"/>
      <c r="AD409" s="136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36"/>
      <c r="AR409" s="136"/>
      <c r="AS409" s="161"/>
      <c r="AT409" s="161"/>
      <c r="AU409" s="161"/>
      <c r="AV409" s="161"/>
      <c r="AW409" s="161"/>
      <c r="AX409" s="161"/>
      <c r="AY409" s="161"/>
      <c r="AZ409" s="161"/>
      <c r="BA409" s="161"/>
      <c r="BB409" s="161"/>
      <c r="BC409" s="161"/>
      <c r="BD409" s="161"/>
      <c r="BE409" s="136"/>
      <c r="BF409" s="136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36"/>
      <c r="BT409" s="136"/>
      <c r="BU409" s="161"/>
      <c r="BV409" s="161"/>
      <c r="BW409" s="161"/>
      <c r="BX409" s="161"/>
      <c r="BY409" s="161"/>
      <c r="BZ409" s="161"/>
      <c r="CA409" s="161"/>
      <c r="CB409" s="161"/>
      <c r="CC409" s="161"/>
      <c r="CD409" s="161"/>
      <c r="CE409" s="161"/>
      <c r="CF409" s="161"/>
      <c r="CG409" s="136"/>
      <c r="CH409" s="136"/>
      <c r="CI409" s="161"/>
      <c r="CJ409" s="161"/>
      <c r="CK409" s="161"/>
      <c r="CL409" s="161"/>
      <c r="CM409" s="161"/>
      <c r="CN409" s="161"/>
      <c r="CO409" s="161"/>
      <c r="CP409" s="161"/>
      <c r="CQ409" s="161"/>
      <c r="CR409" s="161"/>
      <c r="CS409" s="161"/>
      <c r="CT409" s="161"/>
      <c r="CU409" s="136"/>
      <c r="CV409" s="136"/>
      <c r="CW409" s="161"/>
      <c r="CX409" s="161">
        <v>25</v>
      </c>
      <c r="CY409" s="161">
        <v>125</v>
      </c>
      <c r="CZ409" s="161"/>
      <c r="DA409" s="161"/>
      <c r="DB409" s="161"/>
      <c r="DC409" s="161"/>
      <c r="DD409" s="161"/>
      <c r="DE409" s="161"/>
      <c r="DF409" s="161"/>
      <c r="DG409" s="161"/>
      <c r="DH409" s="161"/>
      <c r="DI409" s="136"/>
      <c r="DJ409" s="136"/>
      <c r="DK409" s="161"/>
      <c r="DL409" s="161"/>
      <c r="DM409" s="161"/>
      <c r="DN409" s="161"/>
      <c r="DO409" s="161"/>
      <c r="DP409" s="161"/>
      <c r="DQ409" s="161"/>
      <c r="DR409" s="161"/>
      <c r="DS409" s="161"/>
      <c r="DT409" s="161"/>
      <c r="DU409" s="161"/>
      <c r="DV409" s="161"/>
      <c r="DW409" s="136"/>
      <c r="DX409" s="136"/>
      <c r="DY409" s="161"/>
      <c r="DZ409" s="161"/>
      <c r="EA409" s="161"/>
      <c r="EB409" s="161"/>
      <c r="EC409" s="161"/>
      <c r="ED409" s="161"/>
      <c r="EE409" s="161"/>
      <c r="EF409" s="161"/>
      <c r="EG409" s="161"/>
      <c r="EH409" s="161"/>
      <c r="EI409" s="161"/>
      <c r="EJ409" s="161"/>
      <c r="EK409" s="136"/>
      <c r="EL409" s="136"/>
      <c r="EM409" s="136"/>
      <c r="EN409" s="136"/>
      <c r="EO409" s="136"/>
      <c r="EP409" s="136"/>
      <c r="EQ409" s="136"/>
      <c r="ER409" s="136"/>
      <c r="ES409" s="161"/>
      <c r="ET409" s="161"/>
      <c r="EU409" s="161"/>
      <c r="EV409" s="161"/>
      <c r="EW409" s="161"/>
      <c r="EX409" s="161"/>
      <c r="EY409" s="136"/>
      <c r="EZ409" s="136"/>
      <c r="FA409" s="161"/>
      <c r="FB409" s="161"/>
      <c r="FC409" s="161"/>
      <c r="FD409" s="161"/>
      <c r="FE409" s="161"/>
      <c r="FF409" s="161"/>
      <c r="FG409" s="161"/>
      <c r="FH409" s="161"/>
      <c r="FI409" s="161"/>
      <c r="FJ409" s="161"/>
      <c r="FK409" s="161"/>
      <c r="FL409" s="161"/>
      <c r="FM409" s="136"/>
      <c r="FN409" s="136"/>
      <c r="FO409" s="161"/>
      <c r="FP409" s="161"/>
      <c r="FQ409" s="161"/>
      <c r="FR409" s="161"/>
      <c r="FS409" s="161"/>
      <c r="FT409" s="161"/>
      <c r="FU409" s="161"/>
      <c r="FV409" s="161"/>
      <c r="FW409" s="161"/>
      <c r="FX409" s="161"/>
      <c r="FY409" s="161"/>
      <c r="FZ409" s="161"/>
      <c r="GA409" s="136"/>
      <c r="GB409" s="136"/>
      <c r="GC409" s="161"/>
      <c r="GD409" s="161"/>
      <c r="GE409" s="161"/>
      <c r="GF409" s="161"/>
      <c r="GG409" s="161"/>
      <c r="GH409" s="161"/>
      <c r="GI409" s="161"/>
      <c r="GJ409" s="161"/>
      <c r="GK409" s="161"/>
      <c r="GL409" s="161"/>
      <c r="GM409" s="161"/>
      <c r="GN409" s="161"/>
    </row>
    <row r="410" spans="1:196">
      <c r="A410" s="162"/>
      <c r="B410" s="126" t="s">
        <v>1077</v>
      </c>
      <c r="C410" s="109" t="s">
        <v>653</v>
      </c>
      <c r="D410" s="119"/>
      <c r="E410" s="119"/>
      <c r="F410" s="107"/>
      <c r="G410" s="115">
        <v>65</v>
      </c>
      <c r="H410" s="6"/>
      <c r="I410" s="125">
        <v>46242</v>
      </c>
      <c r="J410" s="13">
        <f t="shared" si="202"/>
        <v>0</v>
      </c>
      <c r="K410" s="141"/>
      <c r="L410" s="161"/>
      <c r="M410" s="136"/>
      <c r="N410" s="136"/>
      <c r="O410" s="136"/>
      <c r="P410" s="136"/>
      <c r="Q410" s="136"/>
      <c r="R410" s="136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36"/>
      <c r="AD410" s="136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36"/>
      <c r="AR410" s="136"/>
      <c r="AS410" s="161"/>
      <c r="AT410" s="161"/>
      <c r="AU410" s="161"/>
      <c r="AV410" s="161"/>
      <c r="AW410" s="161"/>
      <c r="AX410" s="161"/>
      <c r="AY410" s="161"/>
      <c r="AZ410" s="161"/>
      <c r="BA410" s="161"/>
      <c r="BB410" s="161"/>
      <c r="BC410" s="161"/>
      <c r="BD410" s="161"/>
      <c r="BE410" s="136"/>
      <c r="BF410" s="136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36"/>
      <c r="BT410" s="136"/>
      <c r="BU410" s="161"/>
      <c r="BV410" s="161"/>
      <c r="BW410" s="161"/>
      <c r="BX410" s="161"/>
      <c r="BY410" s="161"/>
      <c r="BZ410" s="161"/>
      <c r="CA410" s="161"/>
      <c r="CB410" s="161"/>
      <c r="CC410" s="161"/>
      <c r="CD410" s="161"/>
      <c r="CE410" s="161"/>
      <c r="CF410" s="161"/>
      <c r="CG410" s="136"/>
      <c r="CH410" s="136"/>
      <c r="CI410" s="161"/>
      <c r="CJ410" s="161"/>
      <c r="CK410" s="161"/>
      <c r="CL410" s="161"/>
      <c r="CM410" s="161"/>
      <c r="CN410" s="161"/>
      <c r="CO410" s="161"/>
      <c r="CP410" s="161"/>
      <c r="CQ410" s="161"/>
      <c r="CR410" s="161"/>
      <c r="CS410" s="161"/>
      <c r="CT410" s="161"/>
      <c r="CU410" s="136"/>
      <c r="CV410" s="136"/>
      <c r="CW410" s="161"/>
      <c r="CX410" s="161"/>
      <c r="CY410" s="161">
        <v>15</v>
      </c>
      <c r="CZ410" s="161">
        <v>50</v>
      </c>
      <c r="DA410" s="161"/>
      <c r="DB410" s="161"/>
      <c r="DC410" s="161"/>
      <c r="DD410" s="161"/>
      <c r="DE410" s="161"/>
      <c r="DF410" s="161"/>
      <c r="DG410" s="161"/>
      <c r="DH410" s="161"/>
      <c r="DI410" s="136"/>
      <c r="DJ410" s="136"/>
      <c r="DK410" s="161"/>
      <c r="DL410" s="161"/>
      <c r="DM410" s="161"/>
      <c r="DN410" s="161"/>
      <c r="DO410" s="161"/>
      <c r="DP410" s="161"/>
      <c r="DQ410" s="161"/>
      <c r="DR410" s="161"/>
      <c r="DS410" s="161"/>
      <c r="DT410" s="161"/>
      <c r="DU410" s="161"/>
      <c r="DV410" s="161"/>
      <c r="DW410" s="136"/>
      <c r="DX410" s="136"/>
      <c r="DY410" s="161"/>
      <c r="DZ410" s="161"/>
      <c r="EA410" s="161"/>
      <c r="EB410" s="161"/>
      <c r="EC410" s="161"/>
      <c r="ED410" s="161"/>
      <c r="EE410" s="161"/>
      <c r="EF410" s="161"/>
      <c r="EG410" s="161"/>
      <c r="EH410" s="161"/>
      <c r="EI410" s="161"/>
      <c r="EJ410" s="161"/>
      <c r="EK410" s="136"/>
      <c r="EL410" s="136"/>
      <c r="EM410" s="136"/>
      <c r="EN410" s="136"/>
      <c r="EO410" s="136"/>
      <c r="EP410" s="136"/>
      <c r="EQ410" s="136"/>
      <c r="ER410" s="136"/>
      <c r="ES410" s="161"/>
      <c r="ET410" s="161"/>
      <c r="EU410" s="161"/>
      <c r="EV410" s="161"/>
      <c r="EW410" s="161"/>
      <c r="EX410" s="161"/>
      <c r="EY410" s="136"/>
      <c r="EZ410" s="136"/>
      <c r="FA410" s="161"/>
      <c r="FB410" s="161"/>
      <c r="FC410" s="161"/>
      <c r="FD410" s="161"/>
      <c r="FE410" s="161"/>
      <c r="FF410" s="161"/>
      <c r="FG410" s="161"/>
      <c r="FH410" s="161"/>
      <c r="FI410" s="161"/>
      <c r="FJ410" s="161"/>
      <c r="FK410" s="161"/>
      <c r="FL410" s="161"/>
      <c r="FM410" s="136"/>
      <c r="FN410" s="136"/>
      <c r="FO410" s="161"/>
      <c r="FP410" s="161"/>
      <c r="FQ410" s="161"/>
      <c r="FR410" s="161"/>
      <c r="FS410" s="161"/>
      <c r="FT410" s="161"/>
      <c r="FU410" s="161"/>
      <c r="FV410" s="161"/>
      <c r="FW410" s="161"/>
      <c r="FX410" s="161"/>
      <c r="FY410" s="161"/>
      <c r="FZ410" s="161"/>
      <c r="GA410" s="136"/>
      <c r="GB410" s="136"/>
      <c r="GC410" s="161"/>
      <c r="GD410" s="161"/>
      <c r="GE410" s="161"/>
      <c r="GF410" s="161"/>
      <c r="GG410" s="161"/>
      <c r="GH410" s="161"/>
      <c r="GI410" s="161"/>
      <c r="GJ410" s="161"/>
      <c r="GK410" s="161"/>
      <c r="GL410" s="161"/>
      <c r="GM410" s="161"/>
      <c r="GN410" s="161"/>
    </row>
    <row r="411" spans="1:196">
      <c r="A411" s="162"/>
      <c r="B411" s="126" t="s">
        <v>1124</v>
      </c>
      <c r="C411" s="109" t="s">
        <v>655</v>
      </c>
      <c r="D411" s="119"/>
      <c r="E411" s="119"/>
      <c r="F411" s="107"/>
      <c r="G411" s="115">
        <v>20</v>
      </c>
      <c r="H411" s="6"/>
      <c r="I411" s="125">
        <v>46242</v>
      </c>
      <c r="J411" s="13">
        <f>G411-SUM(L411:FL411)</f>
        <v>0</v>
      </c>
      <c r="K411" s="141"/>
      <c r="L411" s="161"/>
      <c r="M411" s="136"/>
      <c r="N411" s="136"/>
      <c r="O411" s="136"/>
      <c r="P411" s="136"/>
      <c r="Q411" s="136"/>
      <c r="R411" s="136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36"/>
      <c r="AD411" s="136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36"/>
      <c r="AR411" s="136"/>
      <c r="AS411" s="161"/>
      <c r="AT411" s="161"/>
      <c r="AU411" s="161"/>
      <c r="AV411" s="161"/>
      <c r="AW411" s="161"/>
      <c r="AX411" s="161"/>
      <c r="AY411" s="161"/>
      <c r="AZ411" s="161"/>
      <c r="BA411" s="161"/>
      <c r="BB411" s="161"/>
      <c r="BC411" s="161"/>
      <c r="BD411" s="161"/>
      <c r="BE411" s="136"/>
      <c r="BF411" s="136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36"/>
      <c r="BT411" s="136"/>
      <c r="BU411" s="161"/>
      <c r="BV411" s="161"/>
      <c r="BW411" s="161"/>
      <c r="BX411" s="161"/>
      <c r="BY411" s="161"/>
      <c r="BZ411" s="161"/>
      <c r="CA411" s="161"/>
      <c r="CB411" s="161"/>
      <c r="CC411" s="161"/>
      <c r="CD411" s="161"/>
      <c r="CE411" s="161"/>
      <c r="CF411" s="161"/>
      <c r="CG411" s="136"/>
      <c r="CH411" s="136"/>
      <c r="CI411" s="161"/>
      <c r="CJ411" s="161"/>
      <c r="CK411" s="161"/>
      <c r="CL411" s="161"/>
      <c r="CM411" s="161"/>
      <c r="CN411" s="161"/>
      <c r="CO411" s="161"/>
      <c r="CP411" s="161"/>
      <c r="CQ411" s="161"/>
      <c r="CR411" s="161"/>
      <c r="CS411" s="161"/>
      <c r="CT411" s="161"/>
      <c r="CU411" s="136"/>
      <c r="CV411" s="136"/>
      <c r="CW411" s="161"/>
      <c r="CX411" s="161"/>
      <c r="CY411" s="161"/>
      <c r="CZ411" s="161">
        <v>20</v>
      </c>
      <c r="DA411" s="161"/>
      <c r="DB411" s="161"/>
      <c r="DC411" s="161"/>
      <c r="DD411" s="161"/>
      <c r="DE411" s="161"/>
      <c r="DF411" s="161"/>
      <c r="DG411" s="161"/>
      <c r="DH411" s="161"/>
      <c r="DI411" s="136"/>
      <c r="DJ411" s="136"/>
      <c r="DK411" s="161"/>
      <c r="DL411" s="161"/>
      <c r="DM411" s="161"/>
      <c r="DN411" s="161"/>
      <c r="DO411" s="161"/>
      <c r="DP411" s="161"/>
      <c r="DQ411" s="161"/>
      <c r="DR411" s="161"/>
      <c r="DS411" s="161"/>
      <c r="DT411" s="161"/>
      <c r="DU411" s="161"/>
      <c r="DV411" s="161"/>
      <c r="DW411" s="136"/>
      <c r="DX411" s="136"/>
      <c r="DY411" s="161"/>
      <c r="DZ411" s="161"/>
      <c r="EA411" s="161"/>
      <c r="EB411" s="161"/>
      <c r="EC411" s="161"/>
      <c r="ED411" s="161"/>
      <c r="EE411" s="161"/>
      <c r="EF411" s="161"/>
      <c r="EG411" s="161"/>
      <c r="EH411" s="161"/>
      <c r="EI411" s="161"/>
      <c r="EJ411" s="161"/>
      <c r="EK411" s="136"/>
      <c r="EL411" s="136"/>
      <c r="EM411" s="136"/>
      <c r="EN411" s="136"/>
      <c r="EO411" s="136"/>
      <c r="EP411" s="136"/>
      <c r="EQ411" s="136"/>
      <c r="ER411" s="136"/>
      <c r="ES411" s="161"/>
      <c r="ET411" s="161"/>
      <c r="EU411" s="161"/>
      <c r="EV411" s="161"/>
      <c r="EW411" s="161"/>
      <c r="EX411" s="161"/>
      <c r="EY411" s="136"/>
      <c r="EZ411" s="136"/>
      <c r="FA411" s="161"/>
      <c r="FB411" s="161"/>
      <c r="FC411" s="161"/>
      <c r="FD411" s="161"/>
      <c r="FE411" s="161"/>
      <c r="FF411" s="161"/>
      <c r="FG411" s="161"/>
      <c r="FH411" s="161"/>
      <c r="FI411" s="161"/>
      <c r="FJ411" s="161"/>
      <c r="FK411" s="161"/>
      <c r="FL411" s="161"/>
      <c r="FM411" s="136"/>
      <c r="FN411" s="136"/>
      <c r="FO411" s="161"/>
      <c r="FP411" s="161"/>
      <c r="FQ411" s="161"/>
      <c r="FR411" s="161"/>
      <c r="FS411" s="161"/>
      <c r="FT411" s="161"/>
      <c r="FU411" s="161"/>
      <c r="FV411" s="161"/>
      <c r="FW411" s="161"/>
      <c r="FX411" s="161"/>
      <c r="FY411" s="161"/>
      <c r="FZ411" s="161"/>
      <c r="GA411" s="136"/>
      <c r="GB411" s="136"/>
      <c r="GC411" s="161"/>
      <c r="GD411" s="161"/>
      <c r="GE411" s="161"/>
      <c r="GF411" s="161"/>
      <c r="GG411" s="161"/>
      <c r="GH411" s="161"/>
      <c r="GI411" s="161"/>
      <c r="GJ411" s="161"/>
      <c r="GK411" s="161"/>
      <c r="GL411" s="161"/>
      <c r="GM411" s="161"/>
      <c r="GN411" s="161"/>
    </row>
    <row r="412" spans="1:196">
      <c r="A412" s="162"/>
      <c r="B412" s="126" t="s">
        <v>1076</v>
      </c>
      <c r="C412" s="109" t="s">
        <v>652</v>
      </c>
      <c r="D412" s="119"/>
      <c r="E412" s="119"/>
      <c r="F412" s="107"/>
      <c r="G412" s="115">
        <v>280</v>
      </c>
      <c r="H412" s="6"/>
      <c r="I412" s="125">
        <v>46242</v>
      </c>
      <c r="J412" s="13">
        <f t="shared" si="202"/>
        <v>0</v>
      </c>
      <c r="K412" s="141"/>
      <c r="L412" s="161"/>
      <c r="M412" s="136"/>
      <c r="N412" s="136"/>
      <c r="O412" s="136"/>
      <c r="P412" s="136"/>
      <c r="Q412" s="136"/>
      <c r="R412" s="136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36"/>
      <c r="AD412" s="136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36"/>
      <c r="AR412" s="136"/>
      <c r="AS412" s="161"/>
      <c r="AT412" s="161"/>
      <c r="AU412" s="161"/>
      <c r="AV412" s="161"/>
      <c r="AW412" s="161"/>
      <c r="AX412" s="161"/>
      <c r="AY412" s="161"/>
      <c r="AZ412" s="161"/>
      <c r="BA412" s="161"/>
      <c r="BB412" s="161"/>
      <c r="BC412" s="161"/>
      <c r="BD412" s="161"/>
      <c r="BE412" s="136"/>
      <c r="BF412" s="136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36"/>
      <c r="BT412" s="136"/>
      <c r="BU412" s="161"/>
      <c r="BV412" s="161"/>
      <c r="BW412" s="161"/>
      <c r="BX412" s="161"/>
      <c r="BY412" s="161"/>
      <c r="BZ412" s="161"/>
      <c r="CA412" s="161"/>
      <c r="CB412" s="161"/>
      <c r="CC412" s="161"/>
      <c r="CD412" s="161"/>
      <c r="CE412" s="161"/>
      <c r="CF412" s="161"/>
      <c r="CG412" s="136"/>
      <c r="CH412" s="136"/>
      <c r="CI412" s="161"/>
      <c r="CJ412" s="161"/>
      <c r="CK412" s="161"/>
      <c r="CL412" s="161"/>
      <c r="CM412" s="161"/>
      <c r="CN412" s="161"/>
      <c r="CO412" s="161"/>
      <c r="CP412" s="161"/>
      <c r="CQ412" s="161"/>
      <c r="CR412" s="161"/>
      <c r="CS412" s="161"/>
      <c r="CT412" s="161"/>
      <c r="CU412" s="136"/>
      <c r="CV412" s="136"/>
      <c r="CW412" s="161"/>
      <c r="CX412" s="161"/>
      <c r="CY412" s="161"/>
      <c r="CZ412" s="161">
        <v>70</v>
      </c>
      <c r="DA412" s="161">
        <v>140</v>
      </c>
      <c r="DB412" s="161">
        <v>70</v>
      </c>
      <c r="DC412" s="161"/>
      <c r="DD412" s="161"/>
      <c r="DE412" s="161"/>
      <c r="DF412" s="161"/>
      <c r="DG412" s="161"/>
      <c r="DH412" s="161"/>
      <c r="DI412" s="136"/>
      <c r="DJ412" s="136"/>
      <c r="DK412" s="161"/>
      <c r="DL412" s="161"/>
      <c r="DM412" s="161"/>
      <c r="DN412" s="161"/>
      <c r="DO412" s="161"/>
      <c r="DP412" s="161"/>
      <c r="DQ412" s="161"/>
      <c r="DR412" s="161"/>
      <c r="DS412" s="161"/>
      <c r="DT412" s="161"/>
      <c r="DU412" s="161"/>
      <c r="DV412" s="161"/>
      <c r="DW412" s="136"/>
      <c r="DX412" s="136"/>
      <c r="DY412" s="161"/>
      <c r="DZ412" s="161"/>
      <c r="EA412" s="161"/>
      <c r="EB412" s="161"/>
      <c r="EC412" s="161"/>
      <c r="ED412" s="161"/>
      <c r="EE412" s="161"/>
      <c r="EF412" s="161"/>
      <c r="EG412" s="161"/>
      <c r="EH412" s="161"/>
      <c r="EI412" s="161"/>
      <c r="EJ412" s="161"/>
      <c r="EK412" s="136"/>
      <c r="EL412" s="136"/>
      <c r="EM412" s="136"/>
      <c r="EN412" s="136"/>
      <c r="EO412" s="136"/>
      <c r="EP412" s="136"/>
      <c r="EQ412" s="136"/>
      <c r="ER412" s="136"/>
      <c r="ES412" s="161"/>
      <c r="ET412" s="161"/>
      <c r="EU412" s="161"/>
      <c r="EV412" s="161"/>
      <c r="EW412" s="161"/>
      <c r="EX412" s="161"/>
      <c r="EY412" s="136"/>
      <c r="EZ412" s="136"/>
      <c r="FA412" s="161"/>
      <c r="FB412" s="161"/>
      <c r="FC412" s="161"/>
      <c r="FD412" s="161"/>
      <c r="FE412" s="161"/>
      <c r="FF412" s="161"/>
      <c r="FG412" s="161"/>
      <c r="FH412" s="161"/>
      <c r="FI412" s="161"/>
      <c r="FJ412" s="161"/>
      <c r="FK412" s="161"/>
      <c r="FL412" s="161"/>
      <c r="FM412" s="136"/>
      <c r="FN412" s="136"/>
      <c r="FO412" s="161"/>
      <c r="FP412" s="161"/>
      <c r="FQ412" s="161"/>
      <c r="FR412" s="161"/>
      <c r="FS412" s="161"/>
      <c r="FT412" s="161"/>
      <c r="FU412" s="161"/>
      <c r="FV412" s="161"/>
      <c r="FW412" s="161"/>
      <c r="FX412" s="161"/>
      <c r="FY412" s="161"/>
      <c r="FZ412" s="161"/>
      <c r="GA412" s="136"/>
      <c r="GB412" s="136"/>
      <c r="GC412" s="161"/>
      <c r="GD412" s="161"/>
      <c r="GE412" s="161"/>
      <c r="GF412" s="161"/>
      <c r="GG412" s="161"/>
      <c r="GH412" s="161"/>
      <c r="GI412" s="161"/>
      <c r="GJ412" s="161"/>
      <c r="GK412" s="161"/>
      <c r="GL412" s="161"/>
      <c r="GM412" s="161"/>
      <c r="GN412" s="161"/>
    </row>
    <row r="413" spans="1:196">
      <c r="A413" s="162"/>
      <c r="B413" s="126" t="s">
        <v>1078</v>
      </c>
      <c r="C413" s="109" t="s">
        <v>665</v>
      </c>
      <c r="D413" s="119"/>
      <c r="E413" s="119"/>
      <c r="F413" s="107"/>
      <c r="G413" s="115">
        <v>600</v>
      </c>
      <c r="H413" s="6"/>
      <c r="I413" s="125">
        <v>46242</v>
      </c>
      <c r="J413" s="13">
        <f t="shared" si="202"/>
        <v>0</v>
      </c>
      <c r="K413" s="141"/>
      <c r="L413" s="161"/>
      <c r="M413" s="136"/>
      <c r="N413" s="136"/>
      <c r="O413" s="136"/>
      <c r="P413" s="136"/>
      <c r="Q413" s="136"/>
      <c r="R413" s="136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36"/>
      <c r="AD413" s="136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36"/>
      <c r="AR413" s="136"/>
      <c r="AS413" s="161"/>
      <c r="AT413" s="161"/>
      <c r="AU413" s="161"/>
      <c r="AV413" s="161"/>
      <c r="AW413" s="161"/>
      <c r="AX413" s="161"/>
      <c r="AY413" s="161"/>
      <c r="AZ413" s="161"/>
      <c r="BA413" s="161"/>
      <c r="BB413" s="161"/>
      <c r="BC413" s="161"/>
      <c r="BD413" s="161"/>
      <c r="BE413" s="136"/>
      <c r="BF413" s="136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36"/>
      <c r="BT413" s="136"/>
      <c r="BU413" s="161"/>
      <c r="BV413" s="161"/>
      <c r="BW413" s="161"/>
      <c r="BX413" s="161"/>
      <c r="BY413" s="161"/>
      <c r="BZ413" s="161"/>
      <c r="CA413" s="161"/>
      <c r="CB413" s="161"/>
      <c r="CC413" s="161"/>
      <c r="CD413" s="161"/>
      <c r="CE413" s="161"/>
      <c r="CF413" s="161"/>
      <c r="CG413" s="136"/>
      <c r="CH413" s="136"/>
      <c r="CI413" s="161"/>
      <c r="CJ413" s="161"/>
      <c r="CK413" s="161"/>
      <c r="CL413" s="161"/>
      <c r="CM413" s="161"/>
      <c r="CN413" s="161"/>
      <c r="CO413" s="161"/>
      <c r="CP413" s="161"/>
      <c r="CQ413" s="161"/>
      <c r="CR413" s="161"/>
      <c r="CS413" s="161"/>
      <c r="CT413" s="161"/>
      <c r="CU413" s="136"/>
      <c r="CV413" s="136"/>
      <c r="CW413" s="161"/>
      <c r="CX413" s="161"/>
      <c r="CY413" s="161"/>
      <c r="CZ413" s="161"/>
      <c r="DA413" s="161"/>
      <c r="DB413" s="161">
        <v>70</v>
      </c>
      <c r="DC413" s="161">
        <v>140</v>
      </c>
      <c r="DD413" s="161">
        <v>140</v>
      </c>
      <c r="DE413" s="161">
        <v>140</v>
      </c>
      <c r="DF413" s="161">
        <v>110</v>
      </c>
      <c r="DG413" s="161"/>
      <c r="DH413" s="161"/>
      <c r="DI413" s="136"/>
      <c r="DJ413" s="136"/>
      <c r="DK413" s="161"/>
      <c r="DL413" s="161"/>
      <c r="DM413" s="161"/>
      <c r="DN413" s="161"/>
      <c r="DO413" s="161"/>
      <c r="DP413" s="161"/>
      <c r="DQ413" s="161"/>
      <c r="DR413" s="161"/>
      <c r="DS413" s="161"/>
      <c r="DT413" s="161"/>
      <c r="DU413" s="161"/>
      <c r="DV413" s="161"/>
      <c r="DW413" s="136"/>
      <c r="DX413" s="136"/>
      <c r="DY413" s="161"/>
      <c r="DZ413" s="161"/>
      <c r="EA413" s="161"/>
      <c r="EB413" s="161"/>
      <c r="EC413" s="161"/>
      <c r="ED413" s="161"/>
      <c r="EE413" s="161"/>
      <c r="EF413" s="161"/>
      <c r="EG413" s="161"/>
      <c r="EH413" s="161"/>
      <c r="EI413" s="161"/>
      <c r="EJ413" s="161"/>
      <c r="EK413" s="136"/>
      <c r="EL413" s="136"/>
      <c r="EM413" s="136"/>
      <c r="EN413" s="136"/>
      <c r="EO413" s="136"/>
      <c r="EP413" s="136"/>
      <c r="EQ413" s="136"/>
      <c r="ER413" s="136"/>
      <c r="ES413" s="161"/>
      <c r="ET413" s="161"/>
      <c r="EU413" s="161"/>
      <c r="EV413" s="161"/>
      <c r="EW413" s="161"/>
      <c r="EX413" s="161"/>
      <c r="EY413" s="136"/>
      <c r="EZ413" s="136"/>
      <c r="FA413" s="161"/>
      <c r="FB413" s="161"/>
      <c r="FC413" s="161"/>
      <c r="FD413" s="161"/>
      <c r="FE413" s="161"/>
      <c r="FF413" s="161"/>
      <c r="FG413" s="161"/>
      <c r="FH413" s="161"/>
      <c r="FI413" s="161"/>
      <c r="FJ413" s="161"/>
      <c r="FK413" s="161"/>
      <c r="FL413" s="161"/>
      <c r="FM413" s="136"/>
      <c r="FN413" s="136"/>
      <c r="FO413" s="161"/>
      <c r="FP413" s="161"/>
      <c r="FQ413" s="161"/>
      <c r="FR413" s="161"/>
      <c r="FS413" s="161"/>
      <c r="FT413" s="161"/>
      <c r="FU413" s="161"/>
      <c r="FV413" s="161"/>
      <c r="FW413" s="161"/>
      <c r="FX413" s="161"/>
      <c r="FY413" s="161"/>
      <c r="FZ413" s="161"/>
      <c r="GA413" s="136"/>
      <c r="GB413" s="136"/>
      <c r="GC413" s="161"/>
      <c r="GD413" s="161"/>
      <c r="GE413" s="161"/>
      <c r="GF413" s="161"/>
      <c r="GG413" s="161"/>
      <c r="GH413" s="161"/>
      <c r="GI413" s="161"/>
      <c r="GJ413" s="161"/>
      <c r="GK413" s="161"/>
      <c r="GL413" s="161"/>
      <c r="GM413" s="161"/>
      <c r="GN413" s="161"/>
    </row>
    <row r="414" spans="1:196">
      <c r="A414" s="162"/>
      <c r="B414" s="126" t="s">
        <v>1079</v>
      </c>
      <c r="C414" s="109" t="s">
        <v>654</v>
      </c>
      <c r="D414" s="119"/>
      <c r="E414" s="119"/>
      <c r="F414" s="107"/>
      <c r="G414" s="115">
        <v>120</v>
      </c>
      <c r="H414" s="6"/>
      <c r="I414" s="125">
        <v>46242</v>
      </c>
      <c r="J414" s="13">
        <f t="shared" si="202"/>
        <v>0</v>
      </c>
      <c r="K414" s="141"/>
      <c r="L414" s="161"/>
      <c r="M414" s="136"/>
      <c r="N414" s="136"/>
      <c r="O414" s="136"/>
      <c r="P414" s="136"/>
      <c r="Q414" s="136"/>
      <c r="R414" s="136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36"/>
      <c r="AD414" s="136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36"/>
      <c r="AR414" s="136"/>
      <c r="AS414" s="161"/>
      <c r="AT414" s="161"/>
      <c r="AU414" s="161"/>
      <c r="AV414" s="161"/>
      <c r="AW414" s="161"/>
      <c r="AX414" s="161"/>
      <c r="AY414" s="161"/>
      <c r="AZ414" s="161"/>
      <c r="BA414" s="161"/>
      <c r="BB414" s="161"/>
      <c r="BC414" s="161"/>
      <c r="BD414" s="161"/>
      <c r="BE414" s="136"/>
      <c r="BF414" s="136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36"/>
      <c r="BT414" s="136"/>
      <c r="BU414" s="161"/>
      <c r="BV414" s="161"/>
      <c r="BW414" s="161"/>
      <c r="BX414" s="161"/>
      <c r="BY414" s="161"/>
      <c r="BZ414" s="161"/>
      <c r="CA414" s="161"/>
      <c r="CB414" s="161"/>
      <c r="CC414" s="161"/>
      <c r="CD414" s="161"/>
      <c r="CE414" s="161"/>
      <c r="CF414" s="161"/>
      <c r="CG414" s="136"/>
      <c r="CH414" s="136"/>
      <c r="CI414" s="161"/>
      <c r="CJ414" s="161"/>
      <c r="CK414" s="161"/>
      <c r="CL414" s="161"/>
      <c r="CM414" s="161"/>
      <c r="CN414" s="161"/>
      <c r="CO414" s="161"/>
      <c r="CP414" s="161"/>
      <c r="CQ414" s="161"/>
      <c r="CR414" s="161"/>
      <c r="CS414" s="161"/>
      <c r="CT414" s="161"/>
      <c r="CU414" s="136"/>
      <c r="CV414" s="136"/>
      <c r="CW414" s="161"/>
      <c r="CX414" s="161"/>
      <c r="CY414" s="161"/>
      <c r="CZ414" s="161"/>
      <c r="DA414" s="161"/>
      <c r="DB414" s="161"/>
      <c r="DC414" s="161"/>
      <c r="DD414" s="161"/>
      <c r="DE414" s="161"/>
      <c r="DF414" s="161">
        <v>30</v>
      </c>
      <c r="DG414" s="161">
        <v>90</v>
      </c>
      <c r="DH414" s="161"/>
      <c r="DI414" s="136"/>
      <c r="DJ414" s="136"/>
      <c r="DK414" s="161"/>
      <c r="DL414" s="161"/>
      <c r="DM414" s="161"/>
      <c r="DN414" s="161"/>
      <c r="DO414" s="161"/>
      <c r="DP414" s="161"/>
      <c r="DQ414" s="161"/>
      <c r="DR414" s="161"/>
      <c r="DS414" s="161"/>
      <c r="DT414" s="161"/>
      <c r="DU414" s="161"/>
      <c r="DV414" s="161"/>
      <c r="DW414" s="136"/>
      <c r="DX414" s="136"/>
      <c r="DY414" s="161"/>
      <c r="DZ414" s="161"/>
      <c r="EA414" s="161"/>
      <c r="EB414" s="161"/>
      <c r="EC414" s="161"/>
      <c r="ED414" s="161"/>
      <c r="EE414" s="161"/>
      <c r="EF414" s="161"/>
      <c r="EG414" s="161"/>
      <c r="EH414" s="161"/>
      <c r="EI414" s="161"/>
      <c r="EJ414" s="161"/>
      <c r="EK414" s="136"/>
      <c r="EL414" s="136"/>
      <c r="EM414" s="136"/>
      <c r="EN414" s="136"/>
      <c r="EO414" s="136"/>
      <c r="EP414" s="136"/>
      <c r="EQ414" s="136"/>
      <c r="ER414" s="136"/>
      <c r="ES414" s="161"/>
      <c r="ET414" s="161"/>
      <c r="EU414" s="161"/>
      <c r="EV414" s="161"/>
      <c r="EW414" s="161"/>
      <c r="EX414" s="161"/>
      <c r="EY414" s="136"/>
      <c r="EZ414" s="136"/>
      <c r="FA414" s="161"/>
      <c r="FB414" s="161"/>
      <c r="FC414" s="161"/>
      <c r="FD414" s="161"/>
      <c r="FE414" s="161"/>
      <c r="FF414" s="161"/>
      <c r="FG414" s="161"/>
      <c r="FH414" s="161"/>
      <c r="FI414" s="161"/>
      <c r="FJ414" s="161"/>
      <c r="FK414" s="161"/>
      <c r="FL414" s="161"/>
      <c r="FM414" s="136"/>
      <c r="FN414" s="136"/>
      <c r="FO414" s="161"/>
      <c r="FP414" s="161"/>
      <c r="FQ414" s="161"/>
      <c r="FR414" s="161"/>
      <c r="FS414" s="161"/>
      <c r="FT414" s="161"/>
      <c r="FU414" s="161"/>
      <c r="FV414" s="161"/>
      <c r="FW414" s="161"/>
      <c r="FX414" s="161"/>
      <c r="FY414" s="161"/>
      <c r="FZ414" s="161"/>
      <c r="GA414" s="136"/>
      <c r="GB414" s="136"/>
      <c r="GC414" s="161"/>
      <c r="GD414" s="161"/>
      <c r="GE414" s="161"/>
      <c r="GF414" s="161"/>
      <c r="GG414" s="161"/>
      <c r="GH414" s="161"/>
      <c r="GI414" s="161"/>
      <c r="GJ414" s="161"/>
      <c r="GK414" s="161"/>
      <c r="GL414" s="161"/>
      <c r="GM414" s="161"/>
      <c r="GN414" s="161"/>
    </row>
    <row r="415" spans="1:196">
      <c r="A415" s="162"/>
      <c r="B415" s="178" t="s">
        <v>1135</v>
      </c>
      <c r="C415" s="109" t="s">
        <v>639</v>
      </c>
      <c r="D415" s="119"/>
      <c r="E415" s="119"/>
      <c r="F415" s="107"/>
      <c r="G415" s="115">
        <v>6</v>
      </c>
      <c r="H415" s="6"/>
      <c r="I415" s="125">
        <v>46249</v>
      </c>
      <c r="J415" s="13">
        <f>G415-SUM(L415:FL415)</f>
        <v>0</v>
      </c>
      <c r="K415" s="141"/>
      <c r="L415" s="161"/>
      <c r="M415" s="136"/>
      <c r="N415" s="136"/>
      <c r="O415" s="136"/>
      <c r="P415" s="136"/>
      <c r="Q415" s="136"/>
      <c r="R415" s="136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36"/>
      <c r="AD415" s="136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36"/>
      <c r="AR415" s="136"/>
      <c r="AS415" s="161"/>
      <c r="AT415" s="161"/>
      <c r="AU415" s="161"/>
      <c r="AV415" s="161"/>
      <c r="AW415" s="161"/>
      <c r="AX415" s="161"/>
      <c r="AY415" s="161"/>
      <c r="AZ415" s="161"/>
      <c r="BA415" s="161"/>
      <c r="BB415" s="161"/>
      <c r="BC415" s="161"/>
      <c r="BD415" s="161"/>
      <c r="BE415" s="136"/>
      <c r="BF415" s="136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36"/>
      <c r="BT415" s="136"/>
      <c r="BU415" s="161"/>
      <c r="BV415" s="161"/>
      <c r="BW415" s="161"/>
      <c r="BX415" s="161"/>
      <c r="BY415" s="161"/>
      <c r="BZ415" s="161"/>
      <c r="CA415" s="161"/>
      <c r="CB415" s="161"/>
      <c r="CC415" s="161"/>
      <c r="CD415" s="161"/>
      <c r="CE415" s="161"/>
      <c r="CF415" s="161"/>
      <c r="CG415" s="136"/>
      <c r="CH415" s="136"/>
      <c r="CI415" s="161"/>
      <c r="CJ415" s="161"/>
      <c r="CK415" s="161"/>
      <c r="CL415" s="161"/>
      <c r="CM415" s="161"/>
      <c r="CN415" s="161"/>
      <c r="CO415" s="161"/>
      <c r="CP415" s="161"/>
      <c r="CQ415" s="161"/>
      <c r="CR415" s="161"/>
      <c r="CS415" s="161"/>
      <c r="CT415" s="161"/>
      <c r="CU415" s="136"/>
      <c r="CV415" s="136"/>
      <c r="CW415" s="161"/>
      <c r="CX415" s="161"/>
      <c r="CY415" s="161"/>
      <c r="CZ415" s="161"/>
      <c r="DA415" s="161"/>
      <c r="DB415" s="161"/>
      <c r="DC415" s="161"/>
      <c r="DD415" s="161">
        <v>6</v>
      </c>
      <c r="DE415" s="161"/>
      <c r="DF415" s="161"/>
      <c r="DG415" s="161"/>
      <c r="DH415" s="161"/>
      <c r="DI415" s="136"/>
      <c r="DJ415" s="136"/>
      <c r="DK415" s="161"/>
      <c r="DL415" s="161"/>
      <c r="DM415" s="161"/>
      <c r="DN415" s="161"/>
      <c r="DO415" s="161"/>
      <c r="DP415" s="161"/>
      <c r="DQ415" s="161"/>
      <c r="DR415" s="161"/>
      <c r="DS415" s="161"/>
      <c r="DT415" s="161"/>
      <c r="DU415" s="161"/>
      <c r="DV415" s="161"/>
      <c r="DW415" s="136"/>
      <c r="DX415" s="136"/>
      <c r="DY415" s="161"/>
      <c r="DZ415" s="161"/>
      <c r="EA415" s="161"/>
      <c r="EB415" s="161"/>
      <c r="EC415" s="161"/>
      <c r="ED415" s="161"/>
      <c r="EE415" s="161"/>
      <c r="EF415" s="161"/>
      <c r="EG415" s="161"/>
      <c r="EH415" s="161"/>
      <c r="EI415" s="161"/>
      <c r="EJ415" s="161"/>
      <c r="EK415" s="136"/>
      <c r="EL415" s="136"/>
      <c r="EM415" s="136"/>
      <c r="EN415" s="136"/>
      <c r="EO415" s="136"/>
      <c r="EP415" s="136"/>
      <c r="EQ415" s="136"/>
      <c r="ER415" s="136"/>
      <c r="ES415" s="161"/>
      <c r="ET415" s="161"/>
      <c r="EU415" s="161"/>
      <c r="EV415" s="161"/>
      <c r="EW415" s="161"/>
      <c r="EX415" s="161"/>
      <c r="EY415" s="136"/>
      <c r="EZ415" s="136"/>
      <c r="FA415" s="161"/>
      <c r="FB415" s="161"/>
      <c r="FC415" s="161"/>
      <c r="FD415" s="161"/>
      <c r="FE415" s="161"/>
      <c r="FF415" s="161"/>
      <c r="FG415" s="161"/>
      <c r="FH415" s="161"/>
      <c r="FI415" s="161"/>
      <c r="FJ415" s="161"/>
      <c r="FK415" s="161"/>
      <c r="FL415" s="161"/>
      <c r="FM415" s="136"/>
      <c r="FN415" s="136"/>
      <c r="FO415" s="161"/>
      <c r="FP415" s="161"/>
      <c r="FQ415" s="161"/>
      <c r="FR415" s="161"/>
      <c r="FS415" s="161"/>
      <c r="FT415" s="161"/>
      <c r="FU415" s="161"/>
      <c r="FV415" s="161"/>
      <c r="FW415" s="161"/>
      <c r="FX415" s="161"/>
      <c r="FY415" s="161"/>
      <c r="FZ415" s="161"/>
      <c r="GA415" s="136"/>
      <c r="GB415" s="136"/>
      <c r="GC415" s="161"/>
      <c r="GD415" s="161"/>
      <c r="GE415" s="161"/>
      <c r="GF415" s="161"/>
      <c r="GG415" s="161"/>
      <c r="GH415" s="161"/>
      <c r="GI415" s="161"/>
      <c r="GJ415" s="161"/>
      <c r="GK415" s="161"/>
      <c r="GL415" s="161"/>
      <c r="GM415" s="161"/>
      <c r="GN415" s="161"/>
    </row>
    <row r="416" spans="1:196">
      <c r="A416" s="162"/>
      <c r="B416" s="178" t="s">
        <v>1084</v>
      </c>
      <c r="C416" s="109" t="s">
        <v>638</v>
      </c>
      <c r="D416" s="119"/>
      <c r="E416" s="119"/>
      <c r="F416" s="107"/>
      <c r="G416" s="115">
        <v>2213</v>
      </c>
      <c r="H416" s="6"/>
      <c r="I416" s="125">
        <v>46249</v>
      </c>
      <c r="J416" s="13">
        <f>G416-SUM(L416:FL416)</f>
        <v>0</v>
      </c>
      <c r="K416" s="141"/>
      <c r="L416" s="161"/>
      <c r="M416" s="136"/>
      <c r="N416" s="136"/>
      <c r="O416" s="136"/>
      <c r="P416" s="136"/>
      <c r="Q416" s="136"/>
      <c r="R416" s="136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36"/>
      <c r="AD416" s="136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36"/>
      <c r="AR416" s="136"/>
      <c r="AS416" s="161"/>
      <c r="AT416" s="161"/>
      <c r="AU416" s="161"/>
      <c r="AV416" s="161"/>
      <c r="AW416" s="161"/>
      <c r="AX416" s="161"/>
      <c r="AY416" s="161"/>
      <c r="AZ416" s="161"/>
      <c r="BA416" s="161"/>
      <c r="BB416" s="161"/>
      <c r="BC416" s="161"/>
      <c r="BD416" s="161"/>
      <c r="BE416" s="136"/>
      <c r="BF416" s="136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36"/>
      <c r="BT416" s="136"/>
      <c r="BU416" s="161"/>
      <c r="BV416" s="161"/>
      <c r="BW416" s="161"/>
      <c r="BX416" s="161"/>
      <c r="BY416" s="161"/>
      <c r="BZ416" s="161"/>
      <c r="CA416" s="161"/>
      <c r="CB416" s="161"/>
      <c r="CC416" s="161"/>
      <c r="CD416" s="161"/>
      <c r="CE416" s="161"/>
      <c r="CF416" s="161"/>
      <c r="CG416" s="136"/>
      <c r="CH416" s="136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36"/>
      <c r="CV416" s="136"/>
      <c r="CW416" s="161"/>
      <c r="CX416" s="161"/>
      <c r="CY416" s="161"/>
      <c r="CZ416" s="161"/>
      <c r="DA416" s="161"/>
      <c r="DB416" s="161"/>
      <c r="DC416" s="161"/>
      <c r="DD416" s="161">
        <v>125</v>
      </c>
      <c r="DE416" s="161">
        <v>150</v>
      </c>
      <c r="DF416" s="161">
        <v>150</v>
      </c>
      <c r="DG416" s="161">
        <v>150</v>
      </c>
      <c r="DH416" s="161">
        <v>150</v>
      </c>
      <c r="DI416" s="136"/>
      <c r="DJ416" s="136"/>
      <c r="DK416" s="161">
        <v>150</v>
      </c>
      <c r="DL416" s="161">
        <v>150</v>
      </c>
      <c r="DM416" s="161">
        <v>150</v>
      </c>
      <c r="DN416" s="161">
        <v>150</v>
      </c>
      <c r="DO416" s="161">
        <v>150</v>
      </c>
      <c r="DP416" s="161">
        <v>150</v>
      </c>
      <c r="DQ416" s="161">
        <v>150</v>
      </c>
      <c r="DR416" s="161">
        <v>150</v>
      </c>
      <c r="DS416" s="161">
        <v>150</v>
      </c>
      <c r="DT416" s="161">
        <v>138</v>
      </c>
      <c r="DU416" s="161"/>
      <c r="DV416" s="161"/>
      <c r="DW416" s="136"/>
      <c r="DX416" s="136"/>
      <c r="DY416" s="161"/>
      <c r="DZ416" s="161"/>
      <c r="EA416" s="161"/>
      <c r="EB416" s="161"/>
      <c r="EC416" s="161"/>
      <c r="ED416" s="161"/>
      <c r="EE416" s="161"/>
      <c r="EF416" s="161"/>
      <c r="EG416" s="161"/>
      <c r="EH416" s="161"/>
      <c r="EI416" s="161"/>
      <c r="EJ416" s="161"/>
      <c r="EK416" s="136"/>
      <c r="EL416" s="136"/>
      <c r="EM416" s="136"/>
      <c r="EN416" s="136"/>
      <c r="EO416" s="136"/>
      <c r="EP416" s="136"/>
      <c r="EQ416" s="136"/>
      <c r="ER416" s="136"/>
      <c r="ES416" s="161"/>
      <c r="ET416" s="161"/>
      <c r="EU416" s="161"/>
      <c r="EV416" s="161"/>
      <c r="EW416" s="161"/>
      <c r="EX416" s="161"/>
      <c r="EY416" s="136"/>
      <c r="EZ416" s="136"/>
      <c r="FA416" s="161"/>
      <c r="FB416" s="161"/>
      <c r="FC416" s="161"/>
      <c r="FD416" s="161"/>
      <c r="FE416" s="161"/>
      <c r="FF416" s="161"/>
      <c r="FG416" s="161"/>
      <c r="FH416" s="161"/>
      <c r="FI416" s="161"/>
      <c r="FJ416" s="161"/>
      <c r="FK416" s="161"/>
      <c r="FL416" s="161"/>
      <c r="FM416" s="136"/>
      <c r="FN416" s="136"/>
      <c r="FO416" s="161"/>
      <c r="FP416" s="161"/>
      <c r="FQ416" s="161"/>
      <c r="FR416" s="161"/>
      <c r="FS416" s="161"/>
      <c r="FT416" s="161"/>
      <c r="FU416" s="161"/>
      <c r="FV416" s="161"/>
      <c r="FW416" s="161"/>
      <c r="FX416" s="161"/>
      <c r="FY416" s="161"/>
      <c r="FZ416" s="161"/>
      <c r="GA416" s="136"/>
      <c r="GB416" s="136"/>
      <c r="GC416" s="161"/>
      <c r="GD416" s="161"/>
      <c r="GE416" s="161"/>
      <c r="GF416" s="161"/>
      <c r="GG416" s="161"/>
      <c r="GH416" s="161"/>
      <c r="GI416" s="161"/>
      <c r="GJ416" s="161"/>
      <c r="GK416" s="161"/>
      <c r="GL416" s="161"/>
      <c r="GM416" s="161"/>
      <c r="GN416" s="161"/>
    </row>
    <row r="417" spans="1:196">
      <c r="A417" s="162"/>
      <c r="B417" s="126" t="s">
        <v>1125</v>
      </c>
      <c r="C417" s="109" t="s">
        <v>636</v>
      </c>
      <c r="D417" s="119"/>
      <c r="E417" s="119"/>
      <c r="F417" s="107"/>
      <c r="G417" s="115">
        <v>900</v>
      </c>
      <c r="H417" s="6"/>
      <c r="I417" s="125">
        <v>46249</v>
      </c>
      <c r="J417" s="13">
        <f t="shared" si="202"/>
        <v>0</v>
      </c>
      <c r="K417" s="141"/>
      <c r="L417" s="161"/>
      <c r="M417" s="136"/>
      <c r="N417" s="136"/>
      <c r="O417" s="136"/>
      <c r="P417" s="136"/>
      <c r="Q417" s="136"/>
      <c r="R417" s="136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36"/>
      <c r="AD417" s="136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36"/>
      <c r="AR417" s="136"/>
      <c r="AS417" s="161"/>
      <c r="AT417" s="161"/>
      <c r="AU417" s="161"/>
      <c r="AV417" s="161"/>
      <c r="AW417" s="161"/>
      <c r="AX417" s="161"/>
      <c r="AY417" s="161"/>
      <c r="AZ417" s="161"/>
      <c r="BA417" s="161"/>
      <c r="BB417" s="161"/>
      <c r="BC417" s="161"/>
      <c r="BD417" s="161"/>
      <c r="BE417" s="136"/>
      <c r="BF417" s="136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36"/>
      <c r="BT417" s="136"/>
      <c r="BU417" s="161"/>
      <c r="BV417" s="161"/>
      <c r="BW417" s="161"/>
      <c r="BX417" s="161"/>
      <c r="BY417" s="161"/>
      <c r="BZ417" s="161"/>
      <c r="CA417" s="161"/>
      <c r="CB417" s="161"/>
      <c r="CC417" s="161"/>
      <c r="CD417" s="161"/>
      <c r="CE417" s="161"/>
      <c r="CF417" s="161"/>
      <c r="CG417" s="136"/>
      <c r="CH417" s="136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36"/>
      <c r="CV417" s="136"/>
      <c r="CW417" s="161"/>
      <c r="CX417" s="161"/>
      <c r="CY417" s="161"/>
      <c r="CZ417" s="161"/>
      <c r="DA417" s="161"/>
      <c r="DB417" s="161"/>
      <c r="DC417" s="161"/>
      <c r="DD417" s="161"/>
      <c r="DE417" s="161"/>
      <c r="DF417" s="161"/>
      <c r="DG417" s="161">
        <v>50</v>
      </c>
      <c r="DH417" s="161">
        <v>140</v>
      </c>
      <c r="DI417" s="136"/>
      <c r="DJ417" s="136"/>
      <c r="DK417" s="161">
        <v>140</v>
      </c>
      <c r="DL417" s="161">
        <v>140</v>
      </c>
      <c r="DM417" s="161">
        <v>140</v>
      </c>
      <c r="DN417" s="161">
        <v>140</v>
      </c>
      <c r="DO417" s="161">
        <v>140</v>
      </c>
      <c r="DP417" s="161">
        <v>10</v>
      </c>
      <c r="DQ417" s="161"/>
      <c r="DR417" s="161"/>
      <c r="DS417" s="161"/>
      <c r="DT417" s="161"/>
      <c r="DU417" s="161"/>
      <c r="DV417" s="161"/>
      <c r="DW417" s="136"/>
      <c r="DX417" s="136"/>
      <c r="DY417" s="161"/>
      <c r="DZ417" s="161"/>
      <c r="EA417" s="161"/>
      <c r="EB417" s="161"/>
      <c r="EC417" s="161"/>
      <c r="ED417" s="161"/>
      <c r="EE417" s="161"/>
      <c r="EF417" s="161"/>
      <c r="EG417" s="161"/>
      <c r="EH417" s="161"/>
      <c r="EI417" s="161"/>
      <c r="EJ417" s="161"/>
      <c r="EK417" s="136"/>
      <c r="EL417" s="136"/>
      <c r="EM417" s="136"/>
      <c r="EN417" s="136"/>
      <c r="EO417" s="136"/>
      <c r="EP417" s="136"/>
      <c r="EQ417" s="136"/>
      <c r="ER417" s="136"/>
      <c r="ES417" s="161"/>
      <c r="ET417" s="161"/>
      <c r="EU417" s="161"/>
      <c r="EV417" s="161"/>
      <c r="EW417" s="161"/>
      <c r="EX417" s="161"/>
      <c r="EY417" s="136"/>
      <c r="EZ417" s="136"/>
      <c r="FA417" s="161"/>
      <c r="FB417" s="161"/>
      <c r="FC417" s="161"/>
      <c r="FD417" s="161"/>
      <c r="FE417" s="161"/>
      <c r="FF417" s="161"/>
      <c r="FG417" s="161"/>
      <c r="FH417" s="161"/>
      <c r="FI417" s="161"/>
      <c r="FJ417" s="161"/>
      <c r="FK417" s="161"/>
      <c r="FL417" s="161"/>
      <c r="FM417" s="136"/>
      <c r="FN417" s="136"/>
      <c r="FO417" s="161"/>
      <c r="FP417" s="161"/>
      <c r="FQ417" s="161"/>
      <c r="FR417" s="161"/>
      <c r="FS417" s="161"/>
      <c r="FT417" s="161"/>
      <c r="FU417" s="161"/>
      <c r="FV417" s="161"/>
      <c r="FW417" s="161"/>
      <c r="FX417" s="161"/>
      <c r="FY417" s="161"/>
      <c r="FZ417" s="161"/>
      <c r="GA417" s="136"/>
      <c r="GB417" s="136"/>
      <c r="GC417" s="161"/>
      <c r="GD417" s="161"/>
      <c r="GE417" s="161"/>
      <c r="GF417" s="161"/>
      <c r="GG417" s="161"/>
      <c r="GH417" s="161"/>
      <c r="GI417" s="161"/>
      <c r="GJ417" s="161"/>
      <c r="GK417" s="161"/>
      <c r="GL417" s="161"/>
      <c r="GM417" s="161"/>
      <c r="GN417" s="161"/>
    </row>
    <row r="418" spans="1:196">
      <c r="A418" s="162"/>
      <c r="B418" s="126" t="s">
        <v>1126</v>
      </c>
      <c r="C418" s="109" t="s">
        <v>734</v>
      </c>
      <c r="D418" s="119"/>
      <c r="E418" s="119"/>
      <c r="F418" s="107"/>
      <c r="G418" s="115">
        <v>35</v>
      </c>
      <c r="H418" s="6"/>
      <c r="I418" s="125">
        <v>46249</v>
      </c>
      <c r="J418" s="13">
        <f t="shared" si="202"/>
        <v>0</v>
      </c>
      <c r="K418" s="141"/>
      <c r="L418" s="161"/>
      <c r="M418" s="136"/>
      <c r="N418" s="136"/>
      <c r="O418" s="136"/>
      <c r="P418" s="136"/>
      <c r="Q418" s="136"/>
      <c r="R418" s="136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36"/>
      <c r="AD418" s="136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36"/>
      <c r="AR418" s="136"/>
      <c r="AS418" s="161"/>
      <c r="AT418" s="161"/>
      <c r="AU418" s="161"/>
      <c r="AV418" s="161"/>
      <c r="AW418" s="161"/>
      <c r="AX418" s="161"/>
      <c r="AY418" s="161"/>
      <c r="AZ418" s="161"/>
      <c r="BA418" s="161"/>
      <c r="BB418" s="161"/>
      <c r="BC418" s="161"/>
      <c r="BD418" s="161"/>
      <c r="BE418" s="136"/>
      <c r="BF418" s="136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36"/>
      <c r="BT418" s="136"/>
      <c r="BU418" s="161"/>
      <c r="BV418" s="161"/>
      <c r="BW418" s="161"/>
      <c r="BX418" s="161"/>
      <c r="BY418" s="161"/>
      <c r="BZ418" s="161"/>
      <c r="CA418" s="161"/>
      <c r="CB418" s="161"/>
      <c r="CC418" s="161"/>
      <c r="CD418" s="161"/>
      <c r="CE418" s="161"/>
      <c r="CF418" s="161"/>
      <c r="CG418" s="136"/>
      <c r="CH418" s="136"/>
      <c r="CI418" s="161"/>
      <c r="CJ418" s="161"/>
      <c r="CK418" s="161"/>
      <c r="CL418" s="161"/>
      <c r="CM418" s="161"/>
      <c r="CN418" s="161"/>
      <c r="CO418" s="161"/>
      <c r="CP418" s="161"/>
      <c r="CQ418" s="161"/>
      <c r="CR418" s="161"/>
      <c r="CS418" s="161"/>
      <c r="CT418" s="161"/>
      <c r="CU418" s="136"/>
      <c r="CV418" s="136"/>
      <c r="CW418" s="161"/>
      <c r="CX418" s="161"/>
      <c r="CY418" s="161"/>
      <c r="CZ418" s="161"/>
      <c r="DA418" s="161"/>
      <c r="DB418" s="161"/>
      <c r="DC418" s="161"/>
      <c r="DD418" s="161"/>
      <c r="DE418" s="161"/>
      <c r="DF418" s="161"/>
      <c r="DG418" s="161"/>
      <c r="DH418" s="161"/>
      <c r="DI418" s="136"/>
      <c r="DJ418" s="136"/>
      <c r="DK418" s="161"/>
      <c r="DL418" s="161"/>
      <c r="DM418" s="161"/>
      <c r="DN418" s="161"/>
      <c r="DO418" s="161"/>
      <c r="DP418" s="161">
        <v>35</v>
      </c>
      <c r="DQ418" s="161"/>
      <c r="DR418" s="161"/>
      <c r="DS418" s="161"/>
      <c r="DT418" s="161"/>
      <c r="DU418" s="161"/>
      <c r="DV418" s="161"/>
      <c r="DW418" s="136"/>
      <c r="DX418" s="136"/>
      <c r="DY418" s="161"/>
      <c r="DZ418" s="161"/>
      <c r="EA418" s="161"/>
      <c r="EB418" s="161"/>
      <c r="EC418" s="161"/>
      <c r="ED418" s="161"/>
      <c r="EE418" s="161"/>
      <c r="EF418" s="161"/>
      <c r="EG418" s="161"/>
      <c r="EH418" s="161"/>
      <c r="EI418" s="161"/>
      <c r="EJ418" s="161"/>
      <c r="EK418" s="136"/>
      <c r="EL418" s="136"/>
      <c r="EM418" s="136"/>
      <c r="EN418" s="136"/>
      <c r="EO418" s="136"/>
      <c r="EP418" s="136"/>
      <c r="EQ418" s="136"/>
      <c r="ER418" s="136"/>
      <c r="ES418" s="161"/>
      <c r="ET418" s="161"/>
      <c r="EU418" s="161"/>
      <c r="EV418" s="161"/>
      <c r="EW418" s="161"/>
      <c r="EX418" s="161"/>
      <c r="EY418" s="136"/>
      <c r="EZ418" s="136"/>
      <c r="FA418" s="161"/>
      <c r="FB418" s="161"/>
      <c r="FC418" s="161"/>
      <c r="FD418" s="161"/>
      <c r="FE418" s="161"/>
      <c r="FF418" s="161"/>
      <c r="FG418" s="161"/>
      <c r="FH418" s="161"/>
      <c r="FI418" s="161"/>
      <c r="FJ418" s="161"/>
      <c r="FK418" s="161"/>
      <c r="FL418" s="161"/>
      <c r="FM418" s="136"/>
      <c r="FN418" s="136"/>
      <c r="FO418" s="161"/>
      <c r="FP418" s="161"/>
      <c r="FQ418" s="161"/>
      <c r="FR418" s="161"/>
      <c r="FS418" s="161"/>
      <c r="FT418" s="161"/>
      <c r="FU418" s="161"/>
      <c r="FV418" s="161"/>
      <c r="FW418" s="161"/>
      <c r="FX418" s="161"/>
      <c r="FY418" s="161"/>
      <c r="FZ418" s="161"/>
      <c r="GA418" s="136"/>
      <c r="GB418" s="136"/>
      <c r="GC418" s="161"/>
      <c r="GD418" s="161"/>
      <c r="GE418" s="161"/>
      <c r="GF418" s="161"/>
      <c r="GG418" s="161"/>
      <c r="GH418" s="161"/>
      <c r="GI418" s="161"/>
      <c r="GJ418" s="161"/>
      <c r="GK418" s="161"/>
      <c r="GL418" s="161"/>
      <c r="GM418" s="161"/>
      <c r="GN418" s="161"/>
    </row>
    <row r="419" spans="1:196">
      <c r="A419" s="162"/>
      <c r="B419" s="126" t="s">
        <v>960</v>
      </c>
      <c r="C419" s="109" t="s">
        <v>657</v>
      </c>
      <c r="D419" s="119"/>
      <c r="E419" s="119"/>
      <c r="F419" s="107"/>
      <c r="G419" s="115">
        <v>5</v>
      </c>
      <c r="H419" s="6"/>
      <c r="I419" s="125">
        <v>46249</v>
      </c>
      <c r="J419" s="13">
        <f>G419-SUM(L419:FL419)</f>
        <v>0</v>
      </c>
      <c r="K419" s="141"/>
      <c r="L419" s="161"/>
      <c r="M419" s="136"/>
      <c r="N419" s="136"/>
      <c r="O419" s="136"/>
      <c r="P419" s="136"/>
      <c r="Q419" s="136"/>
      <c r="R419" s="136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36"/>
      <c r="AD419" s="136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36"/>
      <c r="AR419" s="136"/>
      <c r="AS419" s="161"/>
      <c r="AT419" s="161"/>
      <c r="AU419" s="161"/>
      <c r="AV419" s="161"/>
      <c r="AW419" s="161"/>
      <c r="AX419" s="161"/>
      <c r="AY419" s="161"/>
      <c r="AZ419" s="161"/>
      <c r="BA419" s="161"/>
      <c r="BB419" s="161"/>
      <c r="BC419" s="161"/>
      <c r="BD419" s="161"/>
      <c r="BE419" s="136"/>
      <c r="BF419" s="136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36"/>
      <c r="BT419" s="136"/>
      <c r="BU419" s="161"/>
      <c r="BV419" s="161"/>
      <c r="BW419" s="161"/>
      <c r="BX419" s="161"/>
      <c r="BY419" s="161"/>
      <c r="BZ419" s="161"/>
      <c r="CA419" s="161"/>
      <c r="CB419" s="161"/>
      <c r="CC419" s="161"/>
      <c r="CD419" s="161"/>
      <c r="CE419" s="161"/>
      <c r="CF419" s="161"/>
      <c r="CG419" s="136"/>
      <c r="CH419" s="136"/>
      <c r="CI419" s="161"/>
      <c r="CJ419" s="161"/>
      <c r="CK419" s="161"/>
      <c r="CL419" s="161"/>
      <c r="CM419" s="161"/>
      <c r="CN419" s="161"/>
      <c r="CO419" s="161"/>
      <c r="CP419" s="161"/>
      <c r="CQ419" s="161"/>
      <c r="CR419" s="161"/>
      <c r="CS419" s="161"/>
      <c r="CT419" s="161"/>
      <c r="CU419" s="136"/>
      <c r="CV419" s="136"/>
      <c r="CW419" s="161"/>
      <c r="CX419" s="161"/>
      <c r="CY419" s="161"/>
      <c r="CZ419" s="161"/>
      <c r="DA419" s="161"/>
      <c r="DB419" s="161"/>
      <c r="DC419" s="161"/>
      <c r="DD419" s="161"/>
      <c r="DE419" s="161"/>
      <c r="DF419" s="161"/>
      <c r="DG419" s="161"/>
      <c r="DH419" s="161"/>
      <c r="DI419" s="136"/>
      <c r="DJ419" s="136"/>
      <c r="DK419" s="161"/>
      <c r="DL419" s="161"/>
      <c r="DM419" s="161"/>
      <c r="DN419" s="161"/>
      <c r="DO419" s="161"/>
      <c r="DP419" s="161">
        <v>5</v>
      </c>
      <c r="DQ419" s="161"/>
      <c r="DR419" s="161"/>
      <c r="DS419" s="161"/>
      <c r="DT419" s="161"/>
      <c r="DU419" s="161"/>
      <c r="DV419" s="161"/>
      <c r="DW419" s="136"/>
      <c r="DX419" s="136"/>
      <c r="DY419" s="161"/>
      <c r="DZ419" s="161"/>
      <c r="EA419" s="161"/>
      <c r="EB419" s="161"/>
      <c r="EC419" s="161"/>
      <c r="ED419" s="161"/>
      <c r="EE419" s="161"/>
      <c r="EF419" s="161"/>
      <c r="EG419" s="161"/>
      <c r="EH419" s="161"/>
      <c r="EI419" s="161"/>
      <c r="EJ419" s="161"/>
      <c r="EK419" s="136"/>
      <c r="EL419" s="136"/>
      <c r="EM419" s="136"/>
      <c r="EN419" s="136"/>
      <c r="EO419" s="136"/>
      <c r="EP419" s="136"/>
      <c r="EQ419" s="136"/>
      <c r="ER419" s="136"/>
      <c r="ES419" s="161"/>
      <c r="ET419" s="161"/>
      <c r="EU419" s="161"/>
      <c r="EV419" s="161"/>
      <c r="EW419" s="161"/>
      <c r="EX419" s="161"/>
      <c r="EY419" s="136"/>
      <c r="EZ419" s="136"/>
      <c r="FA419" s="161"/>
      <c r="FB419" s="161"/>
      <c r="FC419" s="161"/>
      <c r="FD419" s="161"/>
      <c r="FE419" s="161"/>
      <c r="FF419" s="161"/>
      <c r="FG419" s="161"/>
      <c r="FH419" s="161"/>
      <c r="FI419" s="161"/>
      <c r="FJ419" s="161"/>
      <c r="FK419" s="161"/>
      <c r="FL419" s="161"/>
      <c r="FM419" s="136"/>
      <c r="FN419" s="136"/>
      <c r="FO419" s="161"/>
      <c r="FP419" s="161"/>
      <c r="FQ419" s="161"/>
      <c r="FR419" s="161"/>
      <c r="FS419" s="161"/>
      <c r="FT419" s="161"/>
      <c r="FU419" s="161"/>
      <c r="FV419" s="161"/>
      <c r="FW419" s="161"/>
      <c r="FX419" s="161"/>
      <c r="FY419" s="161"/>
      <c r="FZ419" s="161"/>
      <c r="GA419" s="136"/>
      <c r="GB419" s="136"/>
      <c r="GC419" s="161"/>
      <c r="GD419" s="161"/>
      <c r="GE419" s="161"/>
      <c r="GF419" s="161"/>
      <c r="GG419" s="161"/>
      <c r="GH419" s="161"/>
      <c r="GI419" s="161"/>
      <c r="GJ419" s="161"/>
      <c r="GK419" s="161"/>
      <c r="GL419" s="161"/>
      <c r="GM419" s="161"/>
      <c r="GN419" s="161"/>
    </row>
    <row r="420" spans="1:196">
      <c r="A420" s="162"/>
      <c r="B420" s="126" t="s">
        <v>1185</v>
      </c>
      <c r="C420" s="109" t="s">
        <v>651</v>
      </c>
      <c r="D420" s="119"/>
      <c r="E420" s="119"/>
      <c r="F420" s="107"/>
      <c r="G420" s="115">
        <v>1</v>
      </c>
      <c r="H420" s="6"/>
      <c r="I420" s="125">
        <v>46249</v>
      </c>
      <c r="J420" s="13">
        <f>G420-SUM(L420:FL420)</f>
        <v>0</v>
      </c>
      <c r="K420" s="141"/>
      <c r="L420" s="161"/>
      <c r="M420" s="136"/>
      <c r="N420" s="136"/>
      <c r="O420" s="136"/>
      <c r="P420" s="136"/>
      <c r="Q420" s="136"/>
      <c r="R420" s="136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36"/>
      <c r="AD420" s="136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36"/>
      <c r="AR420" s="136"/>
      <c r="AS420" s="161"/>
      <c r="AT420" s="161"/>
      <c r="AU420" s="161"/>
      <c r="AV420" s="161"/>
      <c r="AW420" s="161"/>
      <c r="AX420" s="161"/>
      <c r="AY420" s="161"/>
      <c r="AZ420" s="161"/>
      <c r="BA420" s="161"/>
      <c r="BB420" s="161"/>
      <c r="BC420" s="161"/>
      <c r="BD420" s="161"/>
      <c r="BE420" s="136"/>
      <c r="BF420" s="136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36"/>
      <c r="BT420" s="136"/>
      <c r="BU420" s="161"/>
      <c r="BV420" s="161"/>
      <c r="BW420" s="161"/>
      <c r="BX420" s="161"/>
      <c r="BY420" s="161"/>
      <c r="BZ420" s="161"/>
      <c r="CA420" s="161"/>
      <c r="CB420" s="161"/>
      <c r="CC420" s="161"/>
      <c r="CD420" s="161"/>
      <c r="CE420" s="161"/>
      <c r="CF420" s="161"/>
      <c r="CG420" s="136"/>
      <c r="CH420" s="136"/>
      <c r="CI420" s="161"/>
      <c r="CJ420" s="161"/>
      <c r="CK420" s="161"/>
      <c r="CL420" s="161"/>
      <c r="CM420" s="161"/>
      <c r="CN420" s="161"/>
      <c r="CO420" s="161"/>
      <c r="CP420" s="161"/>
      <c r="CQ420" s="161"/>
      <c r="CR420" s="161"/>
      <c r="CS420" s="161"/>
      <c r="CT420" s="161"/>
      <c r="CU420" s="136"/>
      <c r="CV420" s="136"/>
      <c r="CW420" s="161"/>
      <c r="CX420" s="161"/>
      <c r="CY420" s="161"/>
      <c r="CZ420" s="161"/>
      <c r="DA420" s="161"/>
      <c r="DB420" s="161"/>
      <c r="DC420" s="161"/>
      <c r="DD420" s="161"/>
      <c r="DE420" s="161"/>
      <c r="DF420" s="161"/>
      <c r="DG420" s="161"/>
      <c r="DH420" s="161"/>
      <c r="DI420" s="136"/>
      <c r="DJ420" s="136"/>
      <c r="DK420" s="161"/>
      <c r="DL420" s="161"/>
      <c r="DM420" s="161"/>
      <c r="DN420" s="161"/>
      <c r="DO420" s="161"/>
      <c r="DP420" s="161">
        <v>1</v>
      </c>
      <c r="DQ420" s="161"/>
      <c r="DR420" s="161"/>
      <c r="DS420" s="161"/>
      <c r="DT420" s="161"/>
      <c r="DU420" s="161"/>
      <c r="DV420" s="161"/>
      <c r="DW420" s="136"/>
      <c r="DX420" s="136"/>
      <c r="DY420" s="161"/>
      <c r="DZ420" s="161"/>
      <c r="EA420" s="161"/>
      <c r="EB420" s="161"/>
      <c r="EC420" s="161"/>
      <c r="ED420" s="161"/>
      <c r="EE420" s="161"/>
      <c r="EF420" s="161"/>
      <c r="EG420" s="161"/>
      <c r="EH420" s="161"/>
      <c r="EI420" s="161"/>
      <c r="EJ420" s="161"/>
      <c r="EK420" s="136"/>
      <c r="EL420" s="136"/>
      <c r="EM420" s="136"/>
      <c r="EN420" s="136"/>
      <c r="EO420" s="136"/>
      <c r="EP420" s="136"/>
      <c r="EQ420" s="136"/>
      <c r="ER420" s="136"/>
      <c r="ES420" s="161"/>
      <c r="ET420" s="161"/>
      <c r="EU420" s="161"/>
      <c r="EV420" s="161"/>
      <c r="EW420" s="161"/>
      <c r="EX420" s="161"/>
      <c r="EY420" s="136"/>
      <c r="EZ420" s="136"/>
      <c r="FA420" s="161"/>
      <c r="FB420" s="161"/>
      <c r="FC420" s="161"/>
      <c r="FD420" s="161"/>
      <c r="FE420" s="161"/>
      <c r="FF420" s="161"/>
      <c r="FG420" s="161"/>
      <c r="FH420" s="161"/>
      <c r="FI420" s="161"/>
      <c r="FJ420" s="161"/>
      <c r="FK420" s="161"/>
      <c r="FL420" s="161"/>
      <c r="FM420" s="136"/>
      <c r="FN420" s="136"/>
      <c r="FO420" s="161"/>
      <c r="FP420" s="161"/>
      <c r="FQ420" s="161"/>
      <c r="FR420" s="161"/>
      <c r="FS420" s="161"/>
      <c r="FT420" s="161"/>
      <c r="FU420" s="161"/>
      <c r="FV420" s="161"/>
      <c r="FW420" s="161"/>
      <c r="FX420" s="161"/>
      <c r="FY420" s="161"/>
      <c r="FZ420" s="161"/>
      <c r="GA420" s="136"/>
      <c r="GB420" s="136"/>
      <c r="GC420" s="161"/>
      <c r="GD420" s="161"/>
      <c r="GE420" s="161"/>
      <c r="GF420" s="161"/>
      <c r="GG420" s="161"/>
      <c r="GH420" s="161"/>
      <c r="GI420" s="161"/>
      <c r="GJ420" s="161"/>
      <c r="GK420" s="161"/>
      <c r="GL420" s="161"/>
      <c r="GM420" s="161"/>
      <c r="GN420" s="161"/>
    </row>
    <row r="421" spans="1:196">
      <c r="A421" s="162"/>
      <c r="B421" s="126" t="s">
        <v>1127</v>
      </c>
      <c r="C421" s="109" t="s">
        <v>649</v>
      </c>
      <c r="D421" s="119"/>
      <c r="E421" s="119"/>
      <c r="F421" s="107"/>
      <c r="G421" s="115">
        <v>40</v>
      </c>
      <c r="H421" s="6"/>
      <c r="I421" s="125">
        <v>46249</v>
      </c>
      <c r="J421" s="13">
        <f t="shared" si="202"/>
        <v>0</v>
      </c>
      <c r="K421" s="141"/>
      <c r="L421" s="161"/>
      <c r="M421" s="136"/>
      <c r="N421" s="136"/>
      <c r="O421" s="136"/>
      <c r="P421" s="136"/>
      <c r="Q421" s="136"/>
      <c r="R421" s="136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36"/>
      <c r="AD421" s="136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36"/>
      <c r="AR421" s="136"/>
      <c r="AS421" s="161"/>
      <c r="AT421" s="161"/>
      <c r="AU421" s="161"/>
      <c r="AV421" s="161"/>
      <c r="AW421" s="161"/>
      <c r="AX421" s="161"/>
      <c r="AY421" s="161"/>
      <c r="AZ421" s="161"/>
      <c r="BA421" s="161"/>
      <c r="BB421" s="161"/>
      <c r="BC421" s="161"/>
      <c r="BD421" s="161"/>
      <c r="BE421" s="136"/>
      <c r="BF421" s="136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36"/>
      <c r="BT421" s="136"/>
      <c r="BU421" s="161"/>
      <c r="BV421" s="161"/>
      <c r="BW421" s="161"/>
      <c r="BX421" s="161"/>
      <c r="BY421" s="161"/>
      <c r="BZ421" s="161"/>
      <c r="CA421" s="161"/>
      <c r="CB421" s="161"/>
      <c r="CC421" s="161"/>
      <c r="CD421" s="161"/>
      <c r="CE421" s="161"/>
      <c r="CF421" s="161"/>
      <c r="CG421" s="136"/>
      <c r="CH421" s="136"/>
      <c r="CI421" s="161"/>
      <c r="CJ421" s="161"/>
      <c r="CK421" s="161"/>
      <c r="CL421" s="161"/>
      <c r="CM421" s="161"/>
      <c r="CN421" s="161"/>
      <c r="CO421" s="161"/>
      <c r="CP421" s="161"/>
      <c r="CQ421" s="161"/>
      <c r="CR421" s="161"/>
      <c r="CS421" s="161"/>
      <c r="CT421" s="161"/>
      <c r="CU421" s="136"/>
      <c r="CV421" s="136"/>
      <c r="CW421" s="161"/>
      <c r="CX421" s="161"/>
      <c r="CY421" s="161"/>
      <c r="CZ421" s="161"/>
      <c r="DA421" s="161"/>
      <c r="DB421" s="161"/>
      <c r="DC421" s="161"/>
      <c r="DD421" s="161"/>
      <c r="DE421" s="161"/>
      <c r="DF421" s="161"/>
      <c r="DG421" s="161"/>
      <c r="DH421" s="161"/>
      <c r="DI421" s="136"/>
      <c r="DJ421" s="136"/>
      <c r="DK421" s="161"/>
      <c r="DL421" s="161"/>
      <c r="DM421" s="161"/>
      <c r="DN421" s="161"/>
      <c r="DO421" s="161"/>
      <c r="DP421" s="161">
        <v>40</v>
      </c>
      <c r="DQ421" s="161"/>
      <c r="DR421" s="161"/>
      <c r="DS421" s="161"/>
      <c r="DT421" s="161"/>
      <c r="DU421" s="161"/>
      <c r="DV421" s="161"/>
      <c r="DW421" s="136"/>
      <c r="DX421" s="136"/>
      <c r="DY421" s="161"/>
      <c r="DZ421" s="161"/>
      <c r="EA421" s="161"/>
      <c r="EB421" s="161"/>
      <c r="EC421" s="161"/>
      <c r="ED421" s="161"/>
      <c r="EE421" s="161"/>
      <c r="EF421" s="161"/>
      <c r="EG421" s="161"/>
      <c r="EH421" s="161"/>
      <c r="EI421" s="161"/>
      <c r="EJ421" s="161"/>
      <c r="EK421" s="136"/>
      <c r="EL421" s="136"/>
      <c r="EM421" s="136"/>
      <c r="EN421" s="136"/>
      <c r="EO421" s="136"/>
      <c r="EP421" s="136"/>
      <c r="EQ421" s="136"/>
      <c r="ER421" s="136"/>
      <c r="ES421" s="161"/>
      <c r="ET421" s="161"/>
      <c r="EU421" s="161"/>
      <c r="EV421" s="161"/>
      <c r="EW421" s="161"/>
      <c r="EX421" s="161"/>
      <c r="EY421" s="136"/>
      <c r="EZ421" s="136"/>
      <c r="FA421" s="161"/>
      <c r="FB421" s="161"/>
      <c r="FC421" s="161"/>
      <c r="FD421" s="161"/>
      <c r="FE421" s="161"/>
      <c r="FF421" s="161"/>
      <c r="FG421" s="161"/>
      <c r="FH421" s="161"/>
      <c r="FI421" s="161"/>
      <c r="FJ421" s="161"/>
      <c r="FK421" s="161"/>
      <c r="FL421" s="161"/>
      <c r="FM421" s="136"/>
      <c r="FN421" s="136"/>
      <c r="FO421" s="161"/>
      <c r="FP421" s="161"/>
      <c r="FQ421" s="161"/>
      <c r="FR421" s="161"/>
      <c r="FS421" s="161"/>
      <c r="FT421" s="161"/>
      <c r="FU421" s="161"/>
      <c r="FV421" s="161"/>
      <c r="FW421" s="161"/>
      <c r="FX421" s="161"/>
      <c r="FY421" s="161"/>
      <c r="FZ421" s="161"/>
      <c r="GA421" s="136"/>
      <c r="GB421" s="136"/>
      <c r="GC421" s="161"/>
      <c r="GD421" s="161"/>
      <c r="GE421" s="161"/>
      <c r="GF421" s="161"/>
      <c r="GG421" s="161"/>
      <c r="GH421" s="161"/>
      <c r="GI421" s="161"/>
      <c r="GJ421" s="161"/>
      <c r="GK421" s="161"/>
      <c r="GL421" s="161"/>
      <c r="GM421" s="161"/>
      <c r="GN421" s="161"/>
    </row>
    <row r="422" spans="1:196">
      <c r="A422" s="162"/>
      <c r="B422" s="126" t="s">
        <v>1128</v>
      </c>
      <c r="C422" s="109" t="s">
        <v>652</v>
      </c>
      <c r="D422" s="119"/>
      <c r="E422" s="119"/>
      <c r="F422" s="107"/>
      <c r="G422" s="115">
        <v>1000</v>
      </c>
      <c r="H422" s="6"/>
      <c r="I422" s="125">
        <v>46249</v>
      </c>
      <c r="J422" s="13">
        <f t="shared" si="202"/>
        <v>0</v>
      </c>
      <c r="K422" s="141"/>
      <c r="L422" s="161"/>
      <c r="M422" s="136"/>
      <c r="N422" s="136"/>
      <c r="O422" s="136"/>
      <c r="P422" s="136"/>
      <c r="Q422" s="136"/>
      <c r="R422" s="136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36"/>
      <c r="AD422" s="136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36"/>
      <c r="AR422" s="136"/>
      <c r="AS422" s="161"/>
      <c r="AT422" s="161"/>
      <c r="AU422" s="161"/>
      <c r="AV422" s="161"/>
      <c r="AW422" s="161"/>
      <c r="AX422" s="161"/>
      <c r="AY422" s="161"/>
      <c r="AZ422" s="161"/>
      <c r="BA422" s="161"/>
      <c r="BB422" s="161"/>
      <c r="BC422" s="161"/>
      <c r="BD422" s="161"/>
      <c r="BE422" s="136"/>
      <c r="BF422" s="136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36"/>
      <c r="BT422" s="136"/>
      <c r="BU422" s="161"/>
      <c r="BV422" s="161"/>
      <c r="BW422" s="161"/>
      <c r="BX422" s="161"/>
      <c r="BY422" s="161"/>
      <c r="BZ422" s="161"/>
      <c r="CA422" s="161"/>
      <c r="CB422" s="161"/>
      <c r="CC422" s="161"/>
      <c r="CD422" s="161"/>
      <c r="CE422" s="161"/>
      <c r="CF422" s="161"/>
      <c r="CG422" s="136"/>
      <c r="CH422" s="136"/>
      <c r="CI422" s="161"/>
      <c r="CJ422" s="161"/>
      <c r="CK422" s="161"/>
      <c r="CL422" s="161"/>
      <c r="CM422" s="161"/>
      <c r="CN422" s="161"/>
      <c r="CO422" s="161"/>
      <c r="CP422" s="161"/>
      <c r="CQ422" s="161"/>
      <c r="CR422" s="161"/>
      <c r="CS422" s="161"/>
      <c r="CT422" s="161"/>
      <c r="CU422" s="136"/>
      <c r="CV422" s="136"/>
      <c r="CW422" s="161"/>
      <c r="CX422" s="161"/>
      <c r="CY422" s="161"/>
      <c r="CZ422" s="161"/>
      <c r="DA422" s="161"/>
      <c r="DB422" s="161"/>
      <c r="DC422" s="161"/>
      <c r="DD422" s="161"/>
      <c r="DE422" s="161"/>
      <c r="DF422" s="161"/>
      <c r="DG422" s="161"/>
      <c r="DH422" s="161"/>
      <c r="DI422" s="136"/>
      <c r="DJ422" s="136"/>
      <c r="DK422" s="161"/>
      <c r="DL422" s="161"/>
      <c r="DM422" s="161"/>
      <c r="DN422" s="161"/>
      <c r="DO422" s="161"/>
      <c r="DP422" s="161">
        <v>50</v>
      </c>
      <c r="DQ422" s="161">
        <v>140</v>
      </c>
      <c r="DR422" s="161">
        <v>140</v>
      </c>
      <c r="DS422" s="161">
        <v>140</v>
      </c>
      <c r="DT422" s="161">
        <v>140</v>
      </c>
      <c r="DU422" s="161">
        <v>140</v>
      </c>
      <c r="DV422" s="161">
        <v>140</v>
      </c>
      <c r="DW422" s="136"/>
      <c r="DX422" s="136"/>
      <c r="DY422" s="161">
        <v>110</v>
      </c>
      <c r="DZ422" s="161"/>
      <c r="EA422" s="161"/>
      <c r="EB422" s="161"/>
      <c r="EC422" s="161"/>
      <c r="ED422" s="161"/>
      <c r="EE422" s="161"/>
      <c r="EF422" s="161"/>
      <c r="EG422" s="161"/>
      <c r="EH422" s="161"/>
      <c r="EI422" s="161"/>
      <c r="EJ422" s="161"/>
      <c r="EK422" s="136"/>
      <c r="EL422" s="136"/>
      <c r="EM422" s="136"/>
      <c r="EN422" s="136"/>
      <c r="EO422" s="136"/>
      <c r="EP422" s="136"/>
      <c r="EQ422" s="136"/>
      <c r="ER422" s="136"/>
      <c r="ES422" s="161"/>
      <c r="ET422" s="161"/>
      <c r="EU422" s="161"/>
      <c r="EV422" s="161"/>
      <c r="EW422" s="161"/>
      <c r="EX422" s="161"/>
      <c r="EY422" s="136"/>
      <c r="EZ422" s="136"/>
      <c r="FA422" s="161"/>
      <c r="FB422" s="161"/>
      <c r="FC422" s="161"/>
      <c r="FD422" s="161"/>
      <c r="FE422" s="161"/>
      <c r="FF422" s="161"/>
      <c r="FG422" s="161"/>
      <c r="FH422" s="161"/>
      <c r="FI422" s="161"/>
      <c r="FJ422" s="161"/>
      <c r="FK422" s="161"/>
      <c r="FL422" s="161"/>
      <c r="FM422" s="136"/>
      <c r="FN422" s="136"/>
      <c r="FO422" s="161"/>
      <c r="FP422" s="161"/>
      <c r="FQ422" s="161"/>
      <c r="FR422" s="161"/>
      <c r="FS422" s="161"/>
      <c r="FT422" s="161"/>
      <c r="FU422" s="161"/>
      <c r="FV422" s="161"/>
      <c r="FW422" s="161"/>
      <c r="FX422" s="161"/>
      <c r="FY422" s="161"/>
      <c r="FZ422" s="161"/>
      <c r="GA422" s="136"/>
      <c r="GB422" s="136"/>
      <c r="GC422" s="161"/>
      <c r="GD422" s="161"/>
      <c r="GE422" s="161"/>
      <c r="GF422" s="161"/>
      <c r="GG422" s="161"/>
      <c r="GH422" s="161"/>
      <c r="GI422" s="161"/>
      <c r="GJ422" s="161"/>
      <c r="GK422" s="161"/>
      <c r="GL422" s="161"/>
      <c r="GM422" s="161"/>
      <c r="GN422" s="161"/>
    </row>
    <row r="423" spans="1:196">
      <c r="A423" s="162"/>
      <c r="B423" s="126" t="s">
        <v>1129</v>
      </c>
      <c r="C423" s="109" t="s">
        <v>665</v>
      </c>
      <c r="D423" s="119"/>
      <c r="E423" s="119"/>
      <c r="F423" s="107"/>
      <c r="G423" s="115">
        <v>38</v>
      </c>
      <c r="H423" s="6"/>
      <c r="I423" s="125">
        <v>46249</v>
      </c>
      <c r="J423" s="13">
        <f t="shared" si="202"/>
        <v>0</v>
      </c>
      <c r="K423" s="141"/>
      <c r="L423" s="161"/>
      <c r="M423" s="136"/>
      <c r="N423" s="136"/>
      <c r="O423" s="136"/>
      <c r="P423" s="136"/>
      <c r="Q423" s="136"/>
      <c r="R423" s="136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36"/>
      <c r="AD423" s="136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36"/>
      <c r="AR423" s="136"/>
      <c r="AS423" s="161"/>
      <c r="AT423" s="161"/>
      <c r="AU423" s="161"/>
      <c r="AV423" s="161"/>
      <c r="AW423" s="161"/>
      <c r="AX423" s="161"/>
      <c r="AY423" s="161"/>
      <c r="AZ423" s="161"/>
      <c r="BA423" s="161"/>
      <c r="BB423" s="161"/>
      <c r="BC423" s="161"/>
      <c r="BD423" s="161"/>
      <c r="BE423" s="136"/>
      <c r="BF423" s="136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36"/>
      <c r="BT423" s="136"/>
      <c r="BU423" s="161"/>
      <c r="BV423" s="161"/>
      <c r="BW423" s="161"/>
      <c r="BX423" s="161"/>
      <c r="BY423" s="161"/>
      <c r="BZ423" s="161"/>
      <c r="CA423" s="161"/>
      <c r="CB423" s="161"/>
      <c r="CC423" s="161"/>
      <c r="CD423" s="161"/>
      <c r="CE423" s="161"/>
      <c r="CF423" s="161"/>
      <c r="CG423" s="136"/>
      <c r="CH423" s="136"/>
      <c r="CI423" s="161"/>
      <c r="CJ423" s="161"/>
      <c r="CK423" s="161"/>
      <c r="CL423" s="161"/>
      <c r="CM423" s="161"/>
      <c r="CN423" s="161"/>
      <c r="CO423" s="161"/>
      <c r="CP423" s="161"/>
      <c r="CQ423" s="161"/>
      <c r="CR423" s="161"/>
      <c r="CS423" s="161"/>
      <c r="CT423" s="161"/>
      <c r="CU423" s="136"/>
      <c r="CV423" s="136"/>
      <c r="CW423" s="161"/>
      <c r="CX423" s="161"/>
      <c r="CY423" s="161"/>
      <c r="CZ423" s="161"/>
      <c r="DA423" s="161"/>
      <c r="DB423" s="161"/>
      <c r="DC423" s="161"/>
      <c r="DD423" s="161"/>
      <c r="DE423" s="161"/>
      <c r="DF423" s="161"/>
      <c r="DG423" s="161"/>
      <c r="DH423" s="161"/>
      <c r="DI423" s="136"/>
      <c r="DJ423" s="136"/>
      <c r="DK423" s="161"/>
      <c r="DL423" s="161"/>
      <c r="DM423" s="161"/>
      <c r="DN423" s="161"/>
      <c r="DO423" s="161"/>
      <c r="DP423" s="161"/>
      <c r="DQ423" s="161"/>
      <c r="DR423" s="161"/>
      <c r="DS423" s="161"/>
      <c r="DT423" s="161"/>
      <c r="DU423" s="161"/>
      <c r="DV423" s="161"/>
      <c r="DW423" s="136"/>
      <c r="DX423" s="136"/>
      <c r="DY423" s="161">
        <v>38</v>
      </c>
      <c r="DZ423" s="161"/>
      <c r="EA423" s="161"/>
      <c r="EB423" s="161"/>
      <c r="EC423" s="161"/>
      <c r="ED423" s="161"/>
      <c r="EE423" s="161"/>
      <c r="EF423" s="161"/>
      <c r="EG423" s="161"/>
      <c r="EH423" s="161"/>
      <c r="EI423" s="161"/>
      <c r="EJ423" s="161"/>
      <c r="EK423" s="136"/>
      <c r="EL423" s="136"/>
      <c r="EM423" s="136"/>
      <c r="EN423" s="136"/>
      <c r="EO423" s="136"/>
      <c r="EP423" s="136"/>
      <c r="EQ423" s="136"/>
      <c r="ER423" s="136"/>
      <c r="ES423" s="161"/>
      <c r="ET423" s="161"/>
      <c r="EU423" s="161"/>
      <c r="EV423" s="161"/>
      <c r="EW423" s="161"/>
      <c r="EX423" s="161"/>
      <c r="EY423" s="136"/>
      <c r="EZ423" s="136"/>
      <c r="FA423" s="161"/>
      <c r="FB423" s="161"/>
      <c r="FC423" s="161"/>
      <c r="FD423" s="161"/>
      <c r="FE423" s="161"/>
      <c r="FF423" s="161"/>
      <c r="FG423" s="161"/>
      <c r="FH423" s="161"/>
      <c r="FI423" s="161"/>
      <c r="FJ423" s="161"/>
      <c r="FK423" s="161"/>
      <c r="FL423" s="161"/>
      <c r="FM423" s="136"/>
      <c r="FN423" s="136"/>
      <c r="FO423" s="161"/>
      <c r="FP423" s="161"/>
      <c r="FQ423" s="161"/>
      <c r="FR423" s="161"/>
      <c r="FS423" s="161"/>
      <c r="FT423" s="161"/>
      <c r="FU423" s="161"/>
      <c r="FV423" s="161"/>
      <c r="FW423" s="161"/>
      <c r="FX423" s="161"/>
      <c r="FY423" s="161"/>
      <c r="FZ423" s="161"/>
      <c r="GA423" s="136"/>
      <c r="GB423" s="136"/>
      <c r="GC423" s="161"/>
      <c r="GD423" s="161"/>
      <c r="GE423" s="161"/>
      <c r="GF423" s="161"/>
      <c r="GG423" s="161"/>
      <c r="GH423" s="161"/>
      <c r="GI423" s="161"/>
      <c r="GJ423" s="161"/>
      <c r="GK423" s="161"/>
      <c r="GL423" s="161"/>
      <c r="GM423" s="161"/>
      <c r="GN423" s="161"/>
    </row>
    <row r="424" spans="1:196">
      <c r="A424" s="162"/>
      <c r="B424" s="126" t="s">
        <v>1130</v>
      </c>
      <c r="C424" s="109" t="s">
        <v>656</v>
      </c>
      <c r="D424" s="119"/>
      <c r="E424" s="119"/>
      <c r="F424" s="107"/>
      <c r="G424" s="115">
        <v>180</v>
      </c>
      <c r="H424" s="6"/>
      <c r="I424" s="125">
        <v>46249</v>
      </c>
      <c r="J424" s="13">
        <f t="shared" si="202"/>
        <v>0</v>
      </c>
      <c r="K424" s="141"/>
      <c r="L424" s="161"/>
      <c r="M424" s="136"/>
      <c r="N424" s="136"/>
      <c r="O424" s="136"/>
      <c r="P424" s="136"/>
      <c r="Q424" s="136"/>
      <c r="R424" s="136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36"/>
      <c r="AD424" s="136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36"/>
      <c r="AR424" s="136"/>
      <c r="AS424" s="161"/>
      <c r="AT424" s="161"/>
      <c r="AU424" s="161"/>
      <c r="AV424" s="161"/>
      <c r="AW424" s="161"/>
      <c r="AX424" s="161"/>
      <c r="AY424" s="161"/>
      <c r="AZ424" s="161"/>
      <c r="BA424" s="161"/>
      <c r="BB424" s="161"/>
      <c r="BC424" s="161"/>
      <c r="BD424" s="161"/>
      <c r="BE424" s="136"/>
      <c r="BF424" s="136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36"/>
      <c r="BT424" s="136"/>
      <c r="BU424" s="161"/>
      <c r="BV424" s="161"/>
      <c r="BW424" s="161"/>
      <c r="BX424" s="161"/>
      <c r="BY424" s="161"/>
      <c r="BZ424" s="161"/>
      <c r="CA424" s="161"/>
      <c r="CB424" s="161"/>
      <c r="CC424" s="161"/>
      <c r="CD424" s="161"/>
      <c r="CE424" s="161"/>
      <c r="CF424" s="161"/>
      <c r="CG424" s="136"/>
      <c r="CH424" s="136"/>
      <c r="CI424" s="161"/>
      <c r="CJ424" s="161"/>
      <c r="CK424" s="161"/>
      <c r="CL424" s="161"/>
      <c r="CM424" s="161"/>
      <c r="CN424" s="161"/>
      <c r="CO424" s="161"/>
      <c r="CP424" s="161"/>
      <c r="CQ424" s="161"/>
      <c r="CR424" s="161"/>
      <c r="CS424" s="161"/>
      <c r="CT424" s="161"/>
      <c r="CU424" s="136"/>
      <c r="CV424" s="136"/>
      <c r="CW424" s="161"/>
      <c r="CX424" s="161"/>
      <c r="CY424" s="161"/>
      <c r="CZ424" s="161"/>
      <c r="DA424" s="161"/>
      <c r="DB424" s="161"/>
      <c r="DC424" s="161"/>
      <c r="DD424" s="161"/>
      <c r="DE424" s="161"/>
      <c r="DF424" s="161"/>
      <c r="DG424" s="161"/>
      <c r="DH424" s="161"/>
      <c r="DI424" s="136"/>
      <c r="DJ424" s="136"/>
      <c r="DK424" s="161"/>
      <c r="DL424" s="161"/>
      <c r="DM424" s="161"/>
      <c r="DN424" s="161"/>
      <c r="DO424" s="161"/>
      <c r="DP424" s="161"/>
      <c r="DQ424" s="161"/>
      <c r="DR424" s="161"/>
      <c r="DS424" s="161"/>
      <c r="DT424" s="161"/>
      <c r="DU424" s="161"/>
      <c r="DV424" s="161"/>
      <c r="DW424" s="136"/>
      <c r="DX424" s="136"/>
      <c r="DY424" s="161"/>
      <c r="DZ424" s="161">
        <v>140</v>
      </c>
      <c r="EA424" s="161">
        <v>40</v>
      </c>
      <c r="EB424" s="161"/>
      <c r="EC424" s="161"/>
      <c r="ED424" s="161"/>
      <c r="EE424" s="161"/>
      <c r="EF424" s="161"/>
      <c r="EG424" s="161"/>
      <c r="EH424" s="161"/>
      <c r="EI424" s="161"/>
      <c r="EJ424" s="161"/>
      <c r="EK424" s="136"/>
      <c r="EL424" s="136"/>
      <c r="EM424" s="136"/>
      <c r="EN424" s="136"/>
      <c r="EO424" s="136"/>
      <c r="EP424" s="136"/>
      <c r="EQ424" s="136"/>
      <c r="ER424" s="136"/>
      <c r="ES424" s="161"/>
      <c r="ET424" s="161"/>
      <c r="EU424" s="161"/>
      <c r="EV424" s="161"/>
      <c r="EW424" s="161"/>
      <c r="EX424" s="161"/>
      <c r="EY424" s="136"/>
      <c r="EZ424" s="136"/>
      <c r="FA424" s="161"/>
      <c r="FB424" s="161"/>
      <c r="FC424" s="161"/>
      <c r="FD424" s="161"/>
      <c r="FE424" s="161"/>
      <c r="FF424" s="161"/>
      <c r="FG424" s="161"/>
      <c r="FH424" s="161"/>
      <c r="FI424" s="161"/>
      <c r="FJ424" s="161"/>
      <c r="FK424" s="161"/>
      <c r="FL424" s="161"/>
      <c r="FM424" s="136"/>
      <c r="FN424" s="136"/>
      <c r="FO424" s="161"/>
      <c r="FP424" s="161"/>
      <c r="FQ424" s="161"/>
      <c r="FR424" s="161"/>
      <c r="FS424" s="161"/>
      <c r="FT424" s="161"/>
      <c r="FU424" s="161"/>
      <c r="FV424" s="161"/>
      <c r="FW424" s="161"/>
      <c r="FX424" s="161"/>
      <c r="FY424" s="161"/>
      <c r="FZ424" s="161"/>
      <c r="GA424" s="136"/>
      <c r="GB424" s="136"/>
      <c r="GC424" s="161"/>
      <c r="GD424" s="161"/>
      <c r="GE424" s="161"/>
      <c r="GF424" s="161"/>
      <c r="GG424" s="161"/>
      <c r="GH424" s="161"/>
      <c r="GI424" s="161"/>
      <c r="GJ424" s="161"/>
      <c r="GK424" s="161"/>
      <c r="GL424" s="161"/>
      <c r="GM424" s="161"/>
      <c r="GN424" s="161"/>
    </row>
    <row r="425" spans="1:196">
      <c r="A425" s="162"/>
      <c r="B425" s="126" t="s">
        <v>1131</v>
      </c>
      <c r="C425" s="109" t="s">
        <v>658</v>
      </c>
      <c r="D425" s="119"/>
      <c r="E425" s="119"/>
      <c r="F425" s="107"/>
      <c r="G425" s="115">
        <v>20</v>
      </c>
      <c r="H425" s="6"/>
      <c r="I425" s="125">
        <v>46249</v>
      </c>
      <c r="J425" s="13">
        <f t="shared" si="202"/>
        <v>0</v>
      </c>
      <c r="K425" s="141"/>
      <c r="L425" s="161"/>
      <c r="M425" s="136"/>
      <c r="N425" s="136"/>
      <c r="O425" s="136"/>
      <c r="P425" s="136"/>
      <c r="Q425" s="136"/>
      <c r="R425" s="136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36"/>
      <c r="AD425" s="136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36"/>
      <c r="AR425" s="136"/>
      <c r="AS425" s="161"/>
      <c r="AT425" s="161"/>
      <c r="AU425" s="161"/>
      <c r="AV425" s="161"/>
      <c r="AW425" s="161"/>
      <c r="AX425" s="161"/>
      <c r="AY425" s="161"/>
      <c r="AZ425" s="161"/>
      <c r="BA425" s="161"/>
      <c r="BB425" s="161"/>
      <c r="BC425" s="161"/>
      <c r="BD425" s="161"/>
      <c r="BE425" s="136"/>
      <c r="BF425" s="136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36"/>
      <c r="BT425" s="136"/>
      <c r="BU425" s="161"/>
      <c r="BV425" s="161"/>
      <c r="BW425" s="161"/>
      <c r="BX425" s="161"/>
      <c r="BY425" s="161"/>
      <c r="BZ425" s="161"/>
      <c r="CA425" s="161"/>
      <c r="CB425" s="161"/>
      <c r="CC425" s="161"/>
      <c r="CD425" s="161"/>
      <c r="CE425" s="161"/>
      <c r="CF425" s="161"/>
      <c r="CG425" s="136"/>
      <c r="CH425" s="136"/>
      <c r="CI425" s="161"/>
      <c r="CJ425" s="161"/>
      <c r="CK425" s="161"/>
      <c r="CL425" s="161"/>
      <c r="CM425" s="161"/>
      <c r="CN425" s="161"/>
      <c r="CO425" s="161"/>
      <c r="CP425" s="161"/>
      <c r="CQ425" s="161"/>
      <c r="CR425" s="161"/>
      <c r="CS425" s="161"/>
      <c r="CT425" s="161"/>
      <c r="CU425" s="136"/>
      <c r="CV425" s="136"/>
      <c r="CW425" s="161"/>
      <c r="CX425" s="161"/>
      <c r="CY425" s="161"/>
      <c r="CZ425" s="161"/>
      <c r="DA425" s="161"/>
      <c r="DB425" s="161"/>
      <c r="DC425" s="161"/>
      <c r="DD425" s="161"/>
      <c r="DE425" s="161"/>
      <c r="DF425" s="161"/>
      <c r="DG425" s="161"/>
      <c r="DH425" s="161"/>
      <c r="DI425" s="136"/>
      <c r="DJ425" s="136"/>
      <c r="DK425" s="161"/>
      <c r="DL425" s="161"/>
      <c r="DM425" s="161"/>
      <c r="DN425" s="161"/>
      <c r="DO425" s="161"/>
      <c r="DP425" s="161"/>
      <c r="DQ425" s="161"/>
      <c r="DR425" s="161"/>
      <c r="DS425" s="161"/>
      <c r="DT425" s="161"/>
      <c r="DU425" s="161"/>
      <c r="DV425" s="161"/>
      <c r="DW425" s="136"/>
      <c r="DX425" s="136"/>
      <c r="DY425" s="161"/>
      <c r="DZ425" s="161"/>
      <c r="EA425" s="161">
        <v>20</v>
      </c>
      <c r="EB425" s="161"/>
      <c r="EC425" s="161"/>
      <c r="ED425" s="161"/>
      <c r="EE425" s="161"/>
      <c r="EF425" s="161"/>
      <c r="EG425" s="161"/>
      <c r="EH425" s="161"/>
      <c r="EI425" s="161"/>
      <c r="EJ425" s="161"/>
      <c r="EK425" s="136"/>
      <c r="EL425" s="136"/>
      <c r="EM425" s="136"/>
      <c r="EN425" s="136"/>
      <c r="EO425" s="136"/>
      <c r="EP425" s="136"/>
      <c r="EQ425" s="136"/>
      <c r="ER425" s="136"/>
      <c r="ES425" s="161"/>
      <c r="ET425" s="161"/>
      <c r="EU425" s="161"/>
      <c r="EV425" s="161"/>
      <c r="EW425" s="161"/>
      <c r="EX425" s="161"/>
      <c r="EY425" s="136"/>
      <c r="EZ425" s="136"/>
      <c r="FA425" s="161"/>
      <c r="FB425" s="161"/>
      <c r="FC425" s="161"/>
      <c r="FD425" s="161"/>
      <c r="FE425" s="161"/>
      <c r="FF425" s="161"/>
      <c r="FG425" s="161"/>
      <c r="FH425" s="161"/>
      <c r="FI425" s="161"/>
      <c r="FJ425" s="161"/>
      <c r="FK425" s="161"/>
      <c r="FL425" s="161"/>
      <c r="FM425" s="136"/>
      <c r="FN425" s="136"/>
      <c r="FO425" s="161"/>
      <c r="FP425" s="161"/>
      <c r="FQ425" s="161"/>
      <c r="FR425" s="161"/>
      <c r="FS425" s="161"/>
      <c r="FT425" s="161"/>
      <c r="FU425" s="161"/>
      <c r="FV425" s="161"/>
      <c r="FW425" s="161"/>
      <c r="FX425" s="161"/>
      <c r="FY425" s="161"/>
      <c r="FZ425" s="161"/>
      <c r="GA425" s="136"/>
      <c r="GB425" s="136"/>
      <c r="GC425" s="161"/>
      <c r="GD425" s="161"/>
      <c r="GE425" s="161"/>
      <c r="GF425" s="161"/>
      <c r="GG425" s="161"/>
      <c r="GH425" s="161"/>
      <c r="GI425" s="161"/>
      <c r="GJ425" s="161"/>
      <c r="GK425" s="161"/>
      <c r="GL425" s="161"/>
      <c r="GM425" s="161"/>
      <c r="GN425" s="161"/>
    </row>
    <row r="426" spans="1:196">
      <c r="A426" s="162"/>
      <c r="B426" s="178" t="s">
        <v>1136</v>
      </c>
      <c r="C426" s="109" t="s">
        <v>638</v>
      </c>
      <c r="D426" s="119"/>
      <c r="E426" s="119"/>
      <c r="F426" s="107"/>
      <c r="G426" s="115">
        <v>786</v>
      </c>
      <c r="H426" s="6"/>
      <c r="I426" s="125">
        <v>46256</v>
      </c>
      <c r="J426" s="13">
        <f>G426-SUM(L426:FL426)</f>
        <v>0</v>
      </c>
      <c r="K426" s="141"/>
      <c r="L426" s="161"/>
      <c r="M426" s="136"/>
      <c r="N426" s="136"/>
      <c r="O426" s="136"/>
      <c r="P426" s="136"/>
      <c r="Q426" s="136"/>
      <c r="R426" s="136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36"/>
      <c r="AD426" s="136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36"/>
      <c r="AR426" s="136"/>
      <c r="AS426" s="161"/>
      <c r="AT426" s="161"/>
      <c r="AU426" s="161"/>
      <c r="AV426" s="161"/>
      <c r="AW426" s="161"/>
      <c r="AX426" s="161"/>
      <c r="AY426" s="161"/>
      <c r="AZ426" s="161"/>
      <c r="BA426" s="161"/>
      <c r="BB426" s="161"/>
      <c r="BC426" s="161"/>
      <c r="BD426" s="161"/>
      <c r="BE426" s="136"/>
      <c r="BF426" s="136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36"/>
      <c r="BT426" s="136"/>
      <c r="BU426" s="161"/>
      <c r="BV426" s="161"/>
      <c r="BW426" s="161"/>
      <c r="BX426" s="161"/>
      <c r="BY426" s="161"/>
      <c r="BZ426" s="161"/>
      <c r="CA426" s="161"/>
      <c r="CB426" s="161"/>
      <c r="CC426" s="161"/>
      <c r="CD426" s="161"/>
      <c r="CE426" s="161"/>
      <c r="CF426" s="161"/>
      <c r="CG426" s="136"/>
      <c r="CH426" s="136"/>
      <c r="CI426" s="161"/>
      <c r="CJ426" s="161"/>
      <c r="CK426" s="161"/>
      <c r="CL426" s="161"/>
      <c r="CM426" s="161"/>
      <c r="CN426" s="161"/>
      <c r="CO426" s="161"/>
      <c r="CP426" s="161"/>
      <c r="CQ426" s="161"/>
      <c r="CR426" s="161"/>
      <c r="CS426" s="161"/>
      <c r="CT426" s="161"/>
      <c r="CU426" s="136"/>
      <c r="CV426" s="136"/>
      <c r="CW426" s="161"/>
      <c r="CX426" s="161"/>
      <c r="CY426" s="161"/>
      <c r="CZ426" s="161"/>
      <c r="DA426" s="161"/>
      <c r="DB426" s="161"/>
      <c r="DC426" s="161"/>
      <c r="DD426" s="161"/>
      <c r="DE426" s="161"/>
      <c r="DF426" s="161"/>
      <c r="DG426" s="161"/>
      <c r="DH426" s="161"/>
      <c r="DI426" s="136"/>
      <c r="DJ426" s="136"/>
      <c r="DK426" s="161"/>
      <c r="DL426" s="161"/>
      <c r="DM426" s="161"/>
      <c r="DN426" s="161"/>
      <c r="DO426" s="161"/>
      <c r="DP426" s="161"/>
      <c r="DQ426" s="161"/>
      <c r="DR426" s="161"/>
      <c r="DS426" s="161"/>
      <c r="DT426" s="161">
        <v>12</v>
      </c>
      <c r="DU426" s="161">
        <v>140</v>
      </c>
      <c r="DV426" s="161">
        <v>150</v>
      </c>
      <c r="DW426" s="136"/>
      <c r="DX426" s="136"/>
      <c r="DY426" s="161">
        <v>150</v>
      </c>
      <c r="DZ426" s="161">
        <v>150</v>
      </c>
      <c r="EA426" s="161">
        <v>150</v>
      </c>
      <c r="EB426" s="161">
        <v>34</v>
      </c>
      <c r="EC426" s="161"/>
      <c r="ED426" s="161"/>
      <c r="EE426" s="161"/>
      <c r="EF426" s="161"/>
      <c r="EG426" s="161"/>
      <c r="EH426" s="161"/>
      <c r="EI426" s="161"/>
      <c r="EJ426" s="161"/>
      <c r="EK426" s="136"/>
      <c r="EL426" s="136"/>
      <c r="EM426" s="136"/>
      <c r="EN426" s="136"/>
      <c r="EO426" s="136"/>
      <c r="EP426" s="136"/>
      <c r="EQ426" s="136"/>
      <c r="ER426" s="136"/>
      <c r="ES426" s="161"/>
      <c r="ET426" s="161"/>
      <c r="EU426" s="161"/>
      <c r="EV426" s="161"/>
      <c r="EW426" s="161"/>
      <c r="EX426" s="161"/>
      <c r="EY426" s="136"/>
      <c r="EZ426" s="136"/>
      <c r="FA426" s="161"/>
      <c r="FB426" s="161"/>
      <c r="FC426" s="161"/>
      <c r="FD426" s="161"/>
      <c r="FE426" s="161"/>
      <c r="FF426" s="161"/>
      <c r="FG426" s="161"/>
      <c r="FH426" s="161"/>
      <c r="FI426" s="161"/>
      <c r="FJ426" s="161"/>
      <c r="FK426" s="161"/>
      <c r="FL426" s="161"/>
      <c r="FM426" s="136"/>
      <c r="FN426" s="136"/>
      <c r="FO426" s="161"/>
      <c r="FP426" s="161"/>
      <c r="FQ426" s="161"/>
      <c r="FR426" s="161"/>
      <c r="FS426" s="161"/>
      <c r="FT426" s="161"/>
      <c r="FU426" s="161"/>
      <c r="FV426" s="161"/>
      <c r="FW426" s="161"/>
      <c r="FX426" s="161"/>
      <c r="FY426" s="161"/>
      <c r="FZ426" s="161"/>
      <c r="GA426" s="136"/>
      <c r="GB426" s="136"/>
      <c r="GC426" s="161"/>
      <c r="GD426" s="161"/>
      <c r="GE426" s="161"/>
      <c r="GF426" s="161"/>
      <c r="GG426" s="161"/>
      <c r="GH426" s="161"/>
      <c r="GI426" s="161"/>
      <c r="GJ426" s="161"/>
      <c r="GK426" s="161"/>
      <c r="GL426" s="161"/>
      <c r="GM426" s="161"/>
      <c r="GN426" s="161"/>
    </row>
    <row r="427" spans="1:196">
      <c r="A427" s="162"/>
      <c r="B427" s="126" t="s">
        <v>1186</v>
      </c>
      <c r="C427" s="109" t="s">
        <v>636</v>
      </c>
      <c r="D427" s="119"/>
      <c r="E427" s="119"/>
      <c r="F427" s="107"/>
      <c r="G427" s="115">
        <v>631</v>
      </c>
      <c r="H427" s="6"/>
      <c r="I427" s="125">
        <v>46256</v>
      </c>
      <c r="J427" s="13">
        <f t="shared" si="202"/>
        <v>0</v>
      </c>
      <c r="K427" s="141"/>
      <c r="L427" s="161"/>
      <c r="M427" s="136"/>
      <c r="N427" s="136"/>
      <c r="O427" s="136"/>
      <c r="P427" s="136"/>
      <c r="Q427" s="136"/>
      <c r="R427" s="136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36"/>
      <c r="AD427" s="136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36"/>
      <c r="AR427" s="136"/>
      <c r="AS427" s="161"/>
      <c r="AT427" s="161"/>
      <c r="AU427" s="161"/>
      <c r="AV427" s="161"/>
      <c r="AW427" s="161"/>
      <c r="AX427" s="161"/>
      <c r="AY427" s="161"/>
      <c r="AZ427" s="161"/>
      <c r="BA427" s="161"/>
      <c r="BB427" s="161"/>
      <c r="BC427" s="161"/>
      <c r="BD427" s="161"/>
      <c r="BE427" s="136"/>
      <c r="BF427" s="136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36"/>
      <c r="BT427" s="136"/>
      <c r="BU427" s="161"/>
      <c r="BV427" s="161"/>
      <c r="BW427" s="161"/>
      <c r="BX427" s="161"/>
      <c r="BY427" s="161"/>
      <c r="BZ427" s="161"/>
      <c r="CA427" s="161"/>
      <c r="CB427" s="161"/>
      <c r="CC427" s="161"/>
      <c r="CD427" s="161"/>
      <c r="CE427" s="161"/>
      <c r="CF427" s="161"/>
      <c r="CG427" s="136"/>
      <c r="CH427" s="136"/>
      <c r="CI427" s="161"/>
      <c r="CJ427" s="161"/>
      <c r="CK427" s="161"/>
      <c r="CL427" s="161"/>
      <c r="CM427" s="161"/>
      <c r="CN427" s="161"/>
      <c r="CO427" s="161"/>
      <c r="CP427" s="161"/>
      <c r="CQ427" s="161"/>
      <c r="CR427" s="161"/>
      <c r="CS427" s="161"/>
      <c r="CT427" s="161"/>
      <c r="CU427" s="136"/>
      <c r="CV427" s="136"/>
      <c r="CW427" s="161"/>
      <c r="CX427" s="161"/>
      <c r="CY427" s="161"/>
      <c r="CZ427" s="161"/>
      <c r="DA427" s="161"/>
      <c r="DB427" s="161"/>
      <c r="DC427" s="161"/>
      <c r="DD427" s="161"/>
      <c r="DE427" s="161"/>
      <c r="DF427" s="161"/>
      <c r="DG427" s="161"/>
      <c r="DH427" s="161"/>
      <c r="DI427" s="136"/>
      <c r="DJ427" s="136"/>
      <c r="DK427" s="161"/>
      <c r="DL427" s="161"/>
      <c r="DM427" s="161"/>
      <c r="DN427" s="161"/>
      <c r="DO427" s="161"/>
      <c r="DP427" s="161"/>
      <c r="DQ427" s="161"/>
      <c r="DR427" s="161"/>
      <c r="DS427" s="161"/>
      <c r="DT427" s="161"/>
      <c r="DU427" s="161"/>
      <c r="DV427" s="161"/>
      <c r="DW427" s="136"/>
      <c r="DX427" s="136"/>
      <c r="DY427" s="161"/>
      <c r="DZ427" s="161"/>
      <c r="EA427" s="161">
        <v>80</v>
      </c>
      <c r="EB427" s="161">
        <v>140</v>
      </c>
      <c r="EC427" s="161">
        <v>140</v>
      </c>
      <c r="ED427" s="161">
        <v>140</v>
      </c>
      <c r="EE427" s="161">
        <v>131</v>
      </c>
      <c r="EF427" s="161"/>
      <c r="EG427" s="161"/>
      <c r="EH427" s="161"/>
      <c r="EI427" s="161"/>
      <c r="EJ427" s="161"/>
      <c r="EK427" s="136"/>
      <c r="EL427" s="136"/>
      <c r="EM427" s="136"/>
      <c r="EN427" s="136"/>
      <c r="EO427" s="136"/>
      <c r="EP427" s="136"/>
      <c r="EQ427" s="136"/>
      <c r="ER427" s="136"/>
      <c r="ES427" s="161"/>
      <c r="ET427" s="161"/>
      <c r="EU427" s="161"/>
      <c r="EV427" s="161"/>
      <c r="EW427" s="161"/>
      <c r="EX427" s="161"/>
      <c r="EY427" s="136"/>
      <c r="EZ427" s="136"/>
      <c r="FA427" s="161"/>
      <c r="FB427" s="161"/>
      <c r="FC427" s="161"/>
      <c r="FD427" s="161"/>
      <c r="FE427" s="161"/>
      <c r="FF427" s="161"/>
      <c r="FG427" s="161"/>
      <c r="FH427" s="161"/>
      <c r="FI427" s="161"/>
      <c r="FJ427" s="161"/>
      <c r="FK427" s="161"/>
      <c r="FL427" s="161"/>
      <c r="FM427" s="136"/>
      <c r="FN427" s="136"/>
      <c r="FO427" s="161"/>
      <c r="FP427" s="161"/>
      <c r="FQ427" s="161"/>
      <c r="FR427" s="161"/>
      <c r="FS427" s="161"/>
      <c r="FT427" s="161"/>
      <c r="FU427" s="161"/>
      <c r="FV427" s="161"/>
      <c r="FW427" s="161"/>
      <c r="FX427" s="161"/>
      <c r="FY427" s="161"/>
      <c r="FZ427" s="161"/>
      <c r="GA427" s="136"/>
      <c r="GB427" s="136"/>
      <c r="GC427" s="161"/>
      <c r="GD427" s="161"/>
      <c r="GE427" s="161"/>
      <c r="GF427" s="161"/>
      <c r="GG427" s="161"/>
      <c r="GH427" s="161"/>
      <c r="GI427" s="161"/>
      <c r="GJ427" s="161"/>
      <c r="GK427" s="161"/>
      <c r="GL427" s="161"/>
      <c r="GM427" s="161"/>
      <c r="GN427" s="161"/>
    </row>
    <row r="428" spans="1:196">
      <c r="A428" s="162"/>
      <c r="B428" s="126" t="s">
        <v>1193</v>
      </c>
      <c r="C428" s="109" t="s">
        <v>665</v>
      </c>
      <c r="D428" s="119"/>
      <c r="E428" s="119"/>
      <c r="F428" s="107"/>
      <c r="G428" s="115">
        <v>141</v>
      </c>
      <c r="H428" s="6"/>
      <c r="I428" s="125">
        <v>46256</v>
      </c>
      <c r="J428" s="13">
        <f>G428-SUM(L428:FL428)</f>
        <v>0</v>
      </c>
      <c r="K428" s="141"/>
      <c r="L428" s="161"/>
      <c r="M428" s="136"/>
      <c r="N428" s="136"/>
      <c r="O428" s="136"/>
      <c r="P428" s="136"/>
      <c r="Q428" s="136"/>
      <c r="R428" s="136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36"/>
      <c r="AD428" s="136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36"/>
      <c r="AR428" s="136"/>
      <c r="AS428" s="161"/>
      <c r="AT428" s="161"/>
      <c r="AU428" s="161"/>
      <c r="AV428" s="161"/>
      <c r="AW428" s="161"/>
      <c r="AX428" s="161"/>
      <c r="AY428" s="161"/>
      <c r="AZ428" s="161"/>
      <c r="BA428" s="161"/>
      <c r="BB428" s="161"/>
      <c r="BC428" s="161"/>
      <c r="BD428" s="161"/>
      <c r="BE428" s="136"/>
      <c r="BF428" s="136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36"/>
      <c r="BT428" s="136"/>
      <c r="BU428" s="161"/>
      <c r="BV428" s="161"/>
      <c r="BW428" s="161"/>
      <c r="BX428" s="161"/>
      <c r="BY428" s="161"/>
      <c r="BZ428" s="161"/>
      <c r="CA428" s="161"/>
      <c r="CB428" s="161"/>
      <c r="CC428" s="161"/>
      <c r="CD428" s="161"/>
      <c r="CE428" s="161"/>
      <c r="CF428" s="161"/>
      <c r="CG428" s="136"/>
      <c r="CH428" s="136"/>
      <c r="CI428" s="161"/>
      <c r="CJ428" s="161"/>
      <c r="CK428" s="161"/>
      <c r="CL428" s="161"/>
      <c r="CM428" s="161"/>
      <c r="CN428" s="161"/>
      <c r="CO428" s="161"/>
      <c r="CP428" s="161"/>
      <c r="CQ428" s="161"/>
      <c r="CR428" s="161"/>
      <c r="CS428" s="161"/>
      <c r="CT428" s="161"/>
      <c r="CU428" s="136"/>
      <c r="CV428" s="136"/>
      <c r="CW428" s="161"/>
      <c r="CX428" s="161"/>
      <c r="CY428" s="161"/>
      <c r="CZ428" s="161"/>
      <c r="DA428" s="161"/>
      <c r="DB428" s="161"/>
      <c r="DC428" s="161"/>
      <c r="DD428" s="161"/>
      <c r="DE428" s="161"/>
      <c r="DF428" s="161"/>
      <c r="DG428" s="161"/>
      <c r="DH428" s="161"/>
      <c r="DI428" s="136"/>
      <c r="DJ428" s="136"/>
      <c r="DK428" s="161"/>
      <c r="DL428" s="161"/>
      <c r="DM428" s="161"/>
      <c r="DN428" s="161"/>
      <c r="DO428" s="161"/>
      <c r="DP428" s="161"/>
      <c r="DQ428" s="161"/>
      <c r="DR428" s="161"/>
      <c r="DS428" s="161"/>
      <c r="DT428" s="161"/>
      <c r="DU428" s="161"/>
      <c r="DV428" s="161"/>
      <c r="DW428" s="136"/>
      <c r="DX428" s="136"/>
      <c r="DY428" s="161"/>
      <c r="DZ428" s="161"/>
      <c r="EA428" s="161"/>
      <c r="EB428" s="161"/>
      <c r="EC428" s="161"/>
      <c r="ED428" s="161"/>
      <c r="EE428" s="161">
        <v>9</v>
      </c>
      <c r="EF428" s="161">
        <v>132</v>
      </c>
      <c r="EG428" s="161"/>
      <c r="EH428" s="161"/>
      <c r="EI428" s="161"/>
      <c r="EJ428" s="161"/>
      <c r="EK428" s="136"/>
      <c r="EL428" s="136"/>
      <c r="EM428" s="136"/>
      <c r="EN428" s="136"/>
      <c r="EO428" s="136"/>
      <c r="EP428" s="136"/>
      <c r="EQ428" s="136"/>
      <c r="ER428" s="136"/>
      <c r="ES428" s="161"/>
      <c r="ET428" s="161"/>
      <c r="EU428" s="161"/>
      <c r="EV428" s="161"/>
      <c r="EW428" s="161"/>
      <c r="EX428" s="161"/>
      <c r="EY428" s="136"/>
      <c r="EZ428" s="136"/>
      <c r="FA428" s="161"/>
      <c r="FB428" s="161"/>
      <c r="FC428" s="161"/>
      <c r="FD428" s="161"/>
      <c r="FE428" s="161"/>
      <c r="FF428" s="161"/>
      <c r="FG428" s="161"/>
      <c r="FH428" s="161"/>
      <c r="FI428" s="161"/>
      <c r="FJ428" s="161"/>
      <c r="FK428" s="161"/>
      <c r="FL428" s="161"/>
      <c r="FM428" s="136"/>
      <c r="FN428" s="136"/>
      <c r="FO428" s="161"/>
      <c r="FP428" s="161"/>
      <c r="FQ428" s="161"/>
      <c r="FR428" s="161"/>
      <c r="FS428" s="161"/>
      <c r="FT428" s="161"/>
      <c r="FU428" s="161"/>
      <c r="FV428" s="161"/>
      <c r="FW428" s="161"/>
      <c r="FX428" s="161"/>
      <c r="FY428" s="161"/>
      <c r="FZ428" s="161"/>
      <c r="GA428" s="136"/>
      <c r="GB428" s="136"/>
      <c r="GC428" s="161"/>
      <c r="GD428" s="161"/>
      <c r="GE428" s="161"/>
      <c r="GF428" s="161"/>
      <c r="GG428" s="161"/>
      <c r="GH428" s="161"/>
      <c r="GI428" s="161"/>
      <c r="GJ428" s="161"/>
      <c r="GK428" s="161"/>
      <c r="GL428" s="161"/>
      <c r="GM428" s="161"/>
      <c r="GN428" s="161"/>
    </row>
    <row r="429" spans="1:196">
      <c r="A429" s="162"/>
      <c r="B429" s="126" t="s">
        <v>1190</v>
      </c>
      <c r="C429" s="109" t="s">
        <v>650</v>
      </c>
      <c r="D429" s="119"/>
      <c r="E429" s="119"/>
      <c r="F429" s="107"/>
      <c r="G429" s="115">
        <v>2</v>
      </c>
      <c r="H429" s="6"/>
      <c r="I429" s="125">
        <v>46256</v>
      </c>
      <c r="J429" s="13">
        <f t="shared" si="202"/>
        <v>0</v>
      </c>
      <c r="K429" s="141"/>
      <c r="L429" s="161"/>
      <c r="M429" s="136"/>
      <c r="N429" s="136"/>
      <c r="O429" s="136"/>
      <c r="P429" s="136"/>
      <c r="Q429" s="136"/>
      <c r="R429" s="136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36"/>
      <c r="AD429" s="136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36"/>
      <c r="AR429" s="136"/>
      <c r="AS429" s="161"/>
      <c r="AT429" s="161"/>
      <c r="AU429" s="161"/>
      <c r="AV429" s="161"/>
      <c r="AW429" s="161"/>
      <c r="AX429" s="161"/>
      <c r="AY429" s="161"/>
      <c r="AZ429" s="161"/>
      <c r="BA429" s="161"/>
      <c r="BB429" s="161"/>
      <c r="BC429" s="161"/>
      <c r="BD429" s="161"/>
      <c r="BE429" s="136"/>
      <c r="BF429" s="136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36"/>
      <c r="BT429" s="136"/>
      <c r="BU429" s="161"/>
      <c r="BV429" s="161"/>
      <c r="BW429" s="161"/>
      <c r="BX429" s="161"/>
      <c r="BY429" s="161"/>
      <c r="BZ429" s="161"/>
      <c r="CA429" s="161"/>
      <c r="CB429" s="161"/>
      <c r="CC429" s="161"/>
      <c r="CD429" s="161"/>
      <c r="CE429" s="161"/>
      <c r="CF429" s="161"/>
      <c r="CG429" s="136"/>
      <c r="CH429" s="136"/>
      <c r="CI429" s="161"/>
      <c r="CJ429" s="161"/>
      <c r="CK429" s="161"/>
      <c r="CL429" s="161"/>
      <c r="CM429" s="161"/>
      <c r="CN429" s="161"/>
      <c r="CO429" s="161"/>
      <c r="CP429" s="161"/>
      <c r="CQ429" s="161"/>
      <c r="CR429" s="161"/>
      <c r="CS429" s="161"/>
      <c r="CT429" s="161"/>
      <c r="CU429" s="136"/>
      <c r="CV429" s="136"/>
      <c r="CW429" s="161"/>
      <c r="CX429" s="161"/>
      <c r="CY429" s="161"/>
      <c r="CZ429" s="161"/>
      <c r="DA429" s="161"/>
      <c r="DB429" s="161"/>
      <c r="DC429" s="161"/>
      <c r="DD429" s="161"/>
      <c r="DE429" s="161"/>
      <c r="DF429" s="161"/>
      <c r="DG429" s="161"/>
      <c r="DH429" s="161"/>
      <c r="DI429" s="136"/>
      <c r="DJ429" s="136"/>
      <c r="DK429" s="161"/>
      <c r="DL429" s="161"/>
      <c r="DM429" s="161"/>
      <c r="DN429" s="161"/>
      <c r="DO429" s="161"/>
      <c r="DP429" s="161"/>
      <c r="DQ429" s="161"/>
      <c r="DR429" s="161"/>
      <c r="DS429" s="161"/>
      <c r="DT429" s="161"/>
      <c r="DU429" s="161"/>
      <c r="DV429" s="161"/>
      <c r="DW429" s="136"/>
      <c r="DX429" s="136"/>
      <c r="DY429" s="161"/>
      <c r="DZ429" s="161"/>
      <c r="EA429" s="161"/>
      <c r="EB429" s="161"/>
      <c r="EC429" s="161"/>
      <c r="ED429" s="161"/>
      <c r="EE429" s="161"/>
      <c r="EF429" s="161">
        <v>2</v>
      </c>
      <c r="EG429" s="161"/>
      <c r="EH429" s="161"/>
      <c r="EI429" s="161"/>
      <c r="EJ429" s="161"/>
      <c r="EK429" s="136"/>
      <c r="EL429" s="136"/>
      <c r="EM429" s="136"/>
      <c r="EN429" s="136"/>
      <c r="EO429" s="136"/>
      <c r="EP429" s="136"/>
      <c r="EQ429" s="136"/>
      <c r="ER429" s="136"/>
      <c r="ES429" s="161"/>
      <c r="ET429" s="161"/>
      <c r="EU429" s="161"/>
      <c r="EV429" s="161"/>
      <c r="EW429" s="161"/>
      <c r="EX429" s="161"/>
      <c r="EY429" s="136"/>
      <c r="EZ429" s="136"/>
      <c r="FA429" s="161"/>
      <c r="FB429" s="161"/>
      <c r="FC429" s="161"/>
      <c r="FD429" s="161"/>
      <c r="FE429" s="161"/>
      <c r="FF429" s="161"/>
      <c r="FG429" s="161"/>
      <c r="FH429" s="161"/>
      <c r="FI429" s="161"/>
      <c r="FJ429" s="161"/>
      <c r="FK429" s="161"/>
      <c r="FL429" s="161"/>
      <c r="FM429" s="136"/>
      <c r="FN429" s="136"/>
      <c r="FO429" s="161"/>
      <c r="FP429" s="161"/>
      <c r="FQ429" s="161"/>
      <c r="FR429" s="161"/>
      <c r="FS429" s="161"/>
      <c r="FT429" s="161"/>
      <c r="FU429" s="161"/>
      <c r="FV429" s="161"/>
      <c r="FW429" s="161"/>
      <c r="FX429" s="161"/>
      <c r="FY429" s="161"/>
      <c r="FZ429" s="161"/>
      <c r="GA429" s="136"/>
      <c r="GB429" s="136"/>
      <c r="GC429" s="161"/>
      <c r="GD429" s="161"/>
      <c r="GE429" s="161"/>
      <c r="GF429" s="161"/>
      <c r="GG429" s="161"/>
      <c r="GH429" s="161"/>
      <c r="GI429" s="161"/>
      <c r="GJ429" s="161"/>
      <c r="GK429" s="161"/>
      <c r="GL429" s="161"/>
      <c r="GM429" s="161"/>
      <c r="GN429" s="161"/>
    </row>
    <row r="430" spans="1:196">
      <c r="A430" s="162"/>
      <c r="B430" s="126" t="s">
        <v>1197</v>
      </c>
      <c r="C430" s="109" t="s">
        <v>659</v>
      </c>
      <c r="D430" s="119"/>
      <c r="E430" s="119"/>
      <c r="F430" s="107"/>
      <c r="G430" s="115">
        <v>1</v>
      </c>
      <c r="H430" s="6"/>
      <c r="I430" s="125">
        <v>46256</v>
      </c>
      <c r="J430" s="13">
        <f t="shared" si="202"/>
        <v>0</v>
      </c>
      <c r="K430" s="141"/>
      <c r="L430" s="161"/>
      <c r="M430" s="136"/>
      <c r="N430" s="136"/>
      <c r="O430" s="136"/>
      <c r="P430" s="136"/>
      <c r="Q430" s="136"/>
      <c r="R430" s="136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36"/>
      <c r="AD430" s="136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36"/>
      <c r="AR430" s="136"/>
      <c r="AS430" s="161"/>
      <c r="AT430" s="161"/>
      <c r="AU430" s="161"/>
      <c r="AV430" s="161"/>
      <c r="AW430" s="161"/>
      <c r="AX430" s="161"/>
      <c r="AY430" s="161"/>
      <c r="AZ430" s="161"/>
      <c r="BA430" s="161"/>
      <c r="BB430" s="161"/>
      <c r="BC430" s="161"/>
      <c r="BD430" s="161"/>
      <c r="BE430" s="136"/>
      <c r="BF430" s="136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36"/>
      <c r="BT430" s="136"/>
      <c r="BU430" s="161"/>
      <c r="BV430" s="161"/>
      <c r="BW430" s="161"/>
      <c r="BX430" s="161"/>
      <c r="BY430" s="161"/>
      <c r="BZ430" s="161"/>
      <c r="CA430" s="161"/>
      <c r="CB430" s="161"/>
      <c r="CC430" s="161"/>
      <c r="CD430" s="161"/>
      <c r="CE430" s="161"/>
      <c r="CF430" s="161"/>
      <c r="CG430" s="136"/>
      <c r="CH430" s="136"/>
      <c r="CI430" s="161"/>
      <c r="CJ430" s="161"/>
      <c r="CK430" s="161"/>
      <c r="CL430" s="161"/>
      <c r="CM430" s="161"/>
      <c r="CN430" s="161"/>
      <c r="CO430" s="161"/>
      <c r="CP430" s="161"/>
      <c r="CQ430" s="161"/>
      <c r="CR430" s="161"/>
      <c r="CS430" s="161"/>
      <c r="CT430" s="161"/>
      <c r="CU430" s="136"/>
      <c r="CV430" s="136"/>
      <c r="CW430" s="161"/>
      <c r="CX430" s="161"/>
      <c r="CY430" s="161"/>
      <c r="CZ430" s="161"/>
      <c r="DA430" s="161"/>
      <c r="DB430" s="161"/>
      <c r="DC430" s="161"/>
      <c r="DD430" s="161"/>
      <c r="DE430" s="161"/>
      <c r="DF430" s="161"/>
      <c r="DG430" s="161"/>
      <c r="DH430" s="161"/>
      <c r="DI430" s="136"/>
      <c r="DJ430" s="136"/>
      <c r="DK430" s="161"/>
      <c r="DL430" s="161"/>
      <c r="DM430" s="161"/>
      <c r="DN430" s="161"/>
      <c r="DO430" s="161"/>
      <c r="DP430" s="161"/>
      <c r="DQ430" s="161"/>
      <c r="DR430" s="161"/>
      <c r="DS430" s="161"/>
      <c r="DT430" s="161"/>
      <c r="DU430" s="161"/>
      <c r="DV430" s="161"/>
      <c r="DW430" s="136"/>
      <c r="DX430" s="136"/>
      <c r="DY430" s="161"/>
      <c r="DZ430" s="161"/>
      <c r="EA430" s="161"/>
      <c r="EB430" s="161"/>
      <c r="EC430" s="161"/>
      <c r="ED430" s="161"/>
      <c r="EE430" s="161"/>
      <c r="EF430" s="161">
        <v>1</v>
      </c>
      <c r="EG430" s="161"/>
      <c r="EH430" s="161"/>
      <c r="EI430" s="161"/>
      <c r="EJ430" s="161"/>
      <c r="EK430" s="136"/>
      <c r="EL430" s="136"/>
      <c r="EM430" s="136"/>
      <c r="EN430" s="136"/>
      <c r="EO430" s="136"/>
      <c r="EP430" s="136"/>
      <c r="EQ430" s="136"/>
      <c r="ER430" s="136"/>
      <c r="ES430" s="161"/>
      <c r="ET430" s="161"/>
      <c r="EU430" s="161"/>
      <c r="EV430" s="161"/>
      <c r="EW430" s="161"/>
      <c r="EX430" s="161"/>
      <c r="EY430" s="136"/>
      <c r="EZ430" s="136"/>
      <c r="FA430" s="161"/>
      <c r="FB430" s="161"/>
      <c r="FC430" s="161"/>
      <c r="FD430" s="161"/>
      <c r="FE430" s="161"/>
      <c r="FF430" s="161"/>
      <c r="FG430" s="161"/>
      <c r="FH430" s="161"/>
      <c r="FI430" s="161"/>
      <c r="FJ430" s="161"/>
      <c r="FK430" s="161"/>
      <c r="FL430" s="161"/>
      <c r="FM430" s="136"/>
      <c r="FN430" s="136"/>
      <c r="FO430" s="161"/>
      <c r="FP430" s="161"/>
      <c r="FQ430" s="161"/>
      <c r="FR430" s="161"/>
      <c r="FS430" s="161"/>
      <c r="FT430" s="161"/>
      <c r="FU430" s="161"/>
      <c r="FV430" s="161"/>
      <c r="FW430" s="161"/>
      <c r="FX430" s="161"/>
      <c r="FY430" s="161"/>
      <c r="FZ430" s="161"/>
      <c r="GA430" s="136"/>
      <c r="GB430" s="136"/>
      <c r="GC430" s="161"/>
      <c r="GD430" s="161"/>
      <c r="GE430" s="161"/>
      <c r="GF430" s="161"/>
      <c r="GG430" s="161"/>
      <c r="GH430" s="161"/>
      <c r="GI430" s="161"/>
      <c r="GJ430" s="161"/>
      <c r="GK430" s="161"/>
      <c r="GL430" s="161"/>
      <c r="GM430" s="161"/>
      <c r="GN430" s="161"/>
    </row>
    <row r="431" spans="1:196">
      <c r="A431" s="162"/>
      <c r="B431" s="126" t="s">
        <v>1198</v>
      </c>
      <c r="C431" s="109" t="s">
        <v>660</v>
      </c>
      <c r="D431" s="119"/>
      <c r="E431" s="119"/>
      <c r="F431" s="107"/>
      <c r="G431" s="115">
        <v>11</v>
      </c>
      <c r="H431" s="6"/>
      <c r="I431" s="125">
        <v>46256</v>
      </c>
      <c r="J431" s="13">
        <f t="shared" si="202"/>
        <v>0</v>
      </c>
      <c r="K431" s="141"/>
      <c r="L431" s="161"/>
      <c r="M431" s="136"/>
      <c r="N431" s="136"/>
      <c r="O431" s="136"/>
      <c r="P431" s="136"/>
      <c r="Q431" s="136"/>
      <c r="R431" s="136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36"/>
      <c r="AD431" s="136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36"/>
      <c r="AR431" s="136"/>
      <c r="AS431" s="161"/>
      <c r="AT431" s="161"/>
      <c r="AU431" s="161"/>
      <c r="AV431" s="161"/>
      <c r="AW431" s="161"/>
      <c r="AX431" s="161"/>
      <c r="AY431" s="161"/>
      <c r="AZ431" s="161"/>
      <c r="BA431" s="161"/>
      <c r="BB431" s="161"/>
      <c r="BC431" s="161"/>
      <c r="BD431" s="161"/>
      <c r="BE431" s="136"/>
      <c r="BF431" s="136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36"/>
      <c r="BT431" s="136"/>
      <c r="BU431" s="161"/>
      <c r="BV431" s="161"/>
      <c r="BW431" s="161"/>
      <c r="BX431" s="161"/>
      <c r="BY431" s="161"/>
      <c r="BZ431" s="161"/>
      <c r="CA431" s="161"/>
      <c r="CB431" s="161"/>
      <c r="CC431" s="161"/>
      <c r="CD431" s="161"/>
      <c r="CE431" s="161"/>
      <c r="CF431" s="161"/>
      <c r="CG431" s="136"/>
      <c r="CH431" s="136"/>
      <c r="CI431" s="161"/>
      <c r="CJ431" s="161"/>
      <c r="CK431" s="161"/>
      <c r="CL431" s="161"/>
      <c r="CM431" s="161"/>
      <c r="CN431" s="161"/>
      <c r="CO431" s="161"/>
      <c r="CP431" s="161"/>
      <c r="CQ431" s="161"/>
      <c r="CR431" s="161"/>
      <c r="CS431" s="161"/>
      <c r="CT431" s="161"/>
      <c r="CU431" s="136"/>
      <c r="CV431" s="136"/>
      <c r="CW431" s="161"/>
      <c r="CX431" s="161"/>
      <c r="CY431" s="161"/>
      <c r="CZ431" s="161"/>
      <c r="DA431" s="161"/>
      <c r="DB431" s="161"/>
      <c r="DC431" s="161"/>
      <c r="DD431" s="161"/>
      <c r="DE431" s="161"/>
      <c r="DF431" s="161"/>
      <c r="DG431" s="161"/>
      <c r="DH431" s="161"/>
      <c r="DI431" s="136"/>
      <c r="DJ431" s="136"/>
      <c r="DK431" s="161"/>
      <c r="DL431" s="161"/>
      <c r="DM431" s="161"/>
      <c r="DN431" s="161"/>
      <c r="DO431" s="161"/>
      <c r="DP431" s="161"/>
      <c r="DQ431" s="161"/>
      <c r="DR431" s="161"/>
      <c r="DS431" s="161"/>
      <c r="DT431" s="161"/>
      <c r="DU431" s="161"/>
      <c r="DV431" s="161"/>
      <c r="DW431" s="136"/>
      <c r="DX431" s="136"/>
      <c r="DY431" s="161"/>
      <c r="DZ431" s="161"/>
      <c r="EA431" s="161"/>
      <c r="EB431" s="161"/>
      <c r="EC431" s="161"/>
      <c r="ED431" s="161"/>
      <c r="EE431" s="161"/>
      <c r="EF431" s="161">
        <v>11</v>
      </c>
      <c r="EG431" s="161"/>
      <c r="EH431" s="161"/>
      <c r="EI431" s="161"/>
      <c r="EJ431" s="161"/>
      <c r="EK431" s="136"/>
      <c r="EL431" s="136"/>
      <c r="EM431" s="136"/>
      <c r="EN431" s="136"/>
      <c r="EO431" s="136"/>
      <c r="EP431" s="136"/>
      <c r="EQ431" s="136"/>
      <c r="ER431" s="136"/>
      <c r="ES431" s="161"/>
      <c r="ET431" s="161"/>
      <c r="EU431" s="161"/>
      <c r="EV431" s="161"/>
      <c r="EW431" s="161"/>
      <c r="EX431" s="161"/>
      <c r="EY431" s="136"/>
      <c r="EZ431" s="136"/>
      <c r="FA431" s="161"/>
      <c r="FB431" s="161"/>
      <c r="FC431" s="161"/>
      <c r="FD431" s="161"/>
      <c r="FE431" s="161"/>
      <c r="FF431" s="161"/>
      <c r="FG431" s="161"/>
      <c r="FH431" s="161"/>
      <c r="FI431" s="161"/>
      <c r="FJ431" s="161"/>
      <c r="FK431" s="161"/>
      <c r="FL431" s="161"/>
      <c r="FM431" s="136"/>
      <c r="FN431" s="136"/>
      <c r="FO431" s="161"/>
      <c r="FP431" s="161"/>
      <c r="FQ431" s="161"/>
      <c r="FR431" s="161"/>
      <c r="FS431" s="161"/>
      <c r="FT431" s="161"/>
      <c r="FU431" s="161"/>
      <c r="FV431" s="161"/>
      <c r="FW431" s="161"/>
      <c r="FX431" s="161"/>
      <c r="FY431" s="161"/>
      <c r="FZ431" s="161"/>
      <c r="GA431" s="136"/>
      <c r="GB431" s="136"/>
      <c r="GC431" s="161"/>
      <c r="GD431" s="161"/>
      <c r="GE431" s="161"/>
      <c r="GF431" s="161"/>
      <c r="GG431" s="161"/>
      <c r="GH431" s="161"/>
      <c r="GI431" s="161"/>
      <c r="GJ431" s="161"/>
      <c r="GK431" s="161"/>
      <c r="GL431" s="161"/>
      <c r="GM431" s="161"/>
      <c r="GN431" s="161"/>
    </row>
    <row r="432" spans="1:196">
      <c r="A432" s="162"/>
      <c r="B432" s="178" t="s">
        <v>1206</v>
      </c>
      <c r="C432" s="109" t="s">
        <v>639</v>
      </c>
      <c r="D432" s="119"/>
      <c r="E432" s="119"/>
      <c r="F432" s="107"/>
      <c r="G432" s="115">
        <v>17</v>
      </c>
      <c r="H432" s="6"/>
      <c r="I432" s="125">
        <v>46256</v>
      </c>
      <c r="J432" s="13">
        <f t="shared" ref="J432:J439" si="203">G432-SUM(L432:FL432)</f>
        <v>0</v>
      </c>
      <c r="K432" s="141"/>
      <c r="L432" s="161"/>
      <c r="M432" s="136"/>
      <c r="N432" s="136"/>
      <c r="O432" s="136"/>
      <c r="P432" s="136"/>
      <c r="Q432" s="136"/>
      <c r="R432" s="136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36"/>
      <c r="AD432" s="136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36"/>
      <c r="AR432" s="136"/>
      <c r="AS432" s="161"/>
      <c r="AT432" s="161"/>
      <c r="AU432" s="161"/>
      <c r="AV432" s="161"/>
      <c r="AW432" s="161"/>
      <c r="AX432" s="161"/>
      <c r="AY432" s="161"/>
      <c r="AZ432" s="161"/>
      <c r="BA432" s="161"/>
      <c r="BB432" s="161"/>
      <c r="BC432" s="161"/>
      <c r="BD432" s="161"/>
      <c r="BE432" s="136"/>
      <c r="BF432" s="136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36"/>
      <c r="BT432" s="136"/>
      <c r="BU432" s="161"/>
      <c r="BV432" s="161"/>
      <c r="BW432" s="161"/>
      <c r="BX432" s="161"/>
      <c r="BY432" s="161"/>
      <c r="BZ432" s="161"/>
      <c r="CA432" s="161"/>
      <c r="CB432" s="161"/>
      <c r="CC432" s="161"/>
      <c r="CD432" s="161"/>
      <c r="CE432" s="161"/>
      <c r="CF432" s="161"/>
      <c r="CG432" s="136"/>
      <c r="CH432" s="136"/>
      <c r="CI432" s="161"/>
      <c r="CJ432" s="161"/>
      <c r="CK432" s="161"/>
      <c r="CL432" s="161"/>
      <c r="CM432" s="161"/>
      <c r="CN432" s="161"/>
      <c r="CO432" s="161"/>
      <c r="CP432" s="161"/>
      <c r="CQ432" s="161"/>
      <c r="CR432" s="161"/>
      <c r="CS432" s="161"/>
      <c r="CT432" s="161"/>
      <c r="CU432" s="136"/>
      <c r="CV432" s="136"/>
      <c r="CW432" s="161"/>
      <c r="CX432" s="161"/>
      <c r="CY432" s="161"/>
      <c r="CZ432" s="161"/>
      <c r="DA432" s="161"/>
      <c r="DB432" s="161"/>
      <c r="DC432" s="161"/>
      <c r="DD432" s="161"/>
      <c r="DE432" s="161"/>
      <c r="DF432" s="161"/>
      <c r="DG432" s="161"/>
      <c r="DH432" s="161"/>
      <c r="DI432" s="136"/>
      <c r="DJ432" s="136"/>
      <c r="DK432" s="161"/>
      <c r="DL432" s="161"/>
      <c r="DM432" s="161"/>
      <c r="DN432" s="161"/>
      <c r="DO432" s="161"/>
      <c r="DP432" s="161"/>
      <c r="DQ432" s="161"/>
      <c r="DR432" s="161"/>
      <c r="DS432" s="161"/>
      <c r="DT432" s="161"/>
      <c r="DU432" s="161"/>
      <c r="DV432" s="161"/>
      <c r="DW432" s="136"/>
      <c r="DX432" s="136"/>
      <c r="DY432" s="161"/>
      <c r="DZ432" s="161"/>
      <c r="EA432" s="161"/>
      <c r="EB432" s="161">
        <v>17</v>
      </c>
      <c r="EC432" s="161"/>
      <c r="ED432" s="161"/>
      <c r="EE432" s="161"/>
      <c r="EF432" s="161"/>
      <c r="EG432" s="161"/>
      <c r="EH432" s="161"/>
      <c r="EI432" s="161"/>
      <c r="EJ432" s="161"/>
      <c r="EK432" s="136"/>
      <c r="EL432" s="136"/>
      <c r="EM432" s="136"/>
      <c r="EN432" s="136"/>
      <c r="EO432" s="136"/>
      <c r="EP432" s="136"/>
      <c r="EQ432" s="136"/>
      <c r="ER432" s="136"/>
      <c r="ES432" s="161"/>
      <c r="ET432" s="161"/>
      <c r="EU432" s="161"/>
      <c r="EV432" s="161"/>
      <c r="EW432" s="161"/>
      <c r="EX432" s="161"/>
      <c r="EY432" s="136"/>
      <c r="EZ432" s="136"/>
      <c r="FA432" s="161"/>
      <c r="FB432" s="161"/>
      <c r="FC432" s="161"/>
      <c r="FD432" s="161"/>
      <c r="FE432" s="161"/>
      <c r="FF432" s="161"/>
      <c r="FG432" s="161"/>
      <c r="FH432" s="161"/>
      <c r="FI432" s="161"/>
      <c r="FJ432" s="161"/>
      <c r="FK432" s="161"/>
      <c r="FL432" s="161"/>
      <c r="FM432" s="136"/>
      <c r="FN432" s="136"/>
      <c r="FO432" s="161"/>
      <c r="FP432" s="161"/>
      <c r="FQ432" s="161"/>
      <c r="FR432" s="161"/>
      <c r="FS432" s="161"/>
      <c r="FT432" s="161"/>
      <c r="FU432" s="161"/>
      <c r="FV432" s="161"/>
      <c r="FW432" s="161"/>
      <c r="FX432" s="161"/>
      <c r="FY432" s="161"/>
      <c r="FZ432" s="161"/>
      <c r="GA432" s="136"/>
      <c r="GB432" s="136"/>
      <c r="GC432" s="161"/>
      <c r="GD432" s="161"/>
      <c r="GE432" s="161"/>
      <c r="GF432" s="161"/>
      <c r="GG432" s="161"/>
      <c r="GH432" s="161"/>
      <c r="GI432" s="161"/>
      <c r="GJ432" s="161"/>
      <c r="GK432" s="161"/>
      <c r="GL432" s="161"/>
      <c r="GM432" s="161"/>
      <c r="GN432" s="161"/>
    </row>
    <row r="433" spans="1:196">
      <c r="A433" s="162"/>
      <c r="B433" s="178" t="s">
        <v>1207</v>
      </c>
      <c r="C433" s="109" t="s">
        <v>638</v>
      </c>
      <c r="D433" s="119"/>
      <c r="E433" s="119"/>
      <c r="F433" s="107"/>
      <c r="G433" s="115">
        <v>1209</v>
      </c>
      <c r="H433" s="6"/>
      <c r="I433" s="125">
        <v>46256</v>
      </c>
      <c r="J433" s="13">
        <f t="shared" si="203"/>
        <v>0</v>
      </c>
      <c r="K433" s="141"/>
      <c r="L433" s="161"/>
      <c r="M433" s="136"/>
      <c r="N433" s="136"/>
      <c r="O433" s="136"/>
      <c r="P433" s="136"/>
      <c r="Q433" s="136"/>
      <c r="R433" s="136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36"/>
      <c r="AD433" s="136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36"/>
      <c r="AR433" s="136"/>
      <c r="AS433" s="161"/>
      <c r="AT433" s="161"/>
      <c r="AU433" s="161"/>
      <c r="AV433" s="161"/>
      <c r="AW433" s="161"/>
      <c r="AX433" s="161"/>
      <c r="AY433" s="161"/>
      <c r="AZ433" s="161"/>
      <c r="BA433" s="161"/>
      <c r="BB433" s="161"/>
      <c r="BC433" s="161"/>
      <c r="BD433" s="161"/>
      <c r="BE433" s="136"/>
      <c r="BF433" s="136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36"/>
      <c r="BT433" s="136"/>
      <c r="BU433" s="161"/>
      <c r="BV433" s="161"/>
      <c r="BW433" s="161"/>
      <c r="BX433" s="161"/>
      <c r="BY433" s="161"/>
      <c r="BZ433" s="161"/>
      <c r="CA433" s="161"/>
      <c r="CB433" s="161"/>
      <c r="CC433" s="161"/>
      <c r="CD433" s="161"/>
      <c r="CE433" s="161"/>
      <c r="CF433" s="161"/>
      <c r="CG433" s="136"/>
      <c r="CH433" s="136"/>
      <c r="CI433" s="161"/>
      <c r="CJ433" s="161"/>
      <c r="CK433" s="161"/>
      <c r="CL433" s="161"/>
      <c r="CM433" s="161"/>
      <c r="CN433" s="161"/>
      <c r="CO433" s="161"/>
      <c r="CP433" s="161"/>
      <c r="CQ433" s="161"/>
      <c r="CR433" s="161"/>
      <c r="CS433" s="161"/>
      <c r="CT433" s="161"/>
      <c r="CU433" s="136"/>
      <c r="CV433" s="136"/>
      <c r="CW433" s="161"/>
      <c r="CX433" s="161"/>
      <c r="CY433" s="161"/>
      <c r="CZ433" s="161"/>
      <c r="DA433" s="161"/>
      <c r="DB433" s="161"/>
      <c r="DC433" s="161"/>
      <c r="DD433" s="161"/>
      <c r="DE433" s="161"/>
      <c r="DF433" s="161"/>
      <c r="DG433" s="161"/>
      <c r="DH433" s="161"/>
      <c r="DI433" s="136"/>
      <c r="DJ433" s="136"/>
      <c r="DK433" s="161"/>
      <c r="DL433" s="161"/>
      <c r="DM433" s="161"/>
      <c r="DN433" s="161"/>
      <c r="DO433" s="161"/>
      <c r="DP433" s="161"/>
      <c r="DQ433" s="161"/>
      <c r="DR433" s="161"/>
      <c r="DS433" s="161"/>
      <c r="DT433" s="161"/>
      <c r="DU433" s="161"/>
      <c r="DV433" s="161"/>
      <c r="DW433" s="136"/>
      <c r="DX433" s="136"/>
      <c r="DY433" s="161"/>
      <c r="DZ433" s="161"/>
      <c r="EA433" s="161"/>
      <c r="EB433" s="161">
        <v>100</v>
      </c>
      <c r="EC433" s="161">
        <v>150</v>
      </c>
      <c r="ED433" s="161">
        <v>150</v>
      </c>
      <c r="EE433" s="161">
        <v>150</v>
      </c>
      <c r="EF433" s="161">
        <v>150</v>
      </c>
      <c r="EG433" s="161">
        <v>150</v>
      </c>
      <c r="EH433" s="161">
        <v>150</v>
      </c>
      <c r="EI433" s="161">
        <v>150</v>
      </c>
      <c r="EJ433" s="161">
        <v>59</v>
      </c>
      <c r="EK433" s="136"/>
      <c r="EL433" s="136"/>
      <c r="EM433" s="136"/>
      <c r="EN433" s="136"/>
      <c r="EO433" s="136"/>
      <c r="EP433" s="136"/>
      <c r="EQ433" s="136"/>
      <c r="ER433" s="136"/>
      <c r="ES433" s="161"/>
      <c r="ET433" s="161"/>
      <c r="EU433" s="161"/>
      <c r="EV433" s="161"/>
      <c r="EW433" s="161"/>
      <c r="EX433" s="161"/>
      <c r="EY433" s="136"/>
      <c r="EZ433" s="136"/>
      <c r="FA433" s="161"/>
      <c r="FB433" s="161"/>
      <c r="FC433" s="161"/>
      <c r="FD433" s="161"/>
      <c r="FE433" s="161"/>
      <c r="FF433" s="161"/>
      <c r="FG433" s="161"/>
      <c r="FH433" s="161"/>
      <c r="FI433" s="161"/>
      <c r="FJ433" s="161"/>
      <c r="FK433" s="161"/>
      <c r="FL433" s="161"/>
      <c r="FM433" s="136"/>
      <c r="FN433" s="136"/>
      <c r="FO433" s="161"/>
      <c r="FP433" s="161"/>
      <c r="FQ433" s="161"/>
      <c r="FR433" s="161"/>
      <c r="FS433" s="161"/>
      <c r="FT433" s="161"/>
      <c r="FU433" s="161"/>
      <c r="FV433" s="161"/>
      <c r="FW433" s="161"/>
      <c r="FX433" s="161"/>
      <c r="FY433" s="161"/>
      <c r="FZ433" s="161"/>
      <c r="GA433" s="136"/>
      <c r="GB433" s="136"/>
      <c r="GC433" s="161"/>
      <c r="GD433" s="161"/>
      <c r="GE433" s="161"/>
      <c r="GF433" s="161"/>
      <c r="GG433" s="161"/>
      <c r="GH433" s="161"/>
      <c r="GI433" s="161"/>
      <c r="GJ433" s="161"/>
      <c r="GK433" s="161"/>
      <c r="GL433" s="161"/>
      <c r="GM433" s="161"/>
      <c r="GN433" s="161"/>
    </row>
    <row r="434" spans="1:196">
      <c r="A434" s="162"/>
      <c r="B434" s="126" t="s">
        <v>1191</v>
      </c>
      <c r="C434" s="109" t="s">
        <v>652</v>
      </c>
      <c r="D434" s="119"/>
      <c r="E434" s="119"/>
      <c r="F434" s="107"/>
      <c r="G434" s="115">
        <v>476</v>
      </c>
      <c r="H434" s="6"/>
      <c r="I434" s="125">
        <v>46263</v>
      </c>
      <c r="J434" s="13">
        <f t="shared" si="203"/>
        <v>0</v>
      </c>
      <c r="K434" s="141"/>
      <c r="L434" s="161"/>
      <c r="M434" s="136"/>
      <c r="N434" s="136"/>
      <c r="O434" s="136"/>
      <c r="P434" s="136"/>
      <c r="Q434" s="136"/>
      <c r="R434" s="136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36"/>
      <c r="AD434" s="136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36"/>
      <c r="AR434" s="136"/>
      <c r="AS434" s="161"/>
      <c r="AT434" s="161"/>
      <c r="AU434" s="161"/>
      <c r="AV434" s="161"/>
      <c r="AW434" s="161"/>
      <c r="AX434" s="161"/>
      <c r="AY434" s="161"/>
      <c r="AZ434" s="161"/>
      <c r="BA434" s="161"/>
      <c r="BB434" s="161"/>
      <c r="BC434" s="161"/>
      <c r="BD434" s="161"/>
      <c r="BE434" s="136"/>
      <c r="BF434" s="136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36"/>
      <c r="BT434" s="136"/>
      <c r="BU434" s="161"/>
      <c r="BV434" s="161"/>
      <c r="BW434" s="161"/>
      <c r="BX434" s="161"/>
      <c r="BY434" s="161"/>
      <c r="BZ434" s="161"/>
      <c r="CA434" s="161"/>
      <c r="CB434" s="161"/>
      <c r="CC434" s="161"/>
      <c r="CD434" s="161"/>
      <c r="CE434" s="161"/>
      <c r="CF434" s="161"/>
      <c r="CG434" s="136"/>
      <c r="CH434" s="136"/>
      <c r="CI434" s="161"/>
      <c r="CJ434" s="161"/>
      <c r="CK434" s="161"/>
      <c r="CL434" s="161"/>
      <c r="CM434" s="161"/>
      <c r="CN434" s="161"/>
      <c r="CO434" s="161"/>
      <c r="CP434" s="161"/>
      <c r="CQ434" s="161"/>
      <c r="CR434" s="161"/>
      <c r="CS434" s="161"/>
      <c r="CT434" s="161"/>
      <c r="CU434" s="136"/>
      <c r="CV434" s="136"/>
      <c r="CW434" s="161"/>
      <c r="CX434" s="161"/>
      <c r="CY434" s="161"/>
      <c r="CZ434" s="161"/>
      <c r="DA434" s="161"/>
      <c r="DB434" s="161"/>
      <c r="DC434" s="161"/>
      <c r="DD434" s="161"/>
      <c r="DE434" s="161"/>
      <c r="DF434" s="161"/>
      <c r="DG434" s="161"/>
      <c r="DH434" s="161"/>
      <c r="DI434" s="136"/>
      <c r="DJ434" s="136"/>
      <c r="DK434" s="161"/>
      <c r="DL434" s="161"/>
      <c r="DM434" s="161"/>
      <c r="DN434" s="161"/>
      <c r="DO434" s="161"/>
      <c r="DP434" s="161"/>
      <c r="DQ434" s="161"/>
      <c r="DR434" s="161"/>
      <c r="DS434" s="161"/>
      <c r="DT434" s="161"/>
      <c r="DU434" s="161"/>
      <c r="DV434" s="161"/>
      <c r="DW434" s="136"/>
      <c r="DX434" s="136"/>
      <c r="DY434" s="161"/>
      <c r="DZ434" s="161"/>
      <c r="EA434" s="161"/>
      <c r="EB434" s="161"/>
      <c r="EC434" s="161"/>
      <c r="ED434" s="161"/>
      <c r="EE434" s="161"/>
      <c r="EF434" s="161"/>
      <c r="EG434" s="161"/>
      <c r="EH434" s="161"/>
      <c r="EI434" s="161"/>
      <c r="EJ434" s="161">
        <v>90</v>
      </c>
      <c r="EK434" s="136"/>
      <c r="EL434" s="136"/>
      <c r="EM434" s="136"/>
      <c r="EN434" s="136"/>
      <c r="EO434" s="136"/>
      <c r="EP434" s="136"/>
      <c r="EQ434" s="136"/>
      <c r="ER434" s="136"/>
      <c r="ES434" s="161">
        <v>150</v>
      </c>
      <c r="ET434" s="161">
        <v>150</v>
      </c>
      <c r="EU434" s="161">
        <v>86</v>
      </c>
      <c r="EV434" s="161"/>
      <c r="EW434" s="161"/>
      <c r="EX434" s="161"/>
      <c r="EY434" s="136"/>
      <c r="EZ434" s="136"/>
      <c r="FA434" s="161"/>
      <c r="FB434" s="161"/>
      <c r="FC434" s="161"/>
      <c r="FD434" s="161"/>
      <c r="FE434" s="161"/>
      <c r="FF434" s="161"/>
      <c r="FG434" s="161"/>
      <c r="FH434" s="161"/>
      <c r="FI434" s="161"/>
      <c r="FJ434" s="161"/>
      <c r="FK434" s="161"/>
      <c r="FL434" s="161"/>
      <c r="FM434" s="136"/>
      <c r="FN434" s="136"/>
      <c r="FO434" s="161"/>
      <c r="FP434" s="161"/>
      <c r="FQ434" s="161"/>
      <c r="FR434" s="161"/>
      <c r="FS434" s="161"/>
      <c r="FT434" s="161"/>
      <c r="FU434" s="161"/>
      <c r="FV434" s="161"/>
      <c r="FW434" s="161"/>
      <c r="FX434" s="161"/>
      <c r="FY434" s="161"/>
      <c r="FZ434" s="161"/>
      <c r="GA434" s="136"/>
      <c r="GB434" s="136"/>
      <c r="GC434" s="161"/>
      <c r="GD434" s="161"/>
      <c r="GE434" s="161"/>
      <c r="GF434" s="161"/>
      <c r="GG434" s="161"/>
      <c r="GH434" s="161"/>
      <c r="GI434" s="161"/>
      <c r="GJ434" s="161"/>
      <c r="GK434" s="161"/>
      <c r="GL434" s="161"/>
      <c r="GM434" s="161"/>
      <c r="GN434" s="161"/>
    </row>
    <row r="435" spans="1:196">
      <c r="A435" s="162"/>
      <c r="B435" s="126" t="s">
        <v>1187</v>
      </c>
      <c r="C435" s="109" t="s">
        <v>637</v>
      </c>
      <c r="D435" s="119"/>
      <c r="E435" s="119"/>
      <c r="F435" s="107"/>
      <c r="G435" s="115">
        <v>6</v>
      </c>
      <c r="H435" s="6"/>
      <c r="I435" s="125">
        <v>46263</v>
      </c>
      <c r="J435" s="13">
        <f t="shared" si="203"/>
        <v>0</v>
      </c>
      <c r="K435" s="141"/>
      <c r="L435" s="161"/>
      <c r="M435" s="136"/>
      <c r="N435" s="136"/>
      <c r="O435" s="136"/>
      <c r="P435" s="136"/>
      <c r="Q435" s="136"/>
      <c r="R435" s="136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36"/>
      <c r="AD435" s="136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36"/>
      <c r="AR435" s="136"/>
      <c r="AS435" s="161"/>
      <c r="AT435" s="161"/>
      <c r="AU435" s="161"/>
      <c r="AV435" s="161"/>
      <c r="AW435" s="161"/>
      <c r="AX435" s="161"/>
      <c r="AY435" s="161"/>
      <c r="AZ435" s="161"/>
      <c r="BA435" s="161"/>
      <c r="BB435" s="161"/>
      <c r="BC435" s="161"/>
      <c r="BD435" s="161"/>
      <c r="BE435" s="136"/>
      <c r="BF435" s="136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36"/>
      <c r="BT435" s="136"/>
      <c r="BU435" s="161"/>
      <c r="BV435" s="161"/>
      <c r="BW435" s="161"/>
      <c r="BX435" s="161"/>
      <c r="BY435" s="161"/>
      <c r="BZ435" s="161"/>
      <c r="CA435" s="161"/>
      <c r="CB435" s="161"/>
      <c r="CC435" s="161"/>
      <c r="CD435" s="161"/>
      <c r="CE435" s="161"/>
      <c r="CF435" s="161"/>
      <c r="CG435" s="136"/>
      <c r="CH435" s="136"/>
      <c r="CI435" s="161"/>
      <c r="CJ435" s="161"/>
      <c r="CK435" s="161"/>
      <c r="CL435" s="161"/>
      <c r="CM435" s="161"/>
      <c r="CN435" s="161"/>
      <c r="CO435" s="161"/>
      <c r="CP435" s="161"/>
      <c r="CQ435" s="161"/>
      <c r="CR435" s="161"/>
      <c r="CS435" s="161"/>
      <c r="CT435" s="161"/>
      <c r="CU435" s="136"/>
      <c r="CV435" s="136"/>
      <c r="CW435" s="161"/>
      <c r="CX435" s="161"/>
      <c r="CY435" s="161"/>
      <c r="CZ435" s="161"/>
      <c r="DA435" s="161"/>
      <c r="DB435" s="161"/>
      <c r="DC435" s="161"/>
      <c r="DD435" s="161"/>
      <c r="DE435" s="161"/>
      <c r="DF435" s="161"/>
      <c r="DG435" s="161"/>
      <c r="DH435" s="161"/>
      <c r="DI435" s="136"/>
      <c r="DJ435" s="136"/>
      <c r="DK435" s="161"/>
      <c r="DL435" s="161"/>
      <c r="DM435" s="161"/>
      <c r="DN435" s="161"/>
      <c r="DO435" s="161"/>
      <c r="DP435" s="161"/>
      <c r="DQ435" s="161"/>
      <c r="DR435" s="161"/>
      <c r="DS435" s="161"/>
      <c r="DT435" s="161"/>
      <c r="DU435" s="161"/>
      <c r="DV435" s="161"/>
      <c r="DW435" s="136"/>
      <c r="DX435" s="136"/>
      <c r="DY435" s="161"/>
      <c r="DZ435" s="161"/>
      <c r="EA435" s="161"/>
      <c r="EB435" s="161"/>
      <c r="EC435" s="161"/>
      <c r="ED435" s="161"/>
      <c r="EE435" s="161"/>
      <c r="EF435" s="161"/>
      <c r="EG435" s="161"/>
      <c r="EH435" s="161"/>
      <c r="EI435" s="161"/>
      <c r="EJ435" s="161"/>
      <c r="EK435" s="136"/>
      <c r="EL435" s="136"/>
      <c r="EM435" s="136"/>
      <c r="EN435" s="136"/>
      <c r="EO435" s="136"/>
      <c r="EP435" s="136"/>
      <c r="EQ435" s="136"/>
      <c r="ER435" s="136"/>
      <c r="ES435" s="161"/>
      <c r="ET435" s="161"/>
      <c r="EU435" s="161">
        <v>6</v>
      </c>
      <c r="EV435" s="161"/>
      <c r="EW435" s="161"/>
      <c r="EX435" s="161"/>
      <c r="EY435" s="136"/>
      <c r="EZ435" s="136"/>
      <c r="FA435" s="161"/>
      <c r="FB435" s="161"/>
      <c r="FC435" s="161"/>
      <c r="FD435" s="161"/>
      <c r="FE435" s="161"/>
      <c r="FF435" s="161"/>
      <c r="FG435" s="161"/>
      <c r="FH435" s="161"/>
      <c r="FI435" s="161"/>
      <c r="FJ435" s="161"/>
      <c r="FK435" s="161"/>
      <c r="FL435" s="161"/>
      <c r="FM435" s="136"/>
      <c r="FN435" s="136"/>
      <c r="FO435" s="161"/>
      <c r="FP435" s="161"/>
      <c r="FQ435" s="161"/>
      <c r="FR435" s="161"/>
      <c r="FS435" s="161"/>
      <c r="FT435" s="161"/>
      <c r="FU435" s="161"/>
      <c r="FV435" s="161"/>
      <c r="FW435" s="161"/>
      <c r="FX435" s="161"/>
      <c r="FY435" s="161"/>
      <c r="FZ435" s="161"/>
      <c r="GA435" s="136"/>
      <c r="GB435" s="136"/>
      <c r="GC435" s="161"/>
      <c r="GD435" s="161"/>
      <c r="GE435" s="161"/>
      <c r="GF435" s="161"/>
      <c r="GG435" s="161"/>
      <c r="GH435" s="161"/>
      <c r="GI435" s="161"/>
      <c r="GJ435" s="161"/>
      <c r="GK435" s="161"/>
      <c r="GL435" s="161"/>
      <c r="GM435" s="161"/>
      <c r="GN435" s="161"/>
    </row>
    <row r="436" spans="1:196">
      <c r="A436" s="162"/>
      <c r="B436" s="126" t="s">
        <v>1192</v>
      </c>
      <c r="C436" s="109" t="s">
        <v>653</v>
      </c>
      <c r="D436" s="119"/>
      <c r="E436" s="119"/>
      <c r="F436" s="107"/>
      <c r="G436" s="115">
        <v>10</v>
      </c>
      <c r="H436" s="6"/>
      <c r="I436" s="125">
        <v>46263</v>
      </c>
      <c r="J436" s="13">
        <f t="shared" si="203"/>
        <v>0</v>
      </c>
      <c r="K436" s="141"/>
      <c r="L436" s="161"/>
      <c r="M436" s="136"/>
      <c r="N436" s="136"/>
      <c r="O436" s="136"/>
      <c r="P436" s="136"/>
      <c r="Q436" s="136"/>
      <c r="R436" s="136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36"/>
      <c r="AD436" s="136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36"/>
      <c r="AR436" s="136"/>
      <c r="AS436" s="161"/>
      <c r="AT436" s="161"/>
      <c r="AU436" s="161"/>
      <c r="AV436" s="161"/>
      <c r="AW436" s="161"/>
      <c r="AX436" s="161"/>
      <c r="AY436" s="161"/>
      <c r="AZ436" s="161"/>
      <c r="BA436" s="161"/>
      <c r="BB436" s="161"/>
      <c r="BC436" s="161"/>
      <c r="BD436" s="161"/>
      <c r="BE436" s="136"/>
      <c r="BF436" s="136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36"/>
      <c r="BT436" s="136"/>
      <c r="BU436" s="161"/>
      <c r="BV436" s="161"/>
      <c r="BW436" s="161"/>
      <c r="BX436" s="161"/>
      <c r="BY436" s="161"/>
      <c r="BZ436" s="161"/>
      <c r="CA436" s="161"/>
      <c r="CB436" s="161"/>
      <c r="CC436" s="161"/>
      <c r="CD436" s="161"/>
      <c r="CE436" s="161"/>
      <c r="CF436" s="161"/>
      <c r="CG436" s="136"/>
      <c r="CH436" s="136"/>
      <c r="CI436" s="161"/>
      <c r="CJ436" s="161"/>
      <c r="CK436" s="161"/>
      <c r="CL436" s="161"/>
      <c r="CM436" s="161"/>
      <c r="CN436" s="161"/>
      <c r="CO436" s="161"/>
      <c r="CP436" s="161"/>
      <c r="CQ436" s="161"/>
      <c r="CR436" s="161"/>
      <c r="CS436" s="161"/>
      <c r="CT436" s="161"/>
      <c r="CU436" s="136"/>
      <c r="CV436" s="136"/>
      <c r="CW436" s="161"/>
      <c r="CX436" s="161"/>
      <c r="CY436" s="161"/>
      <c r="CZ436" s="161"/>
      <c r="DA436" s="161"/>
      <c r="DB436" s="161"/>
      <c r="DC436" s="161"/>
      <c r="DD436" s="161"/>
      <c r="DE436" s="161"/>
      <c r="DF436" s="161"/>
      <c r="DG436" s="161"/>
      <c r="DH436" s="161"/>
      <c r="DI436" s="136"/>
      <c r="DJ436" s="136"/>
      <c r="DK436" s="161"/>
      <c r="DL436" s="161"/>
      <c r="DM436" s="161"/>
      <c r="DN436" s="161"/>
      <c r="DO436" s="161"/>
      <c r="DP436" s="161"/>
      <c r="DQ436" s="161"/>
      <c r="DR436" s="161"/>
      <c r="DS436" s="161"/>
      <c r="DT436" s="161"/>
      <c r="DU436" s="161"/>
      <c r="DV436" s="161"/>
      <c r="DW436" s="136"/>
      <c r="DX436" s="136"/>
      <c r="DY436" s="161"/>
      <c r="DZ436" s="161"/>
      <c r="EA436" s="161"/>
      <c r="EB436" s="161"/>
      <c r="EC436" s="161"/>
      <c r="ED436" s="161"/>
      <c r="EE436" s="161"/>
      <c r="EF436" s="161"/>
      <c r="EG436" s="161"/>
      <c r="EH436" s="161"/>
      <c r="EI436" s="161"/>
      <c r="EJ436" s="161"/>
      <c r="EK436" s="136"/>
      <c r="EL436" s="136"/>
      <c r="EM436" s="136"/>
      <c r="EN436" s="136"/>
      <c r="EO436" s="136"/>
      <c r="EP436" s="136"/>
      <c r="EQ436" s="136"/>
      <c r="ER436" s="136"/>
      <c r="ES436" s="161"/>
      <c r="ET436" s="161"/>
      <c r="EU436" s="161">
        <v>10</v>
      </c>
      <c r="EV436" s="161"/>
      <c r="EW436" s="161"/>
      <c r="EX436" s="161"/>
      <c r="EY436" s="136"/>
      <c r="EZ436" s="136"/>
      <c r="FA436" s="161"/>
      <c r="FB436" s="161"/>
      <c r="FC436" s="161"/>
      <c r="FD436" s="161"/>
      <c r="FE436" s="161"/>
      <c r="FF436" s="161"/>
      <c r="FG436" s="161"/>
      <c r="FH436" s="161"/>
      <c r="FI436" s="161"/>
      <c r="FJ436" s="161"/>
      <c r="FK436" s="161"/>
      <c r="FL436" s="161"/>
      <c r="FM436" s="136"/>
      <c r="FN436" s="136"/>
      <c r="FO436" s="161"/>
      <c r="FP436" s="161"/>
      <c r="FQ436" s="161"/>
      <c r="FR436" s="161"/>
      <c r="FS436" s="161"/>
      <c r="FT436" s="161"/>
      <c r="FU436" s="161"/>
      <c r="FV436" s="161"/>
      <c r="FW436" s="161"/>
      <c r="FX436" s="161"/>
      <c r="FY436" s="161"/>
      <c r="FZ436" s="161"/>
      <c r="GA436" s="136"/>
      <c r="GB436" s="136"/>
      <c r="GC436" s="161"/>
      <c r="GD436" s="161"/>
      <c r="GE436" s="161"/>
      <c r="GF436" s="161"/>
      <c r="GG436" s="161"/>
      <c r="GH436" s="161"/>
      <c r="GI436" s="161"/>
      <c r="GJ436" s="161"/>
      <c r="GK436" s="161"/>
      <c r="GL436" s="161"/>
      <c r="GM436" s="161"/>
      <c r="GN436" s="161"/>
    </row>
    <row r="437" spans="1:196">
      <c r="A437" s="162"/>
      <c r="B437" s="126" t="s">
        <v>1080</v>
      </c>
      <c r="C437" s="109" t="s">
        <v>657</v>
      </c>
      <c r="D437" s="119"/>
      <c r="E437" s="119"/>
      <c r="F437" s="107"/>
      <c r="G437" s="115">
        <v>1</v>
      </c>
      <c r="H437" s="6"/>
      <c r="I437" s="125">
        <v>46263</v>
      </c>
      <c r="J437" s="13">
        <f t="shared" si="203"/>
        <v>0</v>
      </c>
      <c r="K437" s="141"/>
      <c r="L437" s="161"/>
      <c r="M437" s="136"/>
      <c r="N437" s="136"/>
      <c r="O437" s="136"/>
      <c r="P437" s="136"/>
      <c r="Q437" s="136"/>
      <c r="R437" s="136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36"/>
      <c r="AD437" s="136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36"/>
      <c r="AR437" s="136"/>
      <c r="AS437" s="161"/>
      <c r="AT437" s="161"/>
      <c r="AU437" s="161"/>
      <c r="AV437" s="161"/>
      <c r="AW437" s="161"/>
      <c r="AX437" s="161"/>
      <c r="AY437" s="161"/>
      <c r="AZ437" s="161"/>
      <c r="BA437" s="161"/>
      <c r="BB437" s="161"/>
      <c r="BC437" s="161"/>
      <c r="BD437" s="161"/>
      <c r="BE437" s="136"/>
      <c r="BF437" s="136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36"/>
      <c r="BT437" s="136"/>
      <c r="BU437" s="161"/>
      <c r="BV437" s="161"/>
      <c r="BW437" s="161"/>
      <c r="BX437" s="161"/>
      <c r="BY437" s="161"/>
      <c r="BZ437" s="161"/>
      <c r="CA437" s="161"/>
      <c r="CB437" s="161"/>
      <c r="CC437" s="161"/>
      <c r="CD437" s="161"/>
      <c r="CE437" s="161"/>
      <c r="CF437" s="161"/>
      <c r="CG437" s="136"/>
      <c r="CH437" s="136"/>
      <c r="CI437" s="161"/>
      <c r="CJ437" s="161"/>
      <c r="CK437" s="161"/>
      <c r="CL437" s="161"/>
      <c r="CM437" s="161"/>
      <c r="CN437" s="161"/>
      <c r="CO437" s="161"/>
      <c r="CP437" s="161"/>
      <c r="CQ437" s="161"/>
      <c r="CR437" s="161"/>
      <c r="CS437" s="161"/>
      <c r="CT437" s="161"/>
      <c r="CU437" s="136"/>
      <c r="CV437" s="136"/>
      <c r="CW437" s="161"/>
      <c r="CX437" s="161"/>
      <c r="CY437" s="161"/>
      <c r="CZ437" s="161"/>
      <c r="DA437" s="161"/>
      <c r="DB437" s="161"/>
      <c r="DC437" s="161"/>
      <c r="DD437" s="161"/>
      <c r="DE437" s="161"/>
      <c r="DF437" s="161"/>
      <c r="DG437" s="161"/>
      <c r="DH437" s="161"/>
      <c r="DI437" s="136"/>
      <c r="DJ437" s="136"/>
      <c r="DK437" s="161"/>
      <c r="DL437" s="161"/>
      <c r="DM437" s="161"/>
      <c r="DN437" s="161"/>
      <c r="DO437" s="161"/>
      <c r="DP437" s="161"/>
      <c r="DQ437" s="161"/>
      <c r="DR437" s="161"/>
      <c r="DS437" s="161"/>
      <c r="DT437" s="161"/>
      <c r="DU437" s="161"/>
      <c r="DV437" s="161"/>
      <c r="DW437" s="136"/>
      <c r="DX437" s="136"/>
      <c r="DY437" s="161"/>
      <c r="DZ437" s="161"/>
      <c r="EA437" s="161"/>
      <c r="EB437" s="161"/>
      <c r="EC437" s="161"/>
      <c r="ED437" s="161"/>
      <c r="EE437" s="161"/>
      <c r="EF437" s="161"/>
      <c r="EG437" s="161"/>
      <c r="EH437" s="161"/>
      <c r="EI437" s="161"/>
      <c r="EJ437" s="161"/>
      <c r="EK437" s="136"/>
      <c r="EL437" s="136"/>
      <c r="EM437" s="136"/>
      <c r="EN437" s="136"/>
      <c r="EO437" s="136"/>
      <c r="EP437" s="136"/>
      <c r="EQ437" s="136"/>
      <c r="ER437" s="136"/>
      <c r="ES437" s="161"/>
      <c r="ET437" s="161"/>
      <c r="EU437" s="161">
        <v>1</v>
      </c>
      <c r="EV437" s="161"/>
      <c r="EW437" s="161"/>
      <c r="EX437" s="161"/>
      <c r="EY437" s="136"/>
      <c r="EZ437" s="136"/>
      <c r="FA437" s="161"/>
      <c r="FB437" s="161"/>
      <c r="FC437" s="161"/>
      <c r="FD437" s="161"/>
      <c r="FE437" s="161"/>
      <c r="FF437" s="161"/>
      <c r="FG437" s="161"/>
      <c r="FH437" s="161"/>
      <c r="FI437" s="161"/>
      <c r="FJ437" s="161"/>
      <c r="FK437" s="161"/>
      <c r="FL437" s="161"/>
      <c r="FM437" s="136"/>
      <c r="FN437" s="136"/>
      <c r="FO437" s="161"/>
      <c r="FP437" s="161"/>
      <c r="FQ437" s="161"/>
      <c r="FR437" s="161"/>
      <c r="FS437" s="161"/>
      <c r="FT437" s="161"/>
      <c r="FU437" s="161"/>
      <c r="FV437" s="161"/>
      <c r="FW437" s="161"/>
      <c r="FX437" s="161"/>
      <c r="FY437" s="161"/>
      <c r="FZ437" s="161"/>
      <c r="GA437" s="136"/>
      <c r="GB437" s="136"/>
      <c r="GC437" s="161"/>
      <c r="GD437" s="161"/>
      <c r="GE437" s="161"/>
      <c r="GF437" s="161"/>
      <c r="GG437" s="161"/>
      <c r="GH437" s="161"/>
      <c r="GI437" s="161"/>
      <c r="GJ437" s="161"/>
      <c r="GK437" s="161"/>
      <c r="GL437" s="161"/>
      <c r="GM437" s="161"/>
      <c r="GN437" s="161"/>
    </row>
    <row r="438" spans="1:196">
      <c r="A438" s="162"/>
      <c r="B438" s="126" t="s">
        <v>1188</v>
      </c>
      <c r="C438" s="109" t="s">
        <v>734</v>
      </c>
      <c r="D438" s="119"/>
      <c r="E438" s="119"/>
      <c r="F438" s="107"/>
      <c r="G438" s="115">
        <v>6</v>
      </c>
      <c r="H438" s="6"/>
      <c r="I438" s="125">
        <v>46263</v>
      </c>
      <c r="J438" s="13">
        <f t="shared" si="203"/>
        <v>0</v>
      </c>
      <c r="K438" s="141"/>
      <c r="L438" s="161"/>
      <c r="M438" s="136"/>
      <c r="N438" s="136"/>
      <c r="O438" s="136"/>
      <c r="P438" s="136"/>
      <c r="Q438" s="136"/>
      <c r="R438" s="136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36"/>
      <c r="AD438" s="136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36"/>
      <c r="AR438" s="136"/>
      <c r="AS438" s="161"/>
      <c r="AT438" s="161"/>
      <c r="AU438" s="161"/>
      <c r="AV438" s="161"/>
      <c r="AW438" s="161"/>
      <c r="AX438" s="161"/>
      <c r="AY438" s="161"/>
      <c r="AZ438" s="161"/>
      <c r="BA438" s="161"/>
      <c r="BB438" s="161"/>
      <c r="BC438" s="161"/>
      <c r="BD438" s="161"/>
      <c r="BE438" s="136"/>
      <c r="BF438" s="136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36"/>
      <c r="BT438" s="136"/>
      <c r="BU438" s="161"/>
      <c r="BV438" s="161"/>
      <c r="BW438" s="161"/>
      <c r="BX438" s="161"/>
      <c r="BY438" s="161"/>
      <c r="BZ438" s="161"/>
      <c r="CA438" s="161"/>
      <c r="CB438" s="161"/>
      <c r="CC438" s="161"/>
      <c r="CD438" s="161"/>
      <c r="CE438" s="161"/>
      <c r="CF438" s="161"/>
      <c r="CG438" s="136"/>
      <c r="CH438" s="136"/>
      <c r="CI438" s="161"/>
      <c r="CJ438" s="161"/>
      <c r="CK438" s="161"/>
      <c r="CL438" s="161"/>
      <c r="CM438" s="161"/>
      <c r="CN438" s="161"/>
      <c r="CO438" s="161"/>
      <c r="CP438" s="161"/>
      <c r="CQ438" s="161"/>
      <c r="CR438" s="161"/>
      <c r="CS438" s="161"/>
      <c r="CT438" s="161"/>
      <c r="CU438" s="136"/>
      <c r="CV438" s="136"/>
      <c r="CW438" s="161"/>
      <c r="CX438" s="161"/>
      <c r="CY438" s="161"/>
      <c r="CZ438" s="161"/>
      <c r="DA438" s="161"/>
      <c r="DB438" s="161"/>
      <c r="DC438" s="161"/>
      <c r="DD438" s="161"/>
      <c r="DE438" s="161"/>
      <c r="DF438" s="161"/>
      <c r="DG438" s="161"/>
      <c r="DH438" s="161"/>
      <c r="DI438" s="136"/>
      <c r="DJ438" s="136"/>
      <c r="DK438" s="161"/>
      <c r="DL438" s="161"/>
      <c r="DM438" s="161"/>
      <c r="DN438" s="161"/>
      <c r="DO438" s="161"/>
      <c r="DP438" s="161"/>
      <c r="DQ438" s="161"/>
      <c r="DR438" s="161"/>
      <c r="DS438" s="161"/>
      <c r="DT438" s="161"/>
      <c r="DU438" s="161"/>
      <c r="DV438" s="161"/>
      <c r="DW438" s="136"/>
      <c r="DX438" s="136"/>
      <c r="DY438" s="161"/>
      <c r="DZ438" s="161"/>
      <c r="EA438" s="161"/>
      <c r="EB438" s="161"/>
      <c r="EC438" s="161"/>
      <c r="ED438" s="161"/>
      <c r="EE438" s="161"/>
      <c r="EF438" s="161"/>
      <c r="EG438" s="161"/>
      <c r="EH438" s="161"/>
      <c r="EI438" s="161"/>
      <c r="EJ438" s="161"/>
      <c r="EK438" s="136"/>
      <c r="EL438" s="136"/>
      <c r="EM438" s="136"/>
      <c r="EN438" s="136"/>
      <c r="EO438" s="136"/>
      <c r="EP438" s="136"/>
      <c r="EQ438" s="136"/>
      <c r="ER438" s="136"/>
      <c r="ES438" s="161"/>
      <c r="ET438" s="161"/>
      <c r="EU438" s="161">
        <v>6</v>
      </c>
      <c r="EV438" s="161"/>
      <c r="EW438" s="161"/>
      <c r="EX438" s="161"/>
      <c r="EY438" s="136"/>
      <c r="EZ438" s="136"/>
      <c r="FA438" s="161"/>
      <c r="FB438" s="161"/>
      <c r="FC438" s="161"/>
      <c r="FD438" s="161"/>
      <c r="FE438" s="161"/>
      <c r="FF438" s="161"/>
      <c r="FG438" s="161"/>
      <c r="FH438" s="161"/>
      <c r="FI438" s="161"/>
      <c r="FJ438" s="161"/>
      <c r="FK438" s="161"/>
      <c r="FL438" s="161"/>
      <c r="FM438" s="136"/>
      <c r="FN438" s="136"/>
      <c r="FO438" s="161"/>
      <c r="FP438" s="161"/>
      <c r="FQ438" s="161"/>
      <c r="FR438" s="161"/>
      <c r="FS438" s="161"/>
      <c r="FT438" s="161"/>
      <c r="FU438" s="161"/>
      <c r="FV438" s="161"/>
      <c r="FW438" s="161"/>
      <c r="FX438" s="161"/>
      <c r="FY438" s="161"/>
      <c r="FZ438" s="161"/>
      <c r="GA438" s="136"/>
      <c r="GB438" s="136"/>
      <c r="GC438" s="161"/>
      <c r="GD438" s="161"/>
      <c r="GE438" s="161"/>
      <c r="GF438" s="161"/>
      <c r="GG438" s="161"/>
      <c r="GH438" s="161"/>
      <c r="GI438" s="161"/>
      <c r="GJ438" s="161"/>
      <c r="GK438" s="161"/>
      <c r="GL438" s="161"/>
      <c r="GM438" s="161"/>
      <c r="GN438" s="161"/>
    </row>
    <row r="439" spans="1:196">
      <c r="A439" s="162"/>
      <c r="B439" s="126" t="s">
        <v>1189</v>
      </c>
      <c r="C439" s="109" t="s">
        <v>649</v>
      </c>
      <c r="D439" s="119"/>
      <c r="E439" s="119"/>
      <c r="F439" s="107"/>
      <c r="G439" s="115">
        <v>10</v>
      </c>
      <c r="H439" s="6"/>
      <c r="I439" s="125">
        <v>46263</v>
      </c>
      <c r="J439" s="13">
        <f t="shared" si="203"/>
        <v>0</v>
      </c>
      <c r="K439" s="141"/>
      <c r="L439" s="161"/>
      <c r="M439" s="136"/>
      <c r="N439" s="136"/>
      <c r="O439" s="136"/>
      <c r="P439" s="136"/>
      <c r="Q439" s="136"/>
      <c r="R439" s="136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36"/>
      <c r="AD439" s="136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36"/>
      <c r="AR439" s="136"/>
      <c r="AS439" s="161"/>
      <c r="AT439" s="161"/>
      <c r="AU439" s="161"/>
      <c r="AV439" s="161"/>
      <c r="AW439" s="161"/>
      <c r="AX439" s="161"/>
      <c r="AY439" s="161"/>
      <c r="AZ439" s="161"/>
      <c r="BA439" s="161"/>
      <c r="BB439" s="161"/>
      <c r="BC439" s="161"/>
      <c r="BD439" s="161"/>
      <c r="BE439" s="136"/>
      <c r="BF439" s="136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36"/>
      <c r="BT439" s="136"/>
      <c r="BU439" s="161"/>
      <c r="BV439" s="161"/>
      <c r="BW439" s="161"/>
      <c r="BX439" s="161"/>
      <c r="BY439" s="161"/>
      <c r="BZ439" s="161"/>
      <c r="CA439" s="161"/>
      <c r="CB439" s="161"/>
      <c r="CC439" s="161"/>
      <c r="CD439" s="161"/>
      <c r="CE439" s="161"/>
      <c r="CF439" s="161"/>
      <c r="CG439" s="136"/>
      <c r="CH439" s="136"/>
      <c r="CI439" s="161"/>
      <c r="CJ439" s="161"/>
      <c r="CK439" s="161"/>
      <c r="CL439" s="161"/>
      <c r="CM439" s="161"/>
      <c r="CN439" s="161"/>
      <c r="CO439" s="161"/>
      <c r="CP439" s="161"/>
      <c r="CQ439" s="161"/>
      <c r="CR439" s="161"/>
      <c r="CS439" s="161"/>
      <c r="CT439" s="161"/>
      <c r="CU439" s="136"/>
      <c r="CV439" s="136"/>
      <c r="CW439" s="161"/>
      <c r="CX439" s="161"/>
      <c r="CY439" s="161"/>
      <c r="CZ439" s="161"/>
      <c r="DA439" s="161"/>
      <c r="DB439" s="161"/>
      <c r="DC439" s="161"/>
      <c r="DD439" s="161"/>
      <c r="DE439" s="161"/>
      <c r="DF439" s="161"/>
      <c r="DG439" s="161"/>
      <c r="DH439" s="161"/>
      <c r="DI439" s="136"/>
      <c r="DJ439" s="136"/>
      <c r="DK439" s="161"/>
      <c r="DL439" s="161"/>
      <c r="DM439" s="161"/>
      <c r="DN439" s="161"/>
      <c r="DO439" s="161"/>
      <c r="DP439" s="161"/>
      <c r="DQ439" s="161"/>
      <c r="DR439" s="161"/>
      <c r="DS439" s="161"/>
      <c r="DT439" s="161"/>
      <c r="DU439" s="161"/>
      <c r="DV439" s="161"/>
      <c r="DW439" s="136"/>
      <c r="DX439" s="136"/>
      <c r="DY439" s="161"/>
      <c r="DZ439" s="161"/>
      <c r="EA439" s="161"/>
      <c r="EB439" s="161"/>
      <c r="EC439" s="161"/>
      <c r="ED439" s="161"/>
      <c r="EE439" s="161"/>
      <c r="EF439" s="161"/>
      <c r="EG439" s="161"/>
      <c r="EH439" s="161"/>
      <c r="EI439" s="161"/>
      <c r="EJ439" s="161"/>
      <c r="EK439" s="136"/>
      <c r="EL439" s="136"/>
      <c r="EM439" s="136"/>
      <c r="EN439" s="136"/>
      <c r="EO439" s="136"/>
      <c r="EP439" s="136"/>
      <c r="EQ439" s="136"/>
      <c r="ER439" s="136"/>
      <c r="ES439" s="161"/>
      <c r="ET439" s="161"/>
      <c r="EU439" s="161">
        <v>10</v>
      </c>
      <c r="EV439" s="161"/>
      <c r="EW439" s="161"/>
      <c r="EX439" s="161"/>
      <c r="EY439" s="136"/>
      <c r="EZ439" s="136"/>
      <c r="FA439" s="161"/>
      <c r="FB439" s="161"/>
      <c r="FC439" s="161"/>
      <c r="FD439" s="161"/>
      <c r="FE439" s="161"/>
      <c r="FF439" s="161"/>
      <c r="FG439" s="161"/>
      <c r="FH439" s="161"/>
      <c r="FI439" s="161"/>
      <c r="FJ439" s="161"/>
      <c r="FK439" s="161"/>
      <c r="FL439" s="161"/>
      <c r="FM439" s="136"/>
      <c r="FN439" s="136"/>
      <c r="FO439" s="161"/>
      <c r="FP439" s="161"/>
      <c r="FQ439" s="161"/>
      <c r="FR439" s="161"/>
      <c r="FS439" s="161"/>
      <c r="FT439" s="161"/>
      <c r="FU439" s="161"/>
      <c r="FV439" s="161"/>
      <c r="FW439" s="161"/>
      <c r="FX439" s="161"/>
      <c r="FY439" s="161"/>
      <c r="FZ439" s="161"/>
      <c r="GA439" s="136"/>
      <c r="GB439" s="136"/>
      <c r="GC439" s="161"/>
      <c r="GD439" s="161"/>
      <c r="GE439" s="161"/>
      <c r="GF439" s="161"/>
      <c r="GG439" s="161"/>
      <c r="GH439" s="161"/>
      <c r="GI439" s="161"/>
      <c r="GJ439" s="161"/>
      <c r="GK439" s="161"/>
      <c r="GL439" s="161"/>
      <c r="GM439" s="161"/>
      <c r="GN439" s="161"/>
    </row>
    <row r="440" spans="1:196">
      <c r="A440" s="162"/>
      <c r="B440" s="126" t="s">
        <v>1309</v>
      </c>
      <c r="C440" s="109" t="s">
        <v>636</v>
      </c>
      <c r="D440" s="119"/>
      <c r="E440" s="119"/>
      <c r="F440" s="107"/>
      <c r="G440" s="115">
        <v>384</v>
      </c>
      <c r="H440" s="6"/>
      <c r="I440" s="125">
        <v>46263</v>
      </c>
      <c r="J440" s="13">
        <f t="shared" si="202"/>
        <v>0</v>
      </c>
      <c r="K440" s="141"/>
      <c r="L440" s="161"/>
      <c r="M440" s="136"/>
      <c r="N440" s="136"/>
      <c r="O440" s="136"/>
      <c r="P440" s="136"/>
      <c r="Q440" s="136"/>
      <c r="R440" s="136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36"/>
      <c r="AD440" s="136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36"/>
      <c r="AR440" s="136"/>
      <c r="AS440" s="161"/>
      <c r="AT440" s="161"/>
      <c r="AU440" s="161"/>
      <c r="AV440" s="161"/>
      <c r="AW440" s="161"/>
      <c r="AX440" s="161"/>
      <c r="AY440" s="161"/>
      <c r="AZ440" s="161"/>
      <c r="BA440" s="161"/>
      <c r="BB440" s="161"/>
      <c r="BC440" s="161"/>
      <c r="BD440" s="161"/>
      <c r="BE440" s="136"/>
      <c r="BF440" s="136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36"/>
      <c r="BT440" s="136"/>
      <c r="BU440" s="161"/>
      <c r="BV440" s="161"/>
      <c r="BW440" s="161"/>
      <c r="BX440" s="161"/>
      <c r="BY440" s="161"/>
      <c r="BZ440" s="161"/>
      <c r="CA440" s="161"/>
      <c r="CB440" s="161"/>
      <c r="CC440" s="161"/>
      <c r="CD440" s="161"/>
      <c r="CE440" s="161"/>
      <c r="CF440" s="161"/>
      <c r="CG440" s="136"/>
      <c r="CH440" s="136"/>
      <c r="CI440" s="161"/>
      <c r="CJ440" s="161"/>
      <c r="CK440" s="161"/>
      <c r="CL440" s="161"/>
      <c r="CM440" s="161"/>
      <c r="CN440" s="161"/>
      <c r="CO440" s="161"/>
      <c r="CP440" s="161"/>
      <c r="CQ440" s="161"/>
      <c r="CR440" s="161"/>
      <c r="CS440" s="161"/>
      <c r="CT440" s="161"/>
      <c r="CU440" s="136"/>
      <c r="CV440" s="136"/>
      <c r="CW440" s="161"/>
      <c r="CX440" s="161"/>
      <c r="CY440" s="161"/>
      <c r="CZ440" s="161"/>
      <c r="DA440" s="161"/>
      <c r="DB440" s="161"/>
      <c r="DC440" s="161"/>
      <c r="DD440" s="161"/>
      <c r="DE440" s="161"/>
      <c r="DF440" s="161"/>
      <c r="DG440" s="161"/>
      <c r="DH440" s="161"/>
      <c r="DI440" s="136"/>
      <c r="DJ440" s="136"/>
      <c r="DK440" s="161"/>
      <c r="DL440" s="161"/>
      <c r="DM440" s="161"/>
      <c r="DN440" s="161"/>
      <c r="DO440" s="161"/>
      <c r="DP440" s="161"/>
      <c r="DQ440" s="161"/>
      <c r="DR440" s="161"/>
      <c r="DS440" s="161"/>
      <c r="DT440" s="161"/>
      <c r="DU440" s="161"/>
      <c r="DV440" s="161"/>
      <c r="DW440" s="136"/>
      <c r="DX440" s="136"/>
      <c r="DY440" s="161"/>
      <c r="DZ440" s="161"/>
      <c r="EA440" s="161"/>
      <c r="EB440" s="161"/>
      <c r="EC440" s="161"/>
      <c r="ED440" s="161"/>
      <c r="EE440" s="161"/>
      <c r="EF440" s="161"/>
      <c r="EG440" s="161"/>
      <c r="EH440" s="161"/>
      <c r="EI440" s="161"/>
      <c r="EJ440" s="161"/>
      <c r="EK440" s="136"/>
      <c r="EL440" s="136"/>
      <c r="EM440" s="136"/>
      <c r="EN440" s="136"/>
      <c r="EO440" s="136"/>
      <c r="EP440" s="136"/>
      <c r="EQ440" s="136"/>
      <c r="ER440" s="136"/>
      <c r="ES440" s="161"/>
      <c r="ET440" s="161"/>
      <c r="EU440" s="161">
        <v>20</v>
      </c>
      <c r="EV440" s="161">
        <v>150</v>
      </c>
      <c r="EW440" s="161">
        <v>150</v>
      </c>
      <c r="EX440" s="161">
        <v>64</v>
      </c>
      <c r="EY440" s="136"/>
      <c r="EZ440" s="136"/>
      <c r="FA440" s="161"/>
      <c r="FB440" s="161"/>
      <c r="FC440" s="161"/>
      <c r="FD440" s="161"/>
      <c r="FE440" s="161"/>
      <c r="FF440" s="161"/>
      <c r="FG440" s="161"/>
      <c r="FH440" s="161"/>
      <c r="FI440" s="161"/>
      <c r="FJ440" s="161"/>
      <c r="FK440" s="161"/>
      <c r="FL440" s="161"/>
      <c r="FM440" s="136"/>
      <c r="FN440" s="136"/>
      <c r="FO440" s="161"/>
      <c r="FP440" s="161"/>
      <c r="FQ440" s="161"/>
      <c r="FR440" s="161"/>
      <c r="FS440" s="161"/>
      <c r="FT440" s="161"/>
      <c r="FU440" s="161"/>
      <c r="FV440" s="161"/>
      <c r="FW440" s="161"/>
      <c r="FX440" s="161"/>
      <c r="FY440" s="161"/>
      <c r="FZ440" s="161"/>
      <c r="GA440" s="136"/>
      <c r="GB440" s="136"/>
      <c r="GC440" s="161"/>
      <c r="GD440" s="161"/>
      <c r="GE440" s="161"/>
      <c r="GF440" s="161"/>
      <c r="GG440" s="161"/>
      <c r="GH440" s="161"/>
      <c r="GI440" s="161"/>
      <c r="GJ440" s="161"/>
      <c r="GK440" s="161"/>
      <c r="GL440" s="161"/>
      <c r="GM440" s="161"/>
      <c r="GN440" s="161"/>
    </row>
    <row r="441" spans="1:196">
      <c r="A441" s="162"/>
      <c r="B441" s="126" t="s">
        <v>1194</v>
      </c>
      <c r="C441" s="109" t="s">
        <v>654</v>
      </c>
      <c r="D441" s="119"/>
      <c r="E441" s="119"/>
      <c r="F441" s="107"/>
      <c r="G441" s="115">
        <v>23</v>
      </c>
      <c r="H441" s="6"/>
      <c r="I441" s="125">
        <v>46263</v>
      </c>
      <c r="J441" s="13">
        <f>G441-SUM(L441:FL441)</f>
        <v>0</v>
      </c>
      <c r="K441" s="141"/>
      <c r="L441" s="161"/>
      <c r="M441" s="136"/>
      <c r="N441" s="136"/>
      <c r="O441" s="136"/>
      <c r="P441" s="136"/>
      <c r="Q441" s="136"/>
      <c r="R441" s="136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36"/>
      <c r="AD441" s="136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36"/>
      <c r="AR441" s="136"/>
      <c r="AS441" s="161"/>
      <c r="AT441" s="161"/>
      <c r="AU441" s="161"/>
      <c r="AV441" s="161"/>
      <c r="AW441" s="161"/>
      <c r="AX441" s="161"/>
      <c r="AY441" s="161"/>
      <c r="AZ441" s="161"/>
      <c r="BA441" s="161"/>
      <c r="BB441" s="161"/>
      <c r="BC441" s="161"/>
      <c r="BD441" s="161"/>
      <c r="BE441" s="136"/>
      <c r="BF441" s="136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36"/>
      <c r="BT441" s="136"/>
      <c r="BU441" s="161"/>
      <c r="BV441" s="161"/>
      <c r="BW441" s="161"/>
      <c r="BX441" s="161"/>
      <c r="BY441" s="161"/>
      <c r="BZ441" s="161"/>
      <c r="CA441" s="161"/>
      <c r="CB441" s="161"/>
      <c r="CC441" s="161"/>
      <c r="CD441" s="161"/>
      <c r="CE441" s="161"/>
      <c r="CF441" s="161"/>
      <c r="CG441" s="136"/>
      <c r="CH441" s="136"/>
      <c r="CI441" s="161"/>
      <c r="CJ441" s="161"/>
      <c r="CK441" s="161"/>
      <c r="CL441" s="161"/>
      <c r="CM441" s="161"/>
      <c r="CN441" s="161"/>
      <c r="CO441" s="161"/>
      <c r="CP441" s="161"/>
      <c r="CQ441" s="161"/>
      <c r="CR441" s="161"/>
      <c r="CS441" s="161"/>
      <c r="CT441" s="161"/>
      <c r="CU441" s="136"/>
      <c r="CV441" s="136"/>
      <c r="CW441" s="161"/>
      <c r="CX441" s="161"/>
      <c r="CY441" s="161"/>
      <c r="CZ441" s="161"/>
      <c r="DA441" s="161"/>
      <c r="DB441" s="161"/>
      <c r="DC441" s="161"/>
      <c r="DD441" s="161"/>
      <c r="DE441" s="161"/>
      <c r="DF441" s="161"/>
      <c r="DG441" s="161"/>
      <c r="DH441" s="161"/>
      <c r="DI441" s="136"/>
      <c r="DJ441" s="136"/>
      <c r="DK441" s="161"/>
      <c r="DL441" s="161"/>
      <c r="DM441" s="161"/>
      <c r="DN441" s="161"/>
      <c r="DO441" s="161"/>
      <c r="DP441" s="161"/>
      <c r="DQ441" s="161"/>
      <c r="DR441" s="161"/>
      <c r="DS441" s="161"/>
      <c r="DT441" s="161"/>
      <c r="DU441" s="161"/>
      <c r="DV441" s="161"/>
      <c r="DW441" s="136"/>
      <c r="DX441" s="136"/>
      <c r="DY441" s="161"/>
      <c r="DZ441" s="161"/>
      <c r="EA441" s="161"/>
      <c r="EB441" s="161"/>
      <c r="EC441" s="161"/>
      <c r="ED441" s="161"/>
      <c r="EE441" s="161"/>
      <c r="EF441" s="161"/>
      <c r="EG441" s="161"/>
      <c r="EH441" s="161"/>
      <c r="EI441" s="161"/>
      <c r="EJ441" s="161"/>
      <c r="EK441" s="136"/>
      <c r="EL441" s="136"/>
      <c r="EM441" s="136"/>
      <c r="EN441" s="136"/>
      <c r="EO441" s="136"/>
      <c r="EP441" s="136"/>
      <c r="EQ441" s="136"/>
      <c r="ER441" s="136"/>
      <c r="ES441" s="161"/>
      <c r="ET441" s="161"/>
      <c r="EU441" s="161"/>
      <c r="EV441" s="161"/>
      <c r="EW441" s="161"/>
      <c r="EX441" s="161">
        <v>23</v>
      </c>
      <c r="EY441" s="136"/>
      <c r="EZ441" s="136"/>
      <c r="FA441" s="161"/>
      <c r="FB441" s="161"/>
      <c r="FC441" s="161"/>
      <c r="FD441" s="161"/>
      <c r="FE441" s="161"/>
      <c r="FF441" s="161"/>
      <c r="FG441" s="161"/>
      <c r="FH441" s="161"/>
      <c r="FI441" s="161"/>
      <c r="FJ441" s="161"/>
      <c r="FK441" s="161"/>
      <c r="FL441" s="161"/>
      <c r="FM441" s="136"/>
      <c r="FN441" s="136"/>
      <c r="FO441" s="161"/>
      <c r="FP441" s="161"/>
      <c r="FQ441" s="161"/>
      <c r="FR441" s="161"/>
      <c r="FS441" s="161"/>
      <c r="FT441" s="161"/>
      <c r="FU441" s="161"/>
      <c r="FV441" s="161"/>
      <c r="FW441" s="161"/>
      <c r="FX441" s="161"/>
      <c r="FY441" s="161"/>
      <c r="FZ441" s="161"/>
      <c r="GA441" s="136"/>
      <c r="GB441" s="136"/>
      <c r="GC441" s="161"/>
      <c r="GD441" s="161"/>
      <c r="GE441" s="161"/>
      <c r="GF441" s="161"/>
      <c r="GG441" s="161"/>
      <c r="GH441" s="161"/>
      <c r="GI441" s="161"/>
      <c r="GJ441" s="161"/>
      <c r="GK441" s="161"/>
      <c r="GL441" s="161"/>
      <c r="GM441" s="161"/>
      <c r="GN441" s="161"/>
    </row>
    <row r="442" spans="1:196">
      <c r="A442" s="162"/>
      <c r="B442" s="126" t="s">
        <v>1195</v>
      </c>
      <c r="C442" s="109" t="s">
        <v>656</v>
      </c>
      <c r="D442" s="119"/>
      <c r="E442" s="119"/>
      <c r="F442" s="107"/>
      <c r="G442" s="115">
        <v>56</v>
      </c>
      <c r="H442" s="6"/>
      <c r="I442" s="125">
        <v>46263</v>
      </c>
      <c r="J442" s="13">
        <f>G442-SUM(L442:FL442)</f>
        <v>0</v>
      </c>
      <c r="K442" s="141"/>
      <c r="L442" s="161"/>
      <c r="M442" s="136"/>
      <c r="N442" s="136"/>
      <c r="O442" s="136"/>
      <c r="P442" s="136"/>
      <c r="Q442" s="136"/>
      <c r="R442" s="136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36"/>
      <c r="AD442" s="136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36"/>
      <c r="AR442" s="136"/>
      <c r="AS442" s="161"/>
      <c r="AT442" s="161"/>
      <c r="AU442" s="161"/>
      <c r="AV442" s="161"/>
      <c r="AW442" s="161"/>
      <c r="AX442" s="161"/>
      <c r="AY442" s="161"/>
      <c r="AZ442" s="161"/>
      <c r="BA442" s="161"/>
      <c r="BB442" s="161"/>
      <c r="BC442" s="161"/>
      <c r="BD442" s="161"/>
      <c r="BE442" s="136"/>
      <c r="BF442" s="136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36"/>
      <c r="BT442" s="136"/>
      <c r="BU442" s="161"/>
      <c r="BV442" s="161"/>
      <c r="BW442" s="161"/>
      <c r="BX442" s="161"/>
      <c r="BY442" s="161"/>
      <c r="BZ442" s="161"/>
      <c r="CA442" s="161"/>
      <c r="CB442" s="161"/>
      <c r="CC442" s="161"/>
      <c r="CD442" s="161"/>
      <c r="CE442" s="161"/>
      <c r="CF442" s="161"/>
      <c r="CG442" s="136"/>
      <c r="CH442" s="136"/>
      <c r="CI442" s="161"/>
      <c r="CJ442" s="161"/>
      <c r="CK442" s="161"/>
      <c r="CL442" s="161"/>
      <c r="CM442" s="161"/>
      <c r="CN442" s="161"/>
      <c r="CO442" s="161"/>
      <c r="CP442" s="161"/>
      <c r="CQ442" s="161"/>
      <c r="CR442" s="161"/>
      <c r="CS442" s="161"/>
      <c r="CT442" s="161"/>
      <c r="CU442" s="136"/>
      <c r="CV442" s="136"/>
      <c r="CW442" s="161"/>
      <c r="CX442" s="161"/>
      <c r="CY442" s="161"/>
      <c r="CZ442" s="161"/>
      <c r="DA442" s="161"/>
      <c r="DB442" s="161"/>
      <c r="DC442" s="161"/>
      <c r="DD442" s="161"/>
      <c r="DE442" s="161"/>
      <c r="DF442" s="161"/>
      <c r="DG442" s="161"/>
      <c r="DH442" s="161"/>
      <c r="DI442" s="136"/>
      <c r="DJ442" s="136"/>
      <c r="DK442" s="161"/>
      <c r="DL442" s="161"/>
      <c r="DM442" s="161"/>
      <c r="DN442" s="161"/>
      <c r="DO442" s="161"/>
      <c r="DP442" s="161"/>
      <c r="DQ442" s="161"/>
      <c r="DR442" s="161"/>
      <c r="DS442" s="161"/>
      <c r="DT442" s="161"/>
      <c r="DU442" s="161"/>
      <c r="DV442" s="161"/>
      <c r="DW442" s="136"/>
      <c r="DX442" s="136"/>
      <c r="DY442" s="161"/>
      <c r="DZ442" s="161"/>
      <c r="EA442" s="161"/>
      <c r="EB442" s="161"/>
      <c r="EC442" s="161"/>
      <c r="ED442" s="161"/>
      <c r="EE442" s="161"/>
      <c r="EF442" s="161"/>
      <c r="EG442" s="161"/>
      <c r="EH442" s="161"/>
      <c r="EI442" s="161"/>
      <c r="EJ442" s="161"/>
      <c r="EK442" s="136"/>
      <c r="EL442" s="136"/>
      <c r="EM442" s="136"/>
      <c r="EN442" s="136"/>
      <c r="EO442" s="136"/>
      <c r="EP442" s="136"/>
      <c r="EQ442" s="136"/>
      <c r="ER442" s="136"/>
      <c r="ES442" s="161"/>
      <c r="ET442" s="161"/>
      <c r="EU442" s="161"/>
      <c r="EV442" s="161"/>
      <c r="EW442" s="161"/>
      <c r="EX442" s="161">
        <v>56</v>
      </c>
      <c r="EY442" s="136"/>
      <c r="EZ442" s="136"/>
      <c r="FA442" s="161"/>
      <c r="FB442" s="161"/>
      <c r="FC442" s="161"/>
      <c r="FD442" s="161"/>
      <c r="FE442" s="161"/>
      <c r="FF442" s="161"/>
      <c r="FG442" s="161"/>
      <c r="FH442" s="161"/>
      <c r="FI442" s="161"/>
      <c r="FJ442" s="161"/>
      <c r="FK442" s="161"/>
      <c r="FL442" s="161"/>
      <c r="FM442" s="136"/>
      <c r="FN442" s="136"/>
      <c r="FO442" s="161"/>
      <c r="FP442" s="161"/>
      <c r="FQ442" s="161"/>
      <c r="FR442" s="161"/>
      <c r="FS442" s="161"/>
      <c r="FT442" s="161"/>
      <c r="FU442" s="161"/>
      <c r="FV442" s="161"/>
      <c r="FW442" s="161"/>
      <c r="FX442" s="161"/>
      <c r="FY442" s="161"/>
      <c r="FZ442" s="161"/>
      <c r="GA442" s="136"/>
      <c r="GB442" s="136"/>
      <c r="GC442" s="161"/>
      <c r="GD442" s="161"/>
      <c r="GE442" s="161"/>
      <c r="GF442" s="161"/>
      <c r="GG442" s="161"/>
      <c r="GH442" s="161"/>
      <c r="GI442" s="161"/>
      <c r="GJ442" s="161"/>
      <c r="GK442" s="161"/>
      <c r="GL442" s="161"/>
      <c r="GM442" s="161"/>
      <c r="GN442" s="161"/>
    </row>
    <row r="443" spans="1:196">
      <c r="A443" s="162"/>
      <c r="B443" s="126" t="s">
        <v>1196</v>
      </c>
      <c r="C443" s="109" t="s">
        <v>658</v>
      </c>
      <c r="D443" s="119"/>
      <c r="E443" s="119"/>
      <c r="F443" s="107"/>
      <c r="G443" s="115">
        <v>9</v>
      </c>
      <c r="H443" s="6"/>
      <c r="I443" s="125">
        <v>46263</v>
      </c>
      <c r="J443" s="13">
        <f>G443-SUM(L443:FL443)</f>
        <v>0</v>
      </c>
      <c r="K443" s="141"/>
      <c r="L443" s="161"/>
      <c r="M443" s="136"/>
      <c r="N443" s="136"/>
      <c r="O443" s="136"/>
      <c r="P443" s="136"/>
      <c r="Q443" s="136"/>
      <c r="R443" s="136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36"/>
      <c r="AD443" s="136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36"/>
      <c r="AR443" s="136"/>
      <c r="AS443" s="161"/>
      <c r="AT443" s="161"/>
      <c r="AU443" s="161"/>
      <c r="AV443" s="161"/>
      <c r="AW443" s="161"/>
      <c r="AX443" s="161"/>
      <c r="AY443" s="161"/>
      <c r="AZ443" s="161"/>
      <c r="BA443" s="161"/>
      <c r="BB443" s="161"/>
      <c r="BC443" s="161"/>
      <c r="BD443" s="161"/>
      <c r="BE443" s="136"/>
      <c r="BF443" s="136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36"/>
      <c r="BT443" s="136"/>
      <c r="BU443" s="161"/>
      <c r="BV443" s="161"/>
      <c r="BW443" s="161"/>
      <c r="BX443" s="161"/>
      <c r="BY443" s="161"/>
      <c r="BZ443" s="161"/>
      <c r="CA443" s="161"/>
      <c r="CB443" s="161"/>
      <c r="CC443" s="161"/>
      <c r="CD443" s="161"/>
      <c r="CE443" s="161"/>
      <c r="CF443" s="161"/>
      <c r="CG443" s="136"/>
      <c r="CH443" s="136"/>
      <c r="CI443" s="161"/>
      <c r="CJ443" s="161"/>
      <c r="CK443" s="161"/>
      <c r="CL443" s="161"/>
      <c r="CM443" s="161"/>
      <c r="CN443" s="161"/>
      <c r="CO443" s="161"/>
      <c r="CP443" s="161"/>
      <c r="CQ443" s="161"/>
      <c r="CR443" s="161"/>
      <c r="CS443" s="161"/>
      <c r="CT443" s="161"/>
      <c r="CU443" s="136"/>
      <c r="CV443" s="136"/>
      <c r="CW443" s="161"/>
      <c r="CX443" s="161"/>
      <c r="CY443" s="161"/>
      <c r="CZ443" s="161"/>
      <c r="DA443" s="161"/>
      <c r="DB443" s="161"/>
      <c r="DC443" s="161"/>
      <c r="DD443" s="161"/>
      <c r="DE443" s="161"/>
      <c r="DF443" s="161"/>
      <c r="DG443" s="161"/>
      <c r="DH443" s="161"/>
      <c r="DI443" s="136"/>
      <c r="DJ443" s="136"/>
      <c r="DK443" s="161"/>
      <c r="DL443" s="161"/>
      <c r="DM443" s="161"/>
      <c r="DN443" s="161"/>
      <c r="DO443" s="161"/>
      <c r="DP443" s="161"/>
      <c r="DQ443" s="161"/>
      <c r="DR443" s="161"/>
      <c r="DS443" s="161"/>
      <c r="DT443" s="161"/>
      <c r="DU443" s="161"/>
      <c r="DV443" s="161"/>
      <c r="DW443" s="136"/>
      <c r="DX443" s="136"/>
      <c r="DY443" s="161"/>
      <c r="DZ443" s="161"/>
      <c r="EA443" s="161"/>
      <c r="EB443" s="161"/>
      <c r="EC443" s="161"/>
      <c r="ED443" s="161"/>
      <c r="EE443" s="161"/>
      <c r="EF443" s="161"/>
      <c r="EG443" s="161"/>
      <c r="EH443" s="161"/>
      <c r="EI443" s="161"/>
      <c r="EJ443" s="161"/>
      <c r="EK443" s="136"/>
      <c r="EL443" s="136"/>
      <c r="EM443" s="136"/>
      <c r="EN443" s="136"/>
      <c r="EO443" s="136"/>
      <c r="EP443" s="136"/>
      <c r="EQ443" s="136"/>
      <c r="ER443" s="136"/>
      <c r="ES443" s="161"/>
      <c r="ET443" s="161"/>
      <c r="EU443" s="161"/>
      <c r="EV443" s="161"/>
      <c r="EW443" s="161"/>
      <c r="EX443" s="161">
        <v>9</v>
      </c>
      <c r="EY443" s="136"/>
      <c r="EZ443" s="136"/>
      <c r="FA443" s="161"/>
      <c r="FB443" s="161"/>
      <c r="FC443" s="161"/>
      <c r="FD443" s="161"/>
      <c r="FE443" s="161"/>
      <c r="FF443" s="161"/>
      <c r="FG443" s="161"/>
      <c r="FH443" s="161"/>
      <c r="FI443" s="161"/>
      <c r="FJ443" s="161"/>
      <c r="FK443" s="161"/>
      <c r="FL443" s="161"/>
      <c r="FM443" s="136"/>
      <c r="FN443" s="136"/>
      <c r="FO443" s="161"/>
      <c r="FP443" s="161"/>
      <c r="FQ443" s="161"/>
      <c r="FR443" s="161"/>
      <c r="FS443" s="161"/>
      <c r="FT443" s="161"/>
      <c r="FU443" s="161"/>
      <c r="FV443" s="161"/>
      <c r="FW443" s="161"/>
      <c r="FX443" s="161"/>
      <c r="FY443" s="161"/>
      <c r="FZ443" s="161"/>
      <c r="GA443" s="136"/>
      <c r="GB443" s="136"/>
      <c r="GC443" s="161"/>
      <c r="GD443" s="161"/>
      <c r="GE443" s="161"/>
      <c r="GF443" s="161"/>
      <c r="GG443" s="161"/>
      <c r="GH443" s="161"/>
      <c r="GI443" s="161"/>
      <c r="GJ443" s="161"/>
      <c r="GK443" s="161"/>
      <c r="GL443" s="161"/>
      <c r="GM443" s="161"/>
      <c r="GN443" s="161"/>
    </row>
    <row r="444" spans="1:196">
      <c r="A444" s="162"/>
      <c r="B444" s="126" t="s">
        <v>1310</v>
      </c>
      <c r="C444" s="109" t="s">
        <v>665</v>
      </c>
      <c r="D444" s="119"/>
      <c r="E444" s="119"/>
      <c r="F444" s="107"/>
      <c r="G444" s="115">
        <v>143</v>
      </c>
      <c r="H444" s="6"/>
      <c r="I444" s="125">
        <v>46263</v>
      </c>
      <c r="J444" s="13">
        <f t="shared" si="202"/>
        <v>0</v>
      </c>
      <c r="K444" s="141"/>
      <c r="L444" s="161"/>
      <c r="M444" s="136"/>
      <c r="N444" s="136"/>
      <c r="O444" s="136"/>
      <c r="P444" s="136"/>
      <c r="Q444" s="136"/>
      <c r="R444" s="136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36"/>
      <c r="AD444" s="136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36"/>
      <c r="AR444" s="136"/>
      <c r="AS444" s="161"/>
      <c r="AT444" s="161"/>
      <c r="AU444" s="161"/>
      <c r="AV444" s="161"/>
      <c r="AW444" s="161"/>
      <c r="AX444" s="161"/>
      <c r="AY444" s="161"/>
      <c r="AZ444" s="161"/>
      <c r="BA444" s="161"/>
      <c r="BB444" s="161"/>
      <c r="BC444" s="161"/>
      <c r="BD444" s="161"/>
      <c r="BE444" s="136"/>
      <c r="BF444" s="136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36"/>
      <c r="BT444" s="136"/>
      <c r="BU444" s="161"/>
      <c r="BV444" s="161"/>
      <c r="BW444" s="161"/>
      <c r="BX444" s="161"/>
      <c r="BY444" s="161"/>
      <c r="BZ444" s="161"/>
      <c r="CA444" s="161"/>
      <c r="CB444" s="161"/>
      <c r="CC444" s="161"/>
      <c r="CD444" s="161"/>
      <c r="CE444" s="161"/>
      <c r="CF444" s="161"/>
      <c r="CG444" s="136"/>
      <c r="CH444" s="136"/>
      <c r="CI444" s="161"/>
      <c r="CJ444" s="161"/>
      <c r="CK444" s="161"/>
      <c r="CL444" s="161"/>
      <c r="CM444" s="161"/>
      <c r="CN444" s="161"/>
      <c r="CO444" s="161"/>
      <c r="CP444" s="161"/>
      <c r="CQ444" s="161"/>
      <c r="CR444" s="161"/>
      <c r="CS444" s="161"/>
      <c r="CT444" s="161"/>
      <c r="CU444" s="136"/>
      <c r="CV444" s="136"/>
      <c r="CW444" s="161"/>
      <c r="CX444" s="161"/>
      <c r="CY444" s="161"/>
      <c r="CZ444" s="161"/>
      <c r="DA444" s="161"/>
      <c r="DB444" s="161"/>
      <c r="DC444" s="161"/>
      <c r="DD444" s="161"/>
      <c r="DE444" s="161"/>
      <c r="DF444" s="161"/>
      <c r="DG444" s="161"/>
      <c r="DH444" s="161"/>
      <c r="DI444" s="136"/>
      <c r="DJ444" s="136"/>
      <c r="DK444" s="161"/>
      <c r="DL444" s="161"/>
      <c r="DM444" s="161"/>
      <c r="DN444" s="161"/>
      <c r="DO444" s="161"/>
      <c r="DP444" s="161"/>
      <c r="DQ444" s="161"/>
      <c r="DR444" s="161"/>
      <c r="DS444" s="161"/>
      <c r="DT444" s="161"/>
      <c r="DU444" s="161"/>
      <c r="DV444" s="161"/>
      <c r="DW444" s="136"/>
      <c r="DX444" s="136"/>
      <c r="DY444" s="161"/>
      <c r="DZ444" s="161"/>
      <c r="EA444" s="161"/>
      <c r="EB444" s="161"/>
      <c r="EC444" s="161"/>
      <c r="ED444" s="161"/>
      <c r="EE444" s="161"/>
      <c r="EF444" s="161"/>
      <c r="EG444" s="161"/>
      <c r="EH444" s="161"/>
      <c r="EI444" s="161"/>
      <c r="EJ444" s="161"/>
      <c r="EK444" s="136"/>
      <c r="EL444" s="136"/>
      <c r="EM444" s="136"/>
      <c r="EN444" s="136"/>
      <c r="EO444" s="136"/>
      <c r="EP444" s="136"/>
      <c r="EQ444" s="136"/>
      <c r="ER444" s="136"/>
      <c r="ES444" s="161"/>
      <c r="ET444" s="161"/>
      <c r="EU444" s="161"/>
      <c r="EV444" s="161"/>
      <c r="EW444" s="161"/>
      <c r="EX444" s="161"/>
      <c r="EY444" s="136"/>
      <c r="EZ444" s="136"/>
      <c r="FA444" s="161">
        <v>143</v>
      </c>
      <c r="FB444" s="161"/>
      <c r="FC444" s="161"/>
      <c r="FD444" s="161"/>
      <c r="FE444" s="161"/>
      <c r="FF444" s="161"/>
      <c r="FG444" s="161"/>
      <c r="FH444" s="161"/>
      <c r="FI444" s="161"/>
      <c r="FJ444" s="161"/>
      <c r="FK444" s="161"/>
      <c r="FL444" s="161"/>
      <c r="FM444" s="136"/>
      <c r="FN444" s="136"/>
      <c r="FO444" s="161"/>
      <c r="FP444" s="161"/>
      <c r="FQ444" s="161"/>
      <c r="FR444" s="161"/>
      <c r="FS444" s="161"/>
      <c r="FT444" s="161"/>
      <c r="FU444" s="161"/>
      <c r="FV444" s="161"/>
      <c r="FW444" s="161"/>
      <c r="FX444" s="161"/>
      <c r="FY444" s="161"/>
      <c r="FZ444" s="161"/>
      <c r="GA444" s="136"/>
      <c r="GB444" s="136"/>
      <c r="GC444" s="161"/>
      <c r="GD444" s="161"/>
      <c r="GE444" s="161"/>
      <c r="GF444" s="161"/>
      <c r="GG444" s="161"/>
      <c r="GH444" s="161"/>
      <c r="GI444" s="161"/>
      <c r="GJ444" s="161"/>
      <c r="GK444" s="161"/>
      <c r="GL444" s="161"/>
      <c r="GM444" s="161"/>
      <c r="GN444" s="161"/>
    </row>
    <row r="445" spans="1:196">
      <c r="A445" s="162"/>
      <c r="B445" s="126" t="s">
        <v>1311</v>
      </c>
      <c r="C445" s="109" t="s">
        <v>659</v>
      </c>
      <c r="D445" s="119"/>
      <c r="E445" s="119"/>
      <c r="F445" s="107"/>
      <c r="G445" s="115">
        <v>37</v>
      </c>
      <c r="H445" s="6"/>
      <c r="I445" s="125">
        <v>46263</v>
      </c>
      <c r="J445" s="13">
        <f t="shared" si="202"/>
        <v>0</v>
      </c>
      <c r="K445" s="141"/>
      <c r="L445" s="161"/>
      <c r="M445" s="136"/>
      <c r="N445" s="136"/>
      <c r="O445" s="136"/>
      <c r="P445" s="136"/>
      <c r="Q445" s="136"/>
      <c r="R445" s="136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36"/>
      <c r="AD445" s="136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36"/>
      <c r="AR445" s="136"/>
      <c r="AS445" s="161"/>
      <c r="AT445" s="161"/>
      <c r="AU445" s="161"/>
      <c r="AV445" s="161"/>
      <c r="AW445" s="161"/>
      <c r="AX445" s="161"/>
      <c r="AY445" s="161"/>
      <c r="AZ445" s="161"/>
      <c r="BA445" s="161"/>
      <c r="BB445" s="161"/>
      <c r="BC445" s="161"/>
      <c r="BD445" s="161"/>
      <c r="BE445" s="136"/>
      <c r="BF445" s="136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36"/>
      <c r="BT445" s="136"/>
      <c r="BU445" s="161"/>
      <c r="BV445" s="161"/>
      <c r="BW445" s="161"/>
      <c r="BX445" s="161"/>
      <c r="BY445" s="161"/>
      <c r="BZ445" s="161"/>
      <c r="CA445" s="161"/>
      <c r="CB445" s="161"/>
      <c r="CC445" s="161"/>
      <c r="CD445" s="161"/>
      <c r="CE445" s="161"/>
      <c r="CF445" s="161"/>
      <c r="CG445" s="136"/>
      <c r="CH445" s="136"/>
      <c r="CI445" s="161"/>
      <c r="CJ445" s="161"/>
      <c r="CK445" s="161"/>
      <c r="CL445" s="161"/>
      <c r="CM445" s="161"/>
      <c r="CN445" s="161"/>
      <c r="CO445" s="161"/>
      <c r="CP445" s="161"/>
      <c r="CQ445" s="161"/>
      <c r="CR445" s="161"/>
      <c r="CS445" s="161"/>
      <c r="CT445" s="161"/>
      <c r="CU445" s="136"/>
      <c r="CV445" s="136"/>
      <c r="CW445" s="161"/>
      <c r="CX445" s="161"/>
      <c r="CY445" s="161"/>
      <c r="CZ445" s="161"/>
      <c r="DA445" s="161"/>
      <c r="DB445" s="161"/>
      <c r="DC445" s="161"/>
      <c r="DD445" s="161"/>
      <c r="DE445" s="161"/>
      <c r="DF445" s="161"/>
      <c r="DG445" s="161"/>
      <c r="DH445" s="161"/>
      <c r="DI445" s="136"/>
      <c r="DJ445" s="136"/>
      <c r="DK445" s="161"/>
      <c r="DL445" s="161"/>
      <c r="DM445" s="161"/>
      <c r="DN445" s="161"/>
      <c r="DO445" s="161"/>
      <c r="DP445" s="161"/>
      <c r="DQ445" s="161"/>
      <c r="DR445" s="161"/>
      <c r="DS445" s="161"/>
      <c r="DT445" s="161"/>
      <c r="DU445" s="161"/>
      <c r="DV445" s="161"/>
      <c r="DW445" s="136"/>
      <c r="DX445" s="136"/>
      <c r="DY445" s="161"/>
      <c r="DZ445" s="161"/>
      <c r="EA445" s="161"/>
      <c r="EB445" s="161"/>
      <c r="EC445" s="161"/>
      <c r="ED445" s="161"/>
      <c r="EE445" s="161"/>
      <c r="EF445" s="161"/>
      <c r="EG445" s="161"/>
      <c r="EH445" s="161"/>
      <c r="EI445" s="161"/>
      <c r="EJ445" s="161"/>
      <c r="EK445" s="136"/>
      <c r="EL445" s="136"/>
      <c r="EM445" s="136"/>
      <c r="EN445" s="136"/>
      <c r="EO445" s="136"/>
      <c r="EP445" s="136"/>
      <c r="EQ445" s="136"/>
      <c r="ER445" s="136"/>
      <c r="ES445" s="161"/>
      <c r="ET445" s="161"/>
      <c r="EU445" s="161"/>
      <c r="EV445" s="161"/>
      <c r="EW445" s="161"/>
      <c r="EX445" s="161"/>
      <c r="EY445" s="136"/>
      <c r="EZ445" s="136"/>
      <c r="FA445" s="161">
        <v>7</v>
      </c>
      <c r="FB445" s="161">
        <v>30</v>
      </c>
      <c r="FC445" s="161"/>
      <c r="FD445" s="161"/>
      <c r="FE445" s="161"/>
      <c r="FF445" s="161"/>
      <c r="FG445" s="161"/>
      <c r="FH445" s="161"/>
      <c r="FI445" s="161"/>
      <c r="FJ445" s="161"/>
      <c r="FK445" s="161"/>
      <c r="FL445" s="161"/>
      <c r="FM445" s="136"/>
      <c r="FN445" s="136"/>
      <c r="FO445" s="161"/>
      <c r="FP445" s="161"/>
      <c r="FQ445" s="161"/>
      <c r="FR445" s="161"/>
      <c r="FS445" s="161"/>
      <c r="FT445" s="161"/>
      <c r="FU445" s="161"/>
      <c r="FV445" s="161"/>
      <c r="FW445" s="161"/>
      <c r="FX445" s="161"/>
      <c r="FY445" s="161"/>
      <c r="FZ445" s="161"/>
      <c r="GA445" s="136"/>
      <c r="GB445" s="136"/>
      <c r="GC445" s="161"/>
      <c r="GD445" s="161"/>
      <c r="GE445" s="161"/>
      <c r="GF445" s="161"/>
      <c r="GG445" s="161"/>
      <c r="GH445" s="161"/>
      <c r="GI445" s="161"/>
      <c r="GJ445" s="161"/>
      <c r="GK445" s="161"/>
      <c r="GL445" s="161"/>
      <c r="GM445" s="161"/>
      <c r="GN445" s="161"/>
    </row>
    <row r="446" spans="1:196">
      <c r="A446" s="162"/>
      <c r="B446" s="126" t="s">
        <v>1312</v>
      </c>
      <c r="C446" s="109" t="s">
        <v>660</v>
      </c>
      <c r="D446" s="119"/>
      <c r="E446" s="119"/>
      <c r="F446" s="107"/>
      <c r="G446" s="115">
        <v>65</v>
      </c>
      <c r="H446" s="6"/>
      <c r="I446" s="125">
        <v>46263</v>
      </c>
      <c r="J446" s="13">
        <f t="shared" si="202"/>
        <v>0</v>
      </c>
      <c r="K446" s="141"/>
      <c r="L446" s="161"/>
      <c r="M446" s="136"/>
      <c r="N446" s="136"/>
      <c r="O446" s="136"/>
      <c r="P446" s="136"/>
      <c r="Q446" s="136"/>
      <c r="R446" s="136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36"/>
      <c r="AD446" s="136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36"/>
      <c r="AR446" s="136"/>
      <c r="AS446" s="161"/>
      <c r="AT446" s="161"/>
      <c r="AU446" s="161"/>
      <c r="AV446" s="161"/>
      <c r="AW446" s="161"/>
      <c r="AX446" s="161"/>
      <c r="AY446" s="161"/>
      <c r="AZ446" s="161"/>
      <c r="BA446" s="161"/>
      <c r="BB446" s="161"/>
      <c r="BC446" s="161"/>
      <c r="BD446" s="161"/>
      <c r="BE446" s="136"/>
      <c r="BF446" s="136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36"/>
      <c r="BT446" s="136"/>
      <c r="BU446" s="161"/>
      <c r="BV446" s="161"/>
      <c r="BW446" s="161"/>
      <c r="BX446" s="161"/>
      <c r="BY446" s="161"/>
      <c r="BZ446" s="161"/>
      <c r="CA446" s="161"/>
      <c r="CB446" s="161"/>
      <c r="CC446" s="161"/>
      <c r="CD446" s="161"/>
      <c r="CE446" s="161"/>
      <c r="CF446" s="161"/>
      <c r="CG446" s="136"/>
      <c r="CH446" s="136"/>
      <c r="CI446" s="161"/>
      <c r="CJ446" s="161"/>
      <c r="CK446" s="161"/>
      <c r="CL446" s="161"/>
      <c r="CM446" s="161"/>
      <c r="CN446" s="161"/>
      <c r="CO446" s="161"/>
      <c r="CP446" s="161"/>
      <c r="CQ446" s="161"/>
      <c r="CR446" s="161"/>
      <c r="CS446" s="161"/>
      <c r="CT446" s="161"/>
      <c r="CU446" s="136"/>
      <c r="CV446" s="136"/>
      <c r="CW446" s="161"/>
      <c r="CX446" s="161"/>
      <c r="CY446" s="161"/>
      <c r="CZ446" s="161"/>
      <c r="DA446" s="161"/>
      <c r="DB446" s="161"/>
      <c r="DC446" s="161"/>
      <c r="DD446" s="161"/>
      <c r="DE446" s="161"/>
      <c r="DF446" s="161"/>
      <c r="DG446" s="161"/>
      <c r="DH446" s="161"/>
      <c r="DI446" s="136"/>
      <c r="DJ446" s="136"/>
      <c r="DK446" s="161"/>
      <c r="DL446" s="161"/>
      <c r="DM446" s="161"/>
      <c r="DN446" s="161"/>
      <c r="DO446" s="161"/>
      <c r="DP446" s="161"/>
      <c r="DQ446" s="161"/>
      <c r="DR446" s="161"/>
      <c r="DS446" s="161"/>
      <c r="DT446" s="161"/>
      <c r="DU446" s="161"/>
      <c r="DV446" s="161"/>
      <c r="DW446" s="136"/>
      <c r="DX446" s="136"/>
      <c r="DY446" s="161"/>
      <c r="DZ446" s="161"/>
      <c r="EA446" s="161"/>
      <c r="EB446" s="161"/>
      <c r="EC446" s="161"/>
      <c r="ED446" s="161"/>
      <c r="EE446" s="161"/>
      <c r="EF446" s="161"/>
      <c r="EG446" s="161"/>
      <c r="EH446" s="161"/>
      <c r="EI446" s="161"/>
      <c r="EJ446" s="161"/>
      <c r="EK446" s="136"/>
      <c r="EL446" s="136"/>
      <c r="EM446" s="136"/>
      <c r="EN446" s="136"/>
      <c r="EO446" s="136"/>
      <c r="EP446" s="136"/>
      <c r="EQ446" s="136"/>
      <c r="ER446" s="136"/>
      <c r="ES446" s="161"/>
      <c r="ET446" s="161"/>
      <c r="EU446" s="161"/>
      <c r="EV446" s="161"/>
      <c r="EW446" s="161"/>
      <c r="EX446" s="161"/>
      <c r="EY446" s="136"/>
      <c r="EZ446" s="136"/>
      <c r="FA446" s="161"/>
      <c r="FB446" s="161">
        <v>65</v>
      </c>
      <c r="FC446" s="161"/>
      <c r="FD446" s="161"/>
      <c r="FE446" s="161"/>
      <c r="FF446" s="161"/>
      <c r="FG446" s="161"/>
      <c r="FH446" s="161"/>
      <c r="FI446" s="161"/>
      <c r="FJ446" s="161"/>
      <c r="FK446" s="161"/>
      <c r="FL446" s="161"/>
      <c r="FM446" s="136"/>
      <c r="FN446" s="136"/>
      <c r="FO446" s="161"/>
      <c r="FP446" s="161"/>
      <c r="FQ446" s="161"/>
      <c r="FR446" s="161"/>
      <c r="FS446" s="161"/>
      <c r="FT446" s="161"/>
      <c r="FU446" s="161"/>
      <c r="FV446" s="161"/>
      <c r="FW446" s="161"/>
      <c r="FX446" s="161"/>
      <c r="FY446" s="161"/>
      <c r="FZ446" s="161"/>
      <c r="GA446" s="136"/>
      <c r="GB446" s="136"/>
      <c r="GC446" s="161"/>
      <c r="GD446" s="161"/>
      <c r="GE446" s="161"/>
      <c r="GF446" s="161"/>
      <c r="GG446" s="161"/>
      <c r="GH446" s="161"/>
      <c r="GI446" s="161"/>
      <c r="GJ446" s="161"/>
      <c r="GK446" s="161"/>
      <c r="GL446" s="161"/>
      <c r="GM446" s="161"/>
      <c r="GN446" s="161"/>
    </row>
    <row r="447" spans="1:196">
      <c r="A447" s="162"/>
      <c r="B447" s="126"/>
      <c r="C447" s="109"/>
      <c r="D447" s="119"/>
      <c r="E447" s="119"/>
      <c r="F447" s="107"/>
      <c r="G447" s="115"/>
      <c r="H447" s="6"/>
      <c r="I447" s="125"/>
      <c r="J447" s="13"/>
      <c r="K447" s="141"/>
      <c r="L447" s="161"/>
      <c r="M447" s="136"/>
      <c r="N447" s="136"/>
      <c r="O447" s="136"/>
      <c r="P447" s="136"/>
      <c r="Q447" s="136"/>
      <c r="R447" s="136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36"/>
      <c r="AD447" s="136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36"/>
      <c r="AR447" s="136"/>
      <c r="AS447" s="161"/>
      <c r="AT447" s="161"/>
      <c r="AU447" s="161"/>
      <c r="AV447" s="161"/>
      <c r="AW447" s="161"/>
      <c r="AX447" s="161"/>
      <c r="AY447" s="161"/>
      <c r="AZ447" s="161"/>
      <c r="BA447" s="161"/>
      <c r="BB447" s="161"/>
      <c r="BC447" s="161"/>
      <c r="BD447" s="161"/>
      <c r="BE447" s="136"/>
      <c r="BF447" s="136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36"/>
      <c r="BT447" s="136"/>
      <c r="BU447" s="161"/>
      <c r="BV447" s="161"/>
      <c r="BW447" s="161"/>
      <c r="BX447" s="161"/>
      <c r="BY447" s="161"/>
      <c r="BZ447" s="161"/>
      <c r="CA447" s="161"/>
      <c r="CB447" s="161"/>
      <c r="CC447" s="161"/>
      <c r="CD447" s="161"/>
      <c r="CE447" s="161"/>
      <c r="CF447" s="161"/>
      <c r="CG447" s="136"/>
      <c r="CH447" s="136"/>
      <c r="CI447" s="161"/>
      <c r="CJ447" s="161"/>
      <c r="CK447" s="161"/>
      <c r="CL447" s="161"/>
      <c r="CM447" s="161"/>
      <c r="CN447" s="161"/>
      <c r="CO447" s="161"/>
      <c r="CP447" s="161"/>
      <c r="CQ447" s="161"/>
      <c r="CR447" s="161"/>
      <c r="CS447" s="161"/>
      <c r="CT447" s="161"/>
      <c r="CU447" s="136"/>
      <c r="CV447" s="136"/>
      <c r="CW447" s="161"/>
      <c r="CX447" s="161"/>
      <c r="CY447" s="161"/>
      <c r="CZ447" s="161"/>
      <c r="DA447" s="161"/>
      <c r="DB447" s="161"/>
      <c r="DC447" s="161"/>
      <c r="DD447" s="161"/>
      <c r="DE447" s="161"/>
      <c r="DF447" s="161"/>
      <c r="DG447" s="161"/>
      <c r="DH447" s="161"/>
      <c r="DI447" s="136"/>
      <c r="DJ447" s="136"/>
      <c r="DK447" s="161"/>
      <c r="DL447" s="161"/>
      <c r="DM447" s="161"/>
      <c r="DN447" s="161"/>
      <c r="DO447" s="161"/>
      <c r="DP447" s="161"/>
      <c r="DQ447" s="161"/>
      <c r="DR447" s="161"/>
      <c r="DS447" s="161"/>
      <c r="DT447" s="161"/>
      <c r="DU447" s="161"/>
      <c r="DV447" s="161" t="s">
        <v>14</v>
      </c>
      <c r="DW447" s="136"/>
      <c r="DX447" s="136"/>
      <c r="DY447" s="161"/>
      <c r="DZ447" s="161"/>
      <c r="EA447" s="161"/>
      <c r="EB447" s="161"/>
      <c r="EC447" s="161"/>
      <c r="ED447" s="161"/>
      <c r="EE447" s="161"/>
      <c r="EF447" s="161"/>
      <c r="EG447" s="161"/>
      <c r="EH447" s="161"/>
      <c r="EI447" s="161"/>
      <c r="EJ447" s="161"/>
      <c r="EK447" s="136"/>
      <c r="EL447" s="136"/>
      <c r="EM447" s="136"/>
      <c r="EN447" s="136"/>
      <c r="EO447" s="136"/>
      <c r="EP447" s="136"/>
      <c r="EQ447" s="136"/>
      <c r="ER447" s="136"/>
      <c r="ES447" s="161"/>
      <c r="ET447" s="161"/>
      <c r="EU447" s="161"/>
      <c r="EV447" s="161"/>
      <c r="EW447" s="161"/>
      <c r="EX447" s="161"/>
      <c r="EY447" s="136"/>
      <c r="EZ447" s="136"/>
      <c r="FA447" s="161"/>
      <c r="FB447" s="161"/>
      <c r="FC447" s="161"/>
      <c r="FD447" s="161"/>
      <c r="FE447" s="161"/>
      <c r="FF447" s="161"/>
      <c r="FG447" s="161"/>
      <c r="FH447" s="161"/>
      <c r="FI447" s="161"/>
      <c r="FJ447" s="161"/>
      <c r="FK447" s="161"/>
      <c r="FL447" s="161"/>
      <c r="FM447" s="136"/>
      <c r="FN447" s="136"/>
      <c r="FO447" s="161"/>
      <c r="FP447" s="161"/>
      <c r="FQ447" s="161"/>
      <c r="FR447" s="161"/>
      <c r="FS447" s="161"/>
      <c r="FT447" s="161"/>
      <c r="FU447" s="161"/>
      <c r="FV447" s="161"/>
      <c r="FW447" s="161"/>
      <c r="FX447" s="161"/>
      <c r="FY447" s="161"/>
      <c r="FZ447" s="161"/>
      <c r="GA447" s="136"/>
      <c r="GB447" s="136"/>
      <c r="GC447" s="161"/>
      <c r="GD447" s="161"/>
      <c r="GE447" s="161"/>
      <c r="GF447" s="161"/>
      <c r="GG447" s="161"/>
      <c r="GH447" s="161"/>
      <c r="GI447" s="161"/>
      <c r="GJ447" s="161"/>
      <c r="GK447" s="161"/>
      <c r="GL447" s="161"/>
      <c r="GM447" s="161"/>
      <c r="GN447" s="161"/>
    </row>
    <row r="448" spans="1:196">
      <c r="A448" s="162"/>
      <c r="B448" s="126"/>
      <c r="C448" s="109"/>
      <c r="D448" s="119"/>
      <c r="E448" s="119"/>
      <c r="F448" s="107"/>
      <c r="G448" s="115"/>
      <c r="H448" s="6"/>
      <c r="I448" s="125"/>
      <c r="J448" s="13"/>
      <c r="K448" s="141"/>
      <c r="L448" s="161"/>
      <c r="M448" s="136"/>
      <c r="N448" s="136"/>
      <c r="O448" s="136"/>
      <c r="P448" s="136"/>
      <c r="Q448" s="136"/>
      <c r="R448" s="136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36"/>
      <c r="AD448" s="136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36"/>
      <c r="AR448" s="136"/>
      <c r="AS448" s="161"/>
      <c r="AT448" s="161"/>
      <c r="AU448" s="161"/>
      <c r="AV448" s="161"/>
      <c r="AW448" s="161"/>
      <c r="AX448" s="161"/>
      <c r="AY448" s="161"/>
      <c r="AZ448" s="161"/>
      <c r="BA448" s="161"/>
      <c r="BB448" s="161"/>
      <c r="BC448" s="161"/>
      <c r="BD448" s="161"/>
      <c r="BE448" s="136"/>
      <c r="BF448" s="136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36"/>
      <c r="BT448" s="136"/>
      <c r="BU448" s="161"/>
      <c r="BV448" s="161"/>
      <c r="BW448" s="161"/>
      <c r="BX448" s="161"/>
      <c r="BY448" s="161"/>
      <c r="BZ448" s="161"/>
      <c r="CA448" s="161"/>
      <c r="CB448" s="161"/>
      <c r="CC448" s="161"/>
      <c r="CD448" s="161"/>
      <c r="CE448" s="161"/>
      <c r="CF448" s="161"/>
      <c r="CG448" s="136"/>
      <c r="CH448" s="136"/>
      <c r="CI448" s="161"/>
      <c r="CJ448" s="161"/>
      <c r="CK448" s="161"/>
      <c r="CL448" s="161"/>
      <c r="CM448" s="161"/>
      <c r="CN448" s="161"/>
      <c r="CO448" s="161"/>
      <c r="CP448" s="161"/>
      <c r="CQ448" s="161"/>
      <c r="CR448" s="161"/>
      <c r="CS448" s="161"/>
      <c r="CT448" s="161"/>
      <c r="CU448" s="136"/>
      <c r="CV448" s="136"/>
      <c r="CW448" s="161"/>
      <c r="CX448" s="161"/>
      <c r="CY448" s="161"/>
      <c r="CZ448" s="161"/>
      <c r="DA448" s="161"/>
      <c r="DB448" s="161"/>
      <c r="DC448" s="161"/>
      <c r="DD448" s="161"/>
      <c r="DE448" s="161"/>
      <c r="DF448" s="161"/>
      <c r="DG448" s="161"/>
      <c r="DH448" s="161"/>
      <c r="DI448" s="136"/>
      <c r="DJ448" s="136"/>
      <c r="DK448" s="161"/>
      <c r="DL448" s="161"/>
      <c r="DM448" s="161"/>
      <c r="DN448" s="161"/>
      <c r="DO448" s="161"/>
      <c r="DP448" s="161"/>
      <c r="DQ448" s="161"/>
      <c r="DR448" s="161"/>
      <c r="DS448" s="161"/>
      <c r="DT448" s="161"/>
      <c r="DU448" s="161"/>
      <c r="DV448" s="161"/>
      <c r="DW448" s="136"/>
      <c r="DX448" s="136"/>
      <c r="DY448" s="161"/>
      <c r="DZ448" s="161"/>
      <c r="EA448" s="161"/>
      <c r="EB448" s="161"/>
      <c r="EC448" s="161"/>
      <c r="ED448" s="161"/>
      <c r="EE448" s="161"/>
      <c r="EF448" s="161"/>
      <c r="EG448" s="161"/>
      <c r="EH448" s="161"/>
      <c r="EI448" s="161"/>
      <c r="EJ448" s="161"/>
      <c r="EK448" s="136"/>
      <c r="EL448" s="136"/>
      <c r="EM448" s="136"/>
      <c r="EN448" s="136"/>
      <c r="EO448" s="136"/>
      <c r="EP448" s="136"/>
      <c r="EQ448" s="136"/>
      <c r="ER448" s="136"/>
      <c r="ES448" s="161"/>
      <c r="ET448" s="161"/>
      <c r="EU448" s="161"/>
      <c r="EV448" s="161"/>
      <c r="EW448" s="161"/>
      <c r="EX448" s="161"/>
      <c r="EY448" s="136"/>
      <c r="EZ448" s="136"/>
      <c r="FA448" s="161"/>
      <c r="FB448" s="161"/>
      <c r="FC448" s="161"/>
      <c r="FD448" s="161"/>
      <c r="FE448" s="161"/>
      <c r="FF448" s="161"/>
      <c r="FG448" s="161"/>
      <c r="FH448" s="161"/>
      <c r="FI448" s="161"/>
      <c r="FJ448" s="161"/>
      <c r="FK448" s="161"/>
      <c r="FL448" s="161"/>
      <c r="FM448" s="136"/>
      <c r="FN448" s="136"/>
      <c r="FO448" s="161"/>
      <c r="FP448" s="161"/>
      <c r="FQ448" s="161"/>
      <c r="FR448" s="161"/>
      <c r="FS448" s="161"/>
      <c r="FT448" s="161"/>
      <c r="FU448" s="161"/>
      <c r="FV448" s="161"/>
      <c r="FW448" s="161"/>
      <c r="FX448" s="161"/>
      <c r="FY448" s="161"/>
      <c r="FZ448" s="161"/>
      <c r="GA448" s="136"/>
      <c r="GB448" s="136"/>
      <c r="GC448" s="161"/>
      <c r="GD448" s="161"/>
      <c r="GE448" s="161"/>
      <c r="GF448" s="161"/>
      <c r="GG448" s="161"/>
      <c r="GH448" s="161"/>
      <c r="GI448" s="161"/>
      <c r="GJ448" s="161"/>
      <c r="GK448" s="161"/>
      <c r="GL448" s="161"/>
      <c r="GM448" s="161"/>
      <c r="GN448" s="161"/>
    </row>
    <row r="449" spans="1:196">
      <c r="A449" s="162"/>
      <c r="B449" s="126"/>
      <c r="C449" s="109"/>
      <c r="D449" s="119"/>
      <c r="E449" s="119"/>
      <c r="F449" s="107"/>
      <c r="G449" s="115"/>
      <c r="H449" s="6"/>
      <c r="I449" s="125"/>
      <c r="J449" s="13"/>
      <c r="K449" s="141"/>
      <c r="L449" s="161"/>
      <c r="M449" s="136"/>
      <c r="N449" s="136"/>
      <c r="O449" s="136"/>
      <c r="P449" s="136"/>
      <c r="Q449" s="136"/>
      <c r="R449" s="136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36"/>
      <c r="AD449" s="136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36"/>
      <c r="AR449" s="136"/>
      <c r="AS449" s="161"/>
      <c r="AT449" s="161"/>
      <c r="AU449" s="161"/>
      <c r="AV449" s="161"/>
      <c r="AW449" s="161"/>
      <c r="AX449" s="161"/>
      <c r="AY449" s="161"/>
      <c r="AZ449" s="161"/>
      <c r="BA449" s="161"/>
      <c r="BB449" s="161"/>
      <c r="BC449" s="161"/>
      <c r="BD449" s="161"/>
      <c r="BE449" s="136"/>
      <c r="BF449" s="136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36"/>
      <c r="BT449" s="136"/>
      <c r="BU449" s="161"/>
      <c r="BV449" s="161"/>
      <c r="BW449" s="161"/>
      <c r="BX449" s="161"/>
      <c r="BY449" s="161"/>
      <c r="BZ449" s="161"/>
      <c r="CA449" s="161"/>
      <c r="CB449" s="161"/>
      <c r="CC449" s="161"/>
      <c r="CD449" s="161"/>
      <c r="CE449" s="161"/>
      <c r="CF449" s="161"/>
      <c r="CG449" s="136"/>
      <c r="CH449" s="136"/>
      <c r="CI449" s="161"/>
      <c r="CJ449" s="161"/>
      <c r="CK449" s="161"/>
      <c r="CL449" s="161"/>
      <c r="CM449" s="161"/>
      <c r="CN449" s="161"/>
      <c r="CO449" s="161"/>
      <c r="CP449" s="161"/>
      <c r="CQ449" s="161"/>
      <c r="CR449" s="161"/>
      <c r="CS449" s="161"/>
      <c r="CT449" s="161"/>
      <c r="CU449" s="136"/>
      <c r="CV449" s="136"/>
      <c r="CW449" s="161"/>
      <c r="CX449" s="161"/>
      <c r="CY449" s="161"/>
      <c r="CZ449" s="161"/>
      <c r="DA449" s="161"/>
      <c r="DB449" s="161"/>
      <c r="DC449" s="161"/>
      <c r="DD449" s="161"/>
      <c r="DE449" s="161"/>
      <c r="DF449" s="161"/>
      <c r="DG449" s="161"/>
      <c r="DH449" s="161"/>
      <c r="DI449" s="136"/>
      <c r="DJ449" s="136"/>
      <c r="DK449" s="161"/>
      <c r="DL449" s="161"/>
      <c r="DM449" s="161"/>
      <c r="DN449" s="161"/>
      <c r="DO449" s="161"/>
      <c r="DP449" s="161"/>
      <c r="DQ449" s="161"/>
      <c r="DR449" s="161"/>
      <c r="DS449" s="161"/>
      <c r="DT449" s="161"/>
      <c r="DU449" s="161"/>
      <c r="DV449" s="161"/>
      <c r="DW449" s="136"/>
      <c r="DX449" s="136"/>
      <c r="DY449" s="161"/>
      <c r="DZ449" s="161"/>
      <c r="EA449" s="161"/>
      <c r="EB449" s="161"/>
      <c r="EC449" s="161"/>
      <c r="ED449" s="161"/>
      <c r="EE449" s="161"/>
      <c r="EF449" s="161"/>
      <c r="EG449" s="161"/>
      <c r="EH449" s="161"/>
      <c r="EI449" s="161"/>
      <c r="EJ449" s="161"/>
      <c r="EK449" s="136"/>
      <c r="EL449" s="136"/>
      <c r="EM449" s="136"/>
      <c r="EN449" s="136"/>
      <c r="EO449" s="136"/>
      <c r="EP449" s="136"/>
      <c r="EQ449" s="136"/>
      <c r="ER449" s="136"/>
      <c r="ES449" s="161"/>
      <c r="ET449" s="161"/>
      <c r="EU449" s="161"/>
      <c r="EV449" s="161"/>
      <c r="EW449" s="161"/>
      <c r="EX449" s="161"/>
      <c r="EY449" s="136"/>
      <c r="EZ449" s="136"/>
      <c r="FA449" s="161"/>
      <c r="FB449" s="161"/>
      <c r="FC449" s="161"/>
      <c r="FD449" s="161"/>
      <c r="FE449" s="161"/>
      <c r="FF449" s="161"/>
      <c r="FG449" s="161"/>
      <c r="FH449" s="161"/>
      <c r="FI449" s="161"/>
      <c r="FJ449" s="161"/>
      <c r="FK449" s="161"/>
      <c r="FL449" s="161"/>
      <c r="FM449" s="136"/>
      <c r="FN449" s="136"/>
      <c r="FO449" s="161"/>
      <c r="FP449" s="161"/>
      <c r="FQ449" s="161"/>
      <c r="FR449" s="161"/>
      <c r="FS449" s="161"/>
      <c r="FT449" s="161"/>
      <c r="FU449" s="161"/>
      <c r="FV449" s="161"/>
      <c r="FW449" s="161"/>
      <c r="FX449" s="161"/>
      <c r="FY449" s="161"/>
      <c r="FZ449" s="161"/>
      <c r="GA449" s="136"/>
      <c r="GB449" s="136"/>
      <c r="GC449" s="161"/>
      <c r="GD449" s="161"/>
      <c r="GE449" s="161"/>
      <c r="GF449" s="161"/>
      <c r="GG449" s="161"/>
      <c r="GH449" s="161"/>
      <c r="GI449" s="161"/>
      <c r="GJ449" s="161"/>
      <c r="GK449" s="161"/>
      <c r="GL449" s="161"/>
      <c r="GM449" s="161"/>
      <c r="GN449" s="161"/>
    </row>
    <row r="450" spans="1:196">
      <c r="A450" s="162"/>
      <c r="B450" s="126"/>
      <c r="C450" s="109"/>
      <c r="D450" s="119"/>
      <c r="E450" s="119"/>
      <c r="F450" s="107"/>
      <c r="G450" s="115"/>
      <c r="H450" s="6"/>
      <c r="I450" s="125"/>
      <c r="J450" s="13"/>
      <c r="K450" s="141"/>
      <c r="L450" s="161"/>
      <c r="M450" s="136"/>
      <c r="N450" s="136"/>
      <c r="O450" s="136"/>
      <c r="P450" s="136"/>
      <c r="Q450" s="136"/>
      <c r="R450" s="136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36"/>
      <c r="AD450" s="136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36"/>
      <c r="AR450" s="136"/>
      <c r="AS450" s="161"/>
      <c r="AT450" s="161"/>
      <c r="AU450" s="161"/>
      <c r="AV450" s="161"/>
      <c r="AW450" s="161"/>
      <c r="AX450" s="161"/>
      <c r="AY450" s="161"/>
      <c r="AZ450" s="161"/>
      <c r="BA450" s="161"/>
      <c r="BB450" s="161"/>
      <c r="BC450" s="161"/>
      <c r="BD450" s="161"/>
      <c r="BE450" s="136"/>
      <c r="BF450" s="136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36"/>
      <c r="BT450" s="136"/>
      <c r="BU450" s="161"/>
      <c r="BV450" s="161"/>
      <c r="BW450" s="161"/>
      <c r="BX450" s="161"/>
      <c r="BY450" s="161"/>
      <c r="BZ450" s="161"/>
      <c r="CA450" s="161"/>
      <c r="CB450" s="161"/>
      <c r="CC450" s="161"/>
      <c r="CD450" s="161"/>
      <c r="CE450" s="161"/>
      <c r="CF450" s="161"/>
      <c r="CG450" s="136"/>
      <c r="CH450" s="136"/>
      <c r="CI450" s="161"/>
      <c r="CJ450" s="161"/>
      <c r="CK450" s="161"/>
      <c r="CL450" s="161"/>
      <c r="CM450" s="161"/>
      <c r="CN450" s="161"/>
      <c r="CO450" s="161"/>
      <c r="CP450" s="161"/>
      <c r="CQ450" s="161"/>
      <c r="CR450" s="161"/>
      <c r="CS450" s="161"/>
      <c r="CT450" s="161"/>
      <c r="CU450" s="136"/>
      <c r="CV450" s="136"/>
      <c r="CW450" s="161"/>
      <c r="CX450" s="161"/>
      <c r="CY450" s="161"/>
      <c r="CZ450" s="161"/>
      <c r="DA450" s="161"/>
      <c r="DB450" s="161"/>
      <c r="DC450" s="161"/>
      <c r="DD450" s="161"/>
      <c r="DE450" s="161"/>
      <c r="DF450" s="161"/>
      <c r="DG450" s="161"/>
      <c r="DH450" s="161"/>
      <c r="DI450" s="136"/>
      <c r="DJ450" s="136"/>
      <c r="DK450" s="161"/>
      <c r="DL450" s="161"/>
      <c r="DM450" s="161"/>
      <c r="DN450" s="161"/>
      <c r="DO450" s="161"/>
      <c r="DP450" s="161"/>
      <c r="DQ450" s="161"/>
      <c r="DR450" s="161"/>
      <c r="DS450" s="161"/>
      <c r="DT450" s="161"/>
      <c r="DU450" s="161"/>
      <c r="DV450" s="161"/>
      <c r="DW450" s="136"/>
      <c r="DX450" s="136"/>
      <c r="DY450" s="161"/>
      <c r="DZ450" s="161"/>
      <c r="EA450" s="161"/>
      <c r="EB450" s="161"/>
      <c r="EC450" s="161"/>
      <c r="ED450" s="161"/>
      <c r="EE450" s="161"/>
      <c r="EF450" s="161"/>
      <c r="EG450" s="161"/>
      <c r="EH450" s="161"/>
      <c r="EI450" s="161"/>
      <c r="EJ450" s="161"/>
      <c r="EK450" s="136"/>
      <c r="EL450" s="136"/>
      <c r="EM450" s="136"/>
      <c r="EN450" s="136"/>
      <c r="EO450" s="136"/>
      <c r="EP450" s="136"/>
      <c r="EQ450" s="136"/>
      <c r="ER450" s="136"/>
      <c r="ES450" s="161"/>
      <c r="ET450" s="161"/>
      <c r="EU450" s="161"/>
      <c r="EV450" s="161"/>
      <c r="EW450" s="161"/>
      <c r="EX450" s="161"/>
      <c r="EY450" s="136"/>
      <c r="EZ450" s="136"/>
      <c r="FA450" s="161"/>
      <c r="FB450" s="161"/>
      <c r="FC450" s="161"/>
      <c r="FD450" s="161"/>
      <c r="FE450" s="161"/>
      <c r="FF450" s="161"/>
      <c r="FG450" s="161"/>
      <c r="FH450" s="161"/>
      <c r="FI450" s="161"/>
      <c r="FJ450" s="161"/>
      <c r="FK450" s="161"/>
      <c r="FL450" s="161"/>
      <c r="FM450" s="136"/>
      <c r="FN450" s="136"/>
      <c r="FO450" s="161"/>
      <c r="FP450" s="161"/>
      <c r="FQ450" s="161"/>
      <c r="FR450" s="161"/>
      <c r="FS450" s="161"/>
      <c r="FT450" s="161"/>
      <c r="FU450" s="161"/>
      <c r="FV450" s="161"/>
      <c r="FW450" s="161"/>
      <c r="FX450" s="161"/>
      <c r="FY450" s="161"/>
      <c r="FZ450" s="161"/>
      <c r="GA450" s="136"/>
      <c r="GB450" s="136"/>
      <c r="GC450" s="161"/>
      <c r="GD450" s="161"/>
      <c r="GE450" s="161"/>
      <c r="GF450" s="161"/>
      <c r="GG450" s="161"/>
      <c r="GH450" s="161"/>
      <c r="GI450" s="161"/>
      <c r="GJ450" s="161"/>
      <c r="GK450" s="161"/>
      <c r="GL450" s="161"/>
      <c r="GM450" s="161"/>
      <c r="GN450" s="161"/>
    </row>
    <row r="451" spans="1:196">
      <c r="A451" s="162"/>
      <c r="B451" s="126"/>
      <c r="C451" s="109"/>
      <c r="D451" s="119"/>
      <c r="E451" s="119"/>
      <c r="F451" s="107"/>
      <c r="G451" s="115"/>
      <c r="H451" s="6"/>
      <c r="I451" s="125"/>
      <c r="J451" s="13"/>
      <c r="K451" s="141"/>
      <c r="L451" s="161"/>
      <c r="M451" s="136"/>
      <c r="N451" s="136"/>
      <c r="O451" s="136"/>
      <c r="P451" s="136"/>
      <c r="Q451" s="136"/>
      <c r="R451" s="136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36"/>
      <c r="AD451" s="136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36"/>
      <c r="AR451" s="136"/>
      <c r="AS451" s="161"/>
      <c r="AT451" s="161"/>
      <c r="AU451" s="161"/>
      <c r="AV451" s="161"/>
      <c r="AW451" s="161"/>
      <c r="AX451" s="161"/>
      <c r="AY451" s="161"/>
      <c r="AZ451" s="161"/>
      <c r="BA451" s="161"/>
      <c r="BB451" s="161"/>
      <c r="BC451" s="161"/>
      <c r="BD451" s="161"/>
      <c r="BE451" s="136"/>
      <c r="BF451" s="136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36"/>
      <c r="BT451" s="136"/>
      <c r="BU451" s="161"/>
      <c r="BV451" s="161"/>
      <c r="BW451" s="161"/>
      <c r="BX451" s="161"/>
      <c r="BY451" s="161"/>
      <c r="BZ451" s="161"/>
      <c r="CA451" s="161"/>
      <c r="CB451" s="161"/>
      <c r="CC451" s="161"/>
      <c r="CD451" s="161"/>
      <c r="CE451" s="161"/>
      <c r="CF451" s="161"/>
      <c r="CG451" s="136"/>
      <c r="CH451" s="136"/>
      <c r="CI451" s="161"/>
      <c r="CJ451" s="161"/>
      <c r="CK451" s="161"/>
      <c r="CL451" s="161"/>
      <c r="CM451" s="161"/>
      <c r="CN451" s="161"/>
      <c r="CO451" s="161"/>
      <c r="CP451" s="161"/>
      <c r="CQ451" s="161"/>
      <c r="CR451" s="161"/>
      <c r="CS451" s="161"/>
      <c r="CT451" s="161"/>
      <c r="CU451" s="136"/>
      <c r="CV451" s="136"/>
      <c r="CW451" s="161"/>
      <c r="CX451" s="161"/>
      <c r="CY451" s="161"/>
      <c r="CZ451" s="161"/>
      <c r="DA451" s="161"/>
      <c r="DB451" s="161"/>
      <c r="DC451" s="161"/>
      <c r="DD451" s="161"/>
      <c r="DE451" s="161"/>
      <c r="DF451" s="161"/>
      <c r="DG451" s="161"/>
      <c r="DH451" s="161"/>
      <c r="DI451" s="136"/>
      <c r="DJ451" s="136"/>
      <c r="DK451" s="161"/>
      <c r="DL451" s="161"/>
      <c r="DM451" s="161"/>
      <c r="DN451" s="161"/>
      <c r="DO451" s="161"/>
      <c r="DP451" s="161"/>
      <c r="DQ451" s="161"/>
      <c r="DR451" s="161"/>
      <c r="DS451" s="161"/>
      <c r="DT451" s="161"/>
      <c r="DU451" s="161"/>
      <c r="DV451" s="161"/>
      <c r="DW451" s="136"/>
      <c r="DX451" s="136"/>
      <c r="DY451" s="161"/>
      <c r="DZ451" s="161"/>
      <c r="EA451" s="161"/>
      <c r="EB451" s="161"/>
      <c r="EC451" s="161"/>
      <c r="ED451" s="161"/>
      <c r="EE451" s="161"/>
      <c r="EF451" s="161"/>
      <c r="EG451" s="161"/>
      <c r="EH451" s="161"/>
      <c r="EI451" s="161"/>
      <c r="EJ451" s="161"/>
      <c r="EK451" s="136"/>
      <c r="EL451" s="136"/>
      <c r="EM451" s="136"/>
      <c r="EN451" s="136"/>
      <c r="EO451" s="136"/>
      <c r="EP451" s="136"/>
      <c r="EQ451" s="136"/>
      <c r="ER451" s="136"/>
      <c r="ES451" s="161"/>
      <c r="ET451" s="161"/>
      <c r="EU451" s="161"/>
      <c r="EV451" s="161"/>
      <c r="EW451" s="161"/>
      <c r="EX451" s="161"/>
      <c r="EY451" s="136"/>
      <c r="EZ451" s="136"/>
      <c r="FA451" s="161"/>
      <c r="FB451" s="161"/>
      <c r="FC451" s="161"/>
      <c r="FD451" s="161"/>
      <c r="FE451" s="161"/>
      <c r="FF451" s="161"/>
      <c r="FG451" s="161"/>
      <c r="FH451" s="161"/>
      <c r="FI451" s="161"/>
      <c r="FJ451" s="161"/>
      <c r="FK451" s="161"/>
      <c r="FL451" s="161"/>
      <c r="FM451" s="136"/>
      <c r="FN451" s="136"/>
      <c r="FO451" s="161"/>
      <c r="FP451" s="161"/>
      <c r="FQ451" s="161"/>
      <c r="FR451" s="161"/>
      <c r="FS451" s="161"/>
      <c r="FT451" s="161"/>
      <c r="FU451" s="161"/>
      <c r="FV451" s="161"/>
      <c r="FW451" s="161"/>
      <c r="FX451" s="161"/>
      <c r="FY451" s="161"/>
      <c r="FZ451" s="161"/>
      <c r="GA451" s="136"/>
      <c r="GB451" s="136"/>
      <c r="GC451" s="161"/>
      <c r="GD451" s="161"/>
      <c r="GE451" s="161"/>
      <c r="GF451" s="161"/>
      <c r="GG451" s="161"/>
      <c r="GH451" s="161"/>
      <c r="GI451" s="161"/>
      <c r="GJ451" s="161"/>
      <c r="GK451" s="161"/>
      <c r="GL451" s="161"/>
      <c r="GM451" s="161"/>
      <c r="GN451" s="161"/>
    </row>
    <row r="452" spans="1:196">
      <c r="A452" s="162"/>
      <c r="B452" s="126"/>
      <c r="C452" s="109"/>
      <c r="D452" s="119"/>
      <c r="E452" s="119"/>
      <c r="F452" s="107"/>
      <c r="G452" s="115"/>
      <c r="H452" s="115"/>
      <c r="I452" s="125"/>
      <c r="J452" s="13"/>
      <c r="K452" s="141"/>
      <c r="L452" s="161"/>
      <c r="M452" s="136"/>
      <c r="N452" s="136"/>
      <c r="O452" s="136"/>
      <c r="P452" s="136"/>
      <c r="Q452" s="136"/>
      <c r="R452" s="136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36"/>
      <c r="AD452" s="136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36"/>
      <c r="AR452" s="136"/>
      <c r="AS452" s="161"/>
      <c r="AT452" s="161"/>
      <c r="AU452" s="161"/>
      <c r="AV452" s="161"/>
      <c r="AW452" s="161"/>
      <c r="AX452" s="161"/>
      <c r="AY452" s="161"/>
      <c r="AZ452" s="161"/>
      <c r="BA452" s="161"/>
      <c r="BB452" s="161"/>
      <c r="BC452" s="161"/>
      <c r="BD452" s="161"/>
      <c r="BE452" s="136"/>
      <c r="BF452" s="136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36"/>
      <c r="BT452" s="136"/>
      <c r="BU452" s="161"/>
      <c r="BV452" s="161"/>
      <c r="BW452" s="161"/>
      <c r="BX452" s="161"/>
      <c r="BY452" s="161"/>
      <c r="BZ452" s="161"/>
      <c r="CA452" s="161"/>
      <c r="CB452" s="161"/>
      <c r="CC452" s="161"/>
      <c r="CD452" s="161"/>
      <c r="CE452" s="161"/>
      <c r="CF452" s="161"/>
      <c r="CG452" s="136"/>
      <c r="CH452" s="136"/>
      <c r="CI452" s="161"/>
      <c r="CJ452" s="161"/>
      <c r="CK452" s="161"/>
      <c r="CL452" s="161"/>
      <c r="CM452" s="161"/>
      <c r="CN452" s="161"/>
      <c r="CO452" s="161"/>
      <c r="CP452" s="161"/>
      <c r="CQ452" s="161"/>
      <c r="CR452" s="161"/>
      <c r="CS452" s="161"/>
      <c r="CT452" s="161"/>
      <c r="CU452" s="136"/>
      <c r="CV452" s="136"/>
      <c r="CW452" s="161"/>
      <c r="CX452" s="161"/>
      <c r="CY452" s="161"/>
      <c r="CZ452" s="161"/>
      <c r="DA452" s="161"/>
      <c r="DB452" s="161"/>
      <c r="DC452" s="161"/>
      <c r="DD452" s="161"/>
      <c r="DE452" s="161"/>
      <c r="DF452" s="161"/>
      <c r="DG452" s="161"/>
      <c r="DH452" s="161"/>
      <c r="DI452" s="136"/>
      <c r="DJ452" s="136"/>
      <c r="DK452" s="161"/>
      <c r="DL452" s="161"/>
      <c r="DM452" s="161"/>
      <c r="DN452" s="161"/>
      <c r="DO452" s="161"/>
      <c r="DP452" s="161"/>
      <c r="DQ452" s="161"/>
      <c r="DR452" s="161"/>
      <c r="DS452" s="161"/>
      <c r="DT452" s="161"/>
      <c r="DU452" s="161"/>
      <c r="DV452" s="161"/>
      <c r="DW452" s="136"/>
      <c r="DX452" s="136"/>
      <c r="DY452" s="161"/>
      <c r="DZ452" s="161"/>
      <c r="EA452" s="161"/>
      <c r="EB452" s="161"/>
      <c r="EC452" s="161"/>
      <c r="ED452" s="161"/>
      <c r="EE452" s="161"/>
      <c r="EF452" s="161"/>
      <c r="EG452" s="161"/>
      <c r="EH452" s="161"/>
      <c r="EI452" s="161"/>
      <c r="EJ452" s="161"/>
      <c r="EK452" s="136"/>
      <c r="EL452" s="136"/>
      <c r="EM452" s="136"/>
      <c r="EN452" s="136"/>
      <c r="EO452" s="136"/>
      <c r="EP452" s="136"/>
      <c r="EQ452" s="136"/>
      <c r="ER452" s="136"/>
      <c r="ES452" s="161"/>
      <c r="ET452" s="161"/>
      <c r="EU452" s="161"/>
      <c r="EV452" s="161"/>
      <c r="EW452" s="161"/>
      <c r="EX452" s="161"/>
      <c r="EY452" s="136"/>
      <c r="EZ452" s="136"/>
      <c r="FA452" s="161"/>
      <c r="FB452" s="161"/>
      <c r="FC452" s="161"/>
      <c r="FD452" s="161"/>
      <c r="FE452" s="161"/>
      <c r="FF452" s="161"/>
      <c r="FG452" s="161"/>
      <c r="FH452" s="161"/>
      <c r="FI452" s="161"/>
      <c r="FJ452" s="161"/>
      <c r="FK452" s="161"/>
      <c r="FL452" s="161"/>
      <c r="FM452" s="136"/>
      <c r="FN452" s="136"/>
      <c r="FO452" s="161"/>
      <c r="FP452" s="161"/>
      <c r="FQ452" s="161"/>
      <c r="FR452" s="161"/>
      <c r="FS452" s="161"/>
      <c r="FT452" s="161"/>
      <c r="FU452" s="161"/>
      <c r="FV452" s="161"/>
      <c r="FW452" s="161"/>
      <c r="FX452" s="161"/>
      <c r="FY452" s="161"/>
      <c r="FZ452" s="161"/>
      <c r="GA452" s="136"/>
      <c r="GB452" s="136"/>
      <c r="GC452" s="161"/>
      <c r="GD452" s="161"/>
      <c r="GE452" s="161"/>
      <c r="GF452" s="161"/>
      <c r="GG452" s="161"/>
      <c r="GH452" s="161"/>
      <c r="GI452" s="161"/>
      <c r="GJ452" s="161"/>
      <c r="GK452" s="161"/>
      <c r="GL452" s="161"/>
      <c r="GM452" s="161"/>
      <c r="GN452" s="161"/>
    </row>
    <row r="453" spans="1:196">
      <c r="A453" s="7"/>
      <c r="B453" s="7"/>
      <c r="C453" s="7"/>
      <c r="D453" s="7"/>
      <c r="E453" s="152"/>
      <c r="F453" s="7"/>
      <c r="G453" s="94"/>
      <c r="H453" s="10"/>
      <c r="I453" s="24"/>
      <c r="J453" s="7"/>
      <c r="K453" s="8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</row>
    <row r="454" spans="1:196" ht="54.5" customHeight="1">
      <c r="A454" s="156"/>
      <c r="B454" s="126" t="s">
        <v>670</v>
      </c>
      <c r="C454" s="109" t="s">
        <v>634</v>
      </c>
      <c r="D454" s="119"/>
      <c r="E454" s="119" t="e">
        <f>VLOOKUP(C454,#REF!,5,0)</f>
        <v>#REF!</v>
      </c>
      <c r="F454" s="107">
        <v>46095</v>
      </c>
      <c r="G454" s="115">
        <v>1000</v>
      </c>
      <c r="H454" s="6"/>
      <c r="I454" s="125">
        <v>46102</v>
      </c>
      <c r="J454" s="13">
        <f t="shared" si="202"/>
        <v>0</v>
      </c>
      <c r="K454" s="141"/>
      <c r="L454" s="161">
        <v>1000</v>
      </c>
      <c r="M454" s="136"/>
      <c r="N454" s="136"/>
      <c r="O454" s="136"/>
      <c r="P454" s="136"/>
      <c r="Q454" s="136"/>
      <c r="R454" s="136"/>
      <c r="S454" s="161"/>
      <c r="T454" s="161"/>
      <c r="U454" s="161"/>
      <c r="V454" s="161"/>
      <c r="W454" s="135"/>
      <c r="X454" s="135"/>
      <c r="Y454" s="135"/>
      <c r="Z454" s="135"/>
      <c r="AA454" s="135"/>
      <c r="AB454" s="135"/>
      <c r="AC454" s="136"/>
      <c r="AD454" s="136"/>
      <c r="AE454" s="161"/>
      <c r="AF454" s="161"/>
      <c r="AG454" s="161"/>
      <c r="AH454" s="161"/>
      <c r="AI454" s="161"/>
      <c r="AJ454" s="161"/>
      <c r="AK454" s="161"/>
      <c r="AL454" s="161"/>
      <c r="AM454" s="135"/>
      <c r="AN454" s="135"/>
      <c r="AO454" s="135"/>
      <c r="AP454" s="135"/>
      <c r="AQ454" s="136"/>
      <c r="AR454" s="136"/>
      <c r="AS454" s="161"/>
      <c r="AT454" s="161"/>
      <c r="AU454" s="161"/>
      <c r="AV454" s="161"/>
      <c r="AW454" s="161"/>
      <c r="AX454" s="161"/>
      <c r="AY454" s="135"/>
      <c r="AZ454" s="135"/>
      <c r="BA454" s="135"/>
      <c r="BB454" s="135"/>
      <c r="BC454" s="135"/>
      <c r="BD454" s="135"/>
      <c r="BE454" s="136"/>
      <c r="BF454" s="136"/>
      <c r="BG454" s="161"/>
      <c r="BH454" s="161"/>
      <c r="BI454" s="161"/>
      <c r="BJ454" s="161"/>
      <c r="BK454" s="161"/>
      <c r="BL454" s="161"/>
      <c r="BM454" s="135"/>
      <c r="BN454" s="135"/>
      <c r="BO454" s="135"/>
      <c r="BP454" s="135"/>
      <c r="BQ454" s="135"/>
      <c r="BR454" s="135"/>
      <c r="BS454" s="136"/>
      <c r="BT454" s="136"/>
      <c r="BU454" s="161"/>
      <c r="BV454" s="161"/>
      <c r="BW454" s="161"/>
      <c r="BX454" s="161"/>
      <c r="BY454" s="161"/>
      <c r="BZ454" s="161"/>
      <c r="CA454" s="135"/>
      <c r="CB454" s="135"/>
      <c r="CC454" s="135"/>
      <c r="CD454" s="135"/>
      <c r="CE454" s="135"/>
      <c r="CF454" s="135"/>
      <c r="CG454" s="136"/>
      <c r="CH454" s="136"/>
      <c r="CI454" s="161"/>
      <c r="CJ454" s="161"/>
      <c r="CK454" s="161"/>
      <c r="CL454" s="161"/>
      <c r="CM454" s="161"/>
      <c r="CN454" s="161"/>
      <c r="CO454" s="135"/>
      <c r="CP454" s="135"/>
      <c r="CQ454" s="135"/>
      <c r="CR454" s="135"/>
      <c r="CS454" s="135"/>
      <c r="CT454" s="135"/>
      <c r="CU454" s="136"/>
      <c r="CV454" s="136"/>
      <c r="CW454" s="161"/>
      <c r="CX454" s="161"/>
      <c r="CY454" s="161"/>
      <c r="CZ454" s="161"/>
      <c r="DA454" s="161"/>
      <c r="DB454" s="161"/>
      <c r="DC454" s="135"/>
      <c r="DD454" s="135"/>
      <c r="DE454" s="135"/>
      <c r="DF454" s="135"/>
      <c r="DG454" s="135"/>
      <c r="DH454" s="135"/>
      <c r="DI454" s="136"/>
      <c r="DJ454" s="136"/>
      <c r="DK454" s="161"/>
      <c r="DL454" s="161"/>
      <c r="DM454" s="161"/>
      <c r="DN454" s="161"/>
      <c r="DO454" s="161"/>
      <c r="DP454" s="161"/>
      <c r="DQ454" s="135"/>
      <c r="DR454" s="135"/>
      <c r="DS454" s="135"/>
      <c r="DT454" s="135"/>
      <c r="DU454" s="135"/>
      <c r="DV454" s="135"/>
      <c r="DW454" s="136"/>
      <c r="DX454" s="136"/>
      <c r="DY454" s="161"/>
      <c r="DZ454" s="161"/>
      <c r="EA454" s="161"/>
      <c r="EB454" s="161"/>
      <c r="EC454" s="161"/>
      <c r="ED454" s="161"/>
      <c r="EE454" s="135"/>
      <c r="EF454" s="135"/>
      <c r="EG454" s="135"/>
      <c r="EH454" s="135"/>
      <c r="EI454" s="135"/>
      <c r="EJ454" s="135"/>
      <c r="EK454" s="136"/>
      <c r="EL454" s="136"/>
      <c r="EM454" s="136"/>
      <c r="EN454" s="136"/>
      <c r="EO454" s="136"/>
      <c r="EP454" s="136"/>
      <c r="EQ454" s="136"/>
      <c r="ER454" s="136"/>
      <c r="ES454" s="135"/>
      <c r="ET454" s="135"/>
      <c r="EU454" s="135"/>
      <c r="EV454" s="135"/>
      <c r="EW454" s="135"/>
      <c r="EX454" s="135"/>
      <c r="EY454" s="136"/>
      <c r="EZ454" s="136"/>
      <c r="FA454" s="161"/>
      <c r="FB454" s="161"/>
      <c r="FC454" s="161"/>
      <c r="FD454" s="161"/>
      <c r="FE454" s="161"/>
      <c r="FF454" s="161"/>
      <c r="FG454" s="135"/>
      <c r="FH454" s="135"/>
      <c r="FI454" s="135"/>
      <c r="FJ454" s="135"/>
      <c r="FK454" s="135"/>
      <c r="FL454" s="135"/>
      <c r="FM454" s="136"/>
      <c r="FN454" s="136"/>
      <c r="FO454" s="161"/>
      <c r="FP454" s="161"/>
      <c r="FQ454" s="161"/>
      <c r="FR454" s="161"/>
      <c r="FS454" s="161"/>
      <c r="FT454" s="161"/>
      <c r="FU454" s="135"/>
      <c r="FV454" s="135"/>
      <c r="FW454" s="135"/>
      <c r="FX454" s="135"/>
      <c r="FY454" s="135"/>
      <c r="FZ454" s="135"/>
      <c r="GA454" s="136"/>
      <c r="GB454" s="136"/>
      <c r="GC454" s="161"/>
      <c r="GD454" s="161"/>
      <c r="GE454" s="161"/>
      <c r="GF454" s="161"/>
      <c r="GG454" s="161"/>
      <c r="GH454" s="161"/>
      <c r="GI454" s="135"/>
      <c r="GJ454" s="135"/>
      <c r="GK454" s="135"/>
      <c r="GL454" s="135"/>
      <c r="GM454" s="135"/>
      <c r="GN454" s="135"/>
    </row>
    <row r="455" spans="1:196">
      <c r="A455" s="156"/>
      <c r="B455" s="126" t="s">
        <v>641</v>
      </c>
      <c r="C455" s="109" t="s">
        <v>634</v>
      </c>
      <c r="D455" s="119"/>
      <c r="E455" s="119" t="e">
        <f>VLOOKUP(C455,#REF!,5,0)</f>
        <v>#REF!</v>
      </c>
      <c r="F455" s="107">
        <v>46116</v>
      </c>
      <c r="G455" s="115">
        <v>1000</v>
      </c>
      <c r="H455" s="6"/>
      <c r="I455" s="125">
        <v>46116</v>
      </c>
      <c r="J455" s="13">
        <f t="shared" si="202"/>
        <v>0</v>
      </c>
      <c r="K455" s="141"/>
      <c r="L455" s="161">
        <v>1000</v>
      </c>
      <c r="M455" s="136"/>
      <c r="N455" s="136"/>
      <c r="O455" s="136"/>
      <c r="P455" s="136"/>
      <c r="Q455" s="136"/>
      <c r="R455" s="136"/>
      <c r="S455" s="161"/>
      <c r="T455" s="161"/>
      <c r="U455" s="161"/>
      <c r="V455" s="161"/>
      <c r="W455" s="135"/>
      <c r="X455" s="135"/>
      <c r="Y455" s="135"/>
      <c r="Z455" s="135"/>
      <c r="AA455" s="135"/>
      <c r="AB455" s="135"/>
      <c r="AC455" s="136"/>
      <c r="AD455" s="136"/>
      <c r="AE455" s="161"/>
      <c r="AF455" s="161"/>
      <c r="AG455" s="161"/>
      <c r="AH455" s="161"/>
      <c r="AI455" s="161"/>
      <c r="AJ455" s="161"/>
      <c r="AK455" s="161"/>
      <c r="AL455" s="161"/>
      <c r="AM455" s="135"/>
      <c r="AN455" s="135"/>
      <c r="AO455" s="135"/>
      <c r="AP455" s="135"/>
      <c r="AQ455" s="136"/>
      <c r="AR455" s="136"/>
      <c r="AS455" s="161"/>
      <c r="AT455" s="161"/>
      <c r="AU455" s="161"/>
      <c r="AV455" s="161"/>
      <c r="AW455" s="161"/>
      <c r="AX455" s="161"/>
      <c r="AY455" s="135"/>
      <c r="AZ455" s="135"/>
      <c r="BA455" s="135"/>
      <c r="BB455" s="135"/>
      <c r="BC455" s="135"/>
      <c r="BD455" s="135"/>
      <c r="BE455" s="136"/>
      <c r="BF455" s="136"/>
      <c r="BG455" s="161"/>
      <c r="BH455" s="161"/>
      <c r="BI455" s="161"/>
      <c r="BJ455" s="161"/>
      <c r="BK455" s="161"/>
      <c r="BL455" s="161"/>
      <c r="BM455" s="135"/>
      <c r="BN455" s="135"/>
      <c r="BO455" s="135"/>
      <c r="BP455" s="135"/>
      <c r="BQ455" s="135"/>
      <c r="BR455" s="135"/>
      <c r="BS455" s="136"/>
      <c r="BT455" s="136"/>
      <c r="BU455" s="161"/>
      <c r="BV455" s="161"/>
      <c r="BW455" s="161"/>
      <c r="BX455" s="161"/>
      <c r="BY455" s="161"/>
      <c r="BZ455" s="161"/>
      <c r="CA455" s="135"/>
      <c r="CB455" s="135"/>
      <c r="CC455" s="135"/>
      <c r="CD455" s="135"/>
      <c r="CE455" s="135"/>
      <c r="CF455" s="135"/>
      <c r="CG455" s="136"/>
      <c r="CH455" s="136"/>
      <c r="CI455" s="161"/>
      <c r="CJ455" s="161"/>
      <c r="CK455" s="161"/>
      <c r="CL455" s="161"/>
      <c r="CM455" s="161"/>
      <c r="CN455" s="161"/>
      <c r="CO455" s="135"/>
      <c r="CP455" s="135"/>
      <c r="CQ455" s="135"/>
      <c r="CR455" s="135"/>
      <c r="CS455" s="135"/>
      <c r="CT455" s="135"/>
      <c r="CU455" s="136"/>
      <c r="CV455" s="136"/>
      <c r="CW455" s="161"/>
      <c r="CX455" s="161"/>
      <c r="CY455" s="161"/>
      <c r="CZ455" s="161"/>
      <c r="DA455" s="161"/>
      <c r="DB455" s="161"/>
      <c r="DC455" s="135"/>
      <c r="DD455" s="135"/>
      <c r="DE455" s="135"/>
      <c r="DF455" s="135"/>
      <c r="DG455" s="135"/>
      <c r="DH455" s="135"/>
      <c r="DI455" s="136"/>
      <c r="DJ455" s="136"/>
      <c r="DK455" s="161"/>
      <c r="DL455" s="161"/>
      <c r="DM455" s="161"/>
      <c r="DN455" s="161"/>
      <c r="DO455" s="161"/>
      <c r="DP455" s="161"/>
      <c r="DQ455" s="135"/>
      <c r="DR455" s="135"/>
      <c r="DS455" s="135"/>
      <c r="DT455" s="135"/>
      <c r="DU455" s="135"/>
      <c r="DV455" s="135"/>
      <c r="DW455" s="136"/>
      <c r="DX455" s="136"/>
      <c r="DY455" s="161"/>
      <c r="DZ455" s="161"/>
      <c r="EA455" s="161"/>
      <c r="EB455" s="161"/>
      <c r="EC455" s="161"/>
      <c r="ED455" s="161"/>
      <c r="EE455" s="135"/>
      <c r="EF455" s="135"/>
      <c r="EG455" s="135"/>
      <c r="EH455" s="135"/>
      <c r="EI455" s="135"/>
      <c r="EJ455" s="135"/>
      <c r="EK455" s="136"/>
      <c r="EL455" s="136"/>
      <c r="EM455" s="136"/>
      <c r="EN455" s="136"/>
      <c r="EO455" s="136"/>
      <c r="EP455" s="136"/>
      <c r="EQ455" s="136"/>
      <c r="ER455" s="136"/>
      <c r="ES455" s="135"/>
      <c r="ET455" s="135"/>
      <c r="EU455" s="135"/>
      <c r="EV455" s="135"/>
      <c r="EW455" s="135"/>
      <c r="EX455" s="135"/>
      <c r="EY455" s="136"/>
      <c r="EZ455" s="136"/>
      <c r="FA455" s="161"/>
      <c r="FB455" s="161"/>
      <c r="FC455" s="161"/>
      <c r="FD455" s="161"/>
      <c r="FE455" s="161"/>
      <c r="FF455" s="161"/>
      <c r="FG455" s="135"/>
      <c r="FH455" s="135"/>
      <c r="FI455" s="135"/>
      <c r="FJ455" s="135"/>
      <c r="FK455" s="135"/>
      <c r="FL455" s="135"/>
      <c r="FM455" s="136"/>
      <c r="FN455" s="136"/>
      <c r="FO455" s="161"/>
      <c r="FP455" s="161"/>
      <c r="FQ455" s="161"/>
      <c r="FR455" s="161"/>
      <c r="FS455" s="161"/>
      <c r="FT455" s="161"/>
      <c r="FU455" s="135"/>
      <c r="FV455" s="135"/>
      <c r="FW455" s="135"/>
      <c r="FX455" s="135"/>
      <c r="FY455" s="135"/>
      <c r="FZ455" s="135"/>
      <c r="GA455" s="136"/>
      <c r="GB455" s="136"/>
      <c r="GC455" s="161"/>
      <c r="GD455" s="161"/>
      <c r="GE455" s="161"/>
      <c r="GF455" s="161"/>
      <c r="GG455" s="161"/>
      <c r="GH455" s="161"/>
      <c r="GI455" s="135"/>
      <c r="GJ455" s="135"/>
      <c r="GK455" s="135"/>
      <c r="GL455" s="135"/>
      <c r="GM455" s="135"/>
      <c r="GN455" s="135"/>
    </row>
    <row r="456" spans="1:196" ht="29.5" customHeight="1">
      <c r="A456" s="156"/>
      <c r="B456" s="126" t="s">
        <v>692</v>
      </c>
      <c r="C456" s="109" t="s">
        <v>634</v>
      </c>
      <c r="D456" s="119"/>
      <c r="E456" s="119" t="e">
        <f>VLOOKUP(C456,#REF!,5,0)</f>
        <v>#REF!</v>
      </c>
      <c r="F456" s="107">
        <v>46129</v>
      </c>
      <c r="G456" s="115">
        <v>21</v>
      </c>
      <c r="H456" s="6"/>
      <c r="I456" s="125">
        <v>46123</v>
      </c>
      <c r="J456" s="13">
        <f t="shared" si="202"/>
        <v>0</v>
      </c>
      <c r="K456" s="167"/>
      <c r="L456" s="161">
        <v>21</v>
      </c>
      <c r="M456" s="136"/>
      <c r="N456" s="136"/>
      <c r="O456" s="136"/>
      <c r="P456" s="136"/>
      <c r="Q456" s="136"/>
      <c r="R456" s="136"/>
      <c r="S456" s="161"/>
      <c r="T456" s="161"/>
      <c r="U456" s="161"/>
      <c r="V456" s="161"/>
      <c r="W456" s="135"/>
      <c r="X456" s="135"/>
      <c r="Y456" s="135"/>
      <c r="Z456" s="135"/>
      <c r="AA456" s="135"/>
      <c r="AB456" s="135"/>
      <c r="AC456" s="136"/>
      <c r="AD456" s="136"/>
      <c r="AE456" s="161"/>
      <c r="AF456" s="161"/>
      <c r="AG456" s="161"/>
      <c r="AH456" s="161"/>
      <c r="AI456" s="161"/>
      <c r="AJ456" s="161"/>
      <c r="AK456" s="161"/>
      <c r="AL456" s="161"/>
      <c r="AM456" s="135"/>
      <c r="AN456" s="135"/>
      <c r="AO456" s="135"/>
      <c r="AP456" s="135"/>
      <c r="AQ456" s="136"/>
      <c r="AR456" s="136"/>
      <c r="AS456" s="161"/>
      <c r="AT456" s="161"/>
      <c r="AU456" s="161"/>
      <c r="AV456" s="161"/>
      <c r="AW456" s="161"/>
      <c r="AX456" s="161"/>
      <c r="AY456" s="135"/>
      <c r="AZ456" s="135"/>
      <c r="BA456" s="135"/>
      <c r="BB456" s="135"/>
      <c r="BC456" s="135"/>
      <c r="BD456" s="135"/>
      <c r="BE456" s="136"/>
      <c r="BF456" s="136"/>
      <c r="BG456" s="161"/>
      <c r="BH456" s="161"/>
      <c r="BI456" s="161"/>
      <c r="BJ456" s="161"/>
      <c r="BK456" s="161"/>
      <c r="BL456" s="161"/>
      <c r="BM456" s="135"/>
      <c r="BN456" s="135"/>
      <c r="BO456" s="135"/>
      <c r="BP456" s="135"/>
      <c r="BQ456" s="135"/>
      <c r="BR456" s="135"/>
      <c r="BS456" s="136"/>
      <c r="BT456" s="136"/>
      <c r="BU456" s="161"/>
      <c r="BV456" s="161"/>
      <c r="BW456" s="161"/>
      <c r="BX456" s="161"/>
      <c r="BY456" s="161"/>
      <c r="BZ456" s="161"/>
      <c r="CA456" s="135"/>
      <c r="CB456" s="135"/>
      <c r="CC456" s="135"/>
      <c r="CD456" s="135"/>
      <c r="CE456" s="135"/>
      <c r="CF456" s="135"/>
      <c r="CG456" s="136"/>
      <c r="CH456" s="136"/>
      <c r="CI456" s="161"/>
      <c r="CJ456" s="161"/>
      <c r="CK456" s="161"/>
      <c r="CL456" s="161"/>
      <c r="CM456" s="161"/>
      <c r="CN456" s="161"/>
      <c r="CO456" s="135"/>
      <c r="CP456" s="135"/>
      <c r="CQ456" s="135"/>
      <c r="CR456" s="135"/>
      <c r="CS456" s="135"/>
      <c r="CT456" s="135"/>
      <c r="CU456" s="136"/>
      <c r="CV456" s="136"/>
      <c r="CW456" s="161"/>
      <c r="CX456" s="161"/>
      <c r="CY456" s="161"/>
      <c r="CZ456" s="161"/>
      <c r="DA456" s="161"/>
      <c r="DB456" s="161"/>
      <c r="DC456" s="135"/>
      <c r="DD456" s="135"/>
      <c r="DE456" s="135"/>
      <c r="DF456" s="135"/>
      <c r="DG456" s="135"/>
      <c r="DH456" s="135"/>
      <c r="DI456" s="136"/>
      <c r="DJ456" s="136"/>
      <c r="DK456" s="161"/>
      <c r="DL456" s="161"/>
      <c r="DM456" s="161"/>
      <c r="DN456" s="161"/>
      <c r="DO456" s="161"/>
      <c r="DP456" s="161"/>
      <c r="DQ456" s="135"/>
      <c r="DR456" s="135"/>
      <c r="DS456" s="135"/>
      <c r="DT456" s="135"/>
      <c r="DU456" s="135"/>
      <c r="DV456" s="135"/>
      <c r="DW456" s="136"/>
      <c r="DX456" s="136"/>
      <c r="DY456" s="161"/>
      <c r="DZ456" s="161"/>
      <c r="EA456" s="161"/>
      <c r="EB456" s="161"/>
      <c r="EC456" s="161"/>
      <c r="ED456" s="161"/>
      <c r="EE456" s="135"/>
      <c r="EF456" s="135"/>
      <c r="EG456" s="135"/>
      <c r="EH456" s="135"/>
      <c r="EI456" s="135"/>
      <c r="EJ456" s="135"/>
      <c r="EK456" s="136"/>
      <c r="EL456" s="136"/>
      <c r="EM456" s="136"/>
      <c r="EN456" s="136"/>
      <c r="EO456" s="136"/>
      <c r="EP456" s="136"/>
      <c r="EQ456" s="136"/>
      <c r="ER456" s="136"/>
      <c r="ES456" s="135"/>
      <c r="ET456" s="135"/>
      <c r="EU456" s="135"/>
      <c r="EV456" s="135"/>
      <c r="EW456" s="135"/>
      <c r="EX456" s="135"/>
      <c r="EY456" s="136"/>
      <c r="EZ456" s="136"/>
      <c r="FA456" s="161"/>
      <c r="FB456" s="161"/>
      <c r="FC456" s="161"/>
      <c r="FD456" s="161"/>
      <c r="FE456" s="161"/>
      <c r="FF456" s="161"/>
      <c r="FG456" s="135"/>
      <c r="FH456" s="135"/>
      <c r="FI456" s="135"/>
      <c r="FJ456" s="135"/>
      <c r="FK456" s="135"/>
      <c r="FL456" s="135"/>
      <c r="FM456" s="136"/>
      <c r="FN456" s="136"/>
      <c r="FO456" s="161"/>
      <c r="FP456" s="161"/>
      <c r="FQ456" s="161"/>
      <c r="FR456" s="161"/>
      <c r="FS456" s="161"/>
      <c r="FT456" s="161"/>
      <c r="FU456" s="135"/>
      <c r="FV456" s="135"/>
      <c r="FW456" s="135"/>
      <c r="FX456" s="135"/>
      <c r="FY456" s="135"/>
      <c r="FZ456" s="135"/>
      <c r="GA456" s="136"/>
      <c r="GB456" s="136"/>
      <c r="GC456" s="161"/>
      <c r="GD456" s="161"/>
      <c r="GE456" s="161"/>
      <c r="GF456" s="161"/>
      <c r="GG456" s="161"/>
      <c r="GH456" s="161"/>
      <c r="GI456" s="135"/>
      <c r="GJ456" s="135"/>
      <c r="GK456" s="135"/>
      <c r="GL456" s="135"/>
      <c r="GM456" s="135"/>
      <c r="GN456" s="135"/>
    </row>
    <row r="457" spans="1:196" ht="24" customHeight="1">
      <c r="A457" s="156"/>
      <c r="B457" s="126" t="s">
        <v>686</v>
      </c>
      <c r="C457" s="109" t="s">
        <v>634</v>
      </c>
      <c r="D457" s="119"/>
      <c r="E457" s="119" t="e">
        <f>VLOOKUP(C457,#REF!,5,0)</f>
        <v>#REF!</v>
      </c>
      <c r="F457" s="107">
        <v>46119</v>
      </c>
      <c r="G457" s="115">
        <v>1000</v>
      </c>
      <c r="H457" s="6"/>
      <c r="I457" s="125">
        <v>46116</v>
      </c>
      <c r="J457" s="13">
        <f t="shared" si="202"/>
        <v>0</v>
      </c>
      <c r="K457" s="141"/>
      <c r="L457" s="161">
        <v>1000</v>
      </c>
      <c r="M457" s="136"/>
      <c r="N457" s="136"/>
      <c r="O457" s="136"/>
      <c r="P457" s="136"/>
      <c r="Q457" s="136"/>
      <c r="R457" s="136"/>
      <c r="S457" s="161"/>
      <c r="T457" s="161"/>
      <c r="U457" s="161"/>
      <c r="V457" s="161"/>
      <c r="W457" s="135"/>
      <c r="X457" s="135"/>
      <c r="Y457" s="135"/>
      <c r="Z457" s="135"/>
      <c r="AA457" s="135"/>
      <c r="AB457" s="135"/>
      <c r="AC457" s="136"/>
      <c r="AD457" s="136"/>
      <c r="AE457" s="161"/>
      <c r="AF457" s="161"/>
      <c r="AG457" s="161"/>
      <c r="AH457" s="161"/>
      <c r="AI457" s="161"/>
      <c r="AJ457" s="161"/>
      <c r="AK457" s="161"/>
      <c r="AL457" s="161"/>
      <c r="AM457" s="135"/>
      <c r="AN457" s="135"/>
      <c r="AO457" s="135"/>
      <c r="AP457" s="135"/>
      <c r="AQ457" s="136"/>
      <c r="AR457" s="136"/>
      <c r="AS457" s="161"/>
      <c r="AT457" s="161"/>
      <c r="AU457" s="161"/>
      <c r="AV457" s="161"/>
      <c r="AW457" s="161"/>
      <c r="AX457" s="161"/>
      <c r="AY457" s="135"/>
      <c r="AZ457" s="135"/>
      <c r="BA457" s="135"/>
      <c r="BB457" s="135"/>
      <c r="BC457" s="135"/>
      <c r="BD457" s="135"/>
      <c r="BE457" s="136"/>
      <c r="BF457" s="136"/>
      <c r="BG457" s="161"/>
      <c r="BH457" s="161"/>
      <c r="BI457" s="161"/>
      <c r="BJ457" s="161"/>
      <c r="BK457" s="161"/>
      <c r="BL457" s="161"/>
      <c r="BM457" s="135"/>
      <c r="BN457" s="135"/>
      <c r="BO457" s="135"/>
      <c r="BP457" s="135"/>
      <c r="BQ457" s="135"/>
      <c r="BR457" s="135"/>
      <c r="BS457" s="136"/>
      <c r="BT457" s="136"/>
      <c r="BU457" s="161"/>
      <c r="BV457" s="161"/>
      <c r="BW457" s="161"/>
      <c r="BX457" s="161"/>
      <c r="BY457" s="161"/>
      <c r="BZ457" s="161"/>
      <c r="CA457" s="135"/>
      <c r="CB457" s="135"/>
      <c r="CC457" s="135"/>
      <c r="CD457" s="135"/>
      <c r="CE457" s="135"/>
      <c r="CF457" s="135"/>
      <c r="CG457" s="136"/>
      <c r="CH457" s="136"/>
      <c r="CI457" s="161"/>
      <c r="CJ457" s="161"/>
      <c r="CK457" s="161"/>
      <c r="CL457" s="161"/>
      <c r="CM457" s="161"/>
      <c r="CN457" s="161"/>
      <c r="CO457" s="135"/>
      <c r="CP457" s="135"/>
      <c r="CQ457" s="135"/>
      <c r="CR457" s="135"/>
      <c r="CS457" s="135"/>
      <c r="CT457" s="135"/>
      <c r="CU457" s="136"/>
      <c r="CV457" s="136"/>
      <c r="CW457" s="161"/>
      <c r="CX457" s="161"/>
      <c r="CY457" s="161"/>
      <c r="CZ457" s="161"/>
      <c r="DA457" s="161"/>
      <c r="DB457" s="161"/>
      <c r="DC457" s="135"/>
      <c r="DD457" s="135"/>
      <c r="DE457" s="135"/>
      <c r="DF457" s="135"/>
      <c r="DG457" s="135"/>
      <c r="DH457" s="135"/>
      <c r="DI457" s="136"/>
      <c r="DJ457" s="136"/>
      <c r="DK457" s="161"/>
      <c r="DL457" s="161"/>
      <c r="DM457" s="161"/>
      <c r="DN457" s="161"/>
      <c r="DO457" s="161"/>
      <c r="DP457" s="161"/>
      <c r="DQ457" s="135"/>
      <c r="DR457" s="135"/>
      <c r="DS457" s="135"/>
      <c r="DT457" s="135"/>
      <c r="DU457" s="135"/>
      <c r="DV457" s="135"/>
      <c r="DW457" s="136"/>
      <c r="DX457" s="136"/>
      <c r="DY457" s="161"/>
      <c r="DZ457" s="161"/>
      <c r="EA457" s="161"/>
      <c r="EB457" s="161"/>
      <c r="EC457" s="161"/>
      <c r="ED457" s="161"/>
      <c r="EE457" s="135"/>
      <c r="EF457" s="135"/>
      <c r="EG457" s="135"/>
      <c r="EH457" s="135"/>
      <c r="EI457" s="135"/>
      <c r="EJ457" s="135"/>
      <c r="EK457" s="136"/>
      <c r="EL457" s="136"/>
      <c r="EM457" s="136"/>
      <c r="EN457" s="136"/>
      <c r="EO457" s="136"/>
      <c r="EP457" s="136"/>
      <c r="EQ457" s="136"/>
      <c r="ER457" s="136"/>
      <c r="ES457" s="135"/>
      <c r="ET457" s="135"/>
      <c r="EU457" s="135"/>
      <c r="EV457" s="135"/>
      <c r="EW457" s="135"/>
      <c r="EX457" s="135"/>
      <c r="EY457" s="136"/>
      <c r="EZ457" s="136"/>
      <c r="FA457" s="161"/>
      <c r="FB457" s="161"/>
      <c r="FC457" s="161"/>
      <c r="FD457" s="161"/>
      <c r="FE457" s="161"/>
      <c r="FF457" s="161"/>
      <c r="FG457" s="135"/>
      <c r="FH457" s="135"/>
      <c r="FI457" s="135"/>
      <c r="FJ457" s="135"/>
      <c r="FK457" s="135"/>
      <c r="FL457" s="135"/>
      <c r="FM457" s="136"/>
      <c r="FN457" s="136"/>
      <c r="FO457" s="161"/>
      <c r="FP457" s="161"/>
      <c r="FQ457" s="161"/>
      <c r="FR457" s="161"/>
      <c r="FS457" s="161"/>
      <c r="FT457" s="161"/>
      <c r="FU457" s="135"/>
      <c r="FV457" s="135"/>
      <c r="FW457" s="135"/>
      <c r="FX457" s="135"/>
      <c r="FY457" s="135"/>
      <c r="FZ457" s="135"/>
      <c r="GA457" s="136"/>
      <c r="GB457" s="136"/>
      <c r="GC457" s="161"/>
      <c r="GD457" s="161"/>
      <c r="GE457" s="161"/>
      <c r="GF457" s="161"/>
      <c r="GG457" s="161"/>
      <c r="GH457" s="161"/>
      <c r="GI457" s="135"/>
      <c r="GJ457" s="135"/>
      <c r="GK457" s="135"/>
      <c r="GL457" s="135"/>
      <c r="GM457" s="135"/>
      <c r="GN457" s="135"/>
    </row>
    <row r="458" spans="1:196" ht="29.5" customHeight="1">
      <c r="A458" s="156"/>
      <c r="B458" s="126" t="s">
        <v>647</v>
      </c>
      <c r="C458" s="109" t="s">
        <v>634</v>
      </c>
      <c r="D458" s="119"/>
      <c r="E458" s="119" t="e">
        <f>VLOOKUP(C458,#REF!,5,0)</f>
        <v>#REF!</v>
      </c>
      <c r="F458" s="107">
        <v>46125</v>
      </c>
      <c r="G458" s="115">
        <v>2000</v>
      </c>
      <c r="H458" s="6"/>
      <c r="I458" s="125">
        <v>46123</v>
      </c>
      <c r="J458" s="13">
        <f t="shared" si="202"/>
        <v>0</v>
      </c>
      <c r="K458" s="167"/>
      <c r="L458" s="161">
        <v>2000</v>
      </c>
      <c r="M458" s="136"/>
      <c r="N458" s="136"/>
      <c r="O458" s="136"/>
      <c r="P458" s="136"/>
      <c r="Q458" s="136"/>
      <c r="R458" s="136"/>
      <c r="S458" s="161"/>
      <c r="T458" s="161"/>
      <c r="U458" s="161"/>
      <c r="V458" s="161"/>
      <c r="W458" s="135"/>
      <c r="X458" s="135"/>
      <c r="Y458" s="135"/>
      <c r="Z458" s="135"/>
      <c r="AA458" s="135"/>
      <c r="AB458" s="135"/>
      <c r="AC458" s="136"/>
      <c r="AD458" s="136"/>
      <c r="AE458" s="161"/>
      <c r="AF458" s="161"/>
      <c r="AG458" s="161"/>
      <c r="AH458" s="161"/>
      <c r="AI458" s="161"/>
      <c r="AJ458" s="161"/>
      <c r="AK458" s="161"/>
      <c r="AL458" s="161"/>
      <c r="AM458" s="135"/>
      <c r="AN458" s="135"/>
      <c r="AO458" s="135"/>
      <c r="AP458" s="135"/>
      <c r="AQ458" s="136"/>
      <c r="AR458" s="136"/>
      <c r="AS458" s="161"/>
      <c r="AT458" s="161"/>
      <c r="AU458" s="161"/>
      <c r="AV458" s="161"/>
      <c r="AW458" s="161"/>
      <c r="AX458" s="161"/>
      <c r="AY458" s="135"/>
      <c r="AZ458" s="135"/>
      <c r="BA458" s="135"/>
      <c r="BB458" s="135"/>
      <c r="BC458" s="135"/>
      <c r="BD458" s="135"/>
      <c r="BE458" s="136"/>
      <c r="BF458" s="136"/>
      <c r="BG458" s="161"/>
      <c r="BH458" s="161"/>
      <c r="BI458" s="161"/>
      <c r="BJ458" s="161"/>
      <c r="BK458" s="161"/>
      <c r="BL458" s="161"/>
      <c r="BM458" s="135"/>
      <c r="BN458" s="135"/>
      <c r="BO458" s="135"/>
      <c r="BP458" s="135"/>
      <c r="BQ458" s="135"/>
      <c r="BR458" s="135"/>
      <c r="BS458" s="136"/>
      <c r="BT458" s="136"/>
      <c r="BU458" s="161"/>
      <c r="BV458" s="161"/>
      <c r="BW458" s="161"/>
      <c r="BX458" s="161"/>
      <c r="BY458" s="161"/>
      <c r="BZ458" s="161"/>
      <c r="CA458" s="135"/>
      <c r="CB458" s="135"/>
      <c r="CC458" s="135"/>
      <c r="CD458" s="135"/>
      <c r="CE458" s="135"/>
      <c r="CF458" s="135"/>
      <c r="CG458" s="136"/>
      <c r="CH458" s="136"/>
      <c r="CI458" s="161"/>
      <c r="CJ458" s="161"/>
      <c r="CK458" s="161"/>
      <c r="CL458" s="161"/>
      <c r="CM458" s="161"/>
      <c r="CN458" s="161"/>
      <c r="CO458" s="135"/>
      <c r="CP458" s="135"/>
      <c r="CQ458" s="135"/>
      <c r="CR458" s="135"/>
      <c r="CS458" s="135"/>
      <c r="CT458" s="135"/>
      <c r="CU458" s="136"/>
      <c r="CV458" s="136"/>
      <c r="CW458" s="161"/>
      <c r="CX458" s="161"/>
      <c r="CY458" s="161"/>
      <c r="CZ458" s="161"/>
      <c r="DA458" s="161"/>
      <c r="DB458" s="161"/>
      <c r="DC458" s="135"/>
      <c r="DD458" s="135"/>
      <c r="DE458" s="135"/>
      <c r="DF458" s="135"/>
      <c r="DG458" s="135"/>
      <c r="DH458" s="135"/>
      <c r="DI458" s="136"/>
      <c r="DJ458" s="136"/>
      <c r="DK458" s="161"/>
      <c r="DL458" s="161"/>
      <c r="DM458" s="161"/>
      <c r="DN458" s="161"/>
      <c r="DO458" s="161"/>
      <c r="DP458" s="161"/>
      <c r="DQ458" s="135"/>
      <c r="DR458" s="135"/>
      <c r="DS458" s="135"/>
      <c r="DT458" s="135"/>
      <c r="DU458" s="135"/>
      <c r="DV458" s="135"/>
      <c r="DW458" s="136"/>
      <c r="DX458" s="136"/>
      <c r="DY458" s="161"/>
      <c r="DZ458" s="161"/>
      <c r="EA458" s="161"/>
      <c r="EB458" s="161"/>
      <c r="EC458" s="161"/>
      <c r="ED458" s="161"/>
      <c r="EE458" s="135"/>
      <c r="EF458" s="135"/>
      <c r="EG458" s="135"/>
      <c r="EH458" s="135"/>
      <c r="EI458" s="135"/>
      <c r="EJ458" s="135"/>
      <c r="EK458" s="136"/>
      <c r="EL458" s="136"/>
      <c r="EM458" s="136"/>
      <c r="EN458" s="136"/>
      <c r="EO458" s="136"/>
      <c r="EP458" s="136"/>
      <c r="EQ458" s="136"/>
      <c r="ER458" s="136"/>
      <c r="ES458" s="135"/>
      <c r="ET458" s="135"/>
      <c r="EU458" s="135"/>
      <c r="EV458" s="135"/>
      <c r="EW458" s="135"/>
      <c r="EX458" s="135"/>
      <c r="EY458" s="136"/>
      <c r="EZ458" s="136"/>
      <c r="FA458" s="161"/>
      <c r="FB458" s="161"/>
      <c r="FC458" s="161"/>
      <c r="FD458" s="161"/>
      <c r="FE458" s="161"/>
      <c r="FF458" s="161"/>
      <c r="FG458" s="135"/>
      <c r="FH458" s="135"/>
      <c r="FI458" s="135"/>
      <c r="FJ458" s="135"/>
      <c r="FK458" s="135"/>
      <c r="FL458" s="135"/>
      <c r="FM458" s="136"/>
      <c r="FN458" s="136"/>
      <c r="FO458" s="161"/>
      <c r="FP458" s="161"/>
      <c r="FQ458" s="161"/>
      <c r="FR458" s="161"/>
      <c r="FS458" s="161"/>
      <c r="FT458" s="161"/>
      <c r="FU458" s="135"/>
      <c r="FV458" s="135"/>
      <c r="FW458" s="135"/>
      <c r="FX458" s="135"/>
      <c r="FY458" s="135"/>
      <c r="FZ458" s="135"/>
      <c r="GA458" s="136"/>
      <c r="GB458" s="136"/>
      <c r="GC458" s="161"/>
      <c r="GD458" s="161"/>
      <c r="GE458" s="161"/>
      <c r="GF458" s="161"/>
      <c r="GG458" s="161"/>
      <c r="GH458" s="161"/>
      <c r="GI458" s="135"/>
      <c r="GJ458" s="135"/>
      <c r="GK458" s="135"/>
      <c r="GL458" s="135"/>
      <c r="GM458" s="135"/>
      <c r="GN458" s="135"/>
    </row>
    <row r="459" spans="1:196" ht="40.5" customHeight="1">
      <c r="A459" s="156"/>
      <c r="B459" s="126" t="s">
        <v>674</v>
      </c>
      <c r="C459" s="109" t="s">
        <v>634</v>
      </c>
      <c r="D459" s="119"/>
      <c r="E459" s="119" t="e">
        <f>VLOOKUP(C459,#REF!,5,0)</f>
        <v>#REF!</v>
      </c>
      <c r="F459" s="107">
        <v>46141</v>
      </c>
      <c r="G459" s="115">
        <v>2000</v>
      </c>
      <c r="H459" s="6"/>
      <c r="I459" s="125">
        <v>46144</v>
      </c>
      <c r="J459" s="13">
        <f t="shared" si="202"/>
        <v>0</v>
      </c>
      <c r="K459" s="141"/>
      <c r="L459" s="161">
        <v>2000</v>
      </c>
      <c r="M459" s="136"/>
      <c r="N459" s="136"/>
      <c r="O459" s="136"/>
      <c r="P459" s="136"/>
      <c r="Q459" s="136"/>
      <c r="R459" s="136"/>
      <c r="S459" s="161"/>
      <c r="T459" s="161"/>
      <c r="U459" s="161"/>
      <c r="V459" s="161"/>
      <c r="W459" s="135"/>
      <c r="X459" s="135"/>
      <c r="Y459" s="135"/>
      <c r="Z459" s="135"/>
      <c r="AA459" s="135"/>
      <c r="AB459" s="135"/>
      <c r="AC459" s="136"/>
      <c r="AD459" s="136"/>
      <c r="AE459" s="161"/>
      <c r="AF459" s="161"/>
      <c r="AG459" s="161"/>
      <c r="AH459" s="161"/>
      <c r="AI459" s="161"/>
      <c r="AJ459" s="161"/>
      <c r="AK459" s="161"/>
      <c r="AL459" s="161"/>
      <c r="AM459" s="135"/>
      <c r="AN459" s="135"/>
      <c r="AO459" s="135"/>
      <c r="AP459" s="135"/>
      <c r="AQ459" s="136"/>
      <c r="AR459" s="136"/>
      <c r="AS459" s="161"/>
      <c r="AT459" s="161"/>
      <c r="AU459" s="161"/>
      <c r="AV459" s="161"/>
      <c r="AW459" s="161"/>
      <c r="AX459" s="161"/>
      <c r="AY459" s="135"/>
      <c r="AZ459" s="135"/>
      <c r="BA459" s="135"/>
      <c r="BB459" s="135"/>
      <c r="BC459" s="135"/>
      <c r="BD459" s="135"/>
      <c r="BE459" s="136"/>
      <c r="BF459" s="136"/>
      <c r="BG459" s="161"/>
      <c r="BH459" s="161"/>
      <c r="BI459" s="161"/>
      <c r="BJ459" s="161"/>
      <c r="BK459" s="161"/>
      <c r="BL459" s="161"/>
      <c r="BM459" s="135"/>
      <c r="BN459" s="135"/>
      <c r="BO459" s="135"/>
      <c r="BP459" s="135"/>
      <c r="BQ459" s="135"/>
      <c r="BR459" s="135"/>
      <c r="BS459" s="136"/>
      <c r="BT459" s="136"/>
      <c r="BU459" s="161"/>
      <c r="BV459" s="161"/>
      <c r="BW459" s="161"/>
      <c r="BX459" s="161"/>
      <c r="BY459" s="161"/>
      <c r="BZ459" s="161"/>
      <c r="CA459" s="135"/>
      <c r="CB459" s="135"/>
      <c r="CC459" s="135"/>
      <c r="CD459" s="135"/>
      <c r="CE459" s="135"/>
      <c r="CF459" s="135"/>
      <c r="CG459" s="136"/>
      <c r="CH459" s="136"/>
      <c r="CI459" s="161"/>
      <c r="CJ459" s="161"/>
      <c r="CK459" s="161"/>
      <c r="CL459" s="161"/>
      <c r="CM459" s="161"/>
      <c r="CN459" s="161"/>
      <c r="CO459" s="135"/>
      <c r="CP459" s="135"/>
      <c r="CQ459" s="135"/>
      <c r="CR459" s="135"/>
      <c r="CS459" s="135"/>
      <c r="CT459" s="135"/>
      <c r="CU459" s="136"/>
      <c r="CV459" s="136"/>
      <c r="CW459" s="161"/>
      <c r="CX459" s="161"/>
      <c r="CY459" s="161"/>
      <c r="CZ459" s="161"/>
      <c r="DA459" s="161"/>
      <c r="DB459" s="161"/>
      <c r="DC459" s="135"/>
      <c r="DD459" s="135"/>
      <c r="DE459" s="135"/>
      <c r="DF459" s="135"/>
      <c r="DG459" s="135"/>
      <c r="DH459" s="135"/>
      <c r="DI459" s="136"/>
      <c r="DJ459" s="136"/>
      <c r="DK459" s="161"/>
      <c r="DL459" s="161"/>
      <c r="DM459" s="161"/>
      <c r="DN459" s="161"/>
      <c r="DO459" s="161"/>
      <c r="DP459" s="161"/>
      <c r="DQ459" s="135"/>
      <c r="DR459" s="135"/>
      <c r="DS459" s="135"/>
      <c r="DT459" s="135"/>
      <c r="DU459" s="135"/>
      <c r="DV459" s="135"/>
      <c r="DW459" s="136"/>
      <c r="DX459" s="136"/>
      <c r="DY459" s="161"/>
      <c r="DZ459" s="161"/>
      <c r="EA459" s="161"/>
      <c r="EB459" s="161"/>
      <c r="EC459" s="161"/>
      <c r="ED459" s="161"/>
      <c r="EE459" s="135"/>
      <c r="EF459" s="135"/>
      <c r="EG459" s="135"/>
      <c r="EH459" s="135"/>
      <c r="EI459" s="135"/>
      <c r="EJ459" s="135"/>
      <c r="EK459" s="136"/>
      <c r="EL459" s="136"/>
      <c r="EM459" s="136"/>
      <c r="EN459" s="136"/>
      <c r="EO459" s="136"/>
      <c r="EP459" s="136"/>
      <c r="EQ459" s="136"/>
      <c r="ER459" s="136"/>
      <c r="ES459" s="135"/>
      <c r="ET459" s="135"/>
      <c r="EU459" s="135"/>
      <c r="EV459" s="135"/>
      <c r="EW459" s="135"/>
      <c r="EX459" s="135"/>
      <c r="EY459" s="136"/>
      <c r="EZ459" s="136"/>
      <c r="FA459" s="161"/>
      <c r="FB459" s="161"/>
      <c r="FC459" s="161"/>
      <c r="FD459" s="161"/>
      <c r="FE459" s="161"/>
      <c r="FF459" s="161"/>
      <c r="FG459" s="135"/>
      <c r="FH459" s="135"/>
      <c r="FI459" s="135"/>
      <c r="FJ459" s="135"/>
      <c r="FK459" s="135"/>
      <c r="FL459" s="135"/>
      <c r="FM459" s="136"/>
      <c r="FN459" s="136"/>
      <c r="FO459" s="161"/>
      <c r="FP459" s="161"/>
      <c r="FQ459" s="161"/>
      <c r="FR459" s="161"/>
      <c r="FS459" s="161"/>
      <c r="FT459" s="161"/>
      <c r="FU459" s="135"/>
      <c r="FV459" s="135"/>
      <c r="FW459" s="135"/>
      <c r="FX459" s="135"/>
      <c r="FY459" s="135"/>
      <c r="FZ459" s="135"/>
      <c r="GA459" s="136"/>
      <c r="GB459" s="136"/>
      <c r="GC459" s="161"/>
      <c r="GD459" s="161"/>
      <c r="GE459" s="161"/>
      <c r="GF459" s="161"/>
      <c r="GG459" s="161"/>
      <c r="GH459" s="161"/>
      <c r="GI459" s="135"/>
      <c r="GJ459" s="135"/>
      <c r="GK459" s="135"/>
      <c r="GL459" s="135"/>
      <c r="GM459" s="135"/>
      <c r="GN459" s="135"/>
    </row>
    <row r="460" spans="1:196" ht="30" customHeight="1">
      <c r="A460" s="156"/>
      <c r="B460" s="126" t="s">
        <v>676</v>
      </c>
      <c r="C460" s="109" t="s">
        <v>634</v>
      </c>
      <c r="D460" s="119"/>
      <c r="E460" s="119" t="e">
        <f>VLOOKUP(C460,#REF!,5,0)</f>
        <v>#REF!</v>
      </c>
      <c r="F460" s="107">
        <v>46154</v>
      </c>
      <c r="G460" s="115">
        <v>2000</v>
      </c>
      <c r="H460" s="6"/>
      <c r="I460" s="125">
        <v>46151</v>
      </c>
      <c r="J460" s="13">
        <f t="shared" si="202"/>
        <v>0</v>
      </c>
      <c r="K460" s="141"/>
      <c r="L460" s="161">
        <v>2000</v>
      </c>
      <c r="M460" s="136"/>
      <c r="N460" s="136"/>
      <c r="O460" s="136"/>
      <c r="P460" s="136"/>
      <c r="Q460" s="136"/>
      <c r="R460" s="136"/>
      <c r="S460" s="161"/>
      <c r="T460" s="161"/>
      <c r="U460" s="161"/>
      <c r="V460" s="161"/>
      <c r="W460" s="135"/>
      <c r="X460" s="135"/>
      <c r="Y460" s="135"/>
      <c r="Z460" s="135"/>
      <c r="AA460" s="135"/>
      <c r="AB460" s="135"/>
      <c r="AC460" s="136"/>
      <c r="AD460" s="136"/>
      <c r="AE460" s="161"/>
      <c r="AF460" s="161"/>
      <c r="AG460" s="161"/>
      <c r="AH460" s="161"/>
      <c r="AI460" s="161"/>
      <c r="AJ460" s="161"/>
      <c r="AK460" s="161"/>
      <c r="AL460" s="161"/>
      <c r="AM460" s="135"/>
      <c r="AN460" s="135"/>
      <c r="AO460" s="135"/>
      <c r="AP460" s="135"/>
      <c r="AQ460" s="136"/>
      <c r="AR460" s="136"/>
      <c r="AS460" s="161"/>
      <c r="AT460" s="161"/>
      <c r="AU460" s="161"/>
      <c r="AV460" s="161"/>
      <c r="AW460" s="161"/>
      <c r="AX460" s="161"/>
      <c r="AY460" s="135"/>
      <c r="AZ460" s="135"/>
      <c r="BA460" s="135"/>
      <c r="BB460" s="135"/>
      <c r="BC460" s="135"/>
      <c r="BD460" s="135"/>
      <c r="BE460" s="136"/>
      <c r="BF460" s="136"/>
      <c r="BG460" s="161"/>
      <c r="BH460" s="161"/>
      <c r="BI460" s="161"/>
      <c r="BJ460" s="161"/>
      <c r="BK460" s="161"/>
      <c r="BL460" s="161"/>
      <c r="BM460" s="135"/>
      <c r="BN460" s="135"/>
      <c r="BO460" s="135"/>
      <c r="BP460" s="135"/>
      <c r="BQ460" s="135"/>
      <c r="BR460" s="135"/>
      <c r="BS460" s="136"/>
      <c r="BT460" s="136"/>
      <c r="BU460" s="161"/>
      <c r="BV460" s="161"/>
      <c r="BW460" s="161"/>
      <c r="BX460" s="161"/>
      <c r="BY460" s="161"/>
      <c r="BZ460" s="161"/>
      <c r="CA460" s="135"/>
      <c r="CB460" s="135"/>
      <c r="CC460" s="135"/>
      <c r="CD460" s="135"/>
      <c r="CE460" s="135"/>
      <c r="CF460" s="135"/>
      <c r="CG460" s="136"/>
      <c r="CH460" s="136"/>
      <c r="CI460" s="161"/>
      <c r="CJ460" s="161"/>
      <c r="CK460" s="161"/>
      <c r="CL460" s="161"/>
      <c r="CM460" s="161"/>
      <c r="CN460" s="161"/>
      <c r="CO460" s="135"/>
      <c r="CP460" s="135"/>
      <c r="CQ460" s="135"/>
      <c r="CR460" s="135"/>
      <c r="CS460" s="135"/>
      <c r="CT460" s="135"/>
      <c r="CU460" s="136"/>
      <c r="CV460" s="136"/>
      <c r="CW460" s="161"/>
      <c r="CX460" s="161"/>
      <c r="CY460" s="161"/>
      <c r="CZ460" s="161"/>
      <c r="DA460" s="161"/>
      <c r="DB460" s="161"/>
      <c r="DC460" s="135"/>
      <c r="DD460" s="135"/>
      <c r="DE460" s="135"/>
      <c r="DF460" s="135"/>
      <c r="DG460" s="135"/>
      <c r="DH460" s="135"/>
      <c r="DI460" s="136"/>
      <c r="DJ460" s="136"/>
      <c r="DK460" s="161"/>
      <c r="DL460" s="161"/>
      <c r="DM460" s="161"/>
      <c r="DN460" s="161"/>
      <c r="DO460" s="161"/>
      <c r="DP460" s="161"/>
      <c r="DQ460" s="135"/>
      <c r="DR460" s="135"/>
      <c r="DS460" s="135"/>
      <c r="DT460" s="135"/>
      <c r="DU460" s="135"/>
      <c r="DV460" s="135"/>
      <c r="DW460" s="136"/>
      <c r="DX460" s="136"/>
      <c r="DY460" s="161"/>
      <c r="DZ460" s="161"/>
      <c r="EA460" s="161"/>
      <c r="EB460" s="161"/>
      <c r="EC460" s="161"/>
      <c r="ED460" s="161"/>
      <c r="EE460" s="135"/>
      <c r="EF460" s="135"/>
      <c r="EG460" s="135"/>
      <c r="EH460" s="135"/>
      <c r="EI460" s="135"/>
      <c r="EJ460" s="135"/>
      <c r="EK460" s="136"/>
      <c r="EL460" s="136"/>
      <c r="EM460" s="136"/>
      <c r="EN460" s="136"/>
      <c r="EO460" s="136"/>
      <c r="EP460" s="136"/>
      <c r="EQ460" s="136"/>
      <c r="ER460" s="136"/>
      <c r="ES460" s="135"/>
      <c r="ET460" s="135"/>
      <c r="EU460" s="135"/>
      <c r="EV460" s="135"/>
      <c r="EW460" s="135"/>
      <c r="EX460" s="135"/>
      <c r="EY460" s="136"/>
      <c r="EZ460" s="136"/>
      <c r="FA460" s="161"/>
      <c r="FB460" s="161"/>
      <c r="FC460" s="161"/>
      <c r="FD460" s="161"/>
      <c r="FE460" s="161"/>
      <c r="FF460" s="161"/>
      <c r="FG460" s="135"/>
      <c r="FH460" s="135"/>
      <c r="FI460" s="135"/>
      <c r="FJ460" s="135"/>
      <c r="FK460" s="135"/>
      <c r="FL460" s="135"/>
      <c r="FM460" s="136"/>
      <c r="FN460" s="136"/>
      <c r="FO460" s="161"/>
      <c r="FP460" s="161"/>
      <c r="FQ460" s="161"/>
      <c r="FR460" s="161"/>
      <c r="FS460" s="161"/>
      <c r="FT460" s="161"/>
      <c r="FU460" s="135"/>
      <c r="FV460" s="135"/>
      <c r="FW460" s="135"/>
      <c r="FX460" s="135"/>
      <c r="FY460" s="135"/>
      <c r="FZ460" s="135"/>
      <c r="GA460" s="136"/>
      <c r="GB460" s="136"/>
      <c r="GC460" s="161"/>
      <c r="GD460" s="161"/>
      <c r="GE460" s="161"/>
      <c r="GF460" s="161"/>
      <c r="GG460" s="161"/>
      <c r="GH460" s="161"/>
      <c r="GI460" s="135"/>
      <c r="GJ460" s="135"/>
      <c r="GK460" s="135"/>
      <c r="GL460" s="135"/>
      <c r="GM460" s="135"/>
      <c r="GN460" s="135"/>
    </row>
    <row r="461" spans="1:196" ht="54" customHeight="1">
      <c r="A461" s="156"/>
      <c r="B461" s="126" t="s">
        <v>684</v>
      </c>
      <c r="C461" s="109" t="s">
        <v>634</v>
      </c>
      <c r="D461" s="119"/>
      <c r="E461" s="119" t="e">
        <f>VLOOKUP(C461,#REF!,5,0)</f>
        <v>#REF!</v>
      </c>
      <c r="F461" s="107">
        <v>46160</v>
      </c>
      <c r="G461" s="115">
        <v>1040</v>
      </c>
      <c r="H461" s="6"/>
      <c r="I461" s="125">
        <v>46158</v>
      </c>
      <c r="J461" s="13">
        <f t="shared" si="202"/>
        <v>0</v>
      </c>
      <c r="K461" s="141"/>
      <c r="L461" s="161">
        <v>1040</v>
      </c>
      <c r="M461" s="136"/>
      <c r="N461" s="136"/>
      <c r="O461" s="136"/>
      <c r="P461" s="136"/>
      <c r="Q461" s="136"/>
      <c r="R461" s="136"/>
      <c r="S461" s="161"/>
      <c r="T461" s="161"/>
      <c r="U461" s="161"/>
      <c r="V461" s="161"/>
      <c r="W461" s="135"/>
      <c r="X461" s="135"/>
      <c r="Y461" s="135"/>
      <c r="Z461" s="135"/>
      <c r="AA461" s="135"/>
      <c r="AB461" s="135"/>
      <c r="AC461" s="136"/>
      <c r="AD461" s="136"/>
      <c r="AE461" s="161"/>
      <c r="AF461" s="161"/>
      <c r="AG461" s="161"/>
      <c r="AH461" s="161"/>
      <c r="AI461" s="161"/>
      <c r="AJ461" s="161"/>
      <c r="AK461" s="161"/>
      <c r="AL461" s="161"/>
      <c r="AM461" s="135"/>
      <c r="AN461" s="135"/>
      <c r="AO461" s="135"/>
      <c r="AP461" s="135"/>
      <c r="AQ461" s="136"/>
      <c r="AR461" s="136"/>
      <c r="AS461" s="161"/>
      <c r="AT461" s="161"/>
      <c r="AU461" s="161"/>
      <c r="AV461" s="161"/>
      <c r="AW461" s="161"/>
      <c r="AX461" s="161"/>
      <c r="AY461" s="135"/>
      <c r="AZ461" s="135"/>
      <c r="BA461" s="135"/>
      <c r="BB461" s="135"/>
      <c r="BC461" s="135"/>
      <c r="BD461" s="135"/>
      <c r="BE461" s="136"/>
      <c r="BF461" s="136"/>
      <c r="BG461" s="161"/>
      <c r="BH461" s="161"/>
      <c r="BI461" s="161"/>
      <c r="BJ461" s="161"/>
      <c r="BK461" s="161"/>
      <c r="BL461" s="161"/>
      <c r="BM461" s="135"/>
      <c r="BN461" s="135"/>
      <c r="BO461" s="135"/>
      <c r="BP461" s="135"/>
      <c r="BQ461" s="135"/>
      <c r="BR461" s="135"/>
      <c r="BS461" s="136"/>
      <c r="BT461" s="136"/>
      <c r="BU461" s="161"/>
      <c r="BV461" s="161"/>
      <c r="BW461" s="161"/>
      <c r="BX461" s="161"/>
      <c r="BY461" s="161"/>
      <c r="BZ461" s="161"/>
      <c r="CA461" s="135"/>
      <c r="CB461" s="135"/>
      <c r="CC461" s="135"/>
      <c r="CD461" s="135"/>
      <c r="CE461" s="135"/>
      <c r="CF461" s="135"/>
      <c r="CG461" s="136"/>
      <c r="CH461" s="136"/>
      <c r="CI461" s="161"/>
      <c r="CJ461" s="161"/>
      <c r="CK461" s="161"/>
      <c r="CL461" s="161"/>
      <c r="CM461" s="161"/>
      <c r="CN461" s="161"/>
      <c r="CO461" s="135"/>
      <c r="CP461" s="135"/>
      <c r="CQ461" s="135"/>
      <c r="CR461" s="135"/>
      <c r="CS461" s="135"/>
      <c r="CT461" s="135"/>
      <c r="CU461" s="136"/>
      <c r="CV461" s="136"/>
      <c r="CW461" s="161"/>
      <c r="CX461" s="161"/>
      <c r="CY461" s="161"/>
      <c r="CZ461" s="161"/>
      <c r="DA461" s="161"/>
      <c r="DB461" s="161"/>
      <c r="DC461" s="135"/>
      <c r="DD461" s="135"/>
      <c r="DE461" s="135"/>
      <c r="DF461" s="135"/>
      <c r="DG461" s="135"/>
      <c r="DH461" s="135"/>
      <c r="DI461" s="136"/>
      <c r="DJ461" s="136"/>
      <c r="DK461" s="161"/>
      <c r="DL461" s="161"/>
      <c r="DM461" s="161"/>
      <c r="DN461" s="161"/>
      <c r="DO461" s="161"/>
      <c r="DP461" s="161"/>
      <c r="DQ461" s="135"/>
      <c r="DR461" s="135"/>
      <c r="DS461" s="135"/>
      <c r="DT461" s="135"/>
      <c r="DU461" s="135"/>
      <c r="DV461" s="135"/>
      <c r="DW461" s="136"/>
      <c r="DX461" s="136"/>
      <c r="DY461" s="161"/>
      <c r="DZ461" s="161"/>
      <c r="EA461" s="161"/>
      <c r="EB461" s="161"/>
      <c r="EC461" s="161"/>
      <c r="ED461" s="161"/>
      <c r="EE461" s="135"/>
      <c r="EF461" s="135"/>
      <c r="EG461" s="135"/>
      <c r="EH461" s="135"/>
      <c r="EI461" s="135"/>
      <c r="EJ461" s="135"/>
      <c r="EK461" s="136"/>
      <c r="EL461" s="136"/>
      <c r="EM461" s="136"/>
      <c r="EN461" s="136"/>
      <c r="EO461" s="136"/>
      <c r="EP461" s="136"/>
      <c r="EQ461" s="136"/>
      <c r="ER461" s="136"/>
      <c r="ES461" s="135"/>
      <c r="ET461" s="135"/>
      <c r="EU461" s="135"/>
      <c r="EV461" s="135"/>
      <c r="EW461" s="135"/>
      <c r="EX461" s="135"/>
      <c r="EY461" s="136"/>
      <c r="EZ461" s="136"/>
      <c r="FA461" s="161"/>
      <c r="FB461" s="161"/>
      <c r="FC461" s="161"/>
      <c r="FD461" s="161"/>
      <c r="FE461" s="161"/>
      <c r="FF461" s="161"/>
      <c r="FG461" s="135"/>
      <c r="FH461" s="135"/>
      <c r="FI461" s="135"/>
      <c r="FJ461" s="135"/>
      <c r="FK461" s="135"/>
      <c r="FL461" s="135"/>
      <c r="FM461" s="136"/>
      <c r="FN461" s="136"/>
      <c r="FO461" s="161"/>
      <c r="FP461" s="161"/>
      <c r="FQ461" s="161"/>
      <c r="FR461" s="161"/>
      <c r="FS461" s="161"/>
      <c r="FT461" s="161"/>
      <c r="FU461" s="135"/>
      <c r="FV461" s="135"/>
      <c r="FW461" s="135"/>
      <c r="FX461" s="135"/>
      <c r="FY461" s="135"/>
      <c r="FZ461" s="135"/>
      <c r="GA461" s="136"/>
      <c r="GB461" s="136"/>
      <c r="GC461" s="161"/>
      <c r="GD461" s="161"/>
      <c r="GE461" s="161"/>
      <c r="GF461" s="161"/>
      <c r="GG461" s="161"/>
      <c r="GH461" s="161"/>
      <c r="GI461" s="135"/>
      <c r="GJ461" s="135"/>
      <c r="GK461" s="135"/>
      <c r="GL461" s="135"/>
      <c r="GM461" s="135"/>
      <c r="GN461" s="135"/>
    </row>
    <row r="462" spans="1:196">
      <c r="A462" s="156"/>
      <c r="B462" s="126" t="s">
        <v>882</v>
      </c>
      <c r="C462" s="109" t="s">
        <v>634</v>
      </c>
      <c r="D462" s="119"/>
      <c r="E462" s="119" t="e">
        <f>VLOOKUP(C462,#REF!,5,0)</f>
        <v>#REF!</v>
      </c>
      <c r="F462" s="107">
        <v>46193</v>
      </c>
      <c r="G462" s="115">
        <v>5</v>
      </c>
      <c r="H462" s="6"/>
      <c r="I462" s="125">
        <v>46193</v>
      </c>
      <c r="J462" s="13">
        <f t="shared" si="202"/>
        <v>0</v>
      </c>
      <c r="K462" s="141"/>
      <c r="L462" s="161">
        <v>5</v>
      </c>
      <c r="M462" s="136"/>
      <c r="N462" s="136"/>
      <c r="O462" s="136"/>
      <c r="P462" s="136"/>
      <c r="Q462" s="136"/>
      <c r="R462" s="136"/>
      <c r="S462" s="161"/>
      <c r="T462" s="161"/>
      <c r="U462" s="161"/>
      <c r="V462" s="161"/>
      <c r="W462" s="135"/>
      <c r="X462" s="135"/>
      <c r="Y462" s="135"/>
      <c r="Z462" s="135"/>
      <c r="AA462" s="135"/>
      <c r="AB462" s="135"/>
      <c r="AC462" s="136"/>
      <c r="AD462" s="136"/>
      <c r="AE462" s="161"/>
      <c r="AF462" s="161"/>
      <c r="AG462" s="161"/>
      <c r="AH462" s="161"/>
      <c r="AI462" s="161"/>
      <c r="AJ462" s="161"/>
      <c r="AK462" s="161"/>
      <c r="AL462" s="161"/>
      <c r="AM462" s="135"/>
      <c r="AN462" s="135"/>
      <c r="AO462" s="135"/>
      <c r="AP462" s="135"/>
      <c r="AQ462" s="136"/>
      <c r="AR462" s="136"/>
      <c r="AS462" s="161"/>
      <c r="AT462" s="161"/>
      <c r="AU462" s="161"/>
      <c r="AV462" s="161"/>
      <c r="AW462" s="161"/>
      <c r="AX462" s="161"/>
      <c r="AY462" s="135"/>
      <c r="AZ462" s="135"/>
      <c r="BA462" s="135"/>
      <c r="BB462" s="135"/>
      <c r="BC462" s="135"/>
      <c r="BD462" s="135"/>
      <c r="BE462" s="136"/>
      <c r="BF462" s="136"/>
      <c r="BG462" s="161"/>
      <c r="BH462" s="161"/>
      <c r="BI462" s="161"/>
      <c r="BJ462" s="161"/>
      <c r="BK462" s="161"/>
      <c r="BL462" s="161"/>
      <c r="BM462" s="135"/>
      <c r="BN462" s="135"/>
      <c r="BO462" s="135"/>
      <c r="BP462" s="135"/>
      <c r="BQ462" s="135"/>
      <c r="BR462" s="135"/>
      <c r="BS462" s="136"/>
      <c r="BT462" s="136"/>
      <c r="BU462" s="161"/>
      <c r="BV462" s="161"/>
      <c r="BW462" s="161"/>
      <c r="BX462" s="161"/>
      <c r="BY462" s="161"/>
      <c r="BZ462" s="161"/>
      <c r="CA462" s="135"/>
      <c r="CB462" s="135"/>
      <c r="CC462" s="135"/>
      <c r="CD462" s="135"/>
      <c r="CE462" s="135"/>
      <c r="CF462" s="135"/>
      <c r="CG462" s="136"/>
      <c r="CH462" s="136"/>
      <c r="CI462" s="161"/>
      <c r="CJ462" s="161"/>
      <c r="CK462" s="161"/>
      <c r="CL462" s="161"/>
      <c r="CM462" s="161"/>
      <c r="CN462" s="161"/>
      <c r="CO462" s="135"/>
      <c r="CP462" s="135"/>
      <c r="CQ462" s="135"/>
      <c r="CR462" s="135"/>
      <c r="CS462" s="135"/>
      <c r="CT462" s="135"/>
      <c r="CU462" s="136"/>
      <c r="CV462" s="136"/>
      <c r="CW462" s="161"/>
      <c r="CX462" s="161"/>
      <c r="CY462" s="161"/>
      <c r="CZ462" s="161"/>
      <c r="DA462" s="161"/>
      <c r="DB462" s="161"/>
      <c r="DC462" s="135"/>
      <c r="DD462" s="135"/>
      <c r="DE462" s="135"/>
      <c r="DF462" s="135"/>
      <c r="DG462" s="135"/>
      <c r="DH462" s="135"/>
      <c r="DI462" s="136"/>
      <c r="DJ462" s="136"/>
      <c r="DK462" s="161"/>
      <c r="DL462" s="161"/>
      <c r="DM462" s="161"/>
      <c r="DN462" s="161"/>
      <c r="DO462" s="161"/>
      <c r="DP462" s="161"/>
      <c r="DQ462" s="135"/>
      <c r="DR462" s="135"/>
      <c r="DS462" s="135"/>
      <c r="DT462" s="135"/>
      <c r="DU462" s="135"/>
      <c r="DV462" s="135"/>
      <c r="DW462" s="136"/>
      <c r="DX462" s="136"/>
      <c r="DY462" s="161"/>
      <c r="DZ462" s="161"/>
      <c r="EA462" s="161"/>
      <c r="EB462" s="161"/>
      <c r="EC462" s="161"/>
      <c r="ED462" s="161"/>
      <c r="EE462" s="135"/>
      <c r="EF462" s="135"/>
      <c r="EG462" s="135"/>
      <c r="EH462" s="135"/>
      <c r="EI462" s="135"/>
      <c r="EJ462" s="135"/>
      <c r="EK462" s="136"/>
      <c r="EL462" s="136"/>
      <c r="EM462" s="136"/>
      <c r="EN462" s="136"/>
      <c r="EO462" s="136"/>
      <c r="EP462" s="136"/>
      <c r="EQ462" s="136"/>
      <c r="ER462" s="136"/>
      <c r="ES462" s="135"/>
      <c r="ET462" s="135"/>
      <c r="EU462" s="135"/>
      <c r="EV462" s="135"/>
      <c r="EW462" s="135"/>
      <c r="EX462" s="135"/>
      <c r="EY462" s="136"/>
      <c r="EZ462" s="136"/>
      <c r="FA462" s="161"/>
      <c r="FB462" s="161"/>
      <c r="FC462" s="161"/>
      <c r="FD462" s="161"/>
      <c r="FE462" s="161"/>
      <c r="FF462" s="161"/>
      <c r="FG462" s="135"/>
      <c r="FH462" s="135"/>
      <c r="FI462" s="135"/>
      <c r="FJ462" s="135"/>
      <c r="FK462" s="135"/>
      <c r="FL462" s="135"/>
      <c r="FM462" s="136"/>
      <c r="FN462" s="136"/>
      <c r="FO462" s="161"/>
      <c r="FP462" s="161"/>
      <c r="FQ462" s="161"/>
      <c r="FR462" s="161"/>
      <c r="FS462" s="161"/>
      <c r="FT462" s="161"/>
      <c r="FU462" s="135"/>
      <c r="FV462" s="135"/>
      <c r="FW462" s="135"/>
      <c r="FX462" s="135"/>
      <c r="FY462" s="135"/>
      <c r="FZ462" s="135"/>
      <c r="GA462" s="136"/>
      <c r="GB462" s="136"/>
      <c r="GC462" s="161"/>
      <c r="GD462" s="161"/>
      <c r="GE462" s="161"/>
      <c r="GF462" s="161"/>
      <c r="GG462" s="161"/>
      <c r="GH462" s="161"/>
      <c r="GI462" s="135"/>
      <c r="GJ462" s="135"/>
      <c r="GK462" s="135"/>
      <c r="GL462" s="135"/>
      <c r="GM462" s="135"/>
      <c r="GN462" s="135"/>
    </row>
    <row r="463" spans="1:196">
      <c r="A463" s="156"/>
      <c r="B463" s="126" t="s">
        <v>940</v>
      </c>
      <c r="C463" s="109" t="s">
        <v>634</v>
      </c>
      <c r="D463" s="119"/>
      <c r="E463" s="119"/>
      <c r="F463" s="107">
        <v>46209</v>
      </c>
      <c r="G463" s="115">
        <v>1040</v>
      </c>
      <c r="H463" s="6"/>
      <c r="I463" s="125">
        <v>46207</v>
      </c>
      <c r="J463" s="13">
        <f t="shared" si="202"/>
        <v>0</v>
      </c>
      <c r="K463" s="141"/>
      <c r="L463" s="161"/>
      <c r="M463" s="136"/>
      <c r="N463" s="136"/>
      <c r="O463" s="136"/>
      <c r="P463" s="136"/>
      <c r="Q463" s="136"/>
      <c r="R463" s="136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36"/>
      <c r="AD463" s="136"/>
      <c r="AE463" s="135"/>
      <c r="AF463" s="135"/>
      <c r="AG463" s="135">
        <v>197</v>
      </c>
      <c r="AH463" s="135"/>
      <c r="AI463" s="135">
        <v>301</v>
      </c>
      <c r="AJ463" s="135"/>
      <c r="AK463" s="135">
        <v>309</v>
      </c>
      <c r="AL463" s="135"/>
      <c r="AM463" s="161">
        <v>223</v>
      </c>
      <c r="AN463" s="135"/>
      <c r="AO463" s="135">
        <v>5</v>
      </c>
      <c r="AP463" s="135"/>
      <c r="AQ463" s="136"/>
      <c r="AR463" s="136"/>
      <c r="AS463" s="161">
        <v>5</v>
      </c>
      <c r="AT463" s="161"/>
      <c r="AU463" s="161"/>
      <c r="AV463" s="161"/>
      <c r="AW463" s="161"/>
      <c r="AX463" s="161"/>
      <c r="AY463" s="161"/>
      <c r="AZ463" s="135"/>
      <c r="BA463" s="135"/>
      <c r="BB463" s="135"/>
      <c r="BC463" s="135"/>
      <c r="BD463" s="135"/>
      <c r="BE463" s="136"/>
      <c r="BF463" s="136"/>
      <c r="BG463" s="161"/>
      <c r="BH463" s="161"/>
      <c r="BI463" s="161"/>
      <c r="BJ463" s="161"/>
      <c r="BK463" s="161"/>
      <c r="BL463" s="161"/>
      <c r="BM463" s="135"/>
      <c r="BN463" s="135"/>
      <c r="BO463" s="135"/>
      <c r="BP463" s="135"/>
      <c r="BQ463" s="135"/>
      <c r="BR463" s="135"/>
      <c r="BS463" s="136"/>
      <c r="BT463" s="136"/>
      <c r="BU463" s="161"/>
      <c r="BV463" s="161"/>
      <c r="BW463" s="161"/>
      <c r="BX463" s="161"/>
      <c r="BY463" s="161"/>
      <c r="BZ463" s="161"/>
      <c r="CA463" s="135"/>
      <c r="CB463" s="135"/>
      <c r="CC463" s="135"/>
      <c r="CD463" s="135"/>
      <c r="CE463" s="135"/>
      <c r="CF463" s="135"/>
      <c r="CG463" s="136"/>
      <c r="CH463" s="136"/>
      <c r="CI463" s="161"/>
      <c r="CJ463" s="161"/>
      <c r="CK463" s="161"/>
      <c r="CL463" s="161"/>
      <c r="CM463" s="161"/>
      <c r="CN463" s="161"/>
      <c r="CO463" s="135"/>
      <c r="CP463" s="135"/>
      <c r="CQ463" s="135"/>
      <c r="CR463" s="135"/>
      <c r="CS463" s="135"/>
      <c r="CT463" s="135"/>
      <c r="CU463" s="136"/>
      <c r="CV463" s="136"/>
      <c r="CW463" s="161"/>
      <c r="CX463" s="161"/>
      <c r="CY463" s="161"/>
      <c r="CZ463" s="161"/>
      <c r="DA463" s="161"/>
      <c r="DB463" s="161"/>
      <c r="DC463" s="135"/>
      <c r="DD463" s="135"/>
      <c r="DE463" s="135"/>
      <c r="DF463" s="135"/>
      <c r="DG463" s="135"/>
      <c r="DH463" s="135"/>
      <c r="DI463" s="136"/>
      <c r="DJ463" s="136"/>
      <c r="DK463" s="161"/>
      <c r="DL463" s="161"/>
      <c r="DM463" s="161"/>
      <c r="DN463" s="161"/>
      <c r="DO463" s="161"/>
      <c r="DP463" s="161"/>
      <c r="DQ463" s="135"/>
      <c r="DR463" s="135"/>
      <c r="DS463" s="135"/>
      <c r="DT463" s="135"/>
      <c r="DU463" s="135"/>
      <c r="DV463" s="135"/>
      <c r="DW463" s="136"/>
      <c r="DX463" s="136"/>
      <c r="DY463" s="161"/>
      <c r="DZ463" s="161"/>
      <c r="EA463" s="161"/>
      <c r="EB463" s="161"/>
      <c r="EC463" s="161"/>
      <c r="ED463" s="161"/>
      <c r="EE463" s="135"/>
      <c r="EF463" s="135"/>
      <c r="EG463" s="135"/>
      <c r="EH463" s="135"/>
      <c r="EI463" s="135"/>
      <c r="EJ463" s="135"/>
      <c r="EK463" s="136"/>
      <c r="EL463" s="136"/>
      <c r="EM463" s="136"/>
      <c r="EN463" s="136"/>
      <c r="EO463" s="136"/>
      <c r="EP463" s="136"/>
      <c r="EQ463" s="136"/>
      <c r="ER463" s="136"/>
      <c r="ES463" s="135"/>
      <c r="ET463" s="135"/>
      <c r="EU463" s="135"/>
      <c r="EV463" s="135"/>
      <c r="EW463" s="135"/>
      <c r="EX463" s="135"/>
      <c r="EY463" s="136"/>
      <c r="EZ463" s="136"/>
      <c r="FA463" s="161"/>
      <c r="FB463" s="161"/>
      <c r="FC463" s="161"/>
      <c r="FD463" s="161"/>
      <c r="FE463" s="161"/>
      <c r="FF463" s="161"/>
      <c r="FG463" s="135"/>
      <c r="FH463" s="135"/>
      <c r="FI463" s="135"/>
      <c r="FJ463" s="135"/>
      <c r="FK463" s="135"/>
      <c r="FL463" s="135"/>
      <c r="FM463" s="136"/>
      <c r="FN463" s="136"/>
      <c r="FO463" s="161"/>
      <c r="FP463" s="161"/>
      <c r="FQ463" s="161"/>
      <c r="FR463" s="161"/>
      <c r="FS463" s="161"/>
      <c r="FT463" s="161"/>
      <c r="FU463" s="135"/>
      <c r="FV463" s="135"/>
      <c r="FW463" s="135"/>
      <c r="FX463" s="135"/>
      <c r="FY463" s="135"/>
      <c r="FZ463" s="135"/>
      <c r="GA463" s="136"/>
      <c r="GB463" s="136"/>
      <c r="GC463" s="161"/>
      <c r="GD463" s="161"/>
      <c r="GE463" s="161"/>
      <c r="GF463" s="161"/>
      <c r="GG463" s="161"/>
      <c r="GH463" s="161"/>
      <c r="GI463" s="135"/>
      <c r="GJ463" s="135"/>
      <c r="GK463" s="135"/>
      <c r="GL463" s="135"/>
      <c r="GM463" s="135"/>
      <c r="GN463" s="135"/>
    </row>
    <row r="464" spans="1:196" ht="54" customHeight="1">
      <c r="A464" s="156"/>
      <c r="B464" s="126" t="s">
        <v>941</v>
      </c>
      <c r="C464" s="109" t="s">
        <v>634</v>
      </c>
      <c r="D464" s="119"/>
      <c r="E464" s="119" t="e">
        <f>VLOOKUP(C464,#REF!,5,0)</f>
        <v>#REF!</v>
      </c>
      <c r="F464" s="107">
        <v>46213</v>
      </c>
      <c r="G464" s="115">
        <v>2000</v>
      </c>
      <c r="H464" s="6"/>
      <c r="I464" s="125">
        <v>46214</v>
      </c>
      <c r="J464" s="13">
        <f t="shared" ref="J464:J481" si="204">G464-SUM(L464:FL464)</f>
        <v>0</v>
      </c>
      <c r="K464" s="141"/>
      <c r="L464" s="161"/>
      <c r="M464" s="136"/>
      <c r="N464" s="136"/>
      <c r="O464" s="136"/>
      <c r="P464" s="136"/>
      <c r="Q464" s="136"/>
      <c r="R464" s="136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36"/>
      <c r="AD464" s="136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35"/>
      <c r="AO464" s="135">
        <v>22</v>
      </c>
      <c r="AP464" s="135"/>
      <c r="AQ464" s="136"/>
      <c r="AR464" s="136"/>
      <c r="AS464" s="135">
        <v>336</v>
      </c>
      <c r="AT464" s="135"/>
      <c r="AU464" s="135">
        <v>359</v>
      </c>
      <c r="AV464" s="135"/>
      <c r="AW464" s="135">
        <v>400</v>
      </c>
      <c r="AX464" s="135"/>
      <c r="AY464" s="135">
        <v>400</v>
      </c>
      <c r="AZ464" s="135"/>
      <c r="BA464" s="135">
        <v>354</v>
      </c>
      <c r="BB464" s="135"/>
      <c r="BC464" s="135">
        <v>122</v>
      </c>
      <c r="BD464" s="135"/>
      <c r="BE464" s="136"/>
      <c r="BF464" s="136"/>
      <c r="BG464" s="161">
        <v>3</v>
      </c>
      <c r="BH464" s="161"/>
      <c r="BI464" s="161">
        <v>4</v>
      </c>
      <c r="BJ464" s="161"/>
      <c r="BK464" s="161"/>
      <c r="BL464" s="161"/>
      <c r="BM464" s="135"/>
      <c r="BN464" s="135"/>
      <c r="BO464" s="135"/>
      <c r="BP464" s="135"/>
      <c r="BQ464" s="135"/>
      <c r="BR464" s="135"/>
      <c r="BS464" s="136"/>
      <c r="BT464" s="136"/>
      <c r="BU464" s="161"/>
      <c r="BV464" s="161"/>
      <c r="BW464" s="161"/>
      <c r="BX464" s="161"/>
      <c r="BY464" s="161"/>
      <c r="BZ464" s="161"/>
      <c r="CA464" s="135"/>
      <c r="CB464" s="135"/>
      <c r="CC464" s="135"/>
      <c r="CD464" s="135"/>
      <c r="CE464" s="135"/>
      <c r="CF464" s="135"/>
      <c r="CG464" s="136"/>
      <c r="CH464" s="136"/>
      <c r="CI464" s="161"/>
      <c r="CJ464" s="161"/>
      <c r="CK464" s="161"/>
      <c r="CL464" s="161"/>
      <c r="CM464" s="161"/>
      <c r="CN464" s="161"/>
      <c r="CO464" s="135"/>
      <c r="CP464" s="135"/>
      <c r="CQ464" s="135"/>
      <c r="CR464" s="135"/>
      <c r="CS464" s="135"/>
      <c r="CT464" s="135"/>
      <c r="CU464" s="136"/>
      <c r="CV464" s="136"/>
      <c r="CW464" s="161"/>
      <c r="CX464" s="161"/>
      <c r="CY464" s="161"/>
      <c r="CZ464" s="161"/>
      <c r="DA464" s="161"/>
      <c r="DB464" s="161"/>
      <c r="DC464" s="135"/>
      <c r="DD464" s="135"/>
      <c r="DE464" s="135"/>
      <c r="DF464" s="135"/>
      <c r="DG464" s="135"/>
      <c r="DH464" s="135"/>
      <c r="DI464" s="136"/>
      <c r="DJ464" s="136"/>
      <c r="DK464" s="161"/>
      <c r="DL464" s="161"/>
      <c r="DM464" s="161"/>
      <c r="DN464" s="161"/>
      <c r="DO464" s="161"/>
      <c r="DP464" s="161"/>
      <c r="DQ464" s="135"/>
      <c r="DR464" s="135"/>
      <c r="DS464" s="135"/>
      <c r="DT464" s="135"/>
      <c r="DU464" s="135"/>
      <c r="DV464" s="135"/>
      <c r="DW464" s="136"/>
      <c r="DX464" s="136"/>
      <c r="DY464" s="161"/>
      <c r="DZ464" s="161"/>
      <c r="EA464" s="161"/>
      <c r="EB464" s="161"/>
      <c r="EC464" s="161"/>
      <c r="ED464" s="161"/>
      <c r="EE464" s="135"/>
      <c r="EF464" s="135"/>
      <c r="EG464" s="135"/>
      <c r="EH464" s="135"/>
      <c r="EI464" s="135"/>
      <c r="EJ464" s="135"/>
      <c r="EK464" s="136"/>
      <c r="EL464" s="136"/>
      <c r="EM464" s="136"/>
      <c r="EN464" s="136"/>
      <c r="EO464" s="136"/>
      <c r="EP464" s="136"/>
      <c r="EQ464" s="136"/>
      <c r="ER464" s="136"/>
      <c r="ES464" s="135"/>
      <c r="ET464" s="135"/>
      <c r="EU464" s="135"/>
      <c r="EV464" s="135"/>
      <c r="EW464" s="135"/>
      <c r="EX464" s="135"/>
      <c r="EY464" s="136"/>
      <c r="EZ464" s="136"/>
      <c r="FA464" s="161"/>
      <c r="FB464" s="161"/>
      <c r="FC464" s="161"/>
      <c r="FD464" s="161"/>
      <c r="FE464" s="161"/>
      <c r="FF464" s="161"/>
      <c r="FG464" s="135"/>
      <c r="FH464" s="135"/>
      <c r="FI464" s="135"/>
      <c r="FJ464" s="135"/>
      <c r="FK464" s="135"/>
      <c r="FL464" s="135"/>
      <c r="FM464" s="136"/>
      <c r="FN464" s="136"/>
      <c r="FO464" s="161"/>
      <c r="FP464" s="161"/>
      <c r="FQ464" s="161"/>
      <c r="FR464" s="161"/>
      <c r="FS464" s="161"/>
      <c r="FT464" s="161"/>
      <c r="FU464" s="135"/>
      <c r="FV464" s="135"/>
      <c r="FW464" s="135"/>
      <c r="FX464" s="135"/>
      <c r="FY464" s="135"/>
      <c r="FZ464" s="135"/>
      <c r="GA464" s="136"/>
      <c r="GB464" s="136"/>
      <c r="GC464" s="161"/>
      <c r="GD464" s="161"/>
      <c r="GE464" s="161"/>
      <c r="GF464" s="161"/>
      <c r="GG464" s="161"/>
      <c r="GH464" s="161"/>
      <c r="GI464" s="135"/>
      <c r="GJ464" s="135"/>
      <c r="GK464" s="135"/>
      <c r="GL464" s="135"/>
      <c r="GM464" s="135"/>
      <c r="GN464" s="135"/>
    </row>
    <row r="465" spans="1:196">
      <c r="A465" s="156" t="s">
        <v>633</v>
      </c>
      <c r="B465" s="126" t="s">
        <v>942</v>
      </c>
      <c r="C465" s="109" t="s">
        <v>634</v>
      </c>
      <c r="D465" s="119"/>
      <c r="E465" s="119" t="e">
        <f>VLOOKUP(C465,#REF!,5,0)</f>
        <v>#REF!</v>
      </c>
      <c r="F465" s="107">
        <v>46221</v>
      </c>
      <c r="G465" s="115">
        <v>2000</v>
      </c>
      <c r="H465" s="6"/>
      <c r="I465" s="125">
        <v>46221</v>
      </c>
      <c r="J465" s="13">
        <f t="shared" si="204"/>
        <v>0</v>
      </c>
      <c r="K465" s="141"/>
      <c r="L465" s="135"/>
      <c r="M465" s="136"/>
      <c r="N465" s="136"/>
      <c r="O465" s="136"/>
      <c r="P465" s="136"/>
      <c r="Q465" s="136"/>
      <c r="R465" s="136"/>
      <c r="S465" s="135"/>
      <c r="T465" s="135"/>
      <c r="U465" s="135"/>
      <c r="V465" s="135"/>
      <c r="W465" s="135"/>
      <c r="X465" s="135"/>
      <c r="Y465" s="135"/>
      <c r="Z465" s="161"/>
      <c r="AA465" s="135"/>
      <c r="AB465" s="135"/>
      <c r="AC465" s="136"/>
      <c r="AD465" s="136"/>
      <c r="AE465" s="135"/>
      <c r="AF465" s="135"/>
      <c r="AG465" s="135"/>
      <c r="AH465" s="135"/>
      <c r="AI465" s="161"/>
      <c r="AJ465" s="161"/>
      <c r="AK465" s="161"/>
      <c r="AL465" s="161"/>
      <c r="AM465" s="161"/>
      <c r="AN465" s="161"/>
      <c r="AO465" s="161"/>
      <c r="AP465" s="135"/>
      <c r="AQ465" s="136"/>
      <c r="AR465" s="136"/>
      <c r="AS465" s="135"/>
      <c r="AT465" s="135"/>
      <c r="AU465" s="135"/>
      <c r="AV465" s="135"/>
      <c r="AW465" s="135"/>
      <c r="AX465" s="135"/>
      <c r="AY465" s="135"/>
      <c r="AZ465" s="135"/>
      <c r="BA465" s="135"/>
      <c r="BB465" s="135"/>
      <c r="BC465" s="135"/>
      <c r="BD465" s="135"/>
      <c r="BE465" s="136"/>
      <c r="BF465" s="136"/>
      <c r="BG465" s="135">
        <v>321</v>
      </c>
      <c r="BH465" s="135"/>
      <c r="BI465" s="135">
        <v>300</v>
      </c>
      <c r="BJ465" s="161"/>
      <c r="BK465" s="135">
        <v>339</v>
      </c>
      <c r="BL465" s="161"/>
      <c r="BM465" s="135">
        <v>294</v>
      </c>
      <c r="BN465" s="135"/>
      <c r="BO465" s="135">
        <v>307</v>
      </c>
      <c r="BP465" s="135"/>
      <c r="BQ465" s="135">
        <v>409</v>
      </c>
      <c r="BR465" s="135"/>
      <c r="BS465" s="136"/>
      <c r="BT465" s="136"/>
      <c r="BU465" s="161">
        <v>24</v>
      </c>
      <c r="BV465" s="161"/>
      <c r="BW465" s="161"/>
      <c r="BX465" s="161"/>
      <c r="BY465" s="161"/>
      <c r="BZ465" s="161"/>
      <c r="CA465" s="161">
        <v>6</v>
      </c>
      <c r="CB465" s="135"/>
      <c r="CC465" s="135"/>
      <c r="CD465" s="135"/>
      <c r="CE465" s="135"/>
      <c r="CF465" s="135"/>
      <c r="CG465" s="136"/>
      <c r="CH465" s="136"/>
      <c r="CI465" s="161"/>
      <c r="CJ465" s="161"/>
      <c r="CK465" s="161"/>
      <c r="CL465" s="161"/>
      <c r="CM465" s="161"/>
      <c r="CN465" s="161"/>
      <c r="CO465" s="135"/>
      <c r="CP465" s="135"/>
      <c r="CQ465" s="135"/>
      <c r="CR465" s="135"/>
      <c r="CS465" s="135"/>
      <c r="CT465" s="135"/>
      <c r="CU465" s="136"/>
      <c r="CV465" s="136"/>
      <c r="CW465" s="161"/>
      <c r="CX465" s="161"/>
      <c r="CY465" s="161"/>
      <c r="CZ465" s="161"/>
      <c r="DA465" s="161"/>
      <c r="DB465" s="161"/>
      <c r="DC465" s="135"/>
      <c r="DD465" s="135"/>
      <c r="DE465" s="135"/>
      <c r="DF465" s="135"/>
      <c r="DG465" s="135"/>
      <c r="DH465" s="135"/>
      <c r="DI465" s="136"/>
      <c r="DJ465" s="136"/>
      <c r="DK465" s="161"/>
      <c r="DL465" s="161"/>
      <c r="DM465" s="161"/>
      <c r="DN465" s="161"/>
      <c r="DO465" s="161"/>
      <c r="DP465" s="161"/>
      <c r="DQ465" s="135"/>
      <c r="DR465" s="135"/>
      <c r="DS465" s="135"/>
      <c r="DT465" s="135"/>
      <c r="DU465" s="135"/>
      <c r="DV465" s="135"/>
      <c r="DW465" s="136"/>
      <c r="DX465" s="136"/>
      <c r="DY465" s="161"/>
      <c r="DZ465" s="161"/>
      <c r="EA465" s="161"/>
      <c r="EB465" s="161"/>
      <c r="EC465" s="161"/>
      <c r="ED465" s="161"/>
      <c r="EE465" s="135"/>
      <c r="EF465" s="135"/>
      <c r="EG465" s="135"/>
      <c r="EH465" s="135"/>
      <c r="EI465" s="135"/>
      <c r="EJ465" s="135"/>
      <c r="EK465" s="136"/>
      <c r="EL465" s="136"/>
      <c r="EM465" s="136"/>
      <c r="EN465" s="136"/>
      <c r="EO465" s="136"/>
      <c r="EP465" s="136"/>
      <c r="EQ465" s="136"/>
      <c r="ER465" s="136"/>
      <c r="ES465" s="135"/>
      <c r="ET465" s="135"/>
      <c r="EU465" s="135"/>
      <c r="EV465" s="135"/>
      <c r="EW465" s="135"/>
      <c r="EX465" s="135"/>
      <c r="EY465" s="136"/>
      <c r="EZ465" s="136"/>
      <c r="FA465" s="161"/>
      <c r="FB465" s="161"/>
      <c r="FC465" s="161"/>
      <c r="FD465" s="161"/>
      <c r="FE465" s="161"/>
      <c r="FF465" s="161"/>
      <c r="FG465" s="135"/>
      <c r="FH465" s="135"/>
      <c r="FI465" s="135"/>
      <c r="FJ465" s="135"/>
      <c r="FK465" s="135"/>
      <c r="FL465" s="135"/>
      <c r="FM465" s="136"/>
      <c r="FN465" s="136"/>
      <c r="FO465" s="161"/>
      <c r="FP465" s="161"/>
      <c r="FQ465" s="161"/>
      <c r="FR465" s="161"/>
      <c r="FS465" s="161"/>
      <c r="FT465" s="161"/>
      <c r="FU465" s="135"/>
      <c r="FV465" s="135"/>
      <c r="FW465" s="135"/>
      <c r="FX465" s="135"/>
      <c r="FY465" s="135"/>
      <c r="FZ465" s="135"/>
      <c r="GA465" s="136"/>
      <c r="GB465" s="136"/>
      <c r="GC465" s="161"/>
      <c r="GD465" s="161"/>
      <c r="GE465" s="161"/>
      <c r="GF465" s="161"/>
      <c r="GG465" s="161"/>
      <c r="GH465" s="161"/>
      <c r="GI465" s="135"/>
      <c r="GJ465" s="135"/>
      <c r="GK465" s="135"/>
      <c r="GL465" s="135"/>
      <c r="GM465" s="135"/>
      <c r="GN465" s="135"/>
    </row>
    <row r="466" spans="1:196">
      <c r="A466" s="156"/>
      <c r="B466" s="126" t="s">
        <v>943</v>
      </c>
      <c r="C466" s="109" t="s">
        <v>634</v>
      </c>
      <c r="D466" s="119"/>
      <c r="E466" s="119"/>
      <c r="F466" s="107">
        <v>46230</v>
      </c>
      <c r="G466" s="115">
        <v>2000</v>
      </c>
      <c r="H466" s="6"/>
      <c r="I466" s="125">
        <v>46235</v>
      </c>
      <c r="J466" s="13">
        <f t="shared" si="204"/>
        <v>0</v>
      </c>
      <c r="K466" s="141" t="s">
        <v>1240</v>
      </c>
      <c r="L466" s="161"/>
      <c r="M466" s="136"/>
      <c r="N466" s="136"/>
      <c r="O466" s="136"/>
      <c r="P466" s="136"/>
      <c r="Q466" s="136"/>
      <c r="R466" s="136"/>
      <c r="S466" s="161"/>
      <c r="T466" s="161"/>
      <c r="U466" s="161"/>
      <c r="V466" s="161"/>
      <c r="W466" s="161"/>
      <c r="X466" s="135"/>
      <c r="Y466" s="161"/>
      <c r="Z466" s="135"/>
      <c r="AA466" s="161"/>
      <c r="AB466" s="135"/>
      <c r="AC466" s="136"/>
      <c r="AD466" s="136"/>
      <c r="AE466" s="161"/>
      <c r="AF466" s="161"/>
      <c r="AG466" s="161"/>
      <c r="AH466" s="135"/>
      <c r="AI466" s="161"/>
      <c r="AJ466" s="135"/>
      <c r="AK466" s="161"/>
      <c r="AL466" s="135"/>
      <c r="AM466" s="161"/>
      <c r="AN466" s="135"/>
      <c r="AO466" s="135"/>
      <c r="AP466" s="135"/>
      <c r="AQ466" s="136"/>
      <c r="AR466" s="136"/>
      <c r="AS466" s="161"/>
      <c r="AT466" s="161"/>
      <c r="AU466" s="161"/>
      <c r="AV466" s="161"/>
      <c r="AW466" s="161"/>
      <c r="AX466" s="161"/>
      <c r="AY466" s="135"/>
      <c r="AZ466" s="135"/>
      <c r="BA466" s="135"/>
      <c r="BB466" s="135"/>
      <c r="BC466" s="135"/>
      <c r="BD466" s="135"/>
      <c r="BE466" s="136"/>
      <c r="BF466" s="136"/>
      <c r="BG466" s="135"/>
      <c r="BH466" s="161"/>
      <c r="BI466" s="135"/>
      <c r="BJ466" s="161"/>
      <c r="BK466" s="135"/>
      <c r="BL466" s="161"/>
      <c r="BM466" s="135"/>
      <c r="BN466" s="135"/>
      <c r="BO466" s="135"/>
      <c r="BP466" s="135"/>
      <c r="BQ466" s="135"/>
      <c r="BR466" s="135"/>
      <c r="BS466" s="136"/>
      <c r="BT466" s="136"/>
      <c r="BU466" s="161"/>
      <c r="BV466" s="161"/>
      <c r="BW466" s="161">
        <v>388</v>
      </c>
      <c r="BX466" s="135"/>
      <c r="BY466" s="135">
        <v>458</v>
      </c>
      <c r="BZ466" s="135"/>
      <c r="CA466" s="135">
        <v>400</v>
      </c>
      <c r="CB466" s="135"/>
      <c r="CC466" s="135">
        <v>400</v>
      </c>
      <c r="CD466" s="135"/>
      <c r="CE466" s="161">
        <v>354</v>
      </c>
      <c r="CF466" s="161"/>
      <c r="CG466" s="136"/>
      <c r="CH466" s="136"/>
      <c r="CI466" s="161"/>
      <c r="CJ466" s="161"/>
      <c r="CK466" s="161"/>
      <c r="CL466" s="135"/>
      <c r="CM466" s="135"/>
      <c r="CN466" s="135"/>
      <c r="CO466" s="135"/>
      <c r="CP466" s="135"/>
      <c r="CQ466" s="135"/>
      <c r="CR466" s="135"/>
      <c r="CS466" s="135"/>
      <c r="CT466" s="135"/>
      <c r="CU466" s="136"/>
      <c r="CV466" s="136"/>
      <c r="CW466" s="161"/>
      <c r="CX466" s="161"/>
      <c r="CY466" s="161"/>
      <c r="CZ466" s="161"/>
      <c r="DA466" s="161"/>
      <c r="DB466" s="161"/>
      <c r="DC466" s="135"/>
      <c r="DD466" s="135"/>
      <c r="DE466" s="135"/>
      <c r="DF466" s="135"/>
      <c r="DG466" s="135"/>
      <c r="DH466" s="135"/>
      <c r="DI466" s="136"/>
      <c r="DJ466" s="136"/>
      <c r="DK466" s="161"/>
      <c r="DL466" s="161"/>
      <c r="DM466" s="161"/>
      <c r="DN466" s="161"/>
      <c r="DO466" s="161"/>
      <c r="DP466" s="161"/>
      <c r="DQ466" s="135"/>
      <c r="DR466" s="135"/>
      <c r="DS466" s="135"/>
      <c r="DT466" s="135"/>
      <c r="DU466" s="135"/>
      <c r="DV466" s="135"/>
      <c r="DW466" s="136"/>
      <c r="DX466" s="136"/>
      <c r="DY466" s="161"/>
      <c r="DZ466" s="161"/>
      <c r="EA466" s="161"/>
      <c r="EB466" s="161"/>
      <c r="EC466" s="161"/>
      <c r="ED466" s="161"/>
      <c r="EE466" s="135"/>
      <c r="EF466" s="135"/>
      <c r="EG466" s="135"/>
      <c r="EH466" s="135"/>
      <c r="EI466" s="135"/>
      <c r="EJ466" s="135"/>
      <c r="EK466" s="136"/>
      <c r="EL466" s="136"/>
      <c r="EM466" s="136"/>
      <c r="EN466" s="136"/>
      <c r="EO466" s="136"/>
      <c r="EP466" s="136"/>
      <c r="EQ466" s="136"/>
      <c r="ER466" s="136"/>
      <c r="ES466" s="135"/>
      <c r="ET466" s="135"/>
      <c r="EU466" s="135"/>
      <c r="EV466" s="135"/>
      <c r="EW466" s="135"/>
      <c r="EX466" s="135"/>
      <c r="EY466" s="136"/>
      <c r="EZ466" s="136"/>
      <c r="FA466" s="161"/>
      <c r="FB466" s="161"/>
      <c r="FC466" s="161"/>
      <c r="FD466" s="161"/>
      <c r="FE466" s="161"/>
      <c r="FF466" s="161"/>
      <c r="FG466" s="135"/>
      <c r="FH466" s="135"/>
      <c r="FI466" s="135"/>
      <c r="FJ466" s="135"/>
      <c r="FK466" s="135"/>
      <c r="FL466" s="135"/>
      <c r="FM466" s="136"/>
      <c r="FN466" s="136"/>
      <c r="FO466" s="161"/>
      <c r="FP466" s="161"/>
      <c r="FQ466" s="161"/>
      <c r="FR466" s="161"/>
      <c r="FS466" s="161"/>
      <c r="FT466" s="161"/>
      <c r="FU466" s="135"/>
      <c r="FV466" s="135"/>
      <c r="FW466" s="135"/>
      <c r="FX466" s="135"/>
      <c r="FY466" s="135"/>
      <c r="FZ466" s="135"/>
      <c r="GA466" s="136"/>
      <c r="GB466" s="136"/>
      <c r="GC466" s="161"/>
      <c r="GD466" s="161"/>
      <c r="GE466" s="161"/>
      <c r="GF466" s="161"/>
      <c r="GG466" s="161"/>
      <c r="GH466" s="161"/>
      <c r="GI466" s="135"/>
      <c r="GJ466" s="135"/>
      <c r="GK466" s="135"/>
      <c r="GL466" s="135"/>
      <c r="GM466" s="135"/>
      <c r="GN466" s="135"/>
    </row>
    <row r="467" spans="1:196">
      <c r="A467" s="156"/>
      <c r="B467" s="126" t="s">
        <v>1068</v>
      </c>
      <c r="C467" s="109" t="s">
        <v>634</v>
      </c>
      <c r="D467" s="119"/>
      <c r="E467" s="119"/>
      <c r="F467" s="107"/>
      <c r="G467" s="115">
        <v>2000</v>
      </c>
      <c r="H467" s="6"/>
      <c r="I467" s="125">
        <v>46249</v>
      </c>
      <c r="J467" s="13">
        <f t="shared" si="204"/>
        <v>0</v>
      </c>
      <c r="K467" s="141"/>
      <c r="L467" s="161"/>
      <c r="M467" s="136"/>
      <c r="N467" s="136"/>
      <c r="O467" s="136"/>
      <c r="P467" s="136"/>
      <c r="Q467" s="136"/>
      <c r="R467" s="136"/>
      <c r="S467" s="161"/>
      <c r="T467" s="161"/>
      <c r="U467" s="161"/>
      <c r="V467" s="161"/>
      <c r="W467" s="135"/>
      <c r="X467" s="135"/>
      <c r="Y467" s="135"/>
      <c r="Z467" s="135"/>
      <c r="AA467" s="135"/>
      <c r="AB467" s="135"/>
      <c r="AC467" s="136"/>
      <c r="AD467" s="136"/>
      <c r="AE467" s="161"/>
      <c r="AF467" s="161"/>
      <c r="AG467" s="161"/>
      <c r="AH467" s="161"/>
      <c r="AI467" s="161"/>
      <c r="AJ467" s="161"/>
      <c r="AK467" s="135"/>
      <c r="AL467" s="135"/>
      <c r="AM467" s="135"/>
      <c r="AN467" s="135"/>
      <c r="AO467" s="135"/>
      <c r="AP467" s="135"/>
      <c r="AQ467" s="136"/>
      <c r="AR467" s="136"/>
      <c r="AS467" s="161"/>
      <c r="AT467" s="161"/>
      <c r="AU467" s="161"/>
      <c r="AV467" s="161"/>
      <c r="AW467" s="161"/>
      <c r="AX467" s="161"/>
      <c r="AY467" s="135"/>
      <c r="AZ467" s="135"/>
      <c r="BA467" s="135"/>
      <c r="BB467" s="135"/>
      <c r="BC467" s="135"/>
      <c r="BD467" s="135"/>
      <c r="BE467" s="136"/>
      <c r="BF467" s="136"/>
      <c r="BG467" s="161"/>
      <c r="BH467" s="161"/>
      <c r="BI467" s="161"/>
      <c r="BJ467" s="161"/>
      <c r="BK467" s="161"/>
      <c r="BL467" s="161"/>
      <c r="BM467" s="135"/>
      <c r="BN467" s="135"/>
      <c r="BO467" s="135"/>
      <c r="BP467" s="135"/>
      <c r="BQ467" s="135"/>
      <c r="BR467" s="135"/>
      <c r="BS467" s="136"/>
      <c r="BT467" s="136"/>
      <c r="BU467" s="161"/>
      <c r="BV467" s="161"/>
      <c r="BW467" s="161"/>
      <c r="BX467" s="161"/>
      <c r="BY467" s="161"/>
      <c r="BZ467" s="161"/>
      <c r="CA467" s="135"/>
      <c r="CB467" s="135"/>
      <c r="CC467" s="135"/>
      <c r="CD467" s="135"/>
      <c r="CE467" s="135"/>
      <c r="CF467" s="135"/>
      <c r="CG467" s="136"/>
      <c r="CH467" s="136"/>
      <c r="CI467" s="161"/>
      <c r="CJ467" s="161"/>
      <c r="CK467" s="161"/>
      <c r="CL467" s="161"/>
      <c r="CM467" s="161"/>
      <c r="CN467" s="135"/>
      <c r="CO467" s="135"/>
      <c r="CP467" s="135"/>
      <c r="CQ467" s="135"/>
      <c r="CR467" s="135"/>
      <c r="CS467" s="135"/>
      <c r="CT467" s="135"/>
      <c r="CU467" s="136"/>
      <c r="CV467" s="136"/>
      <c r="CW467" s="161"/>
      <c r="CX467" s="161"/>
      <c r="CY467" s="161"/>
      <c r="CZ467" s="161"/>
      <c r="DA467" s="161"/>
      <c r="DB467" s="161"/>
      <c r="DC467" s="135"/>
      <c r="DD467" s="135"/>
      <c r="DE467" s="135"/>
      <c r="DF467" s="135"/>
      <c r="DG467" s="135">
        <v>400</v>
      </c>
      <c r="DH467" s="135"/>
      <c r="DI467" s="136"/>
      <c r="DJ467" s="136"/>
      <c r="DK467" s="135">
        <v>400</v>
      </c>
      <c r="DL467" s="161"/>
      <c r="DM467" s="135">
        <v>400</v>
      </c>
      <c r="DN467" s="161"/>
      <c r="DO467" s="135">
        <v>400</v>
      </c>
      <c r="DP467" s="161"/>
      <c r="DQ467" s="135">
        <v>400</v>
      </c>
      <c r="DR467" s="135"/>
      <c r="DS467" s="135"/>
      <c r="DT467" s="135"/>
      <c r="DU467" s="135"/>
      <c r="DV467" s="135"/>
      <c r="DW467" s="136"/>
      <c r="DX467" s="136"/>
      <c r="DY467" s="161"/>
      <c r="DZ467" s="161"/>
      <c r="EA467" s="161"/>
      <c r="EB467" s="161"/>
      <c r="EC467" s="161"/>
      <c r="ED467" s="161"/>
      <c r="EE467" s="135"/>
      <c r="EF467" s="135"/>
      <c r="EG467" s="135"/>
      <c r="EH467" s="135"/>
      <c r="EI467" s="135"/>
      <c r="EJ467" s="135"/>
      <c r="EK467" s="136"/>
      <c r="EL467" s="136"/>
      <c r="EM467" s="136"/>
      <c r="EN467" s="136"/>
      <c r="EO467" s="136"/>
      <c r="EP467" s="136"/>
      <c r="EQ467" s="136"/>
      <c r="ER467" s="136"/>
      <c r="ES467" s="135"/>
      <c r="ET467" s="135"/>
      <c r="EU467" s="135"/>
      <c r="EV467" s="135"/>
      <c r="EW467" s="135"/>
      <c r="EX467" s="135"/>
      <c r="EY467" s="136"/>
      <c r="EZ467" s="136"/>
      <c r="FA467" s="161"/>
      <c r="FB467" s="161"/>
      <c r="FC467" s="161"/>
      <c r="FD467" s="161"/>
      <c r="FE467" s="161"/>
      <c r="FF467" s="161"/>
      <c r="FG467" s="135"/>
      <c r="FH467" s="135"/>
      <c r="FI467" s="135"/>
      <c r="FJ467" s="135"/>
      <c r="FK467" s="135"/>
      <c r="FL467" s="135"/>
      <c r="FM467" s="136"/>
      <c r="FN467" s="136"/>
      <c r="FO467" s="161"/>
      <c r="FP467" s="161"/>
      <c r="FQ467" s="161"/>
      <c r="FR467" s="161"/>
      <c r="FS467" s="161"/>
      <c r="FT467" s="161"/>
      <c r="FU467" s="135"/>
      <c r="FV467" s="135"/>
      <c r="FW467" s="135"/>
      <c r="FX467" s="135"/>
      <c r="FY467" s="135"/>
      <c r="FZ467" s="135"/>
      <c r="GA467" s="136"/>
      <c r="GB467" s="136"/>
      <c r="GC467" s="161"/>
      <c r="GD467" s="161"/>
      <c r="GE467" s="161"/>
      <c r="GF467" s="161"/>
      <c r="GG467" s="161"/>
      <c r="GH467" s="161"/>
      <c r="GI467" s="135"/>
      <c r="GJ467" s="135"/>
      <c r="GK467" s="135"/>
      <c r="GL467" s="135"/>
      <c r="GM467" s="135"/>
      <c r="GN467" s="135"/>
    </row>
    <row r="468" spans="1:196">
      <c r="A468" s="156"/>
      <c r="B468" s="126"/>
      <c r="C468" s="109"/>
      <c r="D468" s="119"/>
      <c r="E468" s="119"/>
      <c r="F468" s="107"/>
      <c r="G468" s="115"/>
      <c r="H468" s="6"/>
      <c r="I468" s="125"/>
      <c r="J468" s="13"/>
      <c r="K468" s="141"/>
      <c r="L468" s="161"/>
      <c r="M468" s="136"/>
      <c r="N468" s="136"/>
      <c r="O468" s="136"/>
      <c r="P468" s="136"/>
      <c r="Q468" s="136"/>
      <c r="R468" s="136"/>
      <c r="S468" s="161"/>
      <c r="T468" s="161"/>
      <c r="U468" s="161"/>
      <c r="V468" s="161"/>
      <c r="W468" s="135"/>
      <c r="X468" s="135"/>
      <c r="Y468" s="135"/>
      <c r="Z468" s="135"/>
      <c r="AA468" s="135"/>
      <c r="AB468" s="135"/>
      <c r="AC468" s="136"/>
      <c r="AD468" s="136"/>
      <c r="AE468" s="161"/>
      <c r="AF468" s="161"/>
      <c r="AG468" s="161"/>
      <c r="AH468" s="161"/>
      <c r="AI468" s="161"/>
      <c r="AJ468" s="161"/>
      <c r="AK468" s="135"/>
      <c r="AL468" s="135"/>
      <c r="AM468" s="135"/>
      <c r="AN468" s="135"/>
      <c r="AO468" s="135"/>
      <c r="AP468" s="135"/>
      <c r="AQ468" s="136"/>
      <c r="AR468" s="136"/>
      <c r="AS468" s="161"/>
      <c r="AT468" s="161"/>
      <c r="AU468" s="161"/>
      <c r="AV468" s="161"/>
      <c r="AW468" s="161"/>
      <c r="AX468" s="161"/>
      <c r="AY468" s="135"/>
      <c r="AZ468" s="135"/>
      <c r="BA468" s="135"/>
      <c r="BB468" s="135"/>
      <c r="BC468" s="135"/>
      <c r="BD468" s="135"/>
      <c r="BE468" s="136"/>
      <c r="BF468" s="136"/>
      <c r="BG468" s="161"/>
      <c r="BH468" s="161"/>
      <c r="BI468" s="161"/>
      <c r="BJ468" s="161"/>
      <c r="BK468" s="161"/>
      <c r="BL468" s="161"/>
      <c r="BM468" s="135"/>
      <c r="BN468" s="135"/>
      <c r="BO468" s="135"/>
      <c r="BP468" s="135"/>
      <c r="BQ468" s="135"/>
      <c r="BR468" s="135"/>
      <c r="BS468" s="136"/>
      <c r="BT468" s="136"/>
      <c r="BU468" s="161"/>
      <c r="BV468" s="161"/>
      <c r="BW468" s="161"/>
      <c r="BX468" s="161"/>
      <c r="BY468" s="161"/>
      <c r="BZ468" s="161"/>
      <c r="CA468" s="135"/>
      <c r="CB468" s="135"/>
      <c r="CC468" s="135"/>
      <c r="CD468" s="135"/>
      <c r="CE468" s="135"/>
      <c r="CF468" s="135"/>
      <c r="CG468" s="136"/>
      <c r="CH468" s="136"/>
      <c r="CI468" s="161"/>
      <c r="CJ468" s="161"/>
      <c r="CK468" s="161"/>
      <c r="CL468" s="161"/>
      <c r="CM468" s="161"/>
      <c r="CN468" s="161"/>
      <c r="CO468" s="135"/>
      <c r="CP468" s="135"/>
      <c r="CQ468" s="135"/>
      <c r="CR468" s="135"/>
      <c r="CS468" s="135"/>
      <c r="CT468" s="135"/>
      <c r="CU468" s="136"/>
      <c r="CV468" s="136"/>
      <c r="CW468" s="161"/>
      <c r="CX468" s="161"/>
      <c r="CY468" s="161"/>
      <c r="CZ468" s="161"/>
      <c r="DA468" s="161"/>
      <c r="DB468" s="161"/>
      <c r="DC468" s="135"/>
      <c r="DD468" s="135"/>
      <c r="DE468" s="135"/>
      <c r="DF468" s="135"/>
      <c r="DG468" s="135"/>
      <c r="DH468" s="135"/>
      <c r="DI468" s="136"/>
      <c r="DJ468" s="136"/>
      <c r="DK468" s="161"/>
      <c r="DL468" s="161"/>
      <c r="DM468" s="161"/>
      <c r="DN468" s="161"/>
      <c r="DO468" s="161"/>
      <c r="DP468" s="161"/>
      <c r="DQ468" s="135"/>
      <c r="DR468" s="135"/>
      <c r="DS468" s="135"/>
      <c r="DT468" s="135"/>
      <c r="DU468" s="135"/>
      <c r="DV468" s="135"/>
      <c r="DW468" s="136"/>
      <c r="DX468" s="136"/>
      <c r="DY468" s="161"/>
      <c r="DZ468" s="161"/>
      <c r="EA468" s="161"/>
      <c r="EB468" s="161"/>
      <c r="EC468" s="161"/>
      <c r="ED468" s="161"/>
      <c r="EE468" s="135"/>
      <c r="EF468" s="135"/>
      <c r="EG468" s="135"/>
      <c r="EH468" s="135"/>
      <c r="EI468" s="135"/>
      <c r="EJ468" s="135"/>
      <c r="EK468" s="136"/>
      <c r="EL468" s="136"/>
      <c r="EM468" s="136"/>
      <c r="EN468" s="136"/>
      <c r="EO468" s="136"/>
      <c r="EP468" s="136"/>
      <c r="EQ468" s="136"/>
      <c r="ER468" s="136"/>
      <c r="ES468" s="135"/>
      <c r="ET468" s="135"/>
      <c r="EU468" s="135"/>
      <c r="EV468" s="135"/>
      <c r="EW468" s="135"/>
      <c r="EX468" s="135"/>
      <c r="EY468" s="136"/>
      <c r="EZ468" s="136"/>
      <c r="FA468" s="161"/>
      <c r="FB468" s="161"/>
      <c r="FC468" s="161"/>
      <c r="FD468" s="161"/>
      <c r="FE468" s="161"/>
      <c r="FF468" s="161"/>
      <c r="FG468" s="135"/>
      <c r="FH468" s="135"/>
      <c r="FI468" s="135"/>
      <c r="FJ468" s="135"/>
      <c r="FK468" s="135"/>
      <c r="FL468" s="135"/>
      <c r="FM468" s="136"/>
      <c r="FN468" s="136"/>
      <c r="FO468" s="161"/>
      <c r="FP468" s="161"/>
      <c r="FQ468" s="161"/>
      <c r="FR468" s="161"/>
      <c r="FS468" s="161"/>
      <c r="FT468" s="161"/>
      <c r="FU468" s="135"/>
      <c r="FV468" s="135"/>
      <c r="FW468" s="135"/>
      <c r="FX468" s="135"/>
      <c r="FY468" s="135"/>
      <c r="FZ468" s="135"/>
      <c r="GA468" s="136"/>
      <c r="GB468" s="136"/>
      <c r="GC468" s="161"/>
      <c r="GD468" s="161"/>
      <c r="GE468" s="161"/>
      <c r="GF468" s="161"/>
      <c r="GG468" s="161"/>
      <c r="GH468" s="161"/>
      <c r="GI468" s="135"/>
      <c r="GJ468" s="135"/>
      <c r="GK468" s="135"/>
      <c r="GL468" s="135"/>
      <c r="GM468" s="135"/>
      <c r="GN468" s="135"/>
    </row>
    <row r="469" spans="1:196" ht="54" customHeight="1">
      <c r="A469" s="156"/>
      <c r="B469" s="126"/>
      <c r="C469" s="109"/>
      <c r="D469" s="119"/>
      <c r="E469" s="119"/>
      <c r="F469" s="107"/>
      <c r="G469" s="115"/>
      <c r="H469" s="6"/>
      <c r="I469" s="125"/>
      <c r="J469" s="13"/>
      <c r="K469" s="141"/>
      <c r="L469" s="161"/>
      <c r="M469" s="136"/>
      <c r="N469" s="136"/>
      <c r="O469" s="136"/>
      <c r="P469" s="136"/>
      <c r="Q469" s="136"/>
      <c r="R469" s="136"/>
      <c r="S469" s="161"/>
      <c r="T469" s="161"/>
      <c r="U469" s="161"/>
      <c r="V469" s="161"/>
      <c r="W469" s="135"/>
      <c r="X469" s="135"/>
      <c r="Y469" s="135"/>
      <c r="Z469" s="135"/>
      <c r="AA469" s="135"/>
      <c r="AB469" s="135"/>
      <c r="AC469" s="136"/>
      <c r="AD469" s="136"/>
      <c r="AE469" s="161"/>
      <c r="AF469" s="161"/>
      <c r="AG469" s="161"/>
      <c r="AH469" s="161"/>
      <c r="AI469" s="161"/>
      <c r="AJ469" s="161"/>
      <c r="AK469" s="135"/>
      <c r="AL469" s="135"/>
      <c r="AM469" s="135"/>
      <c r="AN469" s="135"/>
      <c r="AO469" s="135"/>
      <c r="AP469" s="135"/>
      <c r="AQ469" s="136"/>
      <c r="AR469" s="136"/>
      <c r="AS469" s="161"/>
      <c r="AT469" s="161"/>
      <c r="AU469" s="161"/>
      <c r="AV469" s="161"/>
      <c r="AW469" s="161"/>
      <c r="AX469" s="161"/>
      <c r="AY469" s="135"/>
      <c r="AZ469" s="135"/>
      <c r="BA469" s="135"/>
      <c r="BB469" s="135"/>
      <c r="BC469" s="135"/>
      <c r="BD469" s="135"/>
      <c r="BE469" s="136"/>
      <c r="BF469" s="136"/>
      <c r="BG469" s="161"/>
      <c r="BH469" s="161"/>
      <c r="BI469" s="161"/>
      <c r="BJ469" s="161"/>
      <c r="BK469" s="161"/>
      <c r="BL469" s="161"/>
      <c r="BM469" s="135"/>
      <c r="BN469" s="135"/>
      <c r="BO469" s="135"/>
      <c r="BP469" s="135"/>
      <c r="BQ469" s="135"/>
      <c r="BR469" s="135"/>
      <c r="BS469" s="136"/>
      <c r="BT469" s="136"/>
      <c r="BU469" s="161"/>
      <c r="BV469" s="161"/>
      <c r="BW469" s="161"/>
      <c r="BX469" s="161"/>
      <c r="BY469" s="161"/>
      <c r="BZ469" s="161"/>
      <c r="CA469" s="135"/>
      <c r="CB469" s="135"/>
      <c r="CC469" s="135"/>
      <c r="CD469" s="135"/>
      <c r="CE469" s="135"/>
      <c r="CF469" s="135"/>
      <c r="CG469" s="136"/>
      <c r="CH469" s="136"/>
      <c r="CI469" s="161"/>
      <c r="CJ469" s="161"/>
      <c r="CK469" s="161"/>
      <c r="CL469" s="161"/>
      <c r="CM469" s="161"/>
      <c r="CN469" s="161"/>
      <c r="CO469" s="135"/>
      <c r="CP469" s="135"/>
      <c r="CQ469" s="135"/>
      <c r="CR469" s="135"/>
      <c r="CS469" s="135"/>
      <c r="CT469" s="135"/>
      <c r="CU469" s="136"/>
      <c r="CV469" s="136"/>
      <c r="CW469" s="161"/>
      <c r="CX469" s="161"/>
      <c r="CY469" s="161"/>
      <c r="CZ469" s="161"/>
      <c r="DA469" s="161"/>
      <c r="DB469" s="161"/>
      <c r="DC469" s="135"/>
      <c r="DD469" s="135"/>
      <c r="DE469" s="135"/>
      <c r="DF469" s="135"/>
      <c r="DG469" s="135"/>
      <c r="DH469" s="135"/>
      <c r="DI469" s="136"/>
      <c r="DJ469" s="136"/>
      <c r="DK469" s="161"/>
      <c r="DL469" s="161"/>
      <c r="DM469" s="161"/>
      <c r="DN469" s="161"/>
      <c r="DO469" s="161"/>
      <c r="DP469" s="161"/>
      <c r="DQ469" s="135"/>
      <c r="DR469" s="135"/>
      <c r="DS469" s="135"/>
      <c r="DT469" s="135"/>
      <c r="DU469" s="135"/>
      <c r="DV469" s="135"/>
      <c r="DW469" s="136"/>
      <c r="DX469" s="136"/>
      <c r="DY469" s="161"/>
      <c r="DZ469" s="161"/>
      <c r="EA469" s="161"/>
      <c r="EB469" s="161"/>
      <c r="EC469" s="161"/>
      <c r="ED469" s="161"/>
      <c r="EE469" s="135"/>
      <c r="EF469" s="135"/>
      <c r="EG469" s="135"/>
      <c r="EH469" s="135"/>
      <c r="EI469" s="135"/>
      <c r="EJ469" s="135"/>
      <c r="EK469" s="136"/>
      <c r="EL469" s="136"/>
      <c r="EM469" s="136"/>
      <c r="EN469" s="136"/>
      <c r="EO469" s="136"/>
      <c r="EP469" s="136"/>
      <c r="EQ469" s="136"/>
      <c r="ER469" s="136"/>
      <c r="ES469" s="135"/>
      <c r="ET469" s="135"/>
      <c r="EU469" s="135"/>
      <c r="EV469" s="135"/>
      <c r="EW469" s="135"/>
      <c r="EX469" s="135"/>
      <c r="EY469" s="136"/>
      <c r="EZ469" s="136"/>
      <c r="FA469" s="161"/>
      <c r="FB469" s="161"/>
      <c r="FC469" s="161"/>
      <c r="FD469" s="161"/>
      <c r="FE469" s="161"/>
      <c r="FF469" s="161"/>
      <c r="FG469" s="135"/>
      <c r="FH469" s="135"/>
      <c r="FI469" s="135"/>
      <c r="FJ469" s="135"/>
      <c r="FK469" s="135"/>
      <c r="FL469" s="135"/>
      <c r="FM469" s="136"/>
      <c r="FN469" s="136"/>
      <c r="FO469" s="161"/>
      <c r="FP469" s="161"/>
      <c r="FQ469" s="161"/>
      <c r="FR469" s="161"/>
      <c r="FS469" s="161"/>
      <c r="FT469" s="161"/>
      <c r="FU469" s="135"/>
      <c r="FV469" s="135"/>
      <c r="FW469" s="135"/>
      <c r="FX469" s="135"/>
      <c r="FY469" s="135"/>
      <c r="FZ469" s="135"/>
      <c r="GA469" s="136"/>
      <c r="GB469" s="136"/>
      <c r="GC469" s="161"/>
      <c r="GD469" s="161"/>
      <c r="GE469" s="161"/>
      <c r="GF469" s="161"/>
      <c r="GG469" s="161"/>
      <c r="GH469" s="161"/>
      <c r="GI469" s="135"/>
      <c r="GJ469" s="135"/>
      <c r="GK469" s="135"/>
      <c r="GL469" s="135"/>
      <c r="GM469" s="135"/>
      <c r="GN469" s="135"/>
    </row>
    <row r="470" spans="1:196">
      <c r="A470" s="7"/>
      <c r="B470" s="7"/>
      <c r="C470" s="7"/>
      <c r="D470" s="7"/>
      <c r="E470" s="7"/>
      <c r="F470" s="7"/>
      <c r="G470" s="94"/>
      <c r="H470" s="10"/>
      <c r="I470" s="24"/>
      <c r="J470" s="7"/>
      <c r="K470" s="8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</row>
    <row r="471" spans="1:196" ht="31.5" customHeight="1">
      <c r="A471" s="172" t="s">
        <v>690</v>
      </c>
      <c r="B471" s="137" t="s">
        <v>675</v>
      </c>
      <c r="C471" s="137" t="s">
        <v>668</v>
      </c>
      <c r="D471" s="119"/>
      <c r="E471" s="119" t="e">
        <f>VLOOKUP(C471,#REF!,5,0)</f>
        <v>#REF!</v>
      </c>
      <c r="F471" s="133">
        <v>46101</v>
      </c>
      <c r="G471" s="95">
        <v>270</v>
      </c>
      <c r="H471" s="137"/>
      <c r="I471" s="108" t="s">
        <v>669</v>
      </c>
      <c r="J471" s="134">
        <f t="shared" si="204"/>
        <v>0</v>
      </c>
      <c r="K471" s="131" t="s">
        <v>715</v>
      </c>
      <c r="L471" s="161">
        <v>262</v>
      </c>
      <c r="M471" s="136"/>
      <c r="N471" s="136"/>
      <c r="O471" s="136"/>
      <c r="P471" s="136"/>
      <c r="Q471" s="136"/>
      <c r="R471" s="136"/>
      <c r="S471" s="161"/>
      <c r="T471" s="161"/>
      <c r="U471" s="161"/>
      <c r="V471" s="161"/>
      <c r="W471" s="135"/>
      <c r="X471" s="135"/>
      <c r="Y471" s="135"/>
      <c r="Z471" s="135"/>
      <c r="AA471" s="135"/>
      <c r="AB471" s="135"/>
      <c r="AC471" s="136"/>
      <c r="AD471" s="136"/>
      <c r="AE471" s="135"/>
      <c r="AF471" s="161"/>
      <c r="AG471" s="161"/>
      <c r="AH471" s="161"/>
      <c r="AI471" s="161"/>
      <c r="AJ471" s="161"/>
      <c r="AK471" s="135"/>
      <c r="AL471" s="135"/>
      <c r="AM471" s="135"/>
      <c r="AN471" s="135"/>
      <c r="AO471" s="161">
        <v>8</v>
      </c>
      <c r="AP471" s="135"/>
      <c r="AQ471" s="136"/>
      <c r="AR471" s="136"/>
      <c r="AS471" s="161"/>
      <c r="AT471" s="161"/>
      <c r="AU471" s="161"/>
      <c r="AV471" s="161"/>
      <c r="AW471" s="161"/>
      <c r="AX471" s="161"/>
      <c r="AY471" s="135"/>
      <c r="AZ471" s="135"/>
      <c r="BA471" s="135"/>
      <c r="BB471" s="135"/>
      <c r="BC471" s="135"/>
      <c r="BD471" s="135"/>
      <c r="BE471" s="136"/>
      <c r="BF471" s="136"/>
      <c r="BG471" s="161"/>
      <c r="BH471" s="161"/>
      <c r="BI471" s="161"/>
      <c r="BJ471" s="161"/>
      <c r="BK471" s="161"/>
      <c r="BL471" s="161"/>
      <c r="BM471" s="135"/>
      <c r="BN471" s="135"/>
      <c r="BO471" s="135"/>
      <c r="BP471" s="135"/>
      <c r="BQ471" s="135"/>
      <c r="BR471" s="135"/>
      <c r="BS471" s="136"/>
      <c r="BT471" s="136"/>
      <c r="BU471" s="161"/>
      <c r="BV471" s="161"/>
      <c r="BW471" s="161"/>
      <c r="BX471" s="161"/>
      <c r="BY471" s="161"/>
      <c r="BZ471" s="161"/>
      <c r="CA471" s="135"/>
      <c r="CB471" s="135"/>
      <c r="CC471" s="135"/>
      <c r="CD471" s="135"/>
      <c r="CE471" s="135"/>
      <c r="CF471" s="135"/>
      <c r="CG471" s="136"/>
      <c r="CH471" s="136"/>
      <c r="CI471" s="161"/>
      <c r="CJ471" s="161"/>
      <c r="CK471" s="161"/>
      <c r="CL471" s="161"/>
      <c r="CM471" s="161"/>
      <c r="CN471" s="161"/>
      <c r="CO471" s="135"/>
      <c r="CP471" s="135"/>
      <c r="CQ471" s="135"/>
      <c r="CR471" s="135"/>
      <c r="CS471" s="135"/>
      <c r="CT471" s="135"/>
      <c r="CU471" s="136"/>
      <c r="CV471" s="136"/>
      <c r="CW471" s="161"/>
      <c r="CX471" s="161"/>
      <c r="CY471" s="161"/>
      <c r="CZ471" s="161"/>
      <c r="DA471" s="161"/>
      <c r="DB471" s="161"/>
      <c r="DC471" s="135"/>
      <c r="DD471" s="135"/>
      <c r="DE471" s="135"/>
      <c r="DF471" s="135"/>
      <c r="DG471" s="135"/>
      <c r="DH471" s="135"/>
      <c r="DI471" s="136"/>
      <c r="DJ471" s="136"/>
      <c r="DK471" s="161"/>
      <c r="DL471" s="161"/>
      <c r="DM471" s="161"/>
      <c r="DN471" s="161"/>
      <c r="DO471" s="161"/>
      <c r="DP471" s="161"/>
      <c r="DQ471" s="135"/>
      <c r="DR471" s="135"/>
      <c r="DS471" s="135"/>
      <c r="DT471" s="135"/>
      <c r="DU471" s="135"/>
      <c r="DV471" s="135"/>
      <c r="DW471" s="136"/>
      <c r="DX471" s="136"/>
      <c r="DY471" s="161"/>
      <c r="DZ471" s="161"/>
      <c r="EA471" s="161"/>
      <c r="EB471" s="161"/>
      <c r="EC471" s="161"/>
      <c r="ED471" s="161"/>
      <c r="EE471" s="135"/>
      <c r="EF471" s="135"/>
      <c r="EG471" s="135"/>
      <c r="EH471" s="135"/>
      <c r="EI471" s="135"/>
      <c r="EJ471" s="135"/>
      <c r="EK471" s="136"/>
      <c r="EL471" s="136"/>
      <c r="EM471" s="136"/>
      <c r="EN471" s="136"/>
      <c r="EO471" s="136"/>
      <c r="EP471" s="136"/>
      <c r="EQ471" s="136"/>
      <c r="ER471" s="136"/>
      <c r="ES471" s="135"/>
      <c r="ET471" s="135"/>
      <c r="EU471" s="135"/>
      <c r="EV471" s="135"/>
      <c r="EW471" s="135"/>
      <c r="EX471" s="135"/>
      <c r="EY471" s="136"/>
      <c r="EZ471" s="136"/>
      <c r="FA471" s="161"/>
      <c r="FB471" s="161"/>
      <c r="FC471" s="161"/>
      <c r="FD471" s="161"/>
      <c r="FE471" s="161"/>
      <c r="FF471" s="161"/>
      <c r="FG471" s="135"/>
      <c r="FH471" s="135"/>
      <c r="FI471" s="135"/>
      <c r="FJ471" s="135"/>
      <c r="FK471" s="135"/>
      <c r="FL471" s="135"/>
      <c r="FM471" s="136"/>
      <c r="FN471" s="136"/>
      <c r="FO471" s="161"/>
      <c r="FP471" s="161"/>
      <c r="FQ471" s="161"/>
      <c r="FR471" s="161"/>
      <c r="FS471" s="161"/>
      <c r="FT471" s="161"/>
      <c r="FU471" s="135"/>
      <c r="FV471" s="135"/>
      <c r="FW471" s="135"/>
      <c r="FX471" s="135"/>
      <c r="FY471" s="135"/>
      <c r="FZ471" s="135"/>
      <c r="GA471" s="136"/>
      <c r="GB471" s="136"/>
      <c r="GC471" s="161"/>
      <c r="GD471" s="161"/>
      <c r="GE471" s="161"/>
      <c r="GF471" s="161"/>
      <c r="GG471" s="161"/>
      <c r="GH471" s="161"/>
      <c r="GI471" s="135"/>
      <c r="GJ471" s="135"/>
      <c r="GK471" s="135"/>
      <c r="GL471" s="135"/>
      <c r="GM471" s="135"/>
      <c r="GN471" s="135"/>
    </row>
    <row r="472" spans="1:196" ht="31.5" customHeight="1">
      <c r="A472" s="172"/>
      <c r="B472" s="137" t="s">
        <v>1141</v>
      </c>
      <c r="C472" s="137" t="s">
        <v>635</v>
      </c>
      <c r="D472" s="119"/>
      <c r="E472" s="119"/>
      <c r="F472" s="133"/>
      <c r="G472" s="95">
        <v>200</v>
      </c>
      <c r="H472" s="137"/>
      <c r="I472" s="108">
        <v>46254</v>
      </c>
      <c r="J472" s="134">
        <f t="shared" si="204"/>
        <v>0</v>
      </c>
      <c r="K472" s="131" t="s">
        <v>1142</v>
      </c>
      <c r="L472" s="161"/>
      <c r="M472" s="136"/>
      <c r="N472" s="136"/>
      <c r="O472" s="136"/>
      <c r="P472" s="136"/>
      <c r="Q472" s="136"/>
      <c r="R472" s="136"/>
      <c r="S472" s="161"/>
      <c r="T472" s="161"/>
      <c r="U472" s="161"/>
      <c r="V472" s="161"/>
      <c r="W472" s="135"/>
      <c r="X472" s="135"/>
      <c r="Y472" s="135"/>
      <c r="Z472" s="135"/>
      <c r="AA472" s="135"/>
      <c r="AB472" s="135"/>
      <c r="AC472" s="136"/>
      <c r="AD472" s="136"/>
      <c r="AE472" s="135"/>
      <c r="AF472" s="161"/>
      <c r="AG472" s="161"/>
      <c r="AH472" s="161"/>
      <c r="AI472" s="161"/>
      <c r="AJ472" s="161"/>
      <c r="AK472" s="135"/>
      <c r="AL472" s="135"/>
      <c r="AM472" s="135"/>
      <c r="AN472" s="135"/>
      <c r="AO472" s="161"/>
      <c r="AP472" s="135"/>
      <c r="AQ472" s="136"/>
      <c r="AR472" s="136"/>
      <c r="AS472" s="161"/>
      <c r="AT472" s="161"/>
      <c r="AU472" s="161"/>
      <c r="AV472" s="161"/>
      <c r="AW472" s="161"/>
      <c r="AX472" s="161"/>
      <c r="AY472" s="135"/>
      <c r="AZ472" s="135"/>
      <c r="BA472" s="135"/>
      <c r="BB472" s="135"/>
      <c r="BC472" s="135"/>
      <c r="BD472" s="135"/>
      <c r="BE472" s="136"/>
      <c r="BF472" s="136"/>
      <c r="BG472" s="161"/>
      <c r="BH472" s="161"/>
      <c r="BI472" s="161"/>
      <c r="BJ472" s="161"/>
      <c r="BK472" s="161"/>
      <c r="BL472" s="161"/>
      <c r="BM472" s="135"/>
      <c r="BN472" s="135"/>
      <c r="BO472" s="135"/>
      <c r="BP472" s="135"/>
      <c r="BQ472" s="135"/>
      <c r="BR472" s="135"/>
      <c r="BS472" s="136"/>
      <c r="BT472" s="136"/>
      <c r="BU472" s="161"/>
      <c r="BV472" s="161"/>
      <c r="BW472" s="161"/>
      <c r="BX472" s="161"/>
      <c r="BY472" s="161"/>
      <c r="BZ472" s="161"/>
      <c r="CA472" s="135"/>
      <c r="CB472" s="135"/>
      <c r="CC472" s="135"/>
      <c r="CD472" s="135"/>
      <c r="CE472" s="135"/>
      <c r="CF472" s="135"/>
      <c r="CG472" s="136"/>
      <c r="CH472" s="136"/>
      <c r="CI472" s="161"/>
      <c r="CJ472" s="161"/>
      <c r="CK472" s="161"/>
      <c r="CL472" s="161"/>
      <c r="CM472" s="161"/>
      <c r="CN472" s="161"/>
      <c r="CO472" s="135"/>
      <c r="CP472" s="135"/>
      <c r="CQ472" s="135"/>
      <c r="CR472" s="135"/>
      <c r="CS472" s="135"/>
      <c r="CT472" s="135"/>
      <c r="CU472" s="136"/>
      <c r="CV472" s="136"/>
      <c r="CW472" s="161"/>
      <c r="CX472" s="161"/>
      <c r="CY472" s="161"/>
      <c r="CZ472" s="161"/>
      <c r="DA472" s="161"/>
      <c r="DB472" s="161"/>
      <c r="DC472" s="135"/>
      <c r="DD472" s="135"/>
      <c r="DE472" s="135"/>
      <c r="DF472" s="135"/>
      <c r="DG472" s="135"/>
      <c r="DH472" s="135"/>
      <c r="DI472" s="136"/>
      <c r="DJ472" s="136"/>
      <c r="DK472" s="161"/>
      <c r="DL472" s="161"/>
      <c r="DM472" s="161"/>
      <c r="DN472" s="161"/>
      <c r="DO472" s="161"/>
      <c r="DP472" s="161"/>
      <c r="DQ472" s="135">
        <v>200</v>
      </c>
      <c r="DR472" s="135"/>
      <c r="DS472" s="135"/>
      <c r="DT472" s="135"/>
      <c r="DU472" s="135"/>
      <c r="DV472" s="135"/>
      <c r="DW472" s="136"/>
      <c r="DX472" s="136"/>
      <c r="DY472" s="161"/>
      <c r="DZ472" s="161"/>
      <c r="EA472" s="161"/>
      <c r="EB472" s="161"/>
      <c r="EC472" s="161"/>
      <c r="ED472" s="161"/>
      <c r="EE472" s="135"/>
      <c r="EF472" s="135"/>
      <c r="EG472" s="135"/>
      <c r="EH472" s="135"/>
      <c r="EI472" s="135"/>
      <c r="EJ472" s="135"/>
      <c r="EK472" s="136"/>
      <c r="EL472" s="136"/>
      <c r="EM472" s="136"/>
      <c r="EN472" s="136"/>
      <c r="EO472" s="136"/>
      <c r="EP472" s="136"/>
      <c r="EQ472" s="136"/>
      <c r="ER472" s="136"/>
      <c r="ES472" s="135"/>
      <c r="ET472" s="135"/>
      <c r="EU472" s="135"/>
      <c r="EV472" s="135"/>
      <c r="EW472" s="135"/>
      <c r="EX472" s="135"/>
      <c r="EY472" s="136"/>
      <c r="EZ472" s="136"/>
      <c r="FA472" s="161"/>
      <c r="FB472" s="161"/>
      <c r="FC472" s="161"/>
      <c r="FD472" s="161"/>
      <c r="FE472" s="161"/>
      <c r="FF472" s="161"/>
      <c r="FG472" s="161"/>
      <c r="FH472" s="135"/>
      <c r="FI472" s="135"/>
      <c r="FJ472" s="135"/>
      <c r="FK472" s="135"/>
      <c r="FL472" s="135"/>
      <c r="FM472" s="136"/>
      <c r="FN472" s="136"/>
      <c r="FO472" s="161"/>
      <c r="FP472" s="161"/>
      <c r="FQ472" s="161"/>
      <c r="FR472" s="161"/>
      <c r="FS472" s="161"/>
      <c r="FT472" s="161"/>
      <c r="FU472" s="161"/>
      <c r="FV472" s="135"/>
      <c r="FW472" s="135"/>
      <c r="FX472" s="135"/>
      <c r="FY472" s="135"/>
      <c r="FZ472" s="135"/>
      <c r="GA472" s="136"/>
      <c r="GB472" s="136"/>
      <c r="GC472" s="161"/>
      <c r="GD472" s="161"/>
      <c r="GE472" s="161"/>
      <c r="GF472" s="161"/>
      <c r="GG472" s="161"/>
      <c r="GH472" s="161"/>
      <c r="GI472" s="161"/>
      <c r="GJ472" s="135"/>
      <c r="GK472" s="135"/>
      <c r="GL472" s="135"/>
      <c r="GM472" s="135"/>
      <c r="GN472" s="135"/>
    </row>
    <row r="473" spans="1:196" ht="15.5">
      <c r="A473" s="169"/>
      <c r="B473" s="126"/>
      <c r="C473" s="109"/>
      <c r="D473" s="119"/>
      <c r="E473" s="119"/>
      <c r="F473" s="107"/>
      <c r="G473" s="115"/>
      <c r="H473" s="6"/>
      <c r="I473" s="125"/>
      <c r="J473" s="13"/>
      <c r="K473" s="141"/>
      <c r="L473" s="161"/>
      <c r="M473" s="136"/>
      <c r="N473" s="136"/>
      <c r="O473" s="136"/>
      <c r="P473" s="136"/>
      <c r="Q473" s="136"/>
      <c r="R473" s="136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36"/>
      <c r="AD473" s="136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36"/>
      <c r="AR473" s="136"/>
      <c r="AS473" s="161"/>
      <c r="AT473" s="161"/>
      <c r="AU473" s="161"/>
      <c r="AV473" s="161"/>
      <c r="AW473" s="161"/>
      <c r="AX473" s="161"/>
      <c r="AY473" s="161"/>
      <c r="AZ473" s="161"/>
      <c r="BA473" s="161"/>
      <c r="BB473" s="161"/>
      <c r="BC473" s="161"/>
      <c r="BD473" s="161"/>
      <c r="BE473" s="136"/>
      <c r="BF473" s="136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36"/>
      <c r="BT473" s="136"/>
      <c r="BU473" s="161"/>
      <c r="BV473" s="161"/>
      <c r="BW473" s="161"/>
      <c r="BX473" s="161"/>
      <c r="BY473" s="161"/>
      <c r="BZ473" s="161"/>
      <c r="CA473" s="161"/>
      <c r="CB473" s="161"/>
      <c r="CC473" s="161"/>
      <c r="CD473" s="161"/>
      <c r="CE473" s="161"/>
      <c r="CF473" s="161"/>
      <c r="CG473" s="136"/>
      <c r="CH473" s="136"/>
      <c r="CI473" s="161"/>
      <c r="CJ473" s="161"/>
      <c r="CK473" s="161"/>
      <c r="CL473" s="161"/>
      <c r="CM473" s="161"/>
      <c r="CN473" s="161"/>
      <c r="CO473" s="161"/>
      <c r="CP473" s="161"/>
      <c r="CQ473" s="161"/>
      <c r="CR473" s="161"/>
      <c r="CS473" s="161"/>
      <c r="CT473" s="161"/>
      <c r="CU473" s="136"/>
      <c r="CV473" s="136"/>
      <c r="CW473" s="161"/>
      <c r="CX473" s="161"/>
      <c r="CY473" s="161"/>
      <c r="CZ473" s="161"/>
      <c r="DA473" s="161"/>
      <c r="DB473" s="161"/>
      <c r="DC473" s="161"/>
      <c r="DD473" s="161"/>
      <c r="DE473" s="161"/>
      <c r="DF473" s="161"/>
      <c r="DG473" s="161"/>
      <c r="DH473" s="161"/>
      <c r="DI473" s="136"/>
      <c r="DJ473" s="136"/>
      <c r="DK473" s="161"/>
      <c r="DL473" s="161"/>
      <c r="DM473" s="161"/>
      <c r="DN473" s="161"/>
      <c r="DO473" s="161"/>
      <c r="DP473" s="161"/>
      <c r="DQ473" s="161"/>
      <c r="DR473" s="161"/>
      <c r="DS473" s="161"/>
      <c r="DT473" s="161"/>
      <c r="DU473" s="161"/>
      <c r="DV473" s="161"/>
      <c r="DW473" s="136"/>
      <c r="DX473" s="136"/>
      <c r="DY473" s="161"/>
      <c r="DZ473" s="161"/>
      <c r="EA473" s="161"/>
      <c r="EB473" s="161"/>
      <c r="EC473" s="161"/>
      <c r="ED473" s="161"/>
      <c r="EE473" s="161"/>
      <c r="EF473" s="161"/>
      <c r="EG473" s="161"/>
      <c r="EH473" s="161"/>
      <c r="EI473" s="161"/>
      <c r="EJ473" s="161"/>
      <c r="EK473" s="136"/>
      <c r="EL473" s="136"/>
      <c r="EM473" s="136"/>
      <c r="EN473" s="136"/>
      <c r="EO473" s="136"/>
      <c r="EP473" s="136"/>
      <c r="EQ473" s="136"/>
      <c r="ER473" s="136"/>
      <c r="ES473" s="161"/>
      <c r="ET473" s="161"/>
      <c r="EU473" s="161"/>
      <c r="EV473" s="161"/>
      <c r="EW473" s="161"/>
      <c r="EX473" s="161"/>
      <c r="EY473" s="136"/>
      <c r="EZ473" s="136"/>
      <c r="FA473" s="161"/>
      <c r="FB473" s="161"/>
      <c r="FC473" s="161"/>
      <c r="FD473" s="161"/>
      <c r="FE473" s="161"/>
      <c r="FF473" s="161"/>
      <c r="FG473" s="161"/>
      <c r="FH473" s="161"/>
      <c r="FI473" s="161"/>
      <c r="FJ473" s="161"/>
      <c r="FK473" s="161"/>
      <c r="FL473" s="161"/>
      <c r="FM473" s="136"/>
      <c r="FN473" s="136"/>
      <c r="FO473" s="161"/>
      <c r="FP473" s="161"/>
      <c r="FQ473" s="161"/>
      <c r="FR473" s="161"/>
      <c r="FS473" s="161"/>
      <c r="FT473" s="161"/>
      <c r="FU473" s="161"/>
      <c r="FV473" s="161"/>
      <c r="FW473" s="161"/>
      <c r="FX473" s="161"/>
      <c r="FY473" s="161"/>
      <c r="FZ473" s="161"/>
      <c r="GA473" s="136"/>
      <c r="GB473" s="136"/>
      <c r="GC473" s="161"/>
      <c r="GD473" s="161"/>
      <c r="GE473" s="161"/>
      <c r="GF473" s="161"/>
      <c r="GG473" s="161"/>
      <c r="GH473" s="161"/>
      <c r="GI473" s="161"/>
      <c r="GJ473" s="161"/>
      <c r="GK473" s="161"/>
      <c r="GL473" s="161"/>
      <c r="GM473" s="161"/>
      <c r="GN473" s="161"/>
    </row>
    <row r="474" spans="1:196">
      <c r="A474" s="7" t="s">
        <v>1069</v>
      </c>
      <c r="B474" s="7"/>
      <c r="C474" s="7"/>
      <c r="D474" s="7"/>
      <c r="E474" s="7"/>
      <c r="F474" s="7"/>
      <c r="G474" s="94"/>
      <c r="H474" s="10"/>
      <c r="I474" s="24"/>
      <c r="J474" s="7"/>
      <c r="K474" s="8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</row>
    <row r="475" spans="1:196">
      <c r="A475" s="159"/>
      <c r="B475" s="137" t="s">
        <v>819</v>
      </c>
      <c r="C475" s="137">
        <v>379900220304</v>
      </c>
      <c r="D475" s="119"/>
      <c r="E475" s="119"/>
      <c r="F475" s="133">
        <v>46183</v>
      </c>
      <c r="G475" s="95">
        <v>5</v>
      </c>
      <c r="H475" s="137"/>
      <c r="I475" s="108">
        <v>46183</v>
      </c>
      <c r="J475" s="134">
        <f t="shared" si="204"/>
        <v>0</v>
      </c>
      <c r="K475" s="131"/>
      <c r="L475" s="161">
        <v>5</v>
      </c>
      <c r="M475" s="136"/>
      <c r="N475" s="136"/>
      <c r="O475" s="136"/>
      <c r="P475" s="136"/>
      <c r="Q475" s="136"/>
      <c r="R475" s="136"/>
      <c r="S475" s="161"/>
      <c r="T475" s="161"/>
      <c r="U475" s="161"/>
      <c r="V475" s="161"/>
      <c r="W475" s="135"/>
      <c r="X475" s="135"/>
      <c r="Y475" s="135"/>
      <c r="Z475" s="135"/>
      <c r="AA475" s="135"/>
      <c r="AB475" s="135"/>
      <c r="AC475" s="136"/>
      <c r="AD475" s="136"/>
      <c r="AE475" s="161"/>
      <c r="AF475" s="161"/>
      <c r="AG475" s="161"/>
      <c r="AH475" s="161"/>
      <c r="AI475" s="161"/>
      <c r="AJ475" s="161"/>
      <c r="AK475" s="135"/>
      <c r="AL475" s="135"/>
      <c r="AM475" s="135"/>
      <c r="AN475" s="135"/>
      <c r="AO475" s="135"/>
      <c r="AP475" s="135"/>
      <c r="AQ475" s="136"/>
      <c r="AR475" s="136"/>
      <c r="AS475" s="161"/>
      <c r="AT475" s="161"/>
      <c r="AU475" s="161"/>
      <c r="AV475" s="161"/>
      <c r="AW475" s="161"/>
      <c r="AX475" s="161"/>
      <c r="AY475" s="135"/>
      <c r="AZ475" s="135"/>
      <c r="BA475" s="135"/>
      <c r="BB475" s="135"/>
      <c r="BC475" s="135"/>
      <c r="BD475" s="135"/>
      <c r="BE475" s="136"/>
      <c r="BF475" s="136"/>
      <c r="BG475" s="161"/>
      <c r="BH475" s="161"/>
      <c r="BI475" s="161"/>
      <c r="BJ475" s="161"/>
      <c r="BK475" s="161"/>
      <c r="BL475" s="161"/>
      <c r="BM475" s="135"/>
      <c r="BN475" s="135"/>
      <c r="BO475" s="135"/>
      <c r="BP475" s="135"/>
      <c r="BQ475" s="135"/>
      <c r="BR475" s="135"/>
      <c r="BS475" s="136"/>
      <c r="BT475" s="136"/>
      <c r="BU475" s="161"/>
      <c r="BV475" s="161"/>
      <c r="BW475" s="161"/>
      <c r="BX475" s="161"/>
      <c r="BY475" s="161"/>
      <c r="BZ475" s="161"/>
      <c r="CA475" s="135"/>
      <c r="CB475" s="135"/>
      <c r="CC475" s="135"/>
      <c r="CD475" s="135"/>
      <c r="CE475" s="135"/>
      <c r="CF475" s="135"/>
      <c r="CG475" s="136"/>
      <c r="CH475" s="136"/>
      <c r="CI475" s="161"/>
      <c r="CJ475" s="161"/>
      <c r="CK475" s="161"/>
      <c r="CL475" s="161"/>
      <c r="CM475" s="161"/>
      <c r="CN475" s="161"/>
      <c r="CO475" s="135"/>
      <c r="CP475" s="135"/>
      <c r="CQ475" s="135"/>
      <c r="CR475" s="135"/>
      <c r="CS475" s="135"/>
      <c r="CT475" s="135"/>
      <c r="CU475" s="136"/>
      <c r="CV475" s="136"/>
      <c r="CW475" s="161"/>
      <c r="CX475" s="161"/>
      <c r="CY475" s="161"/>
      <c r="CZ475" s="161"/>
      <c r="DA475" s="161"/>
      <c r="DB475" s="161"/>
      <c r="DC475" s="135"/>
      <c r="DD475" s="135"/>
      <c r="DE475" s="135"/>
      <c r="DF475" s="135"/>
      <c r="DG475" s="135"/>
      <c r="DH475" s="135"/>
      <c r="DI475" s="136"/>
      <c r="DJ475" s="136"/>
      <c r="DK475" s="161"/>
      <c r="DL475" s="161"/>
      <c r="DM475" s="161"/>
      <c r="DN475" s="161"/>
      <c r="DO475" s="161"/>
      <c r="DP475" s="161"/>
      <c r="DQ475" s="135"/>
      <c r="DR475" s="135"/>
      <c r="DS475" s="135"/>
      <c r="DT475" s="135"/>
      <c r="DU475" s="135"/>
      <c r="DV475" s="135"/>
      <c r="DW475" s="136"/>
      <c r="DX475" s="136"/>
      <c r="DY475" s="161"/>
      <c r="DZ475" s="161"/>
      <c r="EA475" s="161"/>
      <c r="EB475" s="161"/>
      <c r="EC475" s="161"/>
      <c r="ED475" s="161"/>
      <c r="EE475" s="135"/>
      <c r="EF475" s="135"/>
      <c r="EG475" s="135"/>
      <c r="EH475" s="135"/>
      <c r="EI475" s="135"/>
      <c r="EJ475" s="135"/>
      <c r="EK475" s="136"/>
      <c r="EL475" s="136"/>
      <c r="EM475" s="136"/>
      <c r="EN475" s="136"/>
      <c r="EO475" s="136"/>
      <c r="EP475" s="136"/>
      <c r="EQ475" s="136"/>
      <c r="ER475" s="136"/>
      <c r="ES475" s="135"/>
      <c r="ET475" s="135"/>
      <c r="EU475" s="135"/>
      <c r="EV475" s="135"/>
      <c r="EW475" s="135"/>
      <c r="EX475" s="135"/>
      <c r="EY475" s="136"/>
      <c r="EZ475" s="136"/>
      <c r="FA475" s="161"/>
      <c r="FB475" s="161"/>
      <c r="FC475" s="161"/>
      <c r="FD475" s="161"/>
      <c r="FE475" s="161"/>
      <c r="FF475" s="161"/>
      <c r="FG475" s="135"/>
      <c r="FH475" s="135"/>
      <c r="FI475" s="135"/>
      <c r="FJ475" s="135"/>
      <c r="FK475" s="135"/>
      <c r="FL475" s="135"/>
      <c r="FM475" s="136"/>
      <c r="FN475" s="136"/>
      <c r="FO475" s="161"/>
      <c r="FP475" s="161"/>
      <c r="FQ475" s="161"/>
      <c r="FR475" s="161"/>
      <c r="FS475" s="161"/>
      <c r="FT475" s="161"/>
      <c r="FU475" s="135"/>
      <c r="FV475" s="135"/>
      <c r="FW475" s="135"/>
      <c r="FX475" s="135"/>
      <c r="FY475" s="135"/>
      <c r="FZ475" s="135"/>
      <c r="GA475" s="136"/>
      <c r="GB475" s="136"/>
      <c r="GC475" s="161"/>
      <c r="GD475" s="161"/>
      <c r="GE475" s="161"/>
      <c r="GF475" s="161"/>
      <c r="GG475" s="161"/>
      <c r="GH475" s="161"/>
      <c r="GI475" s="135"/>
      <c r="GJ475" s="135"/>
      <c r="GK475" s="135"/>
      <c r="GL475" s="135"/>
      <c r="GM475" s="135"/>
      <c r="GN475" s="135"/>
    </row>
    <row r="476" spans="1:196">
      <c r="A476" s="159"/>
      <c r="B476" s="137" t="s">
        <v>895</v>
      </c>
      <c r="C476" s="137">
        <v>379900220304</v>
      </c>
      <c r="D476" s="119"/>
      <c r="E476" s="119"/>
      <c r="F476" s="133">
        <v>46177</v>
      </c>
      <c r="G476" s="95">
        <v>140</v>
      </c>
      <c r="H476" s="137"/>
      <c r="I476" s="108">
        <v>46209</v>
      </c>
      <c r="J476" s="134">
        <f t="shared" si="204"/>
        <v>0</v>
      </c>
      <c r="K476" s="131"/>
      <c r="L476" s="161"/>
      <c r="M476" s="136"/>
      <c r="N476" s="136"/>
      <c r="O476" s="136"/>
      <c r="P476" s="136"/>
      <c r="Q476" s="136"/>
      <c r="R476" s="136"/>
      <c r="S476" s="161"/>
      <c r="T476" s="161"/>
      <c r="U476" s="161"/>
      <c r="V476" s="161"/>
      <c r="W476" s="135"/>
      <c r="X476" s="135"/>
      <c r="Y476" s="135"/>
      <c r="Z476" s="135"/>
      <c r="AA476" s="135"/>
      <c r="AB476" s="135"/>
      <c r="AC476" s="136"/>
      <c r="AD476" s="136"/>
      <c r="AE476" s="161">
        <v>18</v>
      </c>
      <c r="AF476" s="161"/>
      <c r="AG476" s="161">
        <v>12</v>
      </c>
      <c r="AH476" s="161"/>
      <c r="AI476" s="161">
        <v>8</v>
      </c>
      <c r="AJ476" s="161"/>
      <c r="AK476" s="135">
        <v>43</v>
      </c>
      <c r="AL476" s="135"/>
      <c r="AM476" s="135"/>
      <c r="AN476" s="135"/>
      <c r="AO476" s="135"/>
      <c r="AP476" s="135"/>
      <c r="AQ476" s="136"/>
      <c r="AR476" s="136"/>
      <c r="AS476" s="161">
        <v>32</v>
      </c>
      <c r="AT476" s="161"/>
      <c r="AU476" s="161"/>
      <c r="AV476" s="161"/>
      <c r="AW476" s="161">
        <v>27</v>
      </c>
      <c r="AX476" s="161"/>
      <c r="AY476" s="135"/>
      <c r="AZ476" s="135"/>
      <c r="BA476" s="135"/>
      <c r="BB476" s="135"/>
      <c r="BC476" s="135"/>
      <c r="BD476" s="135"/>
      <c r="BE476" s="136"/>
      <c r="BF476" s="136"/>
      <c r="BG476" s="161"/>
      <c r="BH476" s="161"/>
      <c r="BI476" s="161"/>
      <c r="BJ476" s="161"/>
      <c r="BK476" s="161"/>
      <c r="BL476" s="161"/>
      <c r="BM476" s="135"/>
      <c r="BN476" s="135"/>
      <c r="BO476" s="135"/>
      <c r="BP476" s="135"/>
      <c r="BQ476" s="135"/>
      <c r="BR476" s="135"/>
      <c r="BS476" s="136"/>
      <c r="BT476" s="136"/>
      <c r="BU476" s="161"/>
      <c r="BV476" s="161"/>
      <c r="BW476" s="161"/>
      <c r="BX476" s="161"/>
      <c r="BY476" s="161"/>
      <c r="BZ476" s="161"/>
      <c r="CA476" s="135"/>
      <c r="CB476" s="135"/>
      <c r="CC476" s="135"/>
      <c r="CD476" s="135"/>
      <c r="CE476" s="135"/>
      <c r="CF476" s="135"/>
      <c r="CG476" s="136"/>
      <c r="CH476" s="136"/>
      <c r="CI476" s="161"/>
      <c r="CJ476" s="161"/>
      <c r="CK476" s="161"/>
      <c r="CL476" s="161"/>
      <c r="CM476" s="161"/>
      <c r="CN476" s="161"/>
      <c r="CO476" s="135"/>
      <c r="CP476" s="135"/>
      <c r="CQ476" s="135"/>
      <c r="CR476" s="135"/>
      <c r="CS476" s="135"/>
      <c r="CT476" s="135"/>
      <c r="CU476" s="136"/>
      <c r="CV476" s="136"/>
      <c r="CW476" s="161"/>
      <c r="CX476" s="161"/>
      <c r="CY476" s="161"/>
      <c r="CZ476" s="161"/>
      <c r="DA476" s="161"/>
      <c r="DB476" s="161"/>
      <c r="DC476" s="135"/>
      <c r="DD476" s="135"/>
      <c r="DE476" s="135"/>
      <c r="DF476" s="135"/>
      <c r="DG476" s="135"/>
      <c r="DH476" s="135"/>
      <c r="DI476" s="136"/>
      <c r="DJ476" s="136"/>
      <c r="DK476" s="161"/>
      <c r="DL476" s="161"/>
      <c r="DM476" s="161"/>
      <c r="DN476" s="161"/>
      <c r="DO476" s="161"/>
      <c r="DP476" s="161"/>
      <c r="DQ476" s="135"/>
      <c r="DR476" s="135"/>
      <c r="DS476" s="135"/>
      <c r="DT476" s="135"/>
      <c r="DU476" s="135"/>
      <c r="DV476" s="135"/>
      <c r="DW476" s="136"/>
      <c r="DX476" s="136"/>
      <c r="DY476" s="161"/>
      <c r="DZ476" s="161"/>
      <c r="EA476" s="161"/>
      <c r="EB476" s="161"/>
      <c r="EC476" s="161"/>
      <c r="ED476" s="161"/>
      <c r="EE476" s="135"/>
      <c r="EF476" s="135"/>
      <c r="EG476" s="135"/>
      <c r="EH476" s="135"/>
      <c r="EI476" s="135"/>
      <c r="EJ476" s="135"/>
      <c r="EK476" s="136"/>
      <c r="EL476" s="136"/>
      <c r="EM476" s="136"/>
      <c r="EN476" s="136"/>
      <c r="EO476" s="136"/>
      <c r="EP476" s="136"/>
      <c r="EQ476" s="136"/>
      <c r="ER476" s="136"/>
      <c r="ES476" s="135"/>
      <c r="ET476" s="135"/>
      <c r="EU476" s="135"/>
      <c r="EV476" s="135"/>
      <c r="EW476" s="135"/>
      <c r="EX476" s="135"/>
      <c r="EY476" s="136"/>
      <c r="EZ476" s="136"/>
      <c r="FA476" s="161"/>
      <c r="FB476" s="161"/>
      <c r="FC476" s="161"/>
      <c r="FD476" s="161"/>
      <c r="FE476" s="161"/>
      <c r="FF476" s="161"/>
      <c r="FG476" s="135"/>
      <c r="FH476" s="135"/>
      <c r="FI476" s="135"/>
      <c r="FJ476" s="135"/>
      <c r="FK476" s="135"/>
      <c r="FL476" s="135"/>
      <c r="FM476" s="136"/>
      <c r="FN476" s="136"/>
      <c r="FO476" s="161"/>
      <c r="FP476" s="161"/>
      <c r="FQ476" s="161"/>
      <c r="FR476" s="161"/>
      <c r="FS476" s="161"/>
      <c r="FT476" s="161"/>
      <c r="FU476" s="135"/>
      <c r="FV476" s="135"/>
      <c r="FW476" s="135"/>
      <c r="FX476" s="135"/>
      <c r="FY476" s="135"/>
      <c r="FZ476" s="135"/>
      <c r="GA476" s="136"/>
      <c r="GB476" s="136"/>
      <c r="GC476" s="161"/>
      <c r="GD476" s="161"/>
      <c r="GE476" s="161"/>
      <c r="GF476" s="161"/>
      <c r="GG476" s="161"/>
      <c r="GH476" s="161"/>
      <c r="GI476" s="135"/>
      <c r="GJ476" s="135"/>
      <c r="GK476" s="135"/>
      <c r="GL476" s="135"/>
      <c r="GM476" s="135"/>
      <c r="GN476" s="135"/>
    </row>
    <row r="477" spans="1:196">
      <c r="A477" s="159"/>
      <c r="B477" s="137" t="s">
        <v>985</v>
      </c>
      <c r="C477" s="137" t="s">
        <v>986</v>
      </c>
      <c r="D477" s="119"/>
      <c r="E477" s="119"/>
      <c r="F477" s="133">
        <v>46177</v>
      </c>
      <c r="G477" s="95">
        <v>3</v>
      </c>
      <c r="H477" s="137"/>
      <c r="I477" s="108">
        <v>46210</v>
      </c>
      <c r="J477" s="134">
        <f t="shared" si="204"/>
        <v>0</v>
      </c>
      <c r="K477" s="131"/>
      <c r="L477" s="161"/>
      <c r="M477" s="136"/>
      <c r="N477" s="136"/>
      <c r="O477" s="136"/>
      <c r="P477" s="136"/>
      <c r="Q477" s="136"/>
      <c r="R477" s="136"/>
      <c r="S477" s="161"/>
      <c r="T477" s="161"/>
      <c r="U477" s="161"/>
      <c r="V477" s="161"/>
      <c r="W477" s="135"/>
      <c r="X477" s="135"/>
      <c r="Y477" s="135"/>
      <c r="Z477" s="135"/>
      <c r="AA477" s="135"/>
      <c r="AB477" s="135"/>
      <c r="AC477" s="136"/>
      <c r="AD477" s="136"/>
      <c r="AE477" s="161"/>
      <c r="AF477" s="161"/>
      <c r="AG477" s="161"/>
      <c r="AH477" s="161"/>
      <c r="AI477" s="161"/>
      <c r="AJ477" s="161"/>
      <c r="AK477" s="161"/>
      <c r="AL477" s="135"/>
      <c r="AM477" s="135"/>
      <c r="AN477" s="135"/>
      <c r="AO477" s="135"/>
      <c r="AP477" s="135"/>
      <c r="AQ477" s="136"/>
      <c r="AR477" s="136"/>
      <c r="AS477" s="161"/>
      <c r="AT477" s="161"/>
      <c r="AU477" s="161"/>
      <c r="AV477" s="161"/>
      <c r="AW477" s="161"/>
      <c r="AX477" s="161"/>
      <c r="AY477" s="135"/>
      <c r="AZ477" s="135"/>
      <c r="BA477" s="135"/>
      <c r="BB477" s="135"/>
      <c r="BC477" s="135"/>
      <c r="BD477" s="135"/>
      <c r="BE477" s="136"/>
      <c r="BF477" s="136"/>
      <c r="BG477" s="161"/>
      <c r="BH477" s="161"/>
      <c r="BI477" s="161"/>
      <c r="BJ477" s="161"/>
      <c r="BK477" s="161"/>
      <c r="BL477" s="161"/>
      <c r="BM477" s="161"/>
      <c r="BN477" s="135"/>
      <c r="BO477" s="161"/>
      <c r="BP477" s="135"/>
      <c r="BQ477" s="161">
        <v>3</v>
      </c>
      <c r="BR477" s="135"/>
      <c r="BS477" s="136"/>
      <c r="BT477" s="136"/>
      <c r="BU477" s="161"/>
      <c r="BV477" s="161"/>
      <c r="BW477" s="161"/>
      <c r="BX477" s="161"/>
      <c r="BY477" s="161"/>
      <c r="BZ477" s="161"/>
      <c r="CA477" s="135"/>
      <c r="CB477" s="135"/>
      <c r="CC477" s="135"/>
      <c r="CD477" s="135"/>
      <c r="CE477" s="135"/>
      <c r="CF477" s="135"/>
      <c r="CG477" s="136"/>
      <c r="CH477" s="136"/>
      <c r="CI477" s="161"/>
      <c r="CJ477" s="161"/>
      <c r="CK477" s="161"/>
      <c r="CL477" s="161"/>
      <c r="CM477" s="161"/>
      <c r="CN477" s="161"/>
      <c r="CO477" s="135"/>
      <c r="CP477" s="135"/>
      <c r="CQ477" s="135"/>
      <c r="CR477" s="135"/>
      <c r="CS477" s="135"/>
      <c r="CT477" s="135"/>
      <c r="CU477" s="136"/>
      <c r="CV477" s="136"/>
      <c r="CW477" s="161"/>
      <c r="CX477" s="161"/>
      <c r="CY477" s="161"/>
      <c r="CZ477" s="161"/>
      <c r="DA477" s="161"/>
      <c r="DB477" s="161"/>
      <c r="DC477" s="135"/>
      <c r="DD477" s="135"/>
      <c r="DE477" s="135"/>
      <c r="DF477" s="135"/>
      <c r="DG477" s="135"/>
      <c r="DH477" s="135"/>
      <c r="DI477" s="136"/>
      <c r="DJ477" s="136"/>
      <c r="DK477" s="161"/>
      <c r="DL477" s="161"/>
      <c r="DM477" s="161"/>
      <c r="DN477" s="161"/>
      <c r="DO477" s="161"/>
      <c r="DP477" s="161"/>
      <c r="DQ477" s="135"/>
      <c r="DR477" s="135"/>
      <c r="DS477" s="135"/>
      <c r="DT477" s="135"/>
      <c r="DU477" s="135"/>
      <c r="DV477" s="135"/>
      <c r="DW477" s="136"/>
      <c r="DX477" s="136"/>
      <c r="DY477" s="161"/>
      <c r="DZ477" s="161"/>
      <c r="EA477" s="161"/>
      <c r="EB477" s="161"/>
      <c r="EC477" s="161"/>
      <c r="ED477" s="161"/>
      <c r="EE477" s="135"/>
      <c r="EF477" s="135"/>
      <c r="EG477" s="135"/>
      <c r="EH477" s="135"/>
      <c r="EI477" s="135"/>
      <c r="EJ477" s="135"/>
      <c r="EK477" s="136"/>
      <c r="EL477" s="136"/>
      <c r="EM477" s="136"/>
      <c r="EN477" s="136"/>
      <c r="EO477" s="136"/>
      <c r="EP477" s="136"/>
      <c r="EQ477" s="136"/>
      <c r="ER477" s="136"/>
      <c r="ES477" s="135"/>
      <c r="ET477" s="135"/>
      <c r="EU477" s="135"/>
      <c r="EV477" s="135"/>
      <c r="EW477" s="135"/>
      <c r="EX477" s="135"/>
      <c r="EY477" s="136"/>
      <c r="EZ477" s="136"/>
      <c r="FA477" s="161"/>
      <c r="FB477" s="161"/>
      <c r="FC477" s="161"/>
      <c r="FD477" s="161"/>
      <c r="FE477" s="161"/>
      <c r="FF477" s="161"/>
      <c r="FG477" s="135"/>
      <c r="FH477" s="135"/>
      <c r="FI477" s="135"/>
      <c r="FJ477" s="135"/>
      <c r="FK477" s="135"/>
      <c r="FL477" s="135"/>
      <c r="FM477" s="136"/>
      <c r="FN477" s="136"/>
      <c r="FO477" s="161"/>
      <c r="FP477" s="161"/>
      <c r="FQ477" s="161"/>
      <c r="FR477" s="161"/>
      <c r="FS477" s="161"/>
      <c r="FT477" s="161"/>
      <c r="FU477" s="135"/>
      <c r="FV477" s="135"/>
      <c r="FW477" s="135"/>
      <c r="FX477" s="135"/>
      <c r="FY477" s="135"/>
      <c r="FZ477" s="135"/>
      <c r="GA477" s="136"/>
      <c r="GB477" s="136"/>
      <c r="GC477" s="161"/>
      <c r="GD477" s="161"/>
      <c r="GE477" s="161"/>
      <c r="GF477" s="161"/>
      <c r="GG477" s="161"/>
      <c r="GH477" s="161"/>
      <c r="GI477" s="135"/>
      <c r="GJ477" s="135"/>
      <c r="GK477" s="135"/>
      <c r="GL477" s="135"/>
      <c r="GM477" s="135"/>
      <c r="GN477" s="135"/>
    </row>
    <row r="478" spans="1:196">
      <c r="A478" s="159"/>
      <c r="B478" s="137" t="s">
        <v>1209</v>
      </c>
      <c r="C478" s="137" t="s">
        <v>986</v>
      </c>
      <c r="D478" s="119"/>
      <c r="E478" s="119"/>
      <c r="F478" s="133"/>
      <c r="G478" s="95">
        <v>2</v>
      </c>
      <c r="H478" s="137"/>
      <c r="I478" s="108">
        <v>46231</v>
      </c>
      <c r="J478" s="134">
        <f>G478-SUM(L478:FL478)</f>
        <v>0</v>
      </c>
      <c r="K478" s="131" t="s">
        <v>1210</v>
      </c>
      <c r="L478" s="161"/>
      <c r="M478" s="136"/>
      <c r="N478" s="136"/>
      <c r="O478" s="136"/>
      <c r="P478" s="136"/>
      <c r="Q478" s="136"/>
      <c r="R478" s="136"/>
      <c r="S478" s="161"/>
      <c r="T478" s="161"/>
      <c r="U478" s="161"/>
      <c r="V478" s="161"/>
      <c r="W478" s="135"/>
      <c r="X478" s="135"/>
      <c r="Y478" s="135"/>
      <c r="Z478" s="135"/>
      <c r="AA478" s="135"/>
      <c r="AB478" s="135"/>
      <c r="AC478" s="136"/>
      <c r="AD478" s="136"/>
      <c r="AE478" s="161"/>
      <c r="AF478" s="161"/>
      <c r="AG478" s="161"/>
      <c r="AH478" s="161"/>
      <c r="AI478" s="161"/>
      <c r="AJ478" s="161"/>
      <c r="AK478" s="135"/>
      <c r="AL478" s="135"/>
      <c r="AM478" s="135"/>
      <c r="AN478" s="135"/>
      <c r="AO478" s="135"/>
      <c r="AP478" s="135"/>
      <c r="AQ478" s="136"/>
      <c r="AR478" s="136"/>
      <c r="AS478" s="161"/>
      <c r="AT478" s="161"/>
      <c r="AU478" s="161"/>
      <c r="AV478" s="161"/>
      <c r="AW478" s="161"/>
      <c r="AX478" s="161"/>
      <c r="AY478" s="135"/>
      <c r="AZ478" s="135"/>
      <c r="BA478" s="135"/>
      <c r="BB478" s="135"/>
      <c r="BC478" s="135"/>
      <c r="BD478" s="135"/>
      <c r="BE478" s="136"/>
      <c r="BF478" s="136"/>
      <c r="BG478" s="161"/>
      <c r="BH478" s="161"/>
      <c r="BI478" s="161"/>
      <c r="BJ478" s="161"/>
      <c r="BK478" s="161"/>
      <c r="BL478" s="161"/>
      <c r="BM478" s="135"/>
      <c r="BN478" s="135"/>
      <c r="BO478" s="135"/>
      <c r="BP478" s="135"/>
      <c r="BQ478" s="135"/>
      <c r="BR478" s="135"/>
      <c r="BS478" s="136"/>
      <c r="BT478" s="136"/>
      <c r="BU478" s="161"/>
      <c r="BV478" s="161"/>
      <c r="BW478" s="161"/>
      <c r="BX478" s="161"/>
      <c r="BY478" s="161"/>
      <c r="BZ478" s="161"/>
      <c r="CA478" s="161"/>
      <c r="CB478" s="135"/>
      <c r="CC478" s="135">
        <v>2</v>
      </c>
      <c r="CD478" s="135"/>
      <c r="CE478" s="135"/>
      <c r="CF478" s="135"/>
      <c r="CG478" s="136"/>
      <c r="CH478" s="136"/>
      <c r="CI478" s="161"/>
      <c r="CJ478" s="161"/>
      <c r="CK478" s="161"/>
      <c r="CL478" s="161"/>
      <c r="CM478" s="161"/>
      <c r="CN478" s="161"/>
      <c r="CO478" s="135"/>
      <c r="CP478" s="135"/>
      <c r="CQ478" s="135"/>
      <c r="CR478" s="135"/>
      <c r="CS478" s="135"/>
      <c r="CT478" s="135"/>
      <c r="CU478" s="136"/>
      <c r="CV478" s="136"/>
      <c r="CW478" s="161"/>
      <c r="CX478" s="161"/>
      <c r="CY478" s="161"/>
      <c r="CZ478" s="161"/>
      <c r="DA478" s="161"/>
      <c r="DB478" s="161"/>
      <c r="DC478" s="135"/>
      <c r="DD478" s="135"/>
      <c r="DE478" s="135"/>
      <c r="DF478" s="135"/>
      <c r="DG478" s="135"/>
      <c r="DH478" s="135"/>
      <c r="DI478" s="136"/>
      <c r="DJ478" s="136"/>
      <c r="DK478" s="161"/>
      <c r="DL478" s="161"/>
      <c r="DM478" s="161"/>
      <c r="DN478" s="161"/>
      <c r="DO478" s="161"/>
      <c r="DP478" s="161"/>
      <c r="DQ478" s="135"/>
      <c r="DR478" s="135"/>
      <c r="DS478" s="135"/>
      <c r="DT478" s="135"/>
      <c r="DU478" s="135"/>
      <c r="DV478" s="135"/>
      <c r="DW478" s="136"/>
      <c r="DX478" s="136"/>
      <c r="DY478" s="161"/>
      <c r="DZ478" s="161"/>
      <c r="EA478" s="161"/>
      <c r="EB478" s="161"/>
      <c r="EC478" s="161"/>
      <c r="ED478" s="161"/>
      <c r="EE478" s="135"/>
      <c r="EF478" s="135"/>
      <c r="EG478" s="135"/>
      <c r="EH478" s="135"/>
      <c r="EI478" s="135"/>
      <c r="EJ478" s="135"/>
      <c r="EK478" s="136"/>
      <c r="EL478" s="136"/>
      <c r="EM478" s="136"/>
      <c r="EN478" s="136"/>
      <c r="EO478" s="136"/>
      <c r="EP478" s="136"/>
      <c r="EQ478" s="136"/>
      <c r="ER478" s="136"/>
      <c r="ES478" s="135"/>
      <c r="ET478" s="135"/>
      <c r="EU478" s="135"/>
      <c r="EV478" s="135"/>
      <c r="EW478" s="135"/>
      <c r="EX478" s="135"/>
      <c r="EY478" s="136"/>
      <c r="EZ478" s="136"/>
      <c r="FA478" s="161"/>
      <c r="FB478" s="161"/>
      <c r="FC478" s="161"/>
      <c r="FD478" s="161"/>
      <c r="FE478" s="161"/>
      <c r="FF478" s="161"/>
      <c r="FG478" s="135"/>
      <c r="FH478" s="135"/>
      <c r="FI478" s="135"/>
      <c r="FJ478" s="135"/>
      <c r="FK478" s="135"/>
      <c r="FL478" s="135"/>
      <c r="FM478" s="136"/>
      <c r="FN478" s="136"/>
      <c r="FO478" s="161"/>
      <c r="FP478" s="161"/>
      <c r="FQ478" s="161"/>
      <c r="FR478" s="161"/>
      <c r="FS478" s="161"/>
      <c r="FT478" s="161"/>
      <c r="FU478" s="135"/>
      <c r="FV478" s="135"/>
      <c r="FW478" s="135"/>
      <c r="FX478" s="135"/>
      <c r="FY478" s="135"/>
      <c r="FZ478" s="135"/>
      <c r="GA478" s="136"/>
      <c r="GB478" s="136"/>
      <c r="GC478" s="161"/>
      <c r="GD478" s="161"/>
      <c r="GE478" s="161"/>
      <c r="GF478" s="161"/>
      <c r="GG478" s="161"/>
      <c r="GH478" s="161"/>
      <c r="GI478" s="135"/>
      <c r="GJ478" s="135"/>
      <c r="GK478" s="135"/>
      <c r="GL478" s="135"/>
      <c r="GM478" s="135"/>
      <c r="GN478" s="135"/>
    </row>
    <row r="479" spans="1:196">
      <c r="A479" s="159" t="s">
        <v>701</v>
      </c>
      <c r="B479" s="137" t="s">
        <v>991</v>
      </c>
      <c r="C479" s="137">
        <v>379900220304</v>
      </c>
      <c r="D479" s="119"/>
      <c r="E479" s="119"/>
      <c r="F479" s="133"/>
      <c r="G479" s="95">
        <v>400</v>
      </c>
      <c r="H479" s="137"/>
      <c r="I479" s="108">
        <v>46221</v>
      </c>
      <c r="J479" s="134">
        <f t="shared" si="204"/>
        <v>0</v>
      </c>
      <c r="K479" s="131" t="s">
        <v>989</v>
      </c>
      <c r="L479" s="161"/>
      <c r="M479" s="136"/>
      <c r="N479" s="136"/>
      <c r="O479" s="136"/>
      <c r="P479" s="136"/>
      <c r="Q479" s="136"/>
      <c r="R479" s="136"/>
      <c r="S479" s="161"/>
      <c r="T479" s="161"/>
      <c r="U479" s="161"/>
      <c r="V479" s="161"/>
      <c r="W479" s="135"/>
      <c r="X479" s="135"/>
      <c r="Y479" s="135"/>
      <c r="Z479" s="135"/>
      <c r="AA479" s="135"/>
      <c r="AB479" s="135"/>
      <c r="AC479" s="136"/>
      <c r="AD479" s="136"/>
      <c r="AE479" s="161"/>
      <c r="AF479" s="161"/>
      <c r="AG479" s="161"/>
      <c r="AH479" s="161"/>
      <c r="AI479" s="161"/>
      <c r="AJ479" s="161"/>
      <c r="AK479" s="135"/>
      <c r="AL479" s="135"/>
      <c r="AM479" s="135"/>
      <c r="AN479" s="135"/>
      <c r="AO479" s="135"/>
      <c r="AP479" s="135"/>
      <c r="AQ479" s="136"/>
      <c r="AR479" s="136"/>
      <c r="AS479" s="161"/>
      <c r="AT479" s="161"/>
      <c r="AU479" s="161"/>
      <c r="AV479" s="161"/>
      <c r="AW479" s="161"/>
      <c r="AX479" s="161"/>
      <c r="AY479" s="135"/>
      <c r="AZ479" s="135"/>
      <c r="BA479" s="135"/>
      <c r="BB479" s="135"/>
      <c r="BC479" s="135"/>
      <c r="BD479" s="135"/>
      <c r="BE479" s="136"/>
      <c r="BF479" s="136"/>
      <c r="BG479" s="135"/>
      <c r="BH479" s="135"/>
      <c r="BI479" s="135"/>
      <c r="BJ479" s="135"/>
      <c r="BK479" s="135"/>
      <c r="BL479" s="135"/>
      <c r="BM479" s="135"/>
      <c r="BN479" s="135"/>
      <c r="BO479" s="135"/>
      <c r="BP479" s="135"/>
      <c r="BQ479" s="135"/>
      <c r="BR479" s="161"/>
      <c r="BS479" s="136"/>
      <c r="BT479" s="136"/>
      <c r="BU479" s="135"/>
      <c r="BV479" s="135"/>
      <c r="BW479" s="135"/>
      <c r="BX479" s="135"/>
      <c r="BY479" s="135"/>
      <c r="BZ479" s="161"/>
      <c r="CA479" s="135"/>
      <c r="CB479" s="161"/>
      <c r="CC479" s="161"/>
      <c r="CD479" s="135"/>
      <c r="CE479" s="135"/>
      <c r="CF479" s="135"/>
      <c r="CG479" s="136"/>
      <c r="CH479" s="136"/>
      <c r="CI479" s="161">
        <v>100</v>
      </c>
      <c r="CJ479" s="135"/>
      <c r="CK479" s="135">
        <v>100</v>
      </c>
      <c r="CL479" s="135"/>
      <c r="CM479" s="135">
        <v>100</v>
      </c>
      <c r="CN479" s="135"/>
      <c r="CO479" s="135">
        <v>100</v>
      </c>
      <c r="CP479" s="161"/>
      <c r="CQ479" s="135"/>
      <c r="CR479" s="161"/>
      <c r="CS479" s="135"/>
      <c r="CT479" s="135"/>
      <c r="CU479" s="136"/>
      <c r="CV479" s="136"/>
      <c r="CW479" s="161"/>
      <c r="CX479" s="161"/>
      <c r="CY479" s="161"/>
      <c r="CZ479" s="161"/>
      <c r="DA479" s="161"/>
      <c r="DB479" s="161"/>
      <c r="DC479" s="135"/>
      <c r="DD479" s="135"/>
      <c r="DE479" s="135"/>
      <c r="DF479" s="135"/>
      <c r="DG479" s="135"/>
      <c r="DH479" s="135"/>
      <c r="DI479" s="136"/>
      <c r="DJ479" s="136"/>
      <c r="DK479" s="161"/>
      <c r="DL479" s="161"/>
      <c r="DM479" s="161"/>
      <c r="DN479" s="161"/>
      <c r="DO479" s="161"/>
      <c r="DP479" s="161"/>
      <c r="DQ479" s="135"/>
      <c r="DR479" s="135"/>
      <c r="DS479" s="135"/>
      <c r="DT479" s="135"/>
      <c r="DU479" s="135"/>
      <c r="DV479" s="135"/>
      <c r="DW479" s="136"/>
      <c r="DX479" s="136"/>
      <c r="DY479" s="161"/>
      <c r="DZ479" s="161"/>
      <c r="EA479" s="161"/>
      <c r="EB479" s="161"/>
      <c r="EC479" s="161"/>
      <c r="ED479" s="161"/>
      <c r="EE479" s="135"/>
      <c r="EF479" s="135"/>
      <c r="EG479" s="135"/>
      <c r="EH479" s="135"/>
      <c r="EI479" s="135"/>
      <c r="EJ479" s="135"/>
      <c r="EK479" s="136"/>
      <c r="EL479" s="136"/>
      <c r="EM479" s="136"/>
      <c r="EN479" s="136"/>
      <c r="EO479" s="136"/>
      <c r="EP479" s="136"/>
      <c r="EQ479" s="136"/>
      <c r="ER479" s="136"/>
      <c r="ES479" s="135"/>
      <c r="ET479" s="135"/>
      <c r="EU479" s="135"/>
      <c r="EV479" s="135"/>
      <c r="EW479" s="135"/>
      <c r="EX479" s="135"/>
      <c r="EY479" s="136"/>
      <c r="EZ479" s="136"/>
      <c r="FA479" s="161"/>
      <c r="FB479" s="161"/>
      <c r="FC479" s="161"/>
      <c r="FD479" s="161"/>
      <c r="FE479" s="161"/>
      <c r="FF479" s="161"/>
      <c r="FG479" s="135"/>
      <c r="FH479" s="135"/>
      <c r="FI479" s="135"/>
      <c r="FJ479" s="135"/>
      <c r="FK479" s="135"/>
      <c r="FL479" s="135"/>
      <c r="FM479" s="136"/>
      <c r="FN479" s="136"/>
      <c r="FO479" s="161"/>
      <c r="FP479" s="161"/>
      <c r="FQ479" s="161"/>
      <c r="FR479" s="161"/>
      <c r="FS479" s="161"/>
      <c r="FT479" s="161"/>
      <c r="FU479" s="135"/>
      <c r="FV479" s="135"/>
      <c r="FW479" s="135"/>
      <c r="FX479" s="135"/>
      <c r="FY479" s="135"/>
      <c r="FZ479" s="135"/>
      <c r="GA479" s="136"/>
      <c r="GB479" s="136"/>
      <c r="GC479" s="161"/>
      <c r="GD479" s="161"/>
      <c r="GE479" s="161"/>
      <c r="GF479" s="161"/>
      <c r="GG479" s="161"/>
      <c r="GH479" s="161"/>
      <c r="GI479" s="135"/>
      <c r="GJ479" s="135"/>
      <c r="GK479" s="135"/>
      <c r="GL479" s="135"/>
      <c r="GM479" s="135"/>
      <c r="GN479" s="135"/>
    </row>
    <row r="480" spans="1:196">
      <c r="A480" s="158"/>
      <c r="B480" s="137" t="s">
        <v>988</v>
      </c>
      <c r="C480" s="137" t="s">
        <v>986</v>
      </c>
      <c r="D480" s="119"/>
      <c r="E480" s="119"/>
      <c r="F480" s="133"/>
      <c r="G480" s="95">
        <v>100</v>
      </c>
      <c r="H480" s="137"/>
      <c r="I480" s="108">
        <v>46221</v>
      </c>
      <c r="J480" s="134">
        <f t="shared" si="204"/>
        <v>0</v>
      </c>
      <c r="K480" s="131" t="s">
        <v>989</v>
      </c>
      <c r="L480" s="161"/>
      <c r="M480" s="136"/>
      <c r="N480" s="136"/>
      <c r="O480" s="136"/>
      <c r="P480" s="136"/>
      <c r="Q480" s="136"/>
      <c r="R480" s="136"/>
      <c r="S480" s="161"/>
      <c r="T480" s="161"/>
      <c r="U480" s="161"/>
      <c r="V480" s="161"/>
      <c r="W480" s="135"/>
      <c r="X480" s="135"/>
      <c r="Y480" s="135"/>
      <c r="Z480" s="135"/>
      <c r="AA480" s="135"/>
      <c r="AB480" s="135"/>
      <c r="AC480" s="136"/>
      <c r="AD480" s="136"/>
      <c r="AE480" s="161"/>
      <c r="AF480" s="161"/>
      <c r="AG480" s="161"/>
      <c r="AH480" s="161"/>
      <c r="AI480" s="161"/>
      <c r="AJ480" s="161"/>
      <c r="AK480" s="135"/>
      <c r="AL480" s="135"/>
      <c r="AM480" s="135"/>
      <c r="AN480" s="135"/>
      <c r="AO480" s="135"/>
      <c r="AP480" s="135"/>
      <c r="AQ480" s="136"/>
      <c r="AR480" s="136"/>
      <c r="AS480" s="161"/>
      <c r="AT480" s="161"/>
      <c r="AU480" s="161"/>
      <c r="AV480" s="161"/>
      <c r="AW480" s="161"/>
      <c r="AX480" s="161"/>
      <c r="AY480" s="135"/>
      <c r="AZ480" s="135"/>
      <c r="BA480" s="135"/>
      <c r="BB480" s="135"/>
      <c r="BC480" s="135"/>
      <c r="BD480" s="135"/>
      <c r="BE480" s="136"/>
      <c r="BF480" s="136"/>
      <c r="BG480" s="135"/>
      <c r="BH480" s="135"/>
      <c r="BI480" s="135"/>
      <c r="BJ480" s="135"/>
      <c r="BK480" s="135"/>
      <c r="BL480" s="135"/>
      <c r="BM480" s="135"/>
      <c r="BN480" s="135"/>
      <c r="BO480" s="135"/>
      <c r="BP480" s="161"/>
      <c r="BQ480" s="135"/>
      <c r="BR480" s="135"/>
      <c r="BS480" s="136"/>
      <c r="BT480" s="136"/>
      <c r="BU480" s="135"/>
      <c r="BV480" s="135"/>
      <c r="BW480" s="135"/>
      <c r="BX480" s="161"/>
      <c r="BY480" s="135"/>
      <c r="BZ480" s="135"/>
      <c r="CA480" s="135"/>
      <c r="CB480" s="161"/>
      <c r="CC480" s="135"/>
      <c r="CD480" s="135"/>
      <c r="CE480" s="135"/>
      <c r="CF480" s="135"/>
      <c r="CG480" s="136"/>
      <c r="CH480" s="136"/>
      <c r="CI480" s="135"/>
      <c r="CJ480" s="135"/>
      <c r="CK480" s="135"/>
      <c r="CL480" s="135"/>
      <c r="CM480" s="135"/>
      <c r="CN480" s="161"/>
      <c r="CO480" s="135"/>
      <c r="CP480" s="135"/>
      <c r="CQ480" s="135">
        <v>100</v>
      </c>
      <c r="CR480" s="135"/>
      <c r="CS480" s="135"/>
      <c r="CT480" s="135"/>
      <c r="CU480" s="136"/>
      <c r="CV480" s="136"/>
      <c r="CW480" s="161"/>
      <c r="CX480" s="161"/>
      <c r="CY480" s="161"/>
      <c r="CZ480" s="161"/>
      <c r="DA480" s="161"/>
      <c r="DB480" s="161"/>
      <c r="DC480" s="135"/>
      <c r="DD480" s="135"/>
      <c r="DE480" s="135"/>
      <c r="DF480" s="135"/>
      <c r="DG480" s="135"/>
      <c r="DH480" s="135"/>
      <c r="DI480" s="136"/>
      <c r="DJ480" s="136"/>
      <c r="DK480" s="161"/>
      <c r="DL480" s="161"/>
      <c r="DM480" s="161"/>
      <c r="DN480" s="161"/>
      <c r="DO480" s="161"/>
      <c r="DP480" s="161"/>
      <c r="DQ480" s="135"/>
      <c r="DR480" s="135"/>
      <c r="DS480" s="135"/>
      <c r="DT480" s="135"/>
      <c r="DU480" s="135"/>
      <c r="DV480" s="135"/>
      <c r="DW480" s="136"/>
      <c r="DX480" s="136"/>
      <c r="DY480" s="161"/>
      <c r="DZ480" s="161"/>
      <c r="EA480" s="161"/>
      <c r="EB480" s="161"/>
      <c r="EC480" s="161"/>
      <c r="ED480" s="161"/>
      <c r="EE480" s="135"/>
      <c r="EF480" s="135"/>
      <c r="EG480" s="135"/>
      <c r="EH480" s="135"/>
      <c r="EI480" s="135"/>
      <c r="EJ480" s="135"/>
      <c r="EK480" s="136"/>
      <c r="EL480" s="136"/>
      <c r="EM480" s="136"/>
      <c r="EN480" s="136"/>
      <c r="EO480" s="136"/>
      <c r="EP480" s="136"/>
      <c r="EQ480" s="136"/>
      <c r="ER480" s="136"/>
      <c r="ES480" s="135"/>
      <c r="ET480" s="135"/>
      <c r="EU480" s="135"/>
      <c r="EV480" s="135"/>
      <c r="EW480" s="135"/>
      <c r="EX480" s="135"/>
      <c r="EY480" s="136"/>
      <c r="EZ480" s="136"/>
      <c r="FA480" s="161"/>
      <c r="FB480" s="161"/>
      <c r="FC480" s="161"/>
      <c r="FD480" s="161"/>
      <c r="FE480" s="161"/>
      <c r="FF480" s="161"/>
      <c r="FG480" s="135"/>
      <c r="FH480" s="135"/>
      <c r="FI480" s="135"/>
      <c r="FJ480" s="135"/>
      <c r="FK480" s="135"/>
      <c r="FL480" s="135"/>
      <c r="FM480" s="136"/>
      <c r="FN480" s="136"/>
      <c r="FO480" s="161"/>
      <c r="FP480" s="161"/>
      <c r="FQ480" s="161"/>
      <c r="FR480" s="161"/>
      <c r="FS480" s="161"/>
      <c r="FT480" s="161"/>
      <c r="FU480" s="135"/>
      <c r="FV480" s="135"/>
      <c r="FW480" s="135"/>
      <c r="FX480" s="135"/>
      <c r="FY480" s="135"/>
      <c r="FZ480" s="135"/>
      <c r="GA480" s="136"/>
      <c r="GB480" s="136"/>
      <c r="GC480" s="161"/>
      <c r="GD480" s="161"/>
      <c r="GE480" s="161"/>
      <c r="GF480" s="161"/>
      <c r="GG480" s="161"/>
      <c r="GH480" s="161"/>
      <c r="GI480" s="135"/>
      <c r="GJ480" s="135"/>
      <c r="GK480" s="135"/>
      <c r="GL480" s="135"/>
      <c r="GM480" s="135"/>
      <c r="GN480" s="135"/>
    </row>
    <row r="481" spans="1:196">
      <c r="A481" s="159"/>
      <c r="B481" s="137" t="s">
        <v>1027</v>
      </c>
      <c r="C481" s="137">
        <v>379900220304</v>
      </c>
      <c r="D481" s="119"/>
      <c r="E481" s="119"/>
      <c r="F481" s="133"/>
      <c r="G481" s="95">
        <v>60</v>
      </c>
      <c r="H481" s="137"/>
      <c r="I481" s="108" t="s">
        <v>1028</v>
      </c>
      <c r="J481" s="134">
        <f t="shared" si="204"/>
        <v>0</v>
      </c>
      <c r="K481" s="131"/>
      <c r="L481" s="161"/>
      <c r="M481" s="136"/>
      <c r="N481" s="136"/>
      <c r="O481" s="136"/>
      <c r="P481" s="136"/>
      <c r="Q481" s="136"/>
      <c r="R481" s="136"/>
      <c r="S481" s="161"/>
      <c r="T481" s="161"/>
      <c r="U481" s="161"/>
      <c r="V481" s="161"/>
      <c r="W481" s="135"/>
      <c r="X481" s="135"/>
      <c r="Y481" s="135"/>
      <c r="Z481" s="135"/>
      <c r="AA481" s="135"/>
      <c r="AB481" s="135"/>
      <c r="AC481" s="136"/>
      <c r="AD481" s="136"/>
      <c r="AE481" s="161"/>
      <c r="AF481" s="161"/>
      <c r="AG481" s="161"/>
      <c r="AH481" s="161"/>
      <c r="AI481" s="161"/>
      <c r="AJ481" s="161"/>
      <c r="AK481" s="135"/>
      <c r="AL481" s="135"/>
      <c r="AM481" s="135"/>
      <c r="AN481" s="135"/>
      <c r="AO481" s="135"/>
      <c r="AP481" s="135"/>
      <c r="AQ481" s="136"/>
      <c r="AR481" s="136"/>
      <c r="AS481" s="161"/>
      <c r="AT481" s="161"/>
      <c r="AU481" s="161"/>
      <c r="AV481" s="161"/>
      <c r="AW481" s="161"/>
      <c r="AX481" s="161"/>
      <c r="AY481" s="135"/>
      <c r="AZ481" s="135"/>
      <c r="BA481" s="135"/>
      <c r="BB481" s="135"/>
      <c r="BC481" s="135"/>
      <c r="BD481" s="135"/>
      <c r="BE481" s="136"/>
      <c r="BF481" s="136"/>
      <c r="BG481" s="161"/>
      <c r="BH481" s="161"/>
      <c r="BI481" s="161"/>
      <c r="BJ481" s="161"/>
      <c r="BK481" s="161"/>
      <c r="BL481" s="161"/>
      <c r="BM481" s="135"/>
      <c r="BN481" s="135"/>
      <c r="BO481" s="135"/>
      <c r="BP481" s="135"/>
      <c r="BQ481" s="135"/>
      <c r="BR481" s="135"/>
      <c r="BS481" s="136"/>
      <c r="BT481" s="136"/>
      <c r="BU481" s="161"/>
      <c r="BV481" s="161"/>
      <c r="BW481" s="161"/>
      <c r="BX481" s="161"/>
      <c r="BY481" s="161"/>
      <c r="BZ481" s="161"/>
      <c r="CA481" s="135"/>
      <c r="CB481" s="135"/>
      <c r="CC481" s="135"/>
      <c r="CD481" s="135"/>
      <c r="CE481" s="135"/>
      <c r="CF481" s="135"/>
      <c r="CG481" s="136"/>
      <c r="CH481" s="136"/>
      <c r="CI481" s="161"/>
      <c r="CJ481" s="161"/>
      <c r="CK481" s="161"/>
      <c r="CL481" s="161"/>
      <c r="CM481" s="161"/>
      <c r="CN481" s="161"/>
      <c r="CO481" s="135"/>
      <c r="CP481" s="135"/>
      <c r="CQ481" s="135"/>
      <c r="CR481" s="135"/>
      <c r="CS481" s="135"/>
      <c r="CT481" s="135"/>
      <c r="CU481" s="136"/>
      <c r="CV481" s="136"/>
      <c r="CW481" s="161"/>
      <c r="CX481" s="161"/>
      <c r="CY481" s="161"/>
      <c r="CZ481" s="161"/>
      <c r="DA481" s="161"/>
      <c r="DB481" s="161"/>
      <c r="DC481" s="135"/>
      <c r="DD481" s="135"/>
      <c r="DE481" s="135"/>
      <c r="DF481" s="135"/>
      <c r="DG481" s="135"/>
      <c r="DH481" s="135"/>
      <c r="DI481" s="136"/>
      <c r="DJ481" s="136"/>
      <c r="DK481" s="161">
        <v>60</v>
      </c>
      <c r="DL481" s="161"/>
      <c r="DM481" s="161"/>
      <c r="DN481" s="161"/>
      <c r="DO481" s="161"/>
      <c r="DP481" s="161"/>
      <c r="DQ481" s="135"/>
      <c r="DR481" s="135"/>
      <c r="DS481" s="135"/>
      <c r="DT481" s="135"/>
      <c r="DU481" s="135"/>
      <c r="DV481" s="135"/>
      <c r="DW481" s="136"/>
      <c r="DX481" s="136"/>
      <c r="DY481" s="161"/>
      <c r="DZ481" s="161"/>
      <c r="EA481" s="161"/>
      <c r="EB481" s="161"/>
      <c r="EC481" s="161"/>
      <c r="ED481" s="161"/>
      <c r="EE481" s="135"/>
      <c r="EF481" s="135"/>
      <c r="EG481" s="135"/>
      <c r="EH481" s="135"/>
      <c r="EI481" s="135"/>
      <c r="EJ481" s="135"/>
      <c r="EK481" s="136"/>
      <c r="EL481" s="136"/>
      <c r="EM481" s="136"/>
      <c r="EN481" s="136"/>
      <c r="EO481" s="136"/>
      <c r="EP481" s="136"/>
      <c r="EQ481" s="136"/>
      <c r="ER481" s="136"/>
      <c r="ES481" s="135"/>
      <c r="ET481" s="135"/>
      <c r="EU481" s="135"/>
      <c r="EV481" s="135"/>
      <c r="EW481" s="135"/>
      <c r="EX481" s="135"/>
      <c r="EY481" s="136"/>
      <c r="EZ481" s="136"/>
      <c r="FA481" s="161"/>
      <c r="FB481" s="161"/>
      <c r="FC481" s="161"/>
      <c r="FD481" s="161"/>
      <c r="FE481" s="161"/>
      <c r="FF481" s="161"/>
      <c r="FG481" s="135"/>
      <c r="FH481" s="135"/>
      <c r="FI481" s="135"/>
      <c r="FJ481" s="135"/>
      <c r="FK481" s="135"/>
      <c r="FL481" s="135"/>
      <c r="FM481" s="136"/>
      <c r="FN481" s="136"/>
      <c r="FO481" s="161"/>
      <c r="FP481" s="161"/>
      <c r="FQ481" s="161"/>
      <c r="FR481" s="161"/>
      <c r="FS481" s="161"/>
      <c r="FT481" s="161"/>
      <c r="FU481" s="135"/>
      <c r="FV481" s="135"/>
      <c r="FW481" s="135"/>
      <c r="FX481" s="135"/>
      <c r="FY481" s="135"/>
      <c r="FZ481" s="135"/>
      <c r="GA481" s="136"/>
      <c r="GB481" s="136"/>
      <c r="GC481" s="161"/>
      <c r="GD481" s="161"/>
      <c r="GE481" s="161"/>
      <c r="GF481" s="161"/>
      <c r="GG481" s="161"/>
      <c r="GH481" s="161"/>
      <c r="GI481" s="135"/>
      <c r="GJ481" s="135"/>
      <c r="GK481" s="135"/>
      <c r="GL481" s="135"/>
      <c r="GM481" s="135"/>
      <c r="GN481" s="135"/>
    </row>
    <row r="482" spans="1:196">
      <c r="A482" s="7"/>
      <c r="B482" s="7"/>
      <c r="C482" s="7"/>
      <c r="D482" s="7"/>
      <c r="E482" s="7"/>
      <c r="F482" s="7"/>
      <c r="G482" s="94"/>
      <c r="H482" s="24"/>
      <c r="I482" s="24"/>
      <c r="J482" s="7"/>
      <c r="K482" s="8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</row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</sheetData>
  <autoFilter ref="A9:K481" xr:uid="{00000000-0009-0000-0000-000000000000}"/>
  <dataConsolidate function="average"/>
  <mergeCells count="12">
    <mergeCell ref="M1:R7"/>
    <mergeCell ref="K9:K10"/>
    <mergeCell ref="I9:I10"/>
    <mergeCell ref="B9:B10"/>
    <mergeCell ref="A9:A10"/>
    <mergeCell ref="F9:F10"/>
    <mergeCell ref="G9:G10"/>
    <mergeCell ref="H9:H10"/>
    <mergeCell ref="J9:J10"/>
    <mergeCell ref="C9:C10"/>
    <mergeCell ref="D9:D10"/>
    <mergeCell ref="E9:E10"/>
  </mergeCells>
  <phoneticPr fontId="95" type="noConversion"/>
  <pageMargins left="0.7" right="0.7" top="0.75" bottom="0.75" header="0.3" footer="0.3"/>
  <pageSetup paperSize="2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44"/>
  <sheetViews>
    <sheetView tabSelected="1" zoomScaleNormal="100" workbookViewId="0">
      <pane xSplit="1" ySplit="1" topLeftCell="AD84" activePane="bottomRight" state="frozen"/>
      <selection pane="topRight" activeCell="B1" sqref="B1"/>
      <selection pane="bottomLeft" activeCell="A2" sqref="A2"/>
      <selection pane="bottomRight" activeCell="AM95" sqref="AM95"/>
    </sheetView>
  </sheetViews>
  <sheetFormatPr defaultColWidth="9" defaultRowHeight="14.5" outlineLevelCol="1"/>
  <cols>
    <col min="1" max="1" width="24.83203125" style="199" bestFit="1" customWidth="1"/>
    <col min="2" max="3" width="8.58203125" style="198" customWidth="1" outlineLevel="1"/>
    <col min="4" max="5" width="8.58203125" style="198" bestFit="1" customWidth="1"/>
    <col min="6" max="14" width="7.58203125" style="198" bestFit="1" customWidth="1"/>
    <col min="15" max="36" width="8.58203125" style="198" bestFit="1" customWidth="1"/>
    <col min="37" max="41" width="7.58203125" style="198" bestFit="1" customWidth="1"/>
    <col min="42" max="58" width="7.58203125" style="198" customWidth="1"/>
    <col min="59" max="59" width="7.58203125" style="198" bestFit="1" customWidth="1"/>
    <col min="60" max="61" width="7.58203125" style="198" customWidth="1"/>
    <col min="62" max="63" width="7.58203125" style="198" bestFit="1" customWidth="1"/>
    <col min="64" max="71" width="7.58203125" style="198" customWidth="1"/>
    <col min="72" max="72" width="6.33203125" style="198" bestFit="1" customWidth="1"/>
    <col min="73" max="16384" width="9" style="198"/>
  </cols>
  <sheetData>
    <row r="1" spans="1:72" s="193" customFormat="1">
      <c r="A1" s="191" t="s">
        <v>1337</v>
      </c>
      <c r="B1" s="191">
        <v>46200</v>
      </c>
      <c r="C1" s="191">
        <v>46201</v>
      </c>
      <c r="D1" s="191">
        <v>46202</v>
      </c>
      <c r="E1" s="191">
        <v>46203</v>
      </c>
      <c r="F1" s="191">
        <v>46204</v>
      </c>
      <c r="G1" s="191">
        <v>46205</v>
      </c>
      <c r="H1" s="191">
        <v>46206</v>
      </c>
      <c r="I1" s="191">
        <v>46207</v>
      </c>
      <c r="J1" s="191">
        <v>46208</v>
      </c>
      <c r="K1" s="191">
        <v>46209</v>
      </c>
      <c r="L1" s="191">
        <v>46210</v>
      </c>
      <c r="M1" s="191">
        <v>46211</v>
      </c>
      <c r="N1" s="191">
        <v>46212</v>
      </c>
      <c r="O1" s="191">
        <v>46213</v>
      </c>
      <c r="P1" s="191">
        <v>46214</v>
      </c>
      <c r="Q1" s="191">
        <v>46215</v>
      </c>
      <c r="R1" s="191">
        <v>46216</v>
      </c>
      <c r="S1" s="191">
        <v>46217</v>
      </c>
      <c r="T1" s="191">
        <v>46218</v>
      </c>
      <c r="U1" s="191">
        <v>46219</v>
      </c>
      <c r="V1" s="191">
        <v>46220</v>
      </c>
      <c r="W1" s="191">
        <v>46221</v>
      </c>
      <c r="X1" s="191">
        <v>46222</v>
      </c>
      <c r="Y1" s="191">
        <v>46223</v>
      </c>
      <c r="Z1" s="191">
        <v>46224</v>
      </c>
      <c r="AA1" s="191">
        <v>46225</v>
      </c>
      <c r="AB1" s="191">
        <v>46226</v>
      </c>
      <c r="AC1" s="191">
        <v>46227</v>
      </c>
      <c r="AD1" s="191">
        <v>46228</v>
      </c>
      <c r="AE1" s="191">
        <v>46229</v>
      </c>
      <c r="AF1" s="191">
        <v>46230</v>
      </c>
      <c r="AG1" s="191">
        <v>46231</v>
      </c>
      <c r="AH1" s="191">
        <v>46232</v>
      </c>
      <c r="AI1" s="191">
        <v>46233</v>
      </c>
      <c r="AJ1" s="191">
        <v>46234</v>
      </c>
      <c r="AK1" s="191">
        <v>46235</v>
      </c>
      <c r="AL1" s="191">
        <v>46236</v>
      </c>
      <c r="AM1" s="191">
        <v>46237</v>
      </c>
      <c r="AN1" s="191">
        <v>46238</v>
      </c>
      <c r="AO1" s="191">
        <v>46239</v>
      </c>
      <c r="AP1" s="191">
        <v>46240</v>
      </c>
      <c r="AQ1" s="191">
        <v>46241</v>
      </c>
      <c r="AR1" s="191">
        <v>46242</v>
      </c>
      <c r="AS1" s="191">
        <v>46243</v>
      </c>
      <c r="AT1" s="191">
        <v>46244</v>
      </c>
      <c r="AU1" s="191">
        <v>46245</v>
      </c>
      <c r="AV1" s="191">
        <v>46246</v>
      </c>
      <c r="AW1" s="191">
        <v>46247</v>
      </c>
      <c r="AX1" s="191">
        <v>46248</v>
      </c>
      <c r="AY1" s="191">
        <v>46249</v>
      </c>
      <c r="AZ1" s="191">
        <v>46250</v>
      </c>
      <c r="BA1" s="191">
        <v>46251</v>
      </c>
      <c r="BB1" s="191">
        <v>46252</v>
      </c>
      <c r="BC1" s="191">
        <v>46253</v>
      </c>
      <c r="BD1" s="191">
        <v>46254</v>
      </c>
      <c r="BE1" s="191">
        <v>46255</v>
      </c>
      <c r="BF1" s="191">
        <v>46256</v>
      </c>
      <c r="BG1" s="191">
        <v>46257</v>
      </c>
      <c r="BH1" s="191">
        <v>46258</v>
      </c>
      <c r="BI1" s="191">
        <v>46259</v>
      </c>
      <c r="BJ1" s="191">
        <v>46260</v>
      </c>
      <c r="BK1" s="191">
        <v>46261</v>
      </c>
      <c r="BL1" s="191">
        <v>46262</v>
      </c>
      <c r="BM1" s="191">
        <v>46263</v>
      </c>
      <c r="BN1" s="191">
        <v>46264</v>
      </c>
      <c r="BO1" s="191">
        <v>46265</v>
      </c>
      <c r="BP1" s="191">
        <v>46266</v>
      </c>
      <c r="BQ1" s="191">
        <v>46267</v>
      </c>
      <c r="BR1" s="191">
        <v>46268</v>
      </c>
      <c r="BS1" s="191">
        <v>46269</v>
      </c>
      <c r="BT1" s="192" t="s">
        <v>1338</v>
      </c>
    </row>
    <row r="2" spans="1:72" ht="15">
      <c r="A2" s="194">
        <v>352453120395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>
        <v>30</v>
      </c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6"/>
      <c r="BT2" s="197">
        <f>SUM(B2:BS2)</f>
        <v>30</v>
      </c>
    </row>
    <row r="3" spans="1:72" ht="15">
      <c r="A3" s="194">
        <v>352761220395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>
        <v>50</v>
      </c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  <c r="BL3" s="195"/>
      <c r="BM3" s="195"/>
      <c r="BN3" s="195"/>
      <c r="BO3" s="195"/>
      <c r="BP3" s="195"/>
      <c r="BQ3" s="195"/>
      <c r="BR3" s="195"/>
      <c r="BS3" s="196"/>
      <c r="BT3" s="197">
        <f t="shared" ref="BT3:BT66" si="0">SUM(B3:BS3)</f>
        <v>50</v>
      </c>
    </row>
    <row r="4" spans="1:72" ht="15">
      <c r="A4" s="194">
        <v>379900220304</v>
      </c>
      <c r="B4" s="195"/>
      <c r="C4" s="195"/>
      <c r="D4" s="195"/>
      <c r="E4" s="195"/>
      <c r="F4" s="195"/>
      <c r="G4" s="195"/>
      <c r="H4" s="195"/>
      <c r="I4" s="195"/>
      <c r="J4" s="195"/>
      <c r="K4" s="195">
        <v>18</v>
      </c>
      <c r="L4" s="195">
        <v>12</v>
      </c>
      <c r="M4" s="195">
        <v>8</v>
      </c>
      <c r="N4" s="195">
        <v>43</v>
      </c>
      <c r="O4" s="195"/>
      <c r="P4" s="195"/>
      <c r="Q4" s="195"/>
      <c r="R4" s="195">
        <v>32</v>
      </c>
      <c r="S4" s="195"/>
      <c r="T4" s="195">
        <v>27</v>
      </c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>
        <v>100</v>
      </c>
      <c r="AN4" s="195">
        <v>100</v>
      </c>
      <c r="AO4" s="195">
        <v>100</v>
      </c>
      <c r="AP4" s="195">
        <v>100</v>
      </c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>
        <v>60</v>
      </c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6"/>
      <c r="BT4" s="197">
        <f t="shared" si="0"/>
        <v>600</v>
      </c>
    </row>
    <row r="5" spans="1:72" ht="15">
      <c r="A5" s="194" t="s">
        <v>632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>
        <v>200</v>
      </c>
      <c r="P5" s="195">
        <v>200</v>
      </c>
      <c r="Q5" s="195"/>
      <c r="R5" s="195">
        <v>100</v>
      </c>
      <c r="S5" s="195"/>
      <c r="T5" s="195"/>
      <c r="U5" s="195"/>
      <c r="V5" s="195"/>
      <c r="W5" s="195">
        <v>210</v>
      </c>
      <c r="X5" s="195"/>
      <c r="Y5" s="195">
        <v>250</v>
      </c>
      <c r="Z5" s="195">
        <v>330</v>
      </c>
      <c r="AA5" s="195">
        <v>320</v>
      </c>
      <c r="AB5" s="195">
        <v>350</v>
      </c>
      <c r="AC5" s="195">
        <v>40</v>
      </c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>
        <v>50</v>
      </c>
      <c r="AP5" s="195">
        <v>400</v>
      </c>
      <c r="AQ5" s="195">
        <v>400</v>
      </c>
      <c r="AR5" s="195">
        <v>400</v>
      </c>
      <c r="AS5" s="195"/>
      <c r="AT5" s="195">
        <v>800</v>
      </c>
      <c r="AU5" s="195">
        <v>800</v>
      </c>
      <c r="AV5" s="195">
        <v>800</v>
      </c>
      <c r="AW5" s="195">
        <v>800</v>
      </c>
      <c r="AX5" s="195">
        <v>800</v>
      </c>
      <c r="AY5" s="195">
        <v>800</v>
      </c>
      <c r="AZ5" s="195"/>
      <c r="BA5" s="195">
        <v>400</v>
      </c>
      <c r="BB5" s="195">
        <v>400</v>
      </c>
      <c r="BC5" s="195">
        <v>400</v>
      </c>
      <c r="BD5" s="195">
        <v>400</v>
      </c>
      <c r="BE5" s="195">
        <v>350</v>
      </c>
      <c r="BF5" s="195"/>
      <c r="BG5" s="195"/>
      <c r="BH5" s="195"/>
      <c r="BI5" s="195"/>
      <c r="BJ5" s="195"/>
      <c r="BK5" s="195"/>
      <c r="BL5" s="195"/>
      <c r="BM5" s="195"/>
      <c r="BN5" s="195"/>
      <c r="BO5" s="195"/>
      <c r="BP5" s="195"/>
      <c r="BQ5" s="195"/>
      <c r="BR5" s="195"/>
      <c r="BS5" s="196"/>
      <c r="BT5" s="197">
        <f t="shared" si="0"/>
        <v>10000</v>
      </c>
    </row>
    <row r="6" spans="1:72" ht="15">
      <c r="A6" s="194" t="s">
        <v>610</v>
      </c>
      <c r="B6" s="195"/>
      <c r="C6" s="195"/>
      <c r="D6" s="195"/>
      <c r="E6" s="195"/>
      <c r="F6" s="195"/>
      <c r="G6" s="195"/>
      <c r="H6" s="195"/>
      <c r="I6" s="195"/>
      <c r="J6" s="195"/>
      <c r="K6" s="195">
        <v>291</v>
      </c>
      <c r="L6" s="195">
        <v>241</v>
      </c>
      <c r="M6" s="195">
        <v>240</v>
      </c>
      <c r="N6" s="195">
        <v>228</v>
      </c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>
        <v>84</v>
      </c>
      <c r="AH6" s="195">
        <v>227</v>
      </c>
      <c r="AI6" s="195">
        <v>241</v>
      </c>
      <c r="AJ6" s="195">
        <v>250</v>
      </c>
      <c r="AK6" s="195">
        <v>250</v>
      </c>
      <c r="AL6" s="195"/>
      <c r="AM6" s="195">
        <v>250</v>
      </c>
      <c r="AN6" s="195">
        <v>250</v>
      </c>
      <c r="AO6" s="195">
        <v>198</v>
      </c>
      <c r="AP6" s="195"/>
      <c r="AQ6" s="195"/>
      <c r="AR6" s="195"/>
      <c r="AS6" s="195"/>
      <c r="AT6" s="195"/>
      <c r="AU6" s="195"/>
      <c r="AV6" s="195"/>
      <c r="AW6" s="195"/>
      <c r="AX6" s="195">
        <v>250</v>
      </c>
      <c r="AY6" s="195">
        <v>500</v>
      </c>
      <c r="AZ6" s="195"/>
      <c r="BA6" s="195">
        <v>250</v>
      </c>
      <c r="BB6" s="195">
        <v>250</v>
      </c>
      <c r="BC6" s="195">
        <v>250</v>
      </c>
      <c r="BD6" s="195">
        <v>250</v>
      </c>
      <c r="BE6" s="195">
        <v>250</v>
      </c>
      <c r="BF6" s="195">
        <v>200</v>
      </c>
      <c r="BG6" s="195"/>
      <c r="BH6" s="195"/>
      <c r="BI6" s="195"/>
      <c r="BJ6" s="195"/>
      <c r="BK6" s="195"/>
      <c r="BL6" s="195"/>
      <c r="BM6" s="195"/>
      <c r="BN6" s="195"/>
      <c r="BO6" s="195"/>
      <c r="BP6" s="195"/>
      <c r="BQ6" s="195"/>
      <c r="BR6" s="195"/>
      <c r="BS6" s="196"/>
      <c r="BT6" s="197">
        <f t="shared" si="0"/>
        <v>4950</v>
      </c>
    </row>
    <row r="7" spans="1:72" ht="15">
      <c r="A7" s="194" t="s">
        <v>99</v>
      </c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>
        <v>100</v>
      </c>
      <c r="AR7" s="195"/>
      <c r="AS7" s="195"/>
      <c r="AT7" s="195">
        <v>100</v>
      </c>
      <c r="AU7" s="195">
        <v>70</v>
      </c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95"/>
      <c r="BG7" s="195"/>
      <c r="BH7" s="195"/>
      <c r="BI7" s="195"/>
      <c r="BJ7" s="195"/>
      <c r="BK7" s="195"/>
      <c r="BL7" s="195"/>
      <c r="BM7" s="195"/>
      <c r="BN7" s="195"/>
      <c r="BO7" s="195"/>
      <c r="BP7" s="195"/>
      <c r="BQ7" s="195"/>
      <c r="BR7" s="195"/>
      <c r="BS7" s="196"/>
      <c r="BT7" s="197">
        <f t="shared" si="0"/>
        <v>270</v>
      </c>
    </row>
    <row r="8" spans="1:72" ht="15">
      <c r="A8" s="194" t="s">
        <v>97</v>
      </c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>
        <v>100</v>
      </c>
      <c r="AR8" s="195"/>
      <c r="AS8" s="195"/>
      <c r="AT8" s="195">
        <v>100</v>
      </c>
      <c r="AU8" s="195">
        <v>70</v>
      </c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5"/>
      <c r="BM8" s="195"/>
      <c r="BN8" s="195"/>
      <c r="BO8" s="195"/>
      <c r="BP8" s="195"/>
      <c r="BQ8" s="195"/>
      <c r="BR8" s="195"/>
      <c r="BS8" s="196"/>
      <c r="BT8" s="197">
        <f t="shared" si="0"/>
        <v>270</v>
      </c>
    </row>
    <row r="9" spans="1:72" ht="15">
      <c r="A9" s="194" t="s">
        <v>100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5">
        <v>110</v>
      </c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5"/>
      <c r="BG9" s="195"/>
      <c r="BH9" s="195"/>
      <c r="BI9" s="195"/>
      <c r="BJ9" s="195"/>
      <c r="BK9" s="195"/>
      <c r="BL9" s="195"/>
      <c r="BM9" s="195"/>
      <c r="BN9" s="195"/>
      <c r="BO9" s="195"/>
      <c r="BP9" s="195"/>
      <c r="BQ9" s="195"/>
      <c r="BR9" s="195"/>
      <c r="BS9" s="196"/>
      <c r="BT9" s="197">
        <f t="shared" si="0"/>
        <v>110</v>
      </c>
    </row>
    <row r="10" spans="1:72" ht="15">
      <c r="A10" s="194" t="s">
        <v>98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>
        <v>110</v>
      </c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195"/>
      <c r="BM10" s="195"/>
      <c r="BN10" s="195"/>
      <c r="BO10" s="195"/>
      <c r="BP10" s="195"/>
      <c r="BQ10" s="195"/>
      <c r="BR10" s="195"/>
      <c r="BS10" s="196"/>
      <c r="BT10" s="197">
        <f t="shared" si="0"/>
        <v>110</v>
      </c>
    </row>
    <row r="11" spans="1:72" ht="15">
      <c r="A11" s="194" t="s">
        <v>638</v>
      </c>
      <c r="B11" s="195"/>
      <c r="C11" s="195"/>
      <c r="D11" s="195">
        <v>32</v>
      </c>
      <c r="E11" s="195">
        <v>224</v>
      </c>
      <c r="F11" s="195">
        <v>188</v>
      </c>
      <c r="G11" s="195">
        <v>196</v>
      </c>
      <c r="H11" s="195">
        <v>196</v>
      </c>
      <c r="I11" s="195">
        <v>156</v>
      </c>
      <c r="J11" s="195"/>
      <c r="K11" s="195">
        <v>230</v>
      </c>
      <c r="L11" s="195">
        <v>263</v>
      </c>
      <c r="M11" s="195">
        <v>238</v>
      </c>
      <c r="N11" s="195">
        <v>232</v>
      </c>
      <c r="O11" s="195">
        <v>240</v>
      </c>
      <c r="P11" s="195">
        <v>221</v>
      </c>
      <c r="Q11" s="195"/>
      <c r="R11" s="195">
        <v>228</v>
      </c>
      <c r="S11" s="195">
        <v>219</v>
      </c>
      <c r="T11" s="195">
        <v>214</v>
      </c>
      <c r="U11" s="195">
        <v>234</v>
      </c>
      <c r="V11" s="195">
        <v>233</v>
      </c>
      <c r="W11" s="195">
        <v>207</v>
      </c>
      <c r="X11" s="195"/>
      <c r="Y11" s="195">
        <v>223</v>
      </c>
      <c r="Z11" s="195">
        <v>169</v>
      </c>
      <c r="AA11" s="195">
        <v>35</v>
      </c>
      <c r="AB11" s="195"/>
      <c r="AC11" s="195"/>
      <c r="AD11" s="195"/>
      <c r="AE11" s="195"/>
      <c r="AF11" s="195"/>
      <c r="AG11" s="195"/>
      <c r="AH11" s="195"/>
      <c r="AI11" s="195"/>
      <c r="AJ11" s="195"/>
      <c r="AK11" s="195">
        <v>73</v>
      </c>
      <c r="AL11" s="195"/>
      <c r="AM11" s="195">
        <v>260</v>
      </c>
      <c r="AN11" s="195">
        <v>260</v>
      </c>
      <c r="AO11" s="195">
        <v>260</v>
      </c>
      <c r="AP11" s="195">
        <v>244</v>
      </c>
      <c r="AQ11" s="195">
        <v>71</v>
      </c>
      <c r="AR11" s="195">
        <v>260</v>
      </c>
      <c r="AS11" s="195"/>
      <c r="AT11" s="195">
        <v>300</v>
      </c>
      <c r="AU11" s="195">
        <v>300</v>
      </c>
      <c r="AV11" s="195">
        <v>300</v>
      </c>
      <c r="AW11" s="195">
        <v>294</v>
      </c>
      <c r="AX11" s="195">
        <v>300</v>
      </c>
      <c r="AY11" s="195">
        <v>300</v>
      </c>
      <c r="AZ11" s="195"/>
      <c r="BA11" s="195">
        <v>300</v>
      </c>
      <c r="BB11" s="195">
        <v>300</v>
      </c>
      <c r="BC11" s="195">
        <v>300</v>
      </c>
      <c r="BD11" s="195">
        <v>300</v>
      </c>
      <c r="BE11" s="195">
        <v>300</v>
      </c>
      <c r="BF11" s="195">
        <v>290</v>
      </c>
      <c r="BG11" s="195"/>
      <c r="BH11" s="195">
        <v>300</v>
      </c>
      <c r="BI11" s="195">
        <v>284</v>
      </c>
      <c r="BJ11" s="195">
        <v>300</v>
      </c>
      <c r="BK11" s="195">
        <v>300</v>
      </c>
      <c r="BL11" s="195">
        <v>300</v>
      </c>
      <c r="BM11" s="195">
        <v>209</v>
      </c>
      <c r="BN11" s="195"/>
      <c r="BO11" s="195"/>
      <c r="BP11" s="195"/>
      <c r="BQ11" s="195"/>
      <c r="BR11" s="195"/>
      <c r="BS11" s="196"/>
      <c r="BT11" s="197">
        <f t="shared" si="0"/>
        <v>10883</v>
      </c>
    </row>
    <row r="12" spans="1:72" ht="15">
      <c r="A12" s="194" t="s">
        <v>639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>
        <v>50</v>
      </c>
      <c r="AL12" s="195"/>
      <c r="AM12" s="195"/>
      <c r="AN12" s="195"/>
      <c r="AO12" s="195"/>
      <c r="AP12" s="195">
        <v>16</v>
      </c>
      <c r="AQ12" s="195">
        <v>189</v>
      </c>
      <c r="AR12" s="195"/>
      <c r="AS12" s="195"/>
      <c r="AT12" s="195"/>
      <c r="AU12" s="195"/>
      <c r="AV12" s="195"/>
      <c r="AW12" s="195">
        <v>6</v>
      </c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>
        <v>17</v>
      </c>
      <c r="BJ12" s="195"/>
      <c r="BK12" s="195"/>
      <c r="BL12" s="195"/>
      <c r="BM12" s="195"/>
      <c r="BN12" s="195"/>
      <c r="BO12" s="195"/>
      <c r="BP12" s="195"/>
      <c r="BQ12" s="195"/>
      <c r="BR12" s="195"/>
      <c r="BS12" s="196"/>
      <c r="BT12" s="197">
        <f t="shared" si="0"/>
        <v>278</v>
      </c>
    </row>
    <row r="13" spans="1:72" ht="15">
      <c r="A13" s="194" t="s">
        <v>613</v>
      </c>
      <c r="B13" s="195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>
        <v>2</v>
      </c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  <c r="BN13" s="195"/>
      <c r="BO13" s="195"/>
      <c r="BP13" s="195"/>
      <c r="BQ13" s="195"/>
      <c r="BR13" s="195"/>
      <c r="BS13" s="196"/>
      <c r="BT13" s="197">
        <f t="shared" si="0"/>
        <v>2</v>
      </c>
    </row>
    <row r="14" spans="1:72" ht="15">
      <c r="A14" s="194" t="s">
        <v>614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>
        <v>2</v>
      </c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195"/>
      <c r="BS14" s="196"/>
      <c r="BT14" s="197">
        <f t="shared" si="0"/>
        <v>2</v>
      </c>
    </row>
    <row r="15" spans="1:72" ht="15">
      <c r="A15" s="194" t="s">
        <v>631</v>
      </c>
      <c r="B15" s="195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>
        <v>5</v>
      </c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195"/>
      <c r="BS15" s="196"/>
      <c r="BT15" s="197">
        <f t="shared" si="0"/>
        <v>5</v>
      </c>
    </row>
    <row r="16" spans="1:72" ht="15">
      <c r="A16" s="194" t="s">
        <v>630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>
        <v>5</v>
      </c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5"/>
      <c r="BB16" s="195"/>
      <c r="BC16" s="195"/>
      <c r="BD16" s="195"/>
      <c r="BE16" s="195"/>
      <c r="BF16" s="195"/>
      <c r="BG16" s="195"/>
      <c r="BH16" s="195"/>
      <c r="BI16" s="195"/>
      <c r="BJ16" s="195"/>
      <c r="BK16" s="195"/>
      <c r="BL16" s="195"/>
      <c r="BM16" s="195"/>
      <c r="BN16" s="195"/>
      <c r="BO16" s="195"/>
      <c r="BP16" s="195"/>
      <c r="BQ16" s="195"/>
      <c r="BR16" s="195"/>
      <c r="BS16" s="196"/>
      <c r="BT16" s="197">
        <f t="shared" si="0"/>
        <v>5</v>
      </c>
    </row>
    <row r="17" spans="1:72" ht="15">
      <c r="A17" s="194" t="s">
        <v>629</v>
      </c>
      <c r="B17" s="195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>
        <v>5</v>
      </c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5"/>
      <c r="BB17" s="195"/>
      <c r="BC17" s="195"/>
      <c r="BD17" s="195"/>
      <c r="BE17" s="195"/>
      <c r="BF17" s="195"/>
      <c r="BG17" s="195"/>
      <c r="BH17" s="195"/>
      <c r="BI17" s="195"/>
      <c r="BJ17" s="195"/>
      <c r="BK17" s="195"/>
      <c r="BL17" s="195"/>
      <c r="BM17" s="195"/>
      <c r="BN17" s="195"/>
      <c r="BO17" s="195"/>
      <c r="BP17" s="195"/>
      <c r="BQ17" s="195"/>
      <c r="BR17" s="195"/>
      <c r="BS17" s="196"/>
      <c r="BT17" s="197">
        <f t="shared" si="0"/>
        <v>5</v>
      </c>
    </row>
    <row r="18" spans="1:72" ht="15">
      <c r="A18" s="194" t="s">
        <v>628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>
        <v>5</v>
      </c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5"/>
      <c r="BB18" s="195"/>
      <c r="BC18" s="195"/>
      <c r="BD18" s="195"/>
      <c r="BE18" s="195"/>
      <c r="BF18" s="195"/>
      <c r="BG18" s="195"/>
      <c r="BH18" s="195"/>
      <c r="BI18" s="195"/>
      <c r="BJ18" s="195"/>
      <c r="BK18" s="195"/>
      <c r="BL18" s="195"/>
      <c r="BM18" s="195"/>
      <c r="BN18" s="195"/>
      <c r="BO18" s="195"/>
      <c r="BP18" s="195"/>
      <c r="BQ18" s="195"/>
      <c r="BR18" s="195"/>
      <c r="BS18" s="196"/>
      <c r="BT18" s="197">
        <f t="shared" si="0"/>
        <v>5</v>
      </c>
    </row>
    <row r="19" spans="1:72" ht="15">
      <c r="A19" s="194" t="s">
        <v>627</v>
      </c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>
        <v>10</v>
      </c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5"/>
      <c r="BO19" s="195"/>
      <c r="BP19" s="195"/>
      <c r="BQ19" s="195"/>
      <c r="BR19" s="195"/>
      <c r="BS19" s="196"/>
      <c r="BT19" s="197">
        <f t="shared" si="0"/>
        <v>10</v>
      </c>
    </row>
    <row r="20" spans="1:72" ht="15">
      <c r="A20" s="194" t="s">
        <v>626</v>
      </c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>
        <v>10</v>
      </c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6"/>
      <c r="BT20" s="197">
        <f t="shared" si="0"/>
        <v>10</v>
      </c>
    </row>
    <row r="21" spans="1:72" ht="15">
      <c r="A21" s="194" t="s">
        <v>625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>
        <v>10</v>
      </c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195"/>
      <c r="BF21" s="195"/>
      <c r="BG21" s="195"/>
      <c r="BH21" s="195"/>
      <c r="BI21" s="195"/>
      <c r="BJ21" s="195"/>
      <c r="BK21" s="195"/>
      <c r="BL21" s="195"/>
      <c r="BM21" s="195"/>
      <c r="BN21" s="195"/>
      <c r="BO21" s="195"/>
      <c r="BP21" s="195"/>
      <c r="BQ21" s="195"/>
      <c r="BR21" s="195"/>
      <c r="BS21" s="196"/>
      <c r="BT21" s="197">
        <f t="shared" si="0"/>
        <v>10</v>
      </c>
    </row>
    <row r="22" spans="1:72" ht="15">
      <c r="A22" s="194" t="s">
        <v>624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>
        <v>10</v>
      </c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95"/>
      <c r="BQ22" s="195"/>
      <c r="BR22" s="195"/>
      <c r="BS22" s="196"/>
      <c r="BT22" s="197">
        <f t="shared" si="0"/>
        <v>10</v>
      </c>
    </row>
    <row r="23" spans="1:72" ht="15">
      <c r="A23" s="194" t="s">
        <v>623</v>
      </c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>
        <v>10</v>
      </c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5"/>
      <c r="BB23" s="195"/>
      <c r="BC23" s="195"/>
      <c r="BD23" s="195"/>
      <c r="BE23" s="195"/>
      <c r="BF23" s="195"/>
      <c r="BG23" s="195"/>
      <c r="BH23" s="195"/>
      <c r="BI23" s="195"/>
      <c r="BJ23" s="195"/>
      <c r="BK23" s="195"/>
      <c r="BL23" s="195"/>
      <c r="BM23" s="195"/>
      <c r="BN23" s="195"/>
      <c r="BO23" s="195"/>
      <c r="BP23" s="195"/>
      <c r="BQ23" s="195"/>
      <c r="BR23" s="195"/>
      <c r="BS23" s="196"/>
      <c r="BT23" s="197">
        <f t="shared" si="0"/>
        <v>10</v>
      </c>
    </row>
    <row r="24" spans="1:72" ht="15">
      <c r="A24" s="194" t="s">
        <v>717</v>
      </c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>
        <v>370</v>
      </c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5"/>
      <c r="BN24" s="195"/>
      <c r="BO24" s="195"/>
      <c r="BP24" s="195"/>
      <c r="BQ24" s="195"/>
      <c r="BR24" s="195"/>
      <c r="BS24" s="196"/>
      <c r="BT24" s="197">
        <f t="shared" si="0"/>
        <v>370</v>
      </c>
    </row>
    <row r="25" spans="1:72" ht="15">
      <c r="A25" s="194" t="s">
        <v>719</v>
      </c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>
        <v>198</v>
      </c>
      <c r="AZ25" s="195"/>
      <c r="BA25" s="195"/>
      <c r="BB25" s="195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5"/>
      <c r="BN25" s="195"/>
      <c r="BO25" s="195"/>
      <c r="BP25" s="195"/>
      <c r="BQ25" s="195"/>
      <c r="BR25" s="195"/>
      <c r="BS25" s="196"/>
      <c r="BT25" s="197">
        <f t="shared" si="0"/>
        <v>198</v>
      </c>
    </row>
    <row r="26" spans="1:72" ht="15">
      <c r="A26" s="194" t="s">
        <v>803</v>
      </c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>
        <v>168</v>
      </c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  <c r="BQ26" s="195"/>
      <c r="BR26" s="195"/>
      <c r="BS26" s="196"/>
      <c r="BT26" s="197">
        <f t="shared" si="0"/>
        <v>168</v>
      </c>
    </row>
    <row r="27" spans="1:72" ht="15">
      <c r="A27" s="194" t="s">
        <v>718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>
        <v>222</v>
      </c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  <c r="BN27" s="195"/>
      <c r="BO27" s="195"/>
      <c r="BP27" s="195"/>
      <c r="BQ27" s="195"/>
      <c r="BR27" s="195"/>
      <c r="BS27" s="196"/>
      <c r="BT27" s="197">
        <f t="shared" si="0"/>
        <v>222</v>
      </c>
    </row>
    <row r="28" spans="1:72" ht="15">
      <c r="A28" s="194" t="s">
        <v>1020</v>
      </c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>
        <v>12</v>
      </c>
      <c r="O28" s="195">
        <v>165</v>
      </c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5"/>
      <c r="BB28" s="195"/>
      <c r="BC28" s="195"/>
      <c r="BD28" s="195"/>
      <c r="BE28" s="195"/>
      <c r="BF28" s="195"/>
      <c r="BG28" s="195"/>
      <c r="BH28" s="195"/>
      <c r="BI28" s="195"/>
      <c r="BJ28" s="195"/>
      <c r="BK28" s="195"/>
      <c r="BL28" s="195"/>
      <c r="BM28" s="195"/>
      <c r="BN28" s="195"/>
      <c r="BO28" s="195"/>
      <c r="BP28" s="195"/>
      <c r="BQ28" s="195"/>
      <c r="BR28" s="195"/>
      <c r="BS28" s="196"/>
      <c r="BT28" s="197">
        <f t="shared" si="0"/>
        <v>177</v>
      </c>
    </row>
    <row r="29" spans="1:72" ht="15">
      <c r="A29" s="194" t="s">
        <v>1340</v>
      </c>
      <c r="B29" s="195"/>
      <c r="C29" s="195"/>
      <c r="D29" s="195"/>
      <c r="E29" s="195">
        <v>5</v>
      </c>
      <c r="F29" s="195">
        <v>5</v>
      </c>
      <c r="G29" s="195"/>
      <c r="H29" s="195">
        <v>372</v>
      </c>
      <c r="I29" s="195">
        <v>128</v>
      </c>
      <c r="J29" s="195"/>
      <c r="K29" s="195"/>
      <c r="L29" s="195"/>
      <c r="M29" s="195"/>
      <c r="N29" s="195"/>
      <c r="O29" s="195"/>
      <c r="P29" s="195"/>
      <c r="Q29" s="195"/>
      <c r="R29" s="195">
        <v>62</v>
      </c>
      <c r="S29" s="195">
        <v>405</v>
      </c>
      <c r="T29" s="195">
        <v>506</v>
      </c>
      <c r="U29" s="195">
        <v>612</v>
      </c>
      <c r="V29" s="195">
        <v>628</v>
      </c>
      <c r="W29" s="195">
        <v>307</v>
      </c>
      <c r="X29" s="195"/>
      <c r="Y29" s="195"/>
      <c r="Z29" s="195"/>
      <c r="AA29" s="195"/>
      <c r="AB29" s="195">
        <v>381</v>
      </c>
      <c r="AC29" s="195">
        <v>919</v>
      </c>
      <c r="AD29" s="195">
        <v>1112</v>
      </c>
      <c r="AE29" s="195"/>
      <c r="AF29" s="195">
        <v>427</v>
      </c>
      <c r="AG29" s="195">
        <v>161</v>
      </c>
      <c r="AH29" s="195">
        <v>364</v>
      </c>
      <c r="AI29" s="195">
        <v>641</v>
      </c>
      <c r="AJ29" s="195">
        <v>650</v>
      </c>
      <c r="AK29" s="195">
        <v>650</v>
      </c>
      <c r="AL29" s="195"/>
      <c r="AM29" s="195">
        <v>650</v>
      </c>
      <c r="AN29" s="195">
        <v>659</v>
      </c>
      <c r="AO29" s="195">
        <v>386</v>
      </c>
      <c r="AP29" s="195"/>
      <c r="AQ29" s="195"/>
      <c r="AR29" s="195">
        <v>650</v>
      </c>
      <c r="AS29" s="195"/>
      <c r="AT29" s="195">
        <v>650</v>
      </c>
      <c r="AU29" s="195">
        <v>650</v>
      </c>
      <c r="AV29" s="195">
        <v>650</v>
      </c>
      <c r="AW29" s="195">
        <v>650</v>
      </c>
      <c r="AX29" s="195">
        <v>250</v>
      </c>
      <c r="AY29" s="195"/>
      <c r="AZ29" s="195"/>
      <c r="BA29" s="195"/>
      <c r="BB29" s="195"/>
      <c r="BC29" s="195"/>
      <c r="BD29" s="195"/>
      <c r="BE29" s="195"/>
      <c r="BF29" s="195"/>
      <c r="BG29" s="195"/>
      <c r="BH29" s="195"/>
      <c r="BI29" s="195"/>
      <c r="BJ29" s="195"/>
      <c r="BK29" s="195"/>
      <c r="BL29" s="195">
        <v>650</v>
      </c>
      <c r="BM29" s="195">
        <v>650</v>
      </c>
      <c r="BN29" s="195"/>
      <c r="BO29" s="195"/>
      <c r="BP29" s="195"/>
      <c r="BQ29" s="195"/>
      <c r="BR29" s="195">
        <v>650</v>
      </c>
      <c r="BS29" s="196">
        <v>2550</v>
      </c>
      <c r="BT29" s="197">
        <f t="shared" si="0"/>
        <v>18030</v>
      </c>
    </row>
    <row r="30" spans="1:72" ht="15">
      <c r="A30" s="194" t="s">
        <v>677</v>
      </c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>
        <v>166</v>
      </c>
      <c r="X30" s="195"/>
      <c r="Y30" s="195">
        <v>74</v>
      </c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5"/>
      <c r="BB30" s="195"/>
      <c r="BC30" s="195"/>
      <c r="BD30" s="195"/>
      <c r="BE30" s="195"/>
      <c r="BF30" s="195"/>
      <c r="BG30" s="195"/>
      <c r="BH30" s="195"/>
      <c r="BI30" s="195"/>
      <c r="BJ30" s="195"/>
      <c r="BK30" s="195"/>
      <c r="BL30" s="195"/>
      <c r="BM30" s="195"/>
      <c r="BN30" s="195"/>
      <c r="BO30" s="195"/>
      <c r="BP30" s="195"/>
      <c r="BQ30" s="195"/>
      <c r="BR30" s="195"/>
      <c r="BS30" s="196"/>
      <c r="BT30" s="197">
        <f t="shared" si="0"/>
        <v>240</v>
      </c>
    </row>
    <row r="31" spans="1:72" ht="15">
      <c r="A31" s="194" t="s">
        <v>1344</v>
      </c>
      <c r="B31" s="195"/>
      <c r="C31" s="195"/>
      <c r="D31" s="195"/>
      <c r="E31" s="195">
        <v>320</v>
      </c>
      <c r="F31" s="195"/>
      <c r="G31" s="195"/>
      <c r="H31" s="195"/>
      <c r="I31" s="195"/>
      <c r="J31" s="195"/>
      <c r="K31" s="195">
        <v>180</v>
      </c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>
        <v>862</v>
      </c>
      <c r="Z31" s="195">
        <v>1077</v>
      </c>
      <c r="AA31" s="195">
        <v>1054</v>
      </c>
      <c r="AB31" s="195">
        <v>687</v>
      </c>
      <c r="AC31" s="195"/>
      <c r="AD31" s="195"/>
      <c r="AE31" s="195"/>
      <c r="AF31" s="195"/>
      <c r="AG31" s="195">
        <v>380</v>
      </c>
      <c r="AH31" s="195"/>
      <c r="AI31" s="195"/>
      <c r="AJ31" s="195">
        <v>20</v>
      </c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>
        <v>400</v>
      </c>
      <c r="AY31" s="195">
        <v>63</v>
      </c>
      <c r="AZ31" s="195"/>
      <c r="BA31" s="195"/>
      <c r="BB31" s="195"/>
      <c r="BC31" s="195"/>
      <c r="BD31" s="195"/>
      <c r="BE31" s="195"/>
      <c r="BF31" s="195"/>
      <c r="BG31" s="195"/>
      <c r="BH31" s="195"/>
      <c r="BI31" s="195"/>
      <c r="BJ31" s="195"/>
      <c r="BK31" s="195"/>
      <c r="BL31" s="195"/>
      <c r="BM31" s="195"/>
      <c r="BN31" s="195"/>
      <c r="BO31" s="195"/>
      <c r="BP31" s="195"/>
      <c r="BQ31" s="195"/>
      <c r="BR31" s="195"/>
      <c r="BS31" s="196"/>
      <c r="BT31" s="197">
        <f t="shared" si="0"/>
        <v>5043</v>
      </c>
    </row>
    <row r="32" spans="1:72" ht="15">
      <c r="A32" s="194" t="s">
        <v>947</v>
      </c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>
        <v>80</v>
      </c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5"/>
      <c r="BB32" s="195"/>
      <c r="BC32" s="195"/>
      <c r="BD32" s="195"/>
      <c r="BE32" s="195"/>
      <c r="BF32" s="195"/>
      <c r="BG32" s="195"/>
      <c r="BH32" s="195"/>
      <c r="BI32" s="195"/>
      <c r="BJ32" s="195"/>
      <c r="BK32" s="195"/>
      <c r="BL32" s="195"/>
      <c r="BM32" s="195"/>
      <c r="BN32" s="195"/>
      <c r="BO32" s="195"/>
      <c r="BP32" s="195"/>
      <c r="BQ32" s="195"/>
      <c r="BR32" s="195"/>
      <c r="BS32" s="196"/>
      <c r="BT32" s="197">
        <f t="shared" si="0"/>
        <v>80</v>
      </c>
    </row>
    <row r="33" spans="1:72" ht="15">
      <c r="A33" s="194" t="s">
        <v>617</v>
      </c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>
        <v>600</v>
      </c>
      <c r="AZ33" s="195"/>
      <c r="BA33" s="195">
        <v>650</v>
      </c>
      <c r="BB33" s="195">
        <v>650</v>
      </c>
      <c r="BC33" s="195">
        <v>650</v>
      </c>
      <c r="BD33" s="195">
        <v>650</v>
      </c>
      <c r="BE33" s="195">
        <v>650</v>
      </c>
      <c r="BF33" s="195">
        <v>650</v>
      </c>
      <c r="BG33" s="195"/>
      <c r="BH33" s="195"/>
      <c r="BI33" s="195"/>
      <c r="BJ33" s="195"/>
      <c r="BK33" s="195"/>
      <c r="BL33" s="195"/>
      <c r="BM33" s="195"/>
      <c r="BN33" s="195"/>
      <c r="BO33" s="195"/>
      <c r="BP33" s="195"/>
      <c r="BQ33" s="195"/>
      <c r="BR33" s="195"/>
      <c r="BS33" s="196"/>
      <c r="BT33" s="197">
        <f t="shared" si="0"/>
        <v>4500</v>
      </c>
    </row>
    <row r="34" spans="1:72" ht="15">
      <c r="A34" s="194" t="s">
        <v>1016</v>
      </c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>
        <v>768</v>
      </c>
      <c r="BJ34" s="195"/>
      <c r="BK34" s="195"/>
      <c r="BL34" s="195"/>
      <c r="BM34" s="195"/>
      <c r="BN34" s="195"/>
      <c r="BO34" s="195"/>
      <c r="BP34" s="195"/>
      <c r="BQ34" s="195"/>
      <c r="BR34" s="195"/>
      <c r="BS34" s="196"/>
      <c r="BT34" s="197">
        <f t="shared" si="0"/>
        <v>768</v>
      </c>
    </row>
    <row r="35" spans="1:72" ht="15">
      <c r="A35" s="194" t="s">
        <v>1017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>
        <v>200</v>
      </c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195"/>
      <c r="BA35" s="195"/>
      <c r="BB35" s="195"/>
      <c r="BC35" s="195">
        <v>1000</v>
      </c>
      <c r="BD35" s="195">
        <v>1100</v>
      </c>
      <c r="BE35" s="195"/>
      <c r="BF35" s="195"/>
      <c r="BG35" s="195"/>
      <c r="BH35" s="195"/>
      <c r="BI35" s="195"/>
      <c r="BJ35" s="195"/>
      <c r="BK35" s="195"/>
      <c r="BL35" s="195"/>
      <c r="BM35" s="195"/>
      <c r="BN35" s="195"/>
      <c r="BO35" s="195"/>
      <c r="BP35" s="195"/>
      <c r="BQ35" s="195"/>
      <c r="BR35" s="195"/>
      <c r="BS35" s="196"/>
      <c r="BT35" s="197">
        <f t="shared" si="0"/>
        <v>2300</v>
      </c>
    </row>
    <row r="36" spans="1:72" ht="15">
      <c r="A36" s="194" t="s">
        <v>619</v>
      </c>
      <c r="B36" s="195"/>
      <c r="C36" s="195"/>
      <c r="D36" s="195"/>
      <c r="E36" s="195">
        <v>200</v>
      </c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5"/>
      <c r="BB36" s="195"/>
      <c r="BC36" s="195"/>
      <c r="BD36" s="195"/>
      <c r="BE36" s="195"/>
      <c r="BF36" s="195"/>
      <c r="BG36" s="195"/>
      <c r="BH36" s="195"/>
      <c r="BI36" s="195"/>
      <c r="BJ36" s="195"/>
      <c r="BK36" s="195"/>
      <c r="BL36" s="195"/>
      <c r="BM36" s="195"/>
      <c r="BN36" s="195"/>
      <c r="BO36" s="195"/>
      <c r="BP36" s="195"/>
      <c r="BQ36" s="195"/>
      <c r="BR36" s="195"/>
      <c r="BS36" s="196"/>
      <c r="BT36" s="197">
        <f t="shared" si="0"/>
        <v>200</v>
      </c>
    </row>
    <row r="37" spans="1:72" ht="15">
      <c r="A37" s="194" t="s">
        <v>620</v>
      </c>
      <c r="B37" s="195"/>
      <c r="C37" s="195"/>
      <c r="D37" s="195"/>
      <c r="E37" s="195">
        <v>341</v>
      </c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  <c r="BA37" s="195"/>
      <c r="BB37" s="195"/>
      <c r="BC37" s="195"/>
      <c r="BD37" s="195"/>
      <c r="BE37" s="195"/>
      <c r="BF37" s="195"/>
      <c r="BG37" s="195"/>
      <c r="BH37" s="195"/>
      <c r="BI37" s="195"/>
      <c r="BJ37" s="195"/>
      <c r="BK37" s="195"/>
      <c r="BL37" s="195"/>
      <c r="BM37" s="195"/>
      <c r="BN37" s="195"/>
      <c r="BO37" s="195"/>
      <c r="BP37" s="195"/>
      <c r="BQ37" s="195"/>
      <c r="BR37" s="195"/>
      <c r="BS37" s="196"/>
      <c r="BT37" s="197">
        <f t="shared" si="0"/>
        <v>341</v>
      </c>
    </row>
    <row r="38" spans="1:72" ht="15">
      <c r="A38" s="194" t="s">
        <v>1015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195"/>
      <c r="AY38" s="195"/>
      <c r="AZ38" s="195"/>
      <c r="BA38" s="195"/>
      <c r="BB38" s="195"/>
      <c r="BC38" s="195"/>
      <c r="BD38" s="195"/>
      <c r="BE38" s="195"/>
      <c r="BF38" s="195"/>
      <c r="BG38" s="195"/>
      <c r="BH38" s="195"/>
      <c r="BI38" s="195">
        <v>384</v>
      </c>
      <c r="BJ38" s="195"/>
      <c r="BK38" s="195"/>
      <c r="BL38" s="195"/>
      <c r="BM38" s="195"/>
      <c r="BN38" s="195"/>
      <c r="BO38" s="195"/>
      <c r="BP38" s="195"/>
      <c r="BQ38" s="195"/>
      <c r="BR38" s="195"/>
      <c r="BS38" s="196"/>
      <c r="BT38" s="197">
        <f t="shared" si="0"/>
        <v>384</v>
      </c>
    </row>
    <row r="39" spans="1:72" ht="15">
      <c r="A39" s="194" t="s">
        <v>189</v>
      </c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>
        <v>30</v>
      </c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5"/>
      <c r="BA39" s="195"/>
      <c r="BB39" s="195"/>
      <c r="BC39" s="195"/>
      <c r="BD39" s="195"/>
      <c r="BE39" s="195"/>
      <c r="BF39" s="195"/>
      <c r="BG39" s="195"/>
      <c r="BH39" s="195"/>
      <c r="BI39" s="195"/>
      <c r="BJ39" s="195"/>
      <c r="BK39" s="195"/>
      <c r="BL39" s="195"/>
      <c r="BM39" s="195"/>
      <c r="BN39" s="195"/>
      <c r="BO39" s="195"/>
      <c r="BP39" s="195"/>
      <c r="BQ39" s="195"/>
      <c r="BR39" s="195"/>
      <c r="BS39" s="196"/>
      <c r="BT39" s="197">
        <f t="shared" si="0"/>
        <v>30</v>
      </c>
    </row>
    <row r="40" spans="1:72" ht="15">
      <c r="A40" s="194" t="s">
        <v>190</v>
      </c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>
        <v>1069</v>
      </c>
      <c r="W40" s="195">
        <v>1431</v>
      </c>
      <c r="X40" s="195"/>
      <c r="Y40" s="195"/>
      <c r="Z40" s="195"/>
      <c r="AA40" s="195"/>
      <c r="AB40" s="195"/>
      <c r="AC40" s="195"/>
      <c r="AD40" s="195">
        <v>830</v>
      </c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5"/>
      <c r="BG40" s="195"/>
      <c r="BH40" s="195"/>
      <c r="BI40" s="195"/>
      <c r="BJ40" s="195"/>
      <c r="BK40" s="195"/>
      <c r="BL40" s="195"/>
      <c r="BM40" s="195"/>
      <c r="BN40" s="195"/>
      <c r="BO40" s="195"/>
      <c r="BP40" s="195"/>
      <c r="BQ40" s="195"/>
      <c r="BR40" s="195"/>
      <c r="BS40" s="196"/>
      <c r="BT40" s="197">
        <f t="shared" si="0"/>
        <v>3330</v>
      </c>
    </row>
    <row r="41" spans="1:72" ht="15">
      <c r="A41" s="194" t="s">
        <v>688</v>
      </c>
      <c r="B41" s="195"/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>
        <v>700</v>
      </c>
      <c r="BC41" s="195">
        <v>1850</v>
      </c>
      <c r="BD41" s="195"/>
      <c r="BE41" s="195"/>
      <c r="BF41" s="195"/>
      <c r="BG41" s="195"/>
      <c r="BH41" s="195"/>
      <c r="BI41" s="195">
        <v>1000</v>
      </c>
      <c r="BJ41" s="195">
        <v>2552</v>
      </c>
      <c r="BK41" s="195"/>
      <c r="BL41" s="195"/>
      <c r="BM41" s="195"/>
      <c r="BN41" s="195"/>
      <c r="BO41" s="195"/>
      <c r="BP41" s="195"/>
      <c r="BQ41" s="195"/>
      <c r="BR41" s="195"/>
      <c r="BS41" s="196"/>
      <c r="BT41" s="197">
        <f t="shared" si="0"/>
        <v>6102</v>
      </c>
    </row>
    <row r="42" spans="1:72" ht="15">
      <c r="A42" s="194" t="s">
        <v>987</v>
      </c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>
        <v>1</v>
      </c>
      <c r="X42" s="195"/>
      <c r="Y42" s="195"/>
      <c r="Z42" s="195"/>
      <c r="AA42" s="195"/>
      <c r="AB42" s="195">
        <v>199</v>
      </c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5"/>
      <c r="BN42" s="195"/>
      <c r="BO42" s="195"/>
      <c r="BP42" s="195"/>
      <c r="BQ42" s="195"/>
      <c r="BR42" s="195"/>
      <c r="BS42" s="196"/>
      <c r="BT42" s="197">
        <f t="shared" si="0"/>
        <v>200</v>
      </c>
    </row>
    <row r="43" spans="1:72" ht="15">
      <c r="A43" s="194" t="s">
        <v>1018</v>
      </c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5"/>
      <c r="BA43" s="195"/>
      <c r="BB43" s="195"/>
      <c r="BC43" s="195"/>
      <c r="BD43" s="195"/>
      <c r="BE43" s="195"/>
      <c r="BF43" s="195"/>
      <c r="BG43" s="195"/>
      <c r="BH43" s="195"/>
      <c r="BI43" s="195"/>
      <c r="BJ43" s="195">
        <v>540</v>
      </c>
      <c r="BK43" s="195"/>
      <c r="BL43" s="195"/>
      <c r="BM43" s="195"/>
      <c r="BN43" s="195"/>
      <c r="BO43" s="195"/>
      <c r="BP43" s="195"/>
      <c r="BQ43" s="195"/>
      <c r="BR43" s="195"/>
      <c r="BS43" s="196"/>
      <c r="BT43" s="197">
        <f t="shared" si="0"/>
        <v>540</v>
      </c>
    </row>
    <row r="44" spans="1:72" ht="15">
      <c r="A44" s="194" t="s">
        <v>1019</v>
      </c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>
        <v>200</v>
      </c>
      <c r="AQ44" s="195"/>
      <c r="AR44" s="195"/>
      <c r="AS44" s="195"/>
      <c r="AT44" s="195"/>
      <c r="AU44" s="195"/>
      <c r="AV44" s="195"/>
      <c r="AW44" s="195"/>
      <c r="AX44" s="195"/>
      <c r="AY44" s="195"/>
      <c r="AZ44" s="195"/>
      <c r="BA44" s="195"/>
      <c r="BB44" s="195"/>
      <c r="BC44" s="195"/>
      <c r="BD44" s="195">
        <v>1000</v>
      </c>
      <c r="BE44" s="195"/>
      <c r="BF44" s="195"/>
      <c r="BG44" s="195"/>
      <c r="BH44" s="195"/>
      <c r="BI44" s="195"/>
      <c r="BJ44" s="195"/>
      <c r="BK44" s="195"/>
      <c r="BL44" s="195"/>
      <c r="BM44" s="195"/>
      <c r="BN44" s="195"/>
      <c r="BO44" s="195"/>
      <c r="BP44" s="195"/>
      <c r="BQ44" s="195"/>
      <c r="BR44" s="195"/>
      <c r="BS44" s="196"/>
      <c r="BT44" s="197">
        <f t="shared" si="0"/>
        <v>1200</v>
      </c>
    </row>
    <row r="45" spans="1:72" ht="15">
      <c r="A45" s="194" t="s">
        <v>152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>
        <v>342</v>
      </c>
      <c r="N45" s="195">
        <v>774</v>
      </c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195"/>
      <c r="BQ45" s="195"/>
      <c r="BR45" s="195"/>
      <c r="BS45" s="196"/>
      <c r="BT45" s="197">
        <f t="shared" si="0"/>
        <v>1116</v>
      </c>
    </row>
    <row r="46" spans="1:72" ht="15">
      <c r="A46" s="194" t="s">
        <v>681</v>
      </c>
      <c r="B46" s="195"/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>
        <v>273</v>
      </c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  <c r="BO46" s="195"/>
      <c r="BP46" s="195"/>
      <c r="BQ46" s="195"/>
      <c r="BR46" s="195"/>
      <c r="BS46" s="196"/>
      <c r="BT46" s="197">
        <f t="shared" si="0"/>
        <v>273</v>
      </c>
    </row>
    <row r="47" spans="1:72" ht="15">
      <c r="A47" s="194" t="s">
        <v>648</v>
      </c>
      <c r="B47" s="195"/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  <c r="BA47" s="195"/>
      <c r="BB47" s="195">
        <v>410</v>
      </c>
      <c r="BC47" s="195"/>
      <c r="BD47" s="195"/>
      <c r="BE47" s="195"/>
      <c r="BF47" s="195"/>
      <c r="BG47" s="195"/>
      <c r="BH47" s="195"/>
      <c r="BI47" s="195"/>
      <c r="BJ47" s="195"/>
      <c r="BK47" s="195"/>
      <c r="BL47" s="195"/>
      <c r="BM47" s="195"/>
      <c r="BN47" s="195"/>
      <c r="BO47" s="195"/>
      <c r="BP47" s="195"/>
      <c r="BQ47" s="195"/>
      <c r="BR47" s="195"/>
      <c r="BS47" s="196"/>
      <c r="BT47" s="197">
        <f t="shared" si="0"/>
        <v>410</v>
      </c>
    </row>
    <row r="48" spans="1:72" ht="15">
      <c r="A48" s="194" t="s">
        <v>54</v>
      </c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>
        <v>423</v>
      </c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  <c r="BE48" s="195"/>
      <c r="BF48" s="195"/>
      <c r="BG48" s="195"/>
      <c r="BH48" s="195"/>
      <c r="BI48" s="195"/>
      <c r="BJ48" s="195"/>
      <c r="BK48" s="195"/>
      <c r="BL48" s="195"/>
      <c r="BM48" s="195"/>
      <c r="BN48" s="195"/>
      <c r="BO48" s="195"/>
      <c r="BP48" s="195"/>
      <c r="BQ48" s="195"/>
      <c r="BR48" s="195"/>
      <c r="BS48" s="196"/>
      <c r="BT48" s="197">
        <f t="shared" si="0"/>
        <v>423</v>
      </c>
    </row>
    <row r="49" spans="1:72" ht="15">
      <c r="A49" s="194" t="s">
        <v>707</v>
      </c>
      <c r="B49" s="195"/>
      <c r="C49" s="195"/>
      <c r="D49" s="195"/>
      <c r="E49" s="195"/>
      <c r="F49" s="195"/>
      <c r="G49" s="195">
        <v>40</v>
      </c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>
        <v>240</v>
      </c>
      <c r="Z49" s="195">
        <v>262</v>
      </c>
      <c r="AA49" s="195">
        <v>188</v>
      </c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5"/>
      <c r="AY49" s="195"/>
      <c r="AZ49" s="195"/>
      <c r="BA49" s="195"/>
      <c r="BB49" s="195"/>
      <c r="BC49" s="195"/>
      <c r="BD49" s="195"/>
      <c r="BE49" s="195"/>
      <c r="BF49" s="195"/>
      <c r="BG49" s="195"/>
      <c r="BH49" s="195"/>
      <c r="BI49" s="195"/>
      <c r="BJ49" s="195"/>
      <c r="BK49" s="195"/>
      <c r="BL49" s="195"/>
      <c r="BM49" s="195"/>
      <c r="BN49" s="195"/>
      <c r="BO49" s="195"/>
      <c r="BP49" s="195"/>
      <c r="BQ49" s="195"/>
      <c r="BR49" s="195"/>
      <c r="BS49" s="196"/>
      <c r="BT49" s="197">
        <f t="shared" si="0"/>
        <v>730</v>
      </c>
    </row>
    <row r="50" spans="1:72" ht="15">
      <c r="A50" s="194" t="s">
        <v>133</v>
      </c>
      <c r="B50" s="195"/>
      <c r="C50" s="195"/>
      <c r="D50" s="195"/>
      <c r="E50" s="195"/>
      <c r="F50" s="195"/>
      <c r="G50" s="195"/>
      <c r="H50" s="195">
        <v>433</v>
      </c>
      <c r="I50" s="195">
        <v>1317</v>
      </c>
      <c r="J50" s="195"/>
      <c r="K50" s="195"/>
      <c r="L50" s="195"/>
      <c r="M50" s="195"/>
      <c r="N50" s="195"/>
      <c r="O50" s="195"/>
      <c r="P50" s="195"/>
      <c r="Q50" s="195"/>
      <c r="R50" s="195">
        <v>1732</v>
      </c>
      <c r="S50" s="195"/>
      <c r="T50" s="195"/>
      <c r="U50" s="195">
        <v>474</v>
      </c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>
        <v>43</v>
      </c>
      <c r="AG50" s="195">
        <v>2021</v>
      </c>
      <c r="AH50" s="195">
        <v>236</v>
      </c>
      <c r="AI50" s="195"/>
      <c r="AJ50" s="195"/>
      <c r="AK50" s="195">
        <v>20</v>
      </c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5"/>
      <c r="AX50" s="195"/>
      <c r="AY50" s="195"/>
      <c r="AZ50" s="195"/>
      <c r="BA50" s="195">
        <v>1325</v>
      </c>
      <c r="BB50" s="195"/>
      <c r="BC50" s="195"/>
      <c r="BD50" s="195"/>
      <c r="BE50" s="195"/>
      <c r="BF50" s="195"/>
      <c r="BG50" s="195"/>
      <c r="BH50" s="195"/>
      <c r="BI50" s="195"/>
      <c r="BJ50" s="195"/>
      <c r="BK50" s="195"/>
      <c r="BL50" s="195"/>
      <c r="BM50" s="195"/>
      <c r="BN50" s="195"/>
      <c r="BO50" s="195"/>
      <c r="BP50" s="195"/>
      <c r="BQ50" s="195"/>
      <c r="BR50" s="195"/>
      <c r="BS50" s="196"/>
      <c r="BT50" s="197">
        <f t="shared" si="0"/>
        <v>7601</v>
      </c>
    </row>
    <row r="51" spans="1:72" ht="15">
      <c r="A51" s="194" t="s">
        <v>178</v>
      </c>
      <c r="B51" s="195"/>
      <c r="C51" s="195"/>
      <c r="D51" s="195"/>
      <c r="E51" s="195">
        <v>896</v>
      </c>
      <c r="F51" s="195"/>
      <c r="G51" s="195"/>
      <c r="H51" s="195">
        <v>20</v>
      </c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>
        <v>903</v>
      </c>
      <c r="AG51" s="195"/>
      <c r="AH51" s="195"/>
      <c r="AI51" s="195"/>
      <c r="AJ51" s="195"/>
      <c r="AK51" s="195">
        <v>20</v>
      </c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195"/>
      <c r="AY51" s="195"/>
      <c r="AZ51" s="195"/>
      <c r="BA51" s="195"/>
      <c r="BB51" s="195"/>
      <c r="BC51" s="195"/>
      <c r="BD51" s="195"/>
      <c r="BE51" s="195"/>
      <c r="BF51" s="195"/>
      <c r="BG51" s="195"/>
      <c r="BH51" s="195"/>
      <c r="BI51" s="195"/>
      <c r="BJ51" s="195"/>
      <c r="BK51" s="195"/>
      <c r="BL51" s="195"/>
      <c r="BM51" s="195"/>
      <c r="BN51" s="195"/>
      <c r="BO51" s="195"/>
      <c r="BP51" s="195"/>
      <c r="BQ51" s="195"/>
      <c r="BR51" s="195"/>
      <c r="BS51" s="196"/>
      <c r="BT51" s="197">
        <f t="shared" si="0"/>
        <v>1839</v>
      </c>
    </row>
    <row r="52" spans="1:72" ht="15">
      <c r="A52" s="194" t="s">
        <v>680</v>
      </c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>
        <v>910</v>
      </c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>
        <v>906</v>
      </c>
      <c r="AU52" s="195"/>
      <c r="AV52" s="195"/>
      <c r="AW52" s="195"/>
      <c r="AX52" s="195"/>
      <c r="AY52" s="195"/>
      <c r="AZ52" s="195"/>
      <c r="BA52" s="195"/>
      <c r="BB52" s="195"/>
      <c r="BC52" s="195"/>
      <c r="BD52" s="195"/>
      <c r="BE52" s="195"/>
      <c r="BF52" s="195">
        <v>800</v>
      </c>
      <c r="BG52" s="195"/>
      <c r="BH52" s="195">
        <v>996</v>
      </c>
      <c r="BI52" s="195"/>
      <c r="BJ52" s="195"/>
      <c r="BK52" s="195"/>
      <c r="BL52" s="195"/>
      <c r="BM52" s="195"/>
      <c r="BN52" s="195"/>
      <c r="BO52" s="195"/>
      <c r="BP52" s="195"/>
      <c r="BQ52" s="195"/>
      <c r="BR52" s="195"/>
      <c r="BS52" s="196"/>
      <c r="BT52" s="197">
        <f t="shared" si="0"/>
        <v>3612</v>
      </c>
    </row>
    <row r="53" spans="1:72" ht="15">
      <c r="A53" s="194" t="s">
        <v>233</v>
      </c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>
        <v>20</v>
      </c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  <c r="BA53" s="195"/>
      <c r="BB53" s="195"/>
      <c r="BC53" s="195"/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6"/>
      <c r="BT53" s="197">
        <f t="shared" si="0"/>
        <v>20</v>
      </c>
    </row>
    <row r="54" spans="1:72" ht="15">
      <c r="A54" s="194" t="s">
        <v>671</v>
      </c>
      <c r="B54" s="195"/>
      <c r="C54" s="195"/>
      <c r="D54" s="195"/>
      <c r="E54" s="195"/>
      <c r="F54" s="195"/>
      <c r="G54" s="195"/>
      <c r="H54" s="195"/>
      <c r="I54" s="195">
        <v>230</v>
      </c>
      <c r="J54" s="195"/>
      <c r="K54" s="195">
        <v>400</v>
      </c>
      <c r="L54" s="195">
        <v>110</v>
      </c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  <c r="BK54" s="195"/>
      <c r="BL54" s="195">
        <v>716</v>
      </c>
      <c r="BM54" s="195"/>
      <c r="BN54" s="195"/>
      <c r="BO54" s="195"/>
      <c r="BP54" s="195"/>
      <c r="BQ54" s="195"/>
      <c r="BR54" s="195"/>
      <c r="BS54" s="196"/>
      <c r="BT54" s="197">
        <f t="shared" si="0"/>
        <v>1456</v>
      </c>
    </row>
    <row r="55" spans="1:72" ht="15">
      <c r="A55" s="194" t="s">
        <v>711</v>
      </c>
      <c r="B55" s="195"/>
      <c r="C55" s="195"/>
      <c r="D55" s="195"/>
      <c r="E55" s="195"/>
      <c r="F55" s="195"/>
      <c r="G55" s="195"/>
      <c r="H55" s="195"/>
      <c r="I55" s="195"/>
      <c r="J55" s="195"/>
      <c r="K55" s="195">
        <v>706</v>
      </c>
      <c r="L55" s="195">
        <v>638</v>
      </c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>
        <v>672</v>
      </c>
      <c r="AS55" s="195"/>
      <c r="AT55" s="195"/>
      <c r="AU55" s="195"/>
      <c r="AV55" s="195"/>
      <c r="AW55" s="195"/>
      <c r="AX55" s="195"/>
      <c r="AY55" s="195"/>
      <c r="AZ55" s="195"/>
      <c r="BA55" s="195">
        <v>664</v>
      </c>
      <c r="BB55" s="195"/>
      <c r="BC55" s="195"/>
      <c r="BD55" s="195"/>
      <c r="BE55" s="195"/>
      <c r="BF55" s="195"/>
      <c r="BG55" s="195"/>
      <c r="BH55" s="195"/>
      <c r="BI55" s="195"/>
      <c r="BJ55" s="195"/>
      <c r="BK55" s="195"/>
      <c r="BL55" s="195"/>
      <c r="BM55" s="195"/>
      <c r="BN55" s="195"/>
      <c r="BO55" s="195"/>
      <c r="BP55" s="195"/>
      <c r="BQ55" s="195"/>
      <c r="BR55" s="195"/>
      <c r="BS55" s="196"/>
      <c r="BT55" s="197">
        <f t="shared" si="0"/>
        <v>2680</v>
      </c>
    </row>
    <row r="56" spans="1:72" ht="15">
      <c r="A56" s="194" t="s">
        <v>646</v>
      </c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>
        <v>728</v>
      </c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5"/>
      <c r="BO56" s="195"/>
      <c r="BP56" s="195"/>
      <c r="BQ56" s="195"/>
      <c r="BR56" s="195"/>
      <c r="BS56" s="196"/>
      <c r="BT56" s="197">
        <f t="shared" si="0"/>
        <v>728</v>
      </c>
    </row>
    <row r="57" spans="1:72" ht="15">
      <c r="A57" s="194" t="s">
        <v>709</v>
      </c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>
        <v>728</v>
      </c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  <c r="BF57" s="195">
        <v>728</v>
      </c>
      <c r="BG57" s="195"/>
      <c r="BH57" s="195"/>
      <c r="BI57" s="195"/>
      <c r="BJ57" s="195"/>
      <c r="BK57" s="195"/>
      <c r="BL57" s="195">
        <v>716</v>
      </c>
      <c r="BM57" s="195"/>
      <c r="BN57" s="195"/>
      <c r="BO57" s="195"/>
      <c r="BP57" s="195"/>
      <c r="BQ57" s="195"/>
      <c r="BR57" s="195"/>
      <c r="BS57" s="196"/>
      <c r="BT57" s="197">
        <f t="shared" si="0"/>
        <v>2172</v>
      </c>
    </row>
    <row r="58" spans="1:72" ht="15">
      <c r="A58" s="194" t="s">
        <v>237</v>
      </c>
      <c r="B58" s="195"/>
      <c r="C58" s="195"/>
      <c r="D58" s="195"/>
      <c r="E58" s="195">
        <v>252</v>
      </c>
      <c r="F58" s="195">
        <v>2891</v>
      </c>
      <c r="G58" s="195">
        <v>357</v>
      </c>
      <c r="H58" s="195"/>
      <c r="I58" s="195"/>
      <c r="J58" s="195"/>
      <c r="K58" s="195"/>
      <c r="L58" s="195"/>
      <c r="M58" s="195">
        <v>1600</v>
      </c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>
        <v>900</v>
      </c>
      <c r="AB58" s="195">
        <v>79</v>
      </c>
      <c r="AC58" s="195">
        <v>313</v>
      </c>
      <c r="AD58" s="195">
        <v>978</v>
      </c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195"/>
      <c r="AY58" s="195"/>
      <c r="AZ58" s="195"/>
      <c r="BA58" s="195"/>
      <c r="BB58" s="195"/>
      <c r="BC58" s="195"/>
      <c r="BD58" s="195"/>
      <c r="BE58" s="195"/>
      <c r="BF58" s="195"/>
      <c r="BG58" s="195"/>
      <c r="BH58" s="195"/>
      <c r="BI58" s="195"/>
      <c r="BJ58" s="195"/>
      <c r="BK58" s="195"/>
      <c r="BL58" s="195"/>
      <c r="BM58" s="195"/>
      <c r="BN58" s="195"/>
      <c r="BO58" s="195"/>
      <c r="BP58" s="195"/>
      <c r="BQ58" s="195"/>
      <c r="BR58" s="195"/>
      <c r="BS58" s="196"/>
      <c r="BT58" s="197">
        <f t="shared" si="0"/>
        <v>7370</v>
      </c>
    </row>
    <row r="59" spans="1:72" ht="15">
      <c r="A59" s="194" t="s">
        <v>186</v>
      </c>
      <c r="B59" s="195"/>
      <c r="C59" s="195"/>
      <c r="D59" s="195"/>
      <c r="E59" s="195"/>
      <c r="F59" s="195"/>
      <c r="G59" s="195">
        <v>2000</v>
      </c>
      <c r="H59" s="195"/>
      <c r="I59" s="195"/>
      <c r="J59" s="195"/>
      <c r="K59" s="195"/>
      <c r="L59" s="195">
        <v>711</v>
      </c>
      <c r="M59" s="195">
        <v>889</v>
      </c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>
        <v>172</v>
      </c>
      <c r="AB59" s="195">
        <v>1786</v>
      </c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195"/>
      <c r="AY59" s="195"/>
      <c r="AZ59" s="195"/>
      <c r="BA59" s="195"/>
      <c r="BB59" s="195"/>
      <c r="BC59" s="195"/>
      <c r="BD59" s="195"/>
      <c r="BE59" s="195"/>
      <c r="BF59" s="195"/>
      <c r="BG59" s="195"/>
      <c r="BH59" s="195"/>
      <c r="BI59" s="195"/>
      <c r="BJ59" s="195"/>
      <c r="BK59" s="195"/>
      <c r="BL59" s="195"/>
      <c r="BM59" s="195"/>
      <c r="BN59" s="195"/>
      <c r="BO59" s="195"/>
      <c r="BP59" s="195"/>
      <c r="BQ59" s="195"/>
      <c r="BR59" s="195"/>
      <c r="BS59" s="196"/>
      <c r="BT59" s="197">
        <f t="shared" si="0"/>
        <v>5558</v>
      </c>
    </row>
    <row r="60" spans="1:72" ht="15">
      <c r="A60" s="194" t="s">
        <v>678</v>
      </c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>
        <v>469</v>
      </c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  <c r="BF60" s="195"/>
      <c r="BG60" s="195"/>
      <c r="BH60" s="195"/>
      <c r="BI60" s="195"/>
      <c r="BJ60" s="195"/>
      <c r="BK60" s="195"/>
      <c r="BL60" s="195"/>
      <c r="BM60" s="195"/>
      <c r="BN60" s="195"/>
      <c r="BO60" s="195"/>
      <c r="BP60" s="195"/>
      <c r="BQ60" s="195"/>
      <c r="BR60" s="195"/>
      <c r="BS60" s="196"/>
      <c r="BT60" s="197">
        <f t="shared" si="0"/>
        <v>469</v>
      </c>
    </row>
    <row r="61" spans="1:72" ht="15">
      <c r="A61" s="194" t="s">
        <v>640</v>
      </c>
      <c r="B61" s="195"/>
      <c r="C61" s="195"/>
      <c r="D61" s="195"/>
      <c r="E61" s="195"/>
      <c r="F61" s="195"/>
      <c r="G61" s="195"/>
      <c r="H61" s="195">
        <v>1000</v>
      </c>
      <c r="I61" s="195"/>
      <c r="J61" s="195"/>
      <c r="K61" s="195"/>
      <c r="L61" s="195"/>
      <c r="M61" s="195"/>
      <c r="N61" s="195">
        <v>1815</v>
      </c>
      <c r="O61" s="195">
        <v>1385</v>
      </c>
      <c r="P61" s="195"/>
      <c r="Q61" s="195"/>
      <c r="R61" s="195"/>
      <c r="S61" s="195"/>
      <c r="T61" s="195"/>
      <c r="U61" s="195">
        <v>62</v>
      </c>
      <c r="V61" s="195">
        <v>138</v>
      </c>
      <c r="W61" s="195"/>
      <c r="X61" s="195"/>
      <c r="Y61" s="195"/>
      <c r="Z61" s="195"/>
      <c r="AA61" s="195"/>
      <c r="AB61" s="195"/>
      <c r="AC61" s="195"/>
      <c r="AD61" s="195">
        <v>2</v>
      </c>
      <c r="AE61" s="195"/>
      <c r="AF61" s="195">
        <v>198</v>
      </c>
      <c r="AG61" s="195"/>
      <c r="AH61" s="195"/>
      <c r="AI61" s="195">
        <v>1777</v>
      </c>
      <c r="AJ61" s="195">
        <v>2800</v>
      </c>
      <c r="AK61" s="195">
        <v>1423</v>
      </c>
      <c r="AL61" s="195"/>
      <c r="AM61" s="195"/>
      <c r="AN61" s="195"/>
      <c r="AO61" s="195"/>
      <c r="AP61" s="195"/>
      <c r="AQ61" s="195"/>
      <c r="AR61" s="195"/>
      <c r="AS61" s="195"/>
      <c r="AT61" s="195">
        <v>200</v>
      </c>
      <c r="AU61" s="195">
        <v>2530</v>
      </c>
      <c r="AV61" s="195"/>
      <c r="AW61" s="195"/>
      <c r="AX61" s="195"/>
      <c r="AY61" s="195"/>
      <c r="AZ61" s="195"/>
      <c r="BA61" s="195"/>
      <c r="BB61" s="195"/>
      <c r="BC61" s="195"/>
      <c r="BD61" s="195"/>
      <c r="BE61" s="195"/>
      <c r="BF61" s="195"/>
      <c r="BG61" s="195"/>
      <c r="BH61" s="195"/>
      <c r="BI61" s="195"/>
      <c r="BJ61" s="195"/>
      <c r="BK61" s="195"/>
      <c r="BL61" s="195"/>
      <c r="BM61" s="195"/>
      <c r="BN61" s="195"/>
      <c r="BO61" s="195"/>
      <c r="BP61" s="195"/>
      <c r="BQ61" s="195"/>
      <c r="BR61" s="195"/>
      <c r="BS61" s="196"/>
      <c r="BT61" s="197">
        <f t="shared" si="0"/>
        <v>13330</v>
      </c>
    </row>
    <row r="62" spans="1:72" ht="15">
      <c r="A62" s="194" t="s">
        <v>1097</v>
      </c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>
        <v>2</v>
      </c>
      <c r="BB62" s="195"/>
      <c r="BC62" s="195">
        <v>48</v>
      </c>
      <c r="BD62" s="195"/>
      <c r="BE62" s="195"/>
      <c r="BF62" s="195"/>
      <c r="BG62" s="195"/>
      <c r="BH62" s="195"/>
      <c r="BI62" s="195"/>
      <c r="BJ62" s="195"/>
      <c r="BK62" s="195"/>
      <c r="BL62" s="195"/>
      <c r="BM62" s="195"/>
      <c r="BN62" s="195"/>
      <c r="BO62" s="195"/>
      <c r="BP62" s="195"/>
      <c r="BQ62" s="195"/>
      <c r="BR62" s="195"/>
      <c r="BS62" s="196"/>
      <c r="BT62" s="197">
        <f t="shared" si="0"/>
        <v>50</v>
      </c>
    </row>
    <row r="63" spans="1:72" ht="15">
      <c r="A63" s="194" t="s">
        <v>712</v>
      </c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>
        <v>1</v>
      </c>
      <c r="P63" s="195"/>
      <c r="Q63" s="195"/>
      <c r="R63" s="195"/>
      <c r="S63" s="195"/>
      <c r="T63" s="195"/>
      <c r="U63" s="195">
        <v>79</v>
      </c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  <c r="BE63" s="195">
        <v>200</v>
      </c>
      <c r="BF63" s="195"/>
      <c r="BG63" s="195"/>
      <c r="BH63" s="195"/>
      <c r="BI63" s="195"/>
      <c r="BJ63" s="195"/>
      <c r="BK63" s="195"/>
      <c r="BL63" s="195"/>
      <c r="BM63" s="195"/>
      <c r="BN63" s="195"/>
      <c r="BO63" s="195"/>
      <c r="BP63" s="195"/>
      <c r="BQ63" s="195"/>
      <c r="BR63" s="195"/>
      <c r="BS63" s="196"/>
      <c r="BT63" s="197">
        <f t="shared" si="0"/>
        <v>280</v>
      </c>
    </row>
    <row r="64" spans="1:72" ht="15">
      <c r="A64" s="194" t="s">
        <v>687</v>
      </c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>
        <v>700</v>
      </c>
      <c r="BE64" s="195">
        <v>1250</v>
      </c>
      <c r="BF64" s="195"/>
      <c r="BG64" s="195"/>
      <c r="BH64" s="195"/>
      <c r="BI64" s="195"/>
      <c r="BJ64" s="195"/>
      <c r="BK64" s="195">
        <v>2700</v>
      </c>
      <c r="BL64" s="195"/>
      <c r="BM64" s="195"/>
      <c r="BN64" s="195"/>
      <c r="BO64" s="195"/>
      <c r="BP64" s="195"/>
      <c r="BQ64" s="195"/>
      <c r="BR64" s="195"/>
      <c r="BS64" s="196"/>
      <c r="BT64" s="197">
        <f t="shared" si="0"/>
        <v>4650</v>
      </c>
    </row>
    <row r="65" spans="1:72" ht="15">
      <c r="A65" s="194" t="s">
        <v>978</v>
      </c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>
        <v>1</v>
      </c>
      <c r="X65" s="195"/>
      <c r="Y65" s="195"/>
      <c r="Z65" s="195"/>
      <c r="AA65" s="195">
        <v>199</v>
      </c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5"/>
      <c r="BF65" s="195"/>
      <c r="BG65" s="195"/>
      <c r="BH65" s="195"/>
      <c r="BI65" s="195"/>
      <c r="BJ65" s="195"/>
      <c r="BK65" s="195"/>
      <c r="BL65" s="195"/>
      <c r="BM65" s="195"/>
      <c r="BN65" s="195"/>
      <c r="BO65" s="195"/>
      <c r="BP65" s="195"/>
      <c r="BQ65" s="195"/>
      <c r="BR65" s="195"/>
      <c r="BS65" s="196"/>
      <c r="BT65" s="197">
        <f t="shared" si="0"/>
        <v>200</v>
      </c>
    </row>
    <row r="66" spans="1:72" ht="15">
      <c r="A66" s="194" t="s">
        <v>795</v>
      </c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>
        <v>179</v>
      </c>
      <c r="P66" s="195">
        <v>571</v>
      </c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>
        <v>495</v>
      </c>
      <c r="BC66" s="195"/>
      <c r="BD66" s="195"/>
      <c r="BE66" s="195"/>
      <c r="BF66" s="195"/>
      <c r="BG66" s="195"/>
      <c r="BH66" s="195"/>
      <c r="BI66" s="195"/>
      <c r="BJ66" s="195"/>
      <c r="BK66" s="195"/>
      <c r="BL66" s="195"/>
      <c r="BM66" s="195"/>
      <c r="BN66" s="195"/>
      <c r="BO66" s="195"/>
      <c r="BP66" s="195"/>
      <c r="BQ66" s="195"/>
      <c r="BR66" s="195"/>
      <c r="BS66" s="196"/>
      <c r="BT66" s="197">
        <f t="shared" si="0"/>
        <v>1245</v>
      </c>
    </row>
    <row r="67" spans="1:72" ht="15">
      <c r="A67" s="194" t="s">
        <v>748</v>
      </c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>
        <v>314</v>
      </c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  <c r="BE67" s="195"/>
      <c r="BF67" s="195"/>
      <c r="BG67" s="195"/>
      <c r="BH67" s="195"/>
      <c r="BI67" s="195"/>
      <c r="BJ67" s="195"/>
      <c r="BK67" s="195"/>
      <c r="BL67" s="195"/>
      <c r="BM67" s="195"/>
      <c r="BN67" s="195"/>
      <c r="BO67" s="195"/>
      <c r="BP67" s="195"/>
      <c r="BQ67" s="195"/>
      <c r="BR67" s="195"/>
      <c r="BS67" s="196"/>
      <c r="BT67" s="197">
        <f t="shared" ref="BT67:BT130" si="1">SUM(B67:BS67)</f>
        <v>314</v>
      </c>
    </row>
    <row r="68" spans="1:72" ht="15">
      <c r="A68" s="194" t="s">
        <v>170</v>
      </c>
      <c r="B68" s="195"/>
      <c r="C68" s="195"/>
      <c r="D68" s="195"/>
      <c r="E68" s="195"/>
      <c r="F68" s="195"/>
      <c r="G68" s="195">
        <v>293</v>
      </c>
      <c r="H68" s="195">
        <v>477</v>
      </c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5"/>
      <c r="BF68" s="195"/>
      <c r="BG68" s="195"/>
      <c r="BH68" s="195"/>
      <c r="BI68" s="195"/>
      <c r="BJ68" s="195"/>
      <c r="BK68" s="195"/>
      <c r="BL68" s="195"/>
      <c r="BM68" s="195"/>
      <c r="BN68" s="195"/>
      <c r="BO68" s="195"/>
      <c r="BP68" s="195"/>
      <c r="BQ68" s="195"/>
      <c r="BR68" s="195"/>
      <c r="BS68" s="196"/>
      <c r="BT68" s="197">
        <f t="shared" si="1"/>
        <v>770</v>
      </c>
    </row>
    <row r="69" spans="1:72" ht="15">
      <c r="A69" s="194" t="s">
        <v>747</v>
      </c>
      <c r="B69" s="195"/>
      <c r="C69" s="195"/>
      <c r="D69" s="195"/>
      <c r="E69" s="195"/>
      <c r="F69" s="195"/>
      <c r="G69" s="195"/>
      <c r="H69" s="195">
        <v>150</v>
      </c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>
        <v>137</v>
      </c>
      <c r="AI69" s="195">
        <v>553</v>
      </c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5"/>
      <c r="BE69" s="195"/>
      <c r="BF69" s="195"/>
      <c r="BG69" s="195"/>
      <c r="BH69" s="195"/>
      <c r="BI69" s="195">
        <v>570</v>
      </c>
      <c r="BJ69" s="195"/>
      <c r="BK69" s="195"/>
      <c r="BL69" s="195"/>
      <c r="BM69" s="195"/>
      <c r="BN69" s="195"/>
      <c r="BO69" s="195"/>
      <c r="BP69" s="195"/>
      <c r="BQ69" s="195"/>
      <c r="BR69" s="195"/>
      <c r="BS69" s="196"/>
      <c r="BT69" s="197">
        <f t="shared" si="1"/>
        <v>1410</v>
      </c>
    </row>
    <row r="70" spans="1:72" ht="15">
      <c r="A70" s="194" t="s">
        <v>16</v>
      </c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>
        <v>850</v>
      </c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  <c r="BE70" s="195"/>
      <c r="BF70" s="195">
        <v>950</v>
      </c>
      <c r="BG70" s="195"/>
      <c r="BH70" s="195"/>
      <c r="BI70" s="195"/>
      <c r="BJ70" s="195"/>
      <c r="BK70" s="195"/>
      <c r="BL70" s="195"/>
      <c r="BM70" s="195"/>
      <c r="BN70" s="195"/>
      <c r="BO70" s="195"/>
      <c r="BP70" s="195"/>
      <c r="BQ70" s="195"/>
      <c r="BR70" s="195"/>
      <c r="BS70" s="196"/>
      <c r="BT70" s="197">
        <f t="shared" si="1"/>
        <v>1800</v>
      </c>
    </row>
    <row r="71" spans="1:72" ht="15">
      <c r="A71" s="194" t="s">
        <v>17</v>
      </c>
      <c r="B71" s="195"/>
      <c r="C71" s="195"/>
      <c r="D71" s="195"/>
      <c r="E71" s="195"/>
      <c r="F71" s="195"/>
      <c r="G71" s="195"/>
      <c r="H71" s="195">
        <v>450</v>
      </c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  <c r="BE71" s="195"/>
      <c r="BF71" s="195">
        <v>150</v>
      </c>
      <c r="BG71" s="195"/>
      <c r="BH71" s="195"/>
      <c r="BI71" s="195"/>
      <c r="BJ71" s="195"/>
      <c r="BK71" s="195"/>
      <c r="BL71" s="195"/>
      <c r="BM71" s="195"/>
      <c r="BN71" s="195"/>
      <c r="BO71" s="195"/>
      <c r="BP71" s="195"/>
      <c r="BQ71" s="195"/>
      <c r="BR71" s="195"/>
      <c r="BS71" s="196"/>
      <c r="BT71" s="197">
        <f t="shared" si="1"/>
        <v>600</v>
      </c>
    </row>
    <row r="72" spans="1:72" ht="15">
      <c r="A72" s="194" t="s">
        <v>609</v>
      </c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>
        <v>640</v>
      </c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>
        <v>48</v>
      </c>
      <c r="AI72" s="195"/>
      <c r="AJ72" s="195"/>
      <c r="AK72" s="195">
        <v>16</v>
      </c>
      <c r="AL72" s="195"/>
      <c r="AM72" s="195"/>
      <c r="AN72" s="195"/>
      <c r="AO72" s="195"/>
      <c r="AP72" s="195"/>
      <c r="AQ72" s="195"/>
      <c r="AR72" s="195">
        <v>800</v>
      </c>
      <c r="AS72" s="195"/>
      <c r="AT72" s="195">
        <v>432</v>
      </c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  <c r="BF72" s="195"/>
      <c r="BG72" s="195"/>
      <c r="BH72" s="195"/>
      <c r="BI72" s="195"/>
      <c r="BJ72" s="195"/>
      <c r="BK72" s="195"/>
      <c r="BL72" s="195"/>
      <c r="BM72" s="195"/>
      <c r="BN72" s="195"/>
      <c r="BO72" s="195"/>
      <c r="BP72" s="195"/>
      <c r="BQ72" s="195"/>
      <c r="BR72" s="195"/>
      <c r="BS72" s="196"/>
      <c r="BT72" s="197">
        <f t="shared" si="1"/>
        <v>1936</v>
      </c>
    </row>
    <row r="73" spans="1:72" ht="15">
      <c r="A73" s="194" t="s">
        <v>611</v>
      </c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>
        <v>460</v>
      </c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  <c r="BE73" s="195"/>
      <c r="BF73" s="195"/>
      <c r="BG73" s="195"/>
      <c r="BH73" s="195"/>
      <c r="BI73" s="195"/>
      <c r="BJ73" s="195"/>
      <c r="BK73" s="195"/>
      <c r="BL73" s="195"/>
      <c r="BM73" s="195"/>
      <c r="BN73" s="195"/>
      <c r="BO73" s="195"/>
      <c r="BP73" s="195"/>
      <c r="BQ73" s="195"/>
      <c r="BR73" s="195"/>
      <c r="BS73" s="196"/>
      <c r="BT73" s="197">
        <f t="shared" si="1"/>
        <v>460</v>
      </c>
    </row>
    <row r="74" spans="1:72" ht="15">
      <c r="A74" s="194" t="s">
        <v>618</v>
      </c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>
        <v>559</v>
      </c>
      <c r="X74" s="195"/>
      <c r="Y74" s="195">
        <v>181</v>
      </c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  <c r="BE74" s="195"/>
      <c r="BF74" s="195"/>
      <c r="BG74" s="195"/>
      <c r="BH74" s="195"/>
      <c r="BI74" s="195"/>
      <c r="BJ74" s="195"/>
      <c r="BK74" s="195"/>
      <c r="BL74" s="195"/>
      <c r="BM74" s="195"/>
      <c r="BN74" s="195"/>
      <c r="BO74" s="195"/>
      <c r="BP74" s="195"/>
      <c r="BQ74" s="195"/>
      <c r="BR74" s="195"/>
      <c r="BS74" s="196"/>
      <c r="BT74" s="197">
        <f t="shared" si="1"/>
        <v>740</v>
      </c>
    </row>
    <row r="75" spans="1:72" ht="15">
      <c r="A75" s="194" t="s">
        <v>710</v>
      </c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>
        <v>615</v>
      </c>
      <c r="BC75" s="195"/>
      <c r="BD75" s="195"/>
      <c r="BE75" s="195"/>
      <c r="BF75" s="195"/>
      <c r="BG75" s="195"/>
      <c r="BH75" s="195"/>
      <c r="BI75" s="195"/>
      <c r="BJ75" s="195"/>
      <c r="BK75" s="195"/>
      <c r="BL75" s="195"/>
      <c r="BM75" s="195"/>
      <c r="BN75" s="195"/>
      <c r="BO75" s="195"/>
      <c r="BP75" s="195"/>
      <c r="BQ75" s="195"/>
      <c r="BR75" s="195"/>
      <c r="BS75" s="196"/>
      <c r="BT75" s="197">
        <f t="shared" si="1"/>
        <v>615</v>
      </c>
    </row>
    <row r="76" spans="1:72" ht="15">
      <c r="A76" s="194" t="s">
        <v>27</v>
      </c>
      <c r="B76" s="195"/>
      <c r="C76" s="195"/>
      <c r="D76" s="195"/>
      <c r="E76" s="195"/>
      <c r="F76" s="195">
        <v>9</v>
      </c>
      <c r="G76" s="195">
        <v>591</v>
      </c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/>
      <c r="BD76" s="195"/>
      <c r="BE76" s="195"/>
      <c r="BF76" s="195">
        <v>200</v>
      </c>
      <c r="BG76" s="195"/>
      <c r="BH76" s="195"/>
      <c r="BI76" s="195"/>
      <c r="BJ76" s="195"/>
      <c r="BK76" s="195"/>
      <c r="BL76" s="195"/>
      <c r="BM76" s="195"/>
      <c r="BN76" s="195"/>
      <c r="BO76" s="195"/>
      <c r="BP76" s="195"/>
      <c r="BQ76" s="195"/>
      <c r="BR76" s="195"/>
      <c r="BS76" s="196"/>
      <c r="BT76" s="197">
        <f t="shared" si="1"/>
        <v>800</v>
      </c>
    </row>
    <row r="77" spans="1:72" ht="15">
      <c r="A77" s="194" t="s">
        <v>708</v>
      </c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>
        <v>430</v>
      </c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195"/>
      <c r="BC77" s="195"/>
      <c r="BD77" s="195"/>
      <c r="BE77" s="195"/>
      <c r="BF77" s="195"/>
      <c r="BG77" s="195"/>
      <c r="BH77" s="195"/>
      <c r="BI77" s="195"/>
      <c r="BJ77" s="195"/>
      <c r="BK77" s="195"/>
      <c r="BL77" s="195"/>
      <c r="BM77" s="195"/>
      <c r="BN77" s="195"/>
      <c r="BO77" s="195"/>
      <c r="BP77" s="195"/>
      <c r="BQ77" s="195"/>
      <c r="BR77" s="195"/>
      <c r="BS77" s="196"/>
      <c r="BT77" s="197">
        <f t="shared" si="1"/>
        <v>430</v>
      </c>
    </row>
    <row r="78" spans="1:72" ht="15">
      <c r="A78" s="194" t="s">
        <v>260</v>
      </c>
      <c r="B78" s="195"/>
      <c r="C78" s="195"/>
      <c r="D78" s="195"/>
      <c r="E78" s="195"/>
      <c r="F78" s="195"/>
      <c r="G78" s="195">
        <v>47</v>
      </c>
      <c r="H78" s="195">
        <v>396</v>
      </c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195"/>
      <c r="AY78" s="195">
        <v>600</v>
      </c>
      <c r="AZ78" s="195"/>
      <c r="BA78" s="195"/>
      <c r="BB78" s="195"/>
      <c r="BC78" s="195"/>
      <c r="BD78" s="195"/>
      <c r="BE78" s="195"/>
      <c r="BF78" s="195"/>
      <c r="BG78" s="195"/>
      <c r="BH78" s="195"/>
      <c r="BI78" s="195"/>
      <c r="BJ78" s="195"/>
      <c r="BK78" s="195"/>
      <c r="BL78" s="195"/>
      <c r="BM78" s="195"/>
      <c r="BN78" s="195"/>
      <c r="BO78" s="195"/>
      <c r="BP78" s="195"/>
      <c r="BQ78" s="195"/>
      <c r="BR78" s="195"/>
      <c r="BS78" s="196"/>
      <c r="BT78" s="197">
        <f t="shared" si="1"/>
        <v>1043</v>
      </c>
    </row>
    <row r="79" spans="1:72" ht="15">
      <c r="A79" s="194" t="s">
        <v>986</v>
      </c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>
        <v>3</v>
      </c>
      <c r="AE79" s="195"/>
      <c r="AF79" s="195"/>
      <c r="AG79" s="195"/>
      <c r="AH79" s="195"/>
      <c r="AI79" s="195"/>
      <c r="AJ79" s="195">
        <v>2</v>
      </c>
      <c r="AK79" s="195"/>
      <c r="AL79" s="195"/>
      <c r="AM79" s="195"/>
      <c r="AN79" s="195"/>
      <c r="AO79" s="195"/>
      <c r="AP79" s="195"/>
      <c r="AQ79" s="195">
        <v>100</v>
      </c>
      <c r="AR79" s="195"/>
      <c r="AS79" s="195"/>
      <c r="AT79" s="195"/>
      <c r="AU79" s="195"/>
      <c r="AV79" s="195"/>
      <c r="AW79" s="195"/>
      <c r="AX79" s="195"/>
      <c r="AY79" s="195"/>
      <c r="AZ79" s="195"/>
      <c r="BA79" s="195"/>
      <c r="BB79" s="195"/>
      <c r="BC79" s="195"/>
      <c r="BD79" s="195"/>
      <c r="BE79" s="195"/>
      <c r="BF79" s="195"/>
      <c r="BG79" s="195"/>
      <c r="BH79" s="195"/>
      <c r="BI79" s="195"/>
      <c r="BJ79" s="195"/>
      <c r="BK79" s="195"/>
      <c r="BL79" s="195"/>
      <c r="BM79" s="195"/>
      <c r="BN79" s="195"/>
      <c r="BO79" s="195"/>
      <c r="BP79" s="195"/>
      <c r="BQ79" s="195"/>
      <c r="BR79" s="195"/>
      <c r="BS79" s="196"/>
      <c r="BT79" s="197">
        <f t="shared" si="1"/>
        <v>105</v>
      </c>
    </row>
    <row r="80" spans="1:72" ht="15">
      <c r="A80" s="194" t="s">
        <v>216</v>
      </c>
      <c r="B80" s="195"/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>
        <v>92</v>
      </c>
      <c r="T80" s="195">
        <v>244</v>
      </c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/>
      <c r="BD80" s="195"/>
      <c r="BE80" s="195"/>
      <c r="BF80" s="195"/>
      <c r="BG80" s="195"/>
      <c r="BH80" s="195"/>
      <c r="BI80" s="195"/>
      <c r="BJ80" s="195"/>
      <c r="BK80" s="195"/>
      <c r="BL80" s="195"/>
      <c r="BM80" s="195"/>
      <c r="BN80" s="195"/>
      <c r="BO80" s="195"/>
      <c r="BP80" s="195"/>
      <c r="BQ80" s="195"/>
      <c r="BR80" s="195"/>
      <c r="BS80" s="196"/>
      <c r="BT80" s="197">
        <f t="shared" si="1"/>
        <v>336</v>
      </c>
    </row>
    <row r="81" spans="1:72" ht="15">
      <c r="A81" s="194" t="s">
        <v>217</v>
      </c>
      <c r="B81" s="195"/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>
        <v>18</v>
      </c>
      <c r="N81" s="195"/>
      <c r="O81" s="195"/>
      <c r="P81" s="195"/>
      <c r="Q81" s="195"/>
      <c r="R81" s="195"/>
      <c r="S81" s="195">
        <v>92</v>
      </c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/>
      <c r="BD81" s="195"/>
      <c r="BE81" s="195"/>
      <c r="BF81" s="195"/>
      <c r="BG81" s="195"/>
      <c r="BH81" s="195"/>
      <c r="BI81" s="195"/>
      <c r="BJ81" s="195"/>
      <c r="BK81" s="195"/>
      <c r="BL81" s="195"/>
      <c r="BM81" s="195"/>
      <c r="BN81" s="195"/>
      <c r="BO81" s="195"/>
      <c r="BP81" s="195"/>
      <c r="BQ81" s="195"/>
      <c r="BR81" s="195"/>
      <c r="BS81" s="196"/>
      <c r="BT81" s="197">
        <f t="shared" si="1"/>
        <v>110</v>
      </c>
    </row>
    <row r="82" spans="1:72" ht="15">
      <c r="A82" s="194" t="s">
        <v>644</v>
      </c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>
        <v>100</v>
      </c>
      <c r="AL82" s="195"/>
      <c r="AM82" s="195">
        <v>220</v>
      </c>
      <c r="AN82" s="195">
        <v>260</v>
      </c>
      <c r="AO82" s="195">
        <v>300</v>
      </c>
      <c r="AP82" s="195">
        <v>310</v>
      </c>
      <c r="AQ82" s="195">
        <v>51</v>
      </c>
      <c r="AR82" s="195"/>
      <c r="AS82" s="195"/>
      <c r="AT82" s="195"/>
      <c r="AU82" s="195"/>
      <c r="AV82" s="195"/>
      <c r="AW82" s="195"/>
      <c r="AX82" s="195"/>
      <c r="AY82" s="195"/>
      <c r="AZ82" s="195"/>
      <c r="BA82" s="195"/>
      <c r="BB82" s="195"/>
      <c r="BC82" s="195"/>
      <c r="BD82" s="195"/>
      <c r="BE82" s="195"/>
      <c r="BF82" s="195"/>
      <c r="BG82" s="195"/>
      <c r="BH82" s="195"/>
      <c r="BI82" s="195"/>
      <c r="BJ82" s="195"/>
      <c r="BK82" s="195"/>
      <c r="BL82" s="195"/>
      <c r="BM82" s="195"/>
      <c r="BN82" s="195"/>
      <c r="BO82" s="195"/>
      <c r="BP82" s="195"/>
      <c r="BQ82" s="195"/>
      <c r="BR82" s="195"/>
      <c r="BS82" s="196"/>
      <c r="BT82" s="197">
        <f t="shared" si="1"/>
        <v>1241</v>
      </c>
    </row>
    <row r="83" spans="1:72" ht="15">
      <c r="A83" s="194" t="s">
        <v>218</v>
      </c>
      <c r="B83" s="195"/>
      <c r="C83" s="195"/>
      <c r="D83" s="195"/>
      <c r="E83" s="195"/>
      <c r="F83" s="195"/>
      <c r="G83" s="195"/>
      <c r="H83" s="195"/>
      <c r="I83" s="195"/>
      <c r="J83" s="195"/>
      <c r="K83" s="195">
        <v>108</v>
      </c>
      <c r="L83" s="195">
        <v>211</v>
      </c>
      <c r="M83" s="195">
        <v>121</v>
      </c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195"/>
      <c r="AY83" s="195"/>
      <c r="AZ83" s="195"/>
      <c r="BA83" s="195"/>
      <c r="BB83" s="195"/>
      <c r="BC83" s="195"/>
      <c r="BD83" s="195"/>
      <c r="BE83" s="195"/>
      <c r="BF83" s="195"/>
      <c r="BG83" s="195"/>
      <c r="BH83" s="195"/>
      <c r="BI83" s="195"/>
      <c r="BJ83" s="195"/>
      <c r="BK83" s="195"/>
      <c r="BL83" s="195"/>
      <c r="BM83" s="195"/>
      <c r="BN83" s="195"/>
      <c r="BO83" s="195"/>
      <c r="BP83" s="195"/>
      <c r="BQ83" s="195"/>
      <c r="BR83" s="195"/>
      <c r="BS83" s="196"/>
      <c r="BT83" s="197">
        <f t="shared" si="1"/>
        <v>440</v>
      </c>
    </row>
    <row r="84" spans="1:72" ht="15">
      <c r="A84" s="194" t="s">
        <v>643</v>
      </c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>
        <v>40</v>
      </c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195"/>
      <c r="AY84" s="195"/>
      <c r="AZ84" s="195"/>
      <c r="BA84" s="195"/>
      <c r="BB84" s="195"/>
      <c r="BC84" s="195"/>
      <c r="BD84" s="195"/>
      <c r="BE84" s="195"/>
      <c r="BF84" s="195"/>
      <c r="BG84" s="195"/>
      <c r="BH84" s="195"/>
      <c r="BI84" s="195"/>
      <c r="BJ84" s="195"/>
      <c r="BK84" s="195"/>
      <c r="BL84" s="195"/>
      <c r="BM84" s="195"/>
      <c r="BN84" s="195"/>
      <c r="BO84" s="195"/>
      <c r="BP84" s="195"/>
      <c r="BQ84" s="195"/>
      <c r="BR84" s="195"/>
      <c r="BS84" s="196"/>
      <c r="BT84" s="197">
        <f t="shared" si="1"/>
        <v>40</v>
      </c>
    </row>
    <row r="85" spans="1:72" ht="15">
      <c r="A85" s="194" t="s">
        <v>645</v>
      </c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>
        <v>6</v>
      </c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195"/>
      <c r="AY85" s="195"/>
      <c r="AZ85" s="195"/>
      <c r="BA85" s="195"/>
      <c r="BB85" s="195"/>
      <c r="BC85" s="195"/>
      <c r="BD85" s="195"/>
      <c r="BE85" s="195"/>
      <c r="BF85" s="195"/>
      <c r="BG85" s="195"/>
      <c r="BH85" s="195"/>
      <c r="BI85" s="195"/>
      <c r="BJ85" s="195"/>
      <c r="BK85" s="195"/>
      <c r="BL85" s="195"/>
      <c r="BM85" s="195"/>
      <c r="BN85" s="195"/>
      <c r="BO85" s="195"/>
      <c r="BP85" s="195"/>
      <c r="BQ85" s="195"/>
      <c r="BR85" s="195"/>
      <c r="BS85" s="196"/>
      <c r="BT85" s="197">
        <f t="shared" si="1"/>
        <v>6</v>
      </c>
    </row>
    <row r="86" spans="1:72" ht="15">
      <c r="A86" s="194" t="s">
        <v>1339</v>
      </c>
      <c r="B86" s="195"/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195"/>
      <c r="AY86" s="195"/>
      <c r="AZ86" s="195"/>
      <c r="BA86" s="195"/>
      <c r="BB86" s="195"/>
      <c r="BC86" s="195"/>
      <c r="BD86" s="195"/>
      <c r="BE86" s="195"/>
      <c r="BF86" s="195"/>
      <c r="BG86" s="195"/>
      <c r="BH86" s="195"/>
      <c r="BI86" s="195"/>
      <c r="BJ86" s="195"/>
      <c r="BK86" s="195"/>
      <c r="BL86" s="195"/>
      <c r="BM86" s="195"/>
      <c r="BN86" s="195"/>
      <c r="BO86" s="195"/>
      <c r="BP86" s="195"/>
      <c r="BQ86" s="195"/>
      <c r="BR86" s="195"/>
      <c r="BS86" s="196"/>
      <c r="BT86" s="197">
        <f t="shared" si="1"/>
        <v>0</v>
      </c>
    </row>
    <row r="87" spans="1:72" ht="15">
      <c r="A87" s="194" t="s">
        <v>249</v>
      </c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>
        <v>25</v>
      </c>
      <c r="S87" s="195">
        <v>183</v>
      </c>
      <c r="T87" s="195">
        <v>112</v>
      </c>
      <c r="U87" s="195"/>
      <c r="V87" s="195"/>
      <c r="W87" s="195"/>
      <c r="X87" s="195"/>
      <c r="Y87" s="195"/>
      <c r="Z87" s="195"/>
      <c r="AA87" s="195">
        <v>49</v>
      </c>
      <c r="AB87" s="195">
        <v>241</v>
      </c>
      <c r="AC87" s="195">
        <v>254</v>
      </c>
      <c r="AD87" s="195">
        <v>136</v>
      </c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195"/>
      <c r="AY87" s="195"/>
      <c r="AZ87" s="195"/>
      <c r="BA87" s="195"/>
      <c r="BB87" s="195"/>
      <c r="BC87" s="195"/>
      <c r="BD87" s="195"/>
      <c r="BE87" s="195"/>
      <c r="BF87" s="195"/>
      <c r="BG87" s="195"/>
      <c r="BH87" s="195"/>
      <c r="BI87" s="195"/>
      <c r="BJ87" s="195"/>
      <c r="BK87" s="195"/>
      <c r="BL87" s="195"/>
      <c r="BM87" s="195"/>
      <c r="BN87" s="195"/>
      <c r="BO87" s="195"/>
      <c r="BP87" s="195"/>
      <c r="BQ87" s="195"/>
      <c r="BR87" s="195"/>
      <c r="BS87" s="196"/>
      <c r="BT87" s="197">
        <f t="shared" si="1"/>
        <v>1000</v>
      </c>
    </row>
    <row r="88" spans="1:72" ht="15">
      <c r="A88" s="194" t="s">
        <v>1156</v>
      </c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>
        <v>56</v>
      </c>
      <c r="AE88" s="195"/>
      <c r="AF88" s="195">
        <v>285</v>
      </c>
      <c r="AG88" s="195">
        <v>325</v>
      </c>
      <c r="AH88" s="195">
        <v>282</v>
      </c>
      <c r="AI88" s="195">
        <v>52</v>
      </c>
      <c r="AJ88" s="195"/>
      <c r="AK88" s="195"/>
      <c r="AL88" s="195"/>
      <c r="AM88" s="195"/>
      <c r="AN88" s="195"/>
      <c r="AO88" s="195"/>
      <c r="AP88" s="195"/>
      <c r="AQ88" s="195">
        <v>200</v>
      </c>
      <c r="AR88" s="195">
        <v>400</v>
      </c>
      <c r="AS88" s="195"/>
      <c r="AT88" s="195">
        <v>400</v>
      </c>
      <c r="AU88" s="195">
        <v>400</v>
      </c>
      <c r="AV88" s="195">
        <v>600</v>
      </c>
      <c r="AW88" s="195">
        <v>600</v>
      </c>
      <c r="AX88" s="195">
        <v>600</v>
      </c>
      <c r="AY88" s="195">
        <v>700</v>
      </c>
      <c r="AZ88" s="195"/>
      <c r="BA88" s="195">
        <v>400</v>
      </c>
      <c r="BB88" s="195">
        <v>400</v>
      </c>
      <c r="BC88" s="195">
        <v>400</v>
      </c>
      <c r="BD88" s="195">
        <v>500</v>
      </c>
      <c r="BE88" s="195">
        <v>800</v>
      </c>
      <c r="BF88" s="195">
        <v>500</v>
      </c>
      <c r="BG88" s="195"/>
      <c r="BH88" s="195">
        <v>400</v>
      </c>
      <c r="BI88" s="195">
        <v>400</v>
      </c>
      <c r="BJ88" s="195">
        <v>290</v>
      </c>
      <c r="BK88" s="195"/>
      <c r="BL88" s="195"/>
      <c r="BM88" s="195"/>
      <c r="BN88" s="195"/>
      <c r="BO88" s="195"/>
      <c r="BP88" s="195"/>
      <c r="BQ88" s="195"/>
      <c r="BR88" s="195"/>
      <c r="BS88" s="196"/>
      <c r="BT88" s="197">
        <f t="shared" si="1"/>
        <v>8990</v>
      </c>
    </row>
    <row r="89" spans="1:72" ht="15">
      <c r="A89" s="194" t="s">
        <v>634</v>
      </c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>
        <v>197</v>
      </c>
      <c r="M89" s="195">
        <v>301</v>
      </c>
      <c r="N89" s="195">
        <v>309</v>
      </c>
      <c r="O89" s="195">
        <v>223</v>
      </c>
      <c r="P89" s="195">
        <v>27</v>
      </c>
      <c r="Q89" s="195"/>
      <c r="R89" s="195">
        <v>341</v>
      </c>
      <c r="S89" s="195">
        <v>359</v>
      </c>
      <c r="T89" s="195">
        <v>400</v>
      </c>
      <c r="U89" s="195">
        <v>400</v>
      </c>
      <c r="V89" s="195">
        <v>354</v>
      </c>
      <c r="W89" s="195">
        <v>122</v>
      </c>
      <c r="X89" s="195"/>
      <c r="Y89" s="195">
        <v>324</v>
      </c>
      <c r="Z89" s="195">
        <v>304</v>
      </c>
      <c r="AA89" s="195">
        <v>339</v>
      </c>
      <c r="AB89" s="195">
        <v>294</v>
      </c>
      <c r="AC89" s="195">
        <v>307</v>
      </c>
      <c r="AD89" s="195">
        <v>409</v>
      </c>
      <c r="AE89" s="195"/>
      <c r="AF89" s="195">
        <v>24</v>
      </c>
      <c r="AG89" s="195">
        <v>388</v>
      </c>
      <c r="AH89" s="195">
        <v>458</v>
      </c>
      <c r="AI89" s="195">
        <v>406</v>
      </c>
      <c r="AJ89" s="195">
        <v>400</v>
      </c>
      <c r="AK89" s="195">
        <v>354</v>
      </c>
      <c r="AL89" s="195"/>
      <c r="AM89" s="195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195"/>
      <c r="AY89" s="195">
        <v>400</v>
      </c>
      <c r="AZ89" s="195"/>
      <c r="BA89" s="195">
        <v>400</v>
      </c>
      <c r="BB89" s="195">
        <v>400</v>
      </c>
      <c r="BC89" s="195">
        <v>400</v>
      </c>
      <c r="BD89" s="195">
        <v>400</v>
      </c>
      <c r="BE89" s="195"/>
      <c r="BF89" s="195"/>
      <c r="BG89" s="195"/>
      <c r="BH89" s="195"/>
      <c r="BI89" s="195"/>
      <c r="BJ89" s="195"/>
      <c r="BK89" s="195"/>
      <c r="BL89" s="195"/>
      <c r="BM89" s="195"/>
      <c r="BN89" s="195"/>
      <c r="BO89" s="195"/>
      <c r="BP89" s="195"/>
      <c r="BQ89" s="195"/>
      <c r="BR89" s="195"/>
      <c r="BS89" s="196"/>
      <c r="BT89" s="197">
        <f t="shared" si="1"/>
        <v>9040</v>
      </c>
    </row>
    <row r="90" spans="1:72" ht="15">
      <c r="A90" s="194" t="s">
        <v>635</v>
      </c>
      <c r="B90" s="195"/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195"/>
      <c r="AY90" s="195"/>
      <c r="AZ90" s="195"/>
      <c r="BA90" s="195"/>
      <c r="BB90" s="195"/>
      <c r="BC90" s="195"/>
      <c r="BD90" s="195">
        <v>200</v>
      </c>
      <c r="BE90" s="195"/>
      <c r="BF90" s="195"/>
      <c r="BG90" s="195"/>
      <c r="BH90" s="195"/>
      <c r="BI90" s="195"/>
      <c r="BJ90" s="195"/>
      <c r="BK90" s="195"/>
      <c r="BL90" s="195"/>
      <c r="BM90" s="195"/>
      <c r="BN90" s="195"/>
      <c r="BO90" s="195"/>
      <c r="BP90" s="195"/>
      <c r="BQ90" s="195"/>
      <c r="BR90" s="195"/>
      <c r="BS90" s="196"/>
      <c r="BT90" s="197">
        <f t="shared" si="1"/>
        <v>200</v>
      </c>
    </row>
    <row r="91" spans="1:72" ht="15">
      <c r="A91" s="194" t="s">
        <v>668</v>
      </c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>
        <v>8</v>
      </c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195"/>
      <c r="AY91" s="195"/>
      <c r="AZ91" s="195"/>
      <c r="BA91" s="195"/>
      <c r="BB91" s="195"/>
      <c r="BC91" s="195"/>
      <c r="BD91" s="195"/>
      <c r="BE91" s="195"/>
      <c r="BF91" s="195"/>
      <c r="BG91" s="195"/>
      <c r="BH91" s="195"/>
      <c r="BI91" s="195"/>
      <c r="BJ91" s="195"/>
      <c r="BK91" s="195"/>
      <c r="BL91" s="195"/>
      <c r="BM91" s="195"/>
      <c r="BN91" s="195"/>
      <c r="BO91" s="195"/>
      <c r="BP91" s="195"/>
      <c r="BQ91" s="195"/>
      <c r="BR91" s="195"/>
      <c r="BS91" s="196"/>
      <c r="BT91" s="197">
        <f t="shared" si="1"/>
        <v>8</v>
      </c>
    </row>
    <row r="92" spans="1:72" ht="15">
      <c r="A92" s="194" t="s">
        <v>242</v>
      </c>
      <c r="B92" s="195"/>
      <c r="C92" s="195"/>
      <c r="D92" s="195"/>
      <c r="E92" s="195"/>
      <c r="F92" s="195"/>
      <c r="G92" s="195"/>
      <c r="H92" s="195"/>
      <c r="I92" s="195"/>
      <c r="J92" s="195"/>
      <c r="K92" s="195">
        <v>316</v>
      </c>
      <c r="L92" s="195">
        <v>363</v>
      </c>
      <c r="M92" s="195">
        <v>155</v>
      </c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>
        <v>580</v>
      </c>
      <c r="AS92" s="195"/>
      <c r="AT92" s="195">
        <v>400</v>
      </c>
      <c r="AU92" s="195">
        <v>418</v>
      </c>
      <c r="AV92" s="195"/>
      <c r="AW92" s="195"/>
      <c r="AX92" s="195"/>
      <c r="AY92" s="195"/>
      <c r="AZ92" s="195"/>
      <c r="BA92" s="195"/>
      <c r="BB92" s="195"/>
      <c r="BC92" s="195"/>
      <c r="BD92" s="195"/>
      <c r="BE92" s="195"/>
      <c r="BF92" s="195"/>
      <c r="BG92" s="195"/>
      <c r="BH92" s="195"/>
      <c r="BI92" s="195"/>
      <c r="BJ92" s="195"/>
      <c r="BK92" s="195"/>
      <c r="BL92" s="195"/>
      <c r="BM92" s="195"/>
      <c r="BN92" s="195"/>
      <c r="BO92" s="195"/>
      <c r="BP92" s="195"/>
      <c r="BQ92" s="195"/>
      <c r="BR92" s="195"/>
      <c r="BS92" s="196">
        <v>516</v>
      </c>
      <c r="BT92" s="197">
        <f t="shared" si="1"/>
        <v>2748</v>
      </c>
    </row>
    <row r="93" spans="1:72" ht="15">
      <c r="A93" s="194" t="s">
        <v>253</v>
      </c>
      <c r="B93" s="195"/>
      <c r="C93" s="195"/>
      <c r="D93" s="195"/>
      <c r="E93" s="195">
        <v>223</v>
      </c>
      <c r="F93" s="195">
        <v>177</v>
      </c>
      <c r="G93" s="195"/>
      <c r="H93" s="195"/>
      <c r="I93" s="195"/>
      <c r="J93" s="195"/>
      <c r="K93" s="195">
        <v>30</v>
      </c>
      <c r="L93" s="195"/>
      <c r="M93" s="195"/>
      <c r="N93" s="195"/>
      <c r="O93" s="195"/>
      <c r="P93" s="195"/>
      <c r="Q93" s="195"/>
      <c r="R93" s="195"/>
      <c r="S93" s="195"/>
      <c r="T93" s="195">
        <v>46</v>
      </c>
      <c r="U93" s="195">
        <v>188</v>
      </c>
      <c r="V93" s="195">
        <v>143</v>
      </c>
      <c r="W93" s="195">
        <v>123</v>
      </c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>
        <v>20</v>
      </c>
      <c r="AJ93" s="195"/>
      <c r="AK93" s="195"/>
      <c r="AL93" s="195"/>
      <c r="AM93" s="195"/>
      <c r="AN93" s="195">
        <v>223</v>
      </c>
      <c r="AO93" s="195">
        <v>250</v>
      </c>
      <c r="AP93" s="195">
        <v>250</v>
      </c>
      <c r="AQ93" s="195">
        <v>137</v>
      </c>
      <c r="AR93" s="195"/>
      <c r="AS93" s="195"/>
      <c r="AT93" s="195"/>
      <c r="AU93" s="195"/>
      <c r="AV93" s="195"/>
      <c r="AW93" s="195"/>
      <c r="AX93" s="195"/>
      <c r="AY93" s="195"/>
      <c r="AZ93" s="195"/>
      <c r="BA93" s="195"/>
      <c r="BB93" s="195"/>
      <c r="BC93" s="195"/>
      <c r="BD93" s="195"/>
      <c r="BE93" s="195"/>
      <c r="BF93" s="195"/>
      <c r="BG93" s="195"/>
      <c r="BH93" s="195"/>
      <c r="BI93" s="195"/>
      <c r="BJ93" s="195"/>
      <c r="BK93" s="195"/>
      <c r="BL93" s="195"/>
      <c r="BM93" s="195"/>
      <c r="BN93" s="195"/>
      <c r="BO93" s="195"/>
      <c r="BP93" s="195"/>
      <c r="BQ93" s="195"/>
      <c r="BR93" s="195"/>
      <c r="BS93" s="196"/>
      <c r="BT93" s="197">
        <f t="shared" si="1"/>
        <v>1810</v>
      </c>
    </row>
    <row r="94" spans="1:72" ht="15">
      <c r="A94" s="194" t="s">
        <v>251</v>
      </c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195"/>
      <c r="AY94" s="195"/>
      <c r="AZ94" s="195"/>
      <c r="BA94" s="195">
        <v>250</v>
      </c>
      <c r="BB94" s="195">
        <v>250</v>
      </c>
      <c r="BC94" s="195">
        <v>250</v>
      </c>
      <c r="BD94" s="195">
        <v>210</v>
      </c>
      <c r="BE94" s="195"/>
      <c r="BF94" s="195"/>
      <c r="BG94" s="195"/>
      <c r="BH94" s="195"/>
      <c r="BI94" s="195"/>
      <c r="BJ94" s="195"/>
      <c r="BK94" s="195"/>
      <c r="BL94" s="195"/>
      <c r="BM94" s="195"/>
      <c r="BN94" s="195"/>
      <c r="BO94" s="195"/>
      <c r="BP94" s="195"/>
      <c r="BQ94" s="195"/>
      <c r="BR94" s="195"/>
      <c r="BS94" s="196"/>
      <c r="BT94" s="197">
        <f t="shared" si="1"/>
        <v>960</v>
      </c>
    </row>
    <row r="95" spans="1:72" ht="15">
      <c r="A95" s="194" t="s">
        <v>863</v>
      </c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>
        <v>130</v>
      </c>
      <c r="X95" s="195"/>
      <c r="Y95" s="195">
        <v>262</v>
      </c>
      <c r="Z95" s="195">
        <v>201</v>
      </c>
      <c r="AA95" s="195">
        <v>107</v>
      </c>
      <c r="AB95" s="195"/>
      <c r="AC95" s="195"/>
      <c r="AD95" s="195"/>
      <c r="AE95" s="195"/>
      <c r="AF95" s="195"/>
      <c r="AG95" s="195"/>
      <c r="AH95" s="195"/>
      <c r="AI95" s="195">
        <v>61</v>
      </c>
      <c r="AJ95" s="195">
        <v>250</v>
      </c>
      <c r="AK95" s="195">
        <v>250</v>
      </c>
      <c r="AL95" s="195"/>
      <c r="AM95" s="195">
        <v>250</v>
      </c>
      <c r="AN95" s="195">
        <v>27</v>
      </c>
      <c r="AO95" s="195"/>
      <c r="AP95" s="195"/>
      <c r="AQ95" s="195"/>
      <c r="AR95" s="195"/>
      <c r="AS95" s="195"/>
      <c r="AT95" s="195"/>
      <c r="AU95" s="195"/>
      <c r="AV95" s="195"/>
      <c r="AW95" s="195"/>
      <c r="AX95" s="195"/>
      <c r="AY95" s="195"/>
      <c r="AZ95" s="195"/>
      <c r="BA95" s="195"/>
      <c r="BB95" s="195"/>
      <c r="BC95" s="195"/>
      <c r="BD95" s="195">
        <v>40</v>
      </c>
      <c r="BE95" s="195">
        <v>250</v>
      </c>
      <c r="BF95" s="195">
        <v>250</v>
      </c>
      <c r="BG95" s="195"/>
      <c r="BH95" s="195">
        <v>360</v>
      </c>
      <c r="BI95" s="195"/>
      <c r="BJ95" s="195"/>
      <c r="BK95" s="195"/>
      <c r="BL95" s="195"/>
      <c r="BM95" s="195"/>
      <c r="BN95" s="195"/>
      <c r="BO95" s="195"/>
      <c r="BP95" s="195"/>
      <c r="BQ95" s="195"/>
      <c r="BR95" s="195"/>
      <c r="BS95" s="196"/>
      <c r="BT95" s="197">
        <f t="shared" si="1"/>
        <v>2438</v>
      </c>
    </row>
    <row r="96" spans="1:72" ht="15">
      <c r="A96" s="194" t="s">
        <v>622</v>
      </c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>
        <v>107</v>
      </c>
      <c r="P96" s="195">
        <v>145</v>
      </c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195"/>
      <c r="AY96" s="195">
        <v>10</v>
      </c>
      <c r="AZ96" s="195"/>
      <c r="BA96" s="195"/>
      <c r="BB96" s="195"/>
      <c r="BC96" s="195"/>
      <c r="BD96" s="195"/>
      <c r="BE96" s="195"/>
      <c r="BF96" s="195"/>
      <c r="BG96" s="195"/>
      <c r="BH96" s="195"/>
      <c r="BI96" s="195"/>
      <c r="BJ96" s="195"/>
      <c r="BK96" s="195"/>
      <c r="BL96" s="195"/>
      <c r="BM96" s="195">
        <v>300</v>
      </c>
      <c r="BN96" s="195"/>
      <c r="BO96" s="195"/>
      <c r="BP96" s="195"/>
      <c r="BQ96" s="195"/>
      <c r="BR96" s="195"/>
      <c r="BS96" s="196"/>
      <c r="BT96" s="197">
        <f t="shared" si="1"/>
        <v>562</v>
      </c>
    </row>
    <row r="97" spans="1:72" ht="15">
      <c r="A97" s="194" t="s">
        <v>672</v>
      </c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>
        <v>3</v>
      </c>
      <c r="Q97" s="195"/>
      <c r="R97" s="195">
        <v>75</v>
      </c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195"/>
      <c r="AY97" s="195">
        <v>300</v>
      </c>
      <c r="AZ97" s="195"/>
      <c r="BA97" s="195"/>
      <c r="BB97" s="195"/>
      <c r="BC97" s="195"/>
      <c r="BD97" s="195"/>
      <c r="BE97" s="195"/>
      <c r="BF97" s="195"/>
      <c r="BG97" s="195"/>
      <c r="BH97" s="195"/>
      <c r="BI97" s="195"/>
      <c r="BJ97" s="195"/>
      <c r="BK97" s="195"/>
      <c r="BL97" s="195"/>
      <c r="BM97" s="195"/>
      <c r="BN97" s="195"/>
      <c r="BO97" s="195"/>
      <c r="BP97" s="195"/>
      <c r="BQ97" s="195"/>
      <c r="BR97" s="195"/>
      <c r="BS97" s="196"/>
      <c r="BT97" s="197">
        <f t="shared" si="1"/>
        <v>378</v>
      </c>
    </row>
    <row r="98" spans="1:72" ht="15">
      <c r="A98" s="194" t="s">
        <v>108</v>
      </c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>
        <v>25</v>
      </c>
      <c r="AS98" s="195"/>
      <c r="AT98" s="195"/>
      <c r="AU98" s="195"/>
      <c r="AV98" s="195"/>
      <c r="AW98" s="195"/>
      <c r="AX98" s="195"/>
      <c r="AY98" s="195"/>
      <c r="AZ98" s="195"/>
      <c r="BA98" s="195"/>
      <c r="BB98" s="195"/>
      <c r="BC98" s="195"/>
      <c r="BD98" s="195"/>
      <c r="BE98" s="195"/>
      <c r="BF98" s="195">
        <v>10</v>
      </c>
      <c r="BG98" s="195"/>
      <c r="BH98" s="195"/>
      <c r="BI98" s="195"/>
      <c r="BJ98" s="195"/>
      <c r="BK98" s="195"/>
      <c r="BL98" s="195"/>
      <c r="BM98" s="195">
        <v>15</v>
      </c>
      <c r="BN98" s="195"/>
      <c r="BO98" s="195"/>
      <c r="BP98" s="195"/>
      <c r="BQ98" s="195"/>
      <c r="BR98" s="195"/>
      <c r="BS98" s="196"/>
      <c r="BT98" s="197">
        <f t="shared" si="1"/>
        <v>50</v>
      </c>
    </row>
    <row r="99" spans="1:72" ht="15">
      <c r="A99" s="194" t="s">
        <v>114</v>
      </c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195"/>
      <c r="AY99" s="195"/>
      <c r="AZ99" s="195"/>
      <c r="BA99" s="195"/>
      <c r="BB99" s="195"/>
      <c r="BC99" s="195"/>
      <c r="BD99" s="195"/>
      <c r="BE99" s="195"/>
      <c r="BF99" s="195">
        <v>10</v>
      </c>
      <c r="BG99" s="195"/>
      <c r="BH99" s="195"/>
      <c r="BI99" s="195"/>
      <c r="BJ99" s="195"/>
      <c r="BK99" s="195"/>
      <c r="BL99" s="195"/>
      <c r="BM99" s="195">
        <v>5</v>
      </c>
      <c r="BN99" s="195"/>
      <c r="BO99" s="195"/>
      <c r="BP99" s="195"/>
      <c r="BQ99" s="195"/>
      <c r="BR99" s="195"/>
      <c r="BS99" s="196"/>
      <c r="BT99" s="197">
        <f t="shared" si="1"/>
        <v>15</v>
      </c>
    </row>
    <row r="100" spans="1:72" ht="15">
      <c r="A100" s="194" t="s">
        <v>105</v>
      </c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>
        <v>20</v>
      </c>
      <c r="AQ100" s="195"/>
      <c r="AR100" s="195">
        <v>15</v>
      </c>
      <c r="AS100" s="195"/>
      <c r="AT100" s="195"/>
      <c r="AU100" s="195"/>
      <c r="AV100" s="195"/>
      <c r="AW100" s="195"/>
      <c r="AX100" s="195"/>
      <c r="AY100" s="195">
        <v>20</v>
      </c>
      <c r="AZ100" s="195"/>
      <c r="BA100" s="195"/>
      <c r="BB100" s="195"/>
      <c r="BC100" s="195"/>
      <c r="BD100" s="195"/>
      <c r="BE100" s="195"/>
      <c r="BF100" s="195"/>
      <c r="BG100" s="195"/>
      <c r="BH100" s="195"/>
      <c r="BI100" s="195"/>
      <c r="BJ100" s="195"/>
      <c r="BK100" s="195"/>
      <c r="BL100" s="195"/>
      <c r="BM100" s="195">
        <v>5</v>
      </c>
      <c r="BN100" s="195"/>
      <c r="BO100" s="195"/>
      <c r="BP100" s="195"/>
      <c r="BQ100" s="195"/>
      <c r="BR100" s="195"/>
      <c r="BS100" s="196"/>
      <c r="BT100" s="197">
        <f t="shared" si="1"/>
        <v>60</v>
      </c>
    </row>
    <row r="101" spans="1:72" ht="15">
      <c r="A101" s="194" t="s">
        <v>110</v>
      </c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>
        <v>5</v>
      </c>
      <c r="AQ101" s="195"/>
      <c r="AR101" s="195"/>
      <c r="AS101" s="195"/>
      <c r="AT101" s="195"/>
      <c r="AU101" s="195"/>
      <c r="AV101" s="195"/>
      <c r="AW101" s="195"/>
      <c r="AX101" s="195"/>
      <c r="AY101" s="195">
        <v>5</v>
      </c>
      <c r="AZ101" s="195"/>
      <c r="BA101" s="195"/>
      <c r="BB101" s="195"/>
      <c r="BC101" s="195"/>
      <c r="BD101" s="195"/>
      <c r="BE101" s="195"/>
      <c r="BF101" s="195"/>
      <c r="BG101" s="195"/>
      <c r="BH101" s="195"/>
      <c r="BI101" s="195"/>
      <c r="BJ101" s="195"/>
      <c r="BK101" s="195"/>
      <c r="BL101" s="195"/>
      <c r="BM101" s="195"/>
      <c r="BN101" s="195"/>
      <c r="BO101" s="195"/>
      <c r="BP101" s="195"/>
      <c r="BQ101" s="195"/>
      <c r="BR101" s="195"/>
      <c r="BS101" s="196"/>
      <c r="BT101" s="197">
        <f t="shared" si="1"/>
        <v>10</v>
      </c>
    </row>
    <row r="102" spans="1:72" ht="15">
      <c r="A102" s="194" t="s">
        <v>107</v>
      </c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>
        <v>20</v>
      </c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195"/>
      <c r="AY102" s="195"/>
      <c r="AZ102" s="195"/>
      <c r="BA102" s="195"/>
      <c r="BB102" s="195"/>
      <c r="BC102" s="195"/>
      <c r="BD102" s="195"/>
      <c r="BE102" s="195"/>
      <c r="BF102" s="195"/>
      <c r="BG102" s="195"/>
      <c r="BH102" s="195"/>
      <c r="BI102" s="195"/>
      <c r="BJ102" s="195"/>
      <c r="BK102" s="195"/>
      <c r="BL102" s="195"/>
      <c r="BM102" s="195"/>
      <c r="BN102" s="195"/>
      <c r="BO102" s="195"/>
      <c r="BP102" s="195"/>
      <c r="BQ102" s="195"/>
      <c r="BR102" s="195"/>
      <c r="BS102" s="196"/>
      <c r="BT102" s="197">
        <f t="shared" si="1"/>
        <v>20</v>
      </c>
    </row>
    <row r="103" spans="1:72" ht="15">
      <c r="A103" s="194" t="s">
        <v>117</v>
      </c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195"/>
      <c r="AY103" s="195"/>
      <c r="AZ103" s="195"/>
      <c r="BA103" s="195"/>
      <c r="BB103" s="195"/>
      <c r="BC103" s="195"/>
      <c r="BD103" s="195"/>
      <c r="BE103" s="195"/>
      <c r="BF103" s="195"/>
      <c r="BG103" s="195"/>
      <c r="BH103" s="195"/>
      <c r="BI103" s="195"/>
      <c r="BJ103" s="195"/>
      <c r="BK103" s="195"/>
      <c r="BL103" s="195"/>
      <c r="BM103" s="195">
        <v>5</v>
      </c>
      <c r="BN103" s="195"/>
      <c r="BO103" s="195"/>
      <c r="BP103" s="195"/>
      <c r="BQ103" s="195"/>
      <c r="BR103" s="195"/>
      <c r="BS103" s="196"/>
      <c r="BT103" s="197">
        <f t="shared" si="1"/>
        <v>5</v>
      </c>
    </row>
    <row r="104" spans="1:72" ht="15">
      <c r="A104" s="194" t="s">
        <v>94</v>
      </c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195"/>
      <c r="AY104" s="195">
        <v>100</v>
      </c>
      <c r="AZ104" s="195"/>
      <c r="BA104" s="195"/>
      <c r="BB104" s="195"/>
      <c r="BC104" s="195"/>
      <c r="BD104" s="195"/>
      <c r="BE104" s="195"/>
      <c r="BF104" s="195">
        <v>200</v>
      </c>
      <c r="BG104" s="195"/>
      <c r="BH104" s="195"/>
      <c r="BI104" s="195"/>
      <c r="BJ104" s="195"/>
      <c r="BK104" s="195"/>
      <c r="BL104" s="195"/>
      <c r="BM104" s="195"/>
      <c r="BN104" s="195"/>
      <c r="BO104" s="195"/>
      <c r="BP104" s="195"/>
      <c r="BQ104" s="195"/>
      <c r="BR104" s="195"/>
      <c r="BS104" s="196"/>
      <c r="BT104" s="197">
        <f t="shared" si="1"/>
        <v>300</v>
      </c>
    </row>
    <row r="105" spans="1:72" ht="15">
      <c r="A105" s="194" t="s">
        <v>95</v>
      </c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195"/>
      <c r="AY105" s="195"/>
      <c r="AZ105" s="195"/>
      <c r="BA105" s="195"/>
      <c r="BB105" s="195"/>
      <c r="BC105" s="195"/>
      <c r="BD105" s="195"/>
      <c r="BE105" s="195"/>
      <c r="BF105" s="195">
        <v>173</v>
      </c>
      <c r="BG105" s="195"/>
      <c r="BH105" s="195"/>
      <c r="BI105" s="195"/>
      <c r="BJ105" s="195"/>
      <c r="BK105" s="195"/>
      <c r="BL105" s="195"/>
      <c r="BM105" s="195"/>
      <c r="BN105" s="195"/>
      <c r="BO105" s="195"/>
      <c r="BP105" s="195"/>
      <c r="BQ105" s="195"/>
      <c r="BR105" s="195"/>
      <c r="BS105" s="196"/>
      <c r="BT105" s="197">
        <f t="shared" si="1"/>
        <v>173</v>
      </c>
    </row>
    <row r="106" spans="1:72" ht="15">
      <c r="A106" s="194" t="s">
        <v>825</v>
      </c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195"/>
      <c r="AY106" s="195"/>
      <c r="AZ106" s="195"/>
      <c r="BA106" s="195"/>
      <c r="BB106" s="195">
        <v>24</v>
      </c>
      <c r="BC106" s="195"/>
      <c r="BD106" s="195"/>
      <c r="BE106" s="195"/>
      <c r="BF106" s="195"/>
      <c r="BG106" s="195"/>
      <c r="BH106" s="195"/>
      <c r="BI106" s="195"/>
      <c r="BJ106" s="195"/>
      <c r="BK106" s="195"/>
      <c r="BL106" s="195"/>
      <c r="BM106" s="195"/>
      <c r="BN106" s="195"/>
      <c r="BO106" s="195"/>
      <c r="BP106" s="195"/>
      <c r="BQ106" s="195"/>
      <c r="BR106" s="195"/>
      <c r="BS106" s="196"/>
      <c r="BT106" s="197">
        <f t="shared" si="1"/>
        <v>24</v>
      </c>
    </row>
    <row r="107" spans="1:72" ht="15">
      <c r="A107" s="194" t="s">
        <v>983</v>
      </c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>
        <v>2</v>
      </c>
      <c r="T107" s="195"/>
      <c r="U107" s="195">
        <v>2</v>
      </c>
      <c r="V107" s="195">
        <v>8</v>
      </c>
      <c r="W107" s="195"/>
      <c r="X107" s="195"/>
      <c r="Y107" s="195"/>
      <c r="Z107" s="195">
        <v>37</v>
      </c>
      <c r="AA107" s="195"/>
      <c r="AB107" s="195">
        <v>0</v>
      </c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195"/>
      <c r="AY107" s="195"/>
      <c r="AZ107" s="195"/>
      <c r="BA107" s="195"/>
      <c r="BB107" s="195"/>
      <c r="BC107" s="195"/>
      <c r="BD107" s="195"/>
      <c r="BE107" s="195"/>
      <c r="BF107" s="195"/>
      <c r="BG107" s="195"/>
      <c r="BH107" s="195"/>
      <c r="BI107" s="195"/>
      <c r="BJ107" s="195"/>
      <c r="BK107" s="195"/>
      <c r="BL107" s="195"/>
      <c r="BM107" s="195"/>
      <c r="BN107" s="195"/>
      <c r="BO107" s="195"/>
      <c r="BP107" s="195"/>
      <c r="BQ107" s="195"/>
      <c r="BR107" s="195"/>
      <c r="BS107" s="196"/>
      <c r="BT107" s="197">
        <f t="shared" si="1"/>
        <v>49</v>
      </c>
    </row>
    <row r="108" spans="1:72" ht="15">
      <c r="A108" s="194" t="s">
        <v>734</v>
      </c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195"/>
      <c r="AY108" s="195"/>
      <c r="AZ108" s="195"/>
      <c r="BA108" s="195"/>
      <c r="BB108" s="195"/>
      <c r="BC108" s="195">
        <v>35</v>
      </c>
      <c r="BD108" s="195"/>
      <c r="BE108" s="195"/>
      <c r="BF108" s="195"/>
      <c r="BG108" s="195"/>
      <c r="BH108" s="195"/>
      <c r="BI108" s="195"/>
      <c r="BJ108" s="195"/>
      <c r="BK108" s="195"/>
      <c r="BL108" s="195"/>
      <c r="BM108" s="195"/>
      <c r="BN108" s="195"/>
      <c r="BO108" s="195"/>
      <c r="BP108" s="195"/>
      <c r="BQ108" s="195"/>
      <c r="BR108" s="195"/>
      <c r="BS108" s="196">
        <v>6</v>
      </c>
      <c r="BT108" s="197">
        <f t="shared" si="1"/>
        <v>41</v>
      </c>
    </row>
    <row r="109" spans="1:72" ht="15">
      <c r="A109" s="194" t="s">
        <v>656</v>
      </c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  <c r="BA109" s="195"/>
      <c r="BB109" s="195"/>
      <c r="BC109" s="195"/>
      <c r="BD109" s="195"/>
      <c r="BE109" s="195"/>
      <c r="BF109" s="195"/>
      <c r="BG109" s="195"/>
      <c r="BH109" s="195">
        <v>140</v>
      </c>
      <c r="BI109" s="195">
        <v>40</v>
      </c>
      <c r="BJ109" s="195"/>
      <c r="BK109" s="195"/>
      <c r="BL109" s="195"/>
      <c r="BM109" s="195"/>
      <c r="BN109" s="195"/>
      <c r="BO109" s="195"/>
      <c r="BP109" s="195"/>
      <c r="BQ109" s="195"/>
      <c r="BR109" s="195"/>
      <c r="BS109" s="196">
        <v>56</v>
      </c>
      <c r="BT109" s="197">
        <f t="shared" si="1"/>
        <v>236</v>
      </c>
    </row>
    <row r="110" spans="1:72" ht="15">
      <c r="A110" s="194" t="s">
        <v>657</v>
      </c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  <c r="AU110" s="195"/>
      <c r="AV110" s="195"/>
      <c r="AW110" s="195"/>
      <c r="AX110" s="195"/>
      <c r="AY110" s="195"/>
      <c r="AZ110" s="195"/>
      <c r="BA110" s="195"/>
      <c r="BB110" s="195"/>
      <c r="BC110" s="195">
        <v>5</v>
      </c>
      <c r="BD110" s="195"/>
      <c r="BE110" s="195"/>
      <c r="BF110" s="195"/>
      <c r="BG110" s="195"/>
      <c r="BH110" s="195"/>
      <c r="BI110" s="195"/>
      <c r="BJ110" s="195"/>
      <c r="BK110" s="195"/>
      <c r="BL110" s="195"/>
      <c r="BM110" s="195"/>
      <c r="BN110" s="195"/>
      <c r="BO110" s="195"/>
      <c r="BP110" s="195"/>
      <c r="BQ110" s="195"/>
      <c r="BR110" s="195"/>
      <c r="BS110" s="196">
        <v>1</v>
      </c>
      <c r="BT110" s="197">
        <f t="shared" si="1"/>
        <v>6</v>
      </c>
    </row>
    <row r="111" spans="1:72" ht="15">
      <c r="A111" s="194" t="s">
        <v>664</v>
      </c>
      <c r="B111" s="195"/>
      <c r="C111" s="195"/>
      <c r="D111" s="195">
        <v>112</v>
      </c>
      <c r="E111" s="195">
        <v>100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  <c r="AU111" s="195"/>
      <c r="AV111" s="195"/>
      <c r="AW111" s="195"/>
      <c r="AX111" s="195"/>
      <c r="AY111" s="195"/>
      <c r="AZ111" s="195"/>
      <c r="BA111" s="195"/>
      <c r="BB111" s="195"/>
      <c r="BC111" s="195"/>
      <c r="BD111" s="195"/>
      <c r="BE111" s="195"/>
      <c r="BF111" s="195"/>
      <c r="BG111" s="195"/>
      <c r="BH111" s="195"/>
      <c r="BI111" s="195"/>
      <c r="BJ111" s="195"/>
      <c r="BK111" s="195"/>
      <c r="BL111" s="195"/>
      <c r="BM111" s="195"/>
      <c r="BN111" s="195"/>
      <c r="BO111" s="195"/>
      <c r="BP111" s="195"/>
      <c r="BQ111" s="195"/>
      <c r="BR111" s="195"/>
      <c r="BS111" s="196"/>
      <c r="BT111" s="197">
        <f t="shared" si="1"/>
        <v>212</v>
      </c>
    </row>
    <row r="112" spans="1:72" ht="15">
      <c r="A112" s="194" t="s">
        <v>649</v>
      </c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5"/>
      <c r="AY112" s="195"/>
      <c r="AZ112" s="195"/>
      <c r="BA112" s="195"/>
      <c r="BB112" s="195"/>
      <c r="BC112" s="195">
        <v>40</v>
      </c>
      <c r="BD112" s="195"/>
      <c r="BE112" s="195"/>
      <c r="BF112" s="195"/>
      <c r="BG112" s="195"/>
      <c r="BH112" s="195"/>
      <c r="BI112" s="195"/>
      <c r="BJ112" s="195"/>
      <c r="BK112" s="195"/>
      <c r="BL112" s="195"/>
      <c r="BM112" s="195"/>
      <c r="BN112" s="195"/>
      <c r="BO112" s="195"/>
      <c r="BP112" s="195"/>
      <c r="BQ112" s="195"/>
      <c r="BR112" s="195"/>
      <c r="BS112" s="196">
        <v>10</v>
      </c>
      <c r="BT112" s="197">
        <f t="shared" si="1"/>
        <v>50</v>
      </c>
    </row>
    <row r="113" spans="1:72" ht="15">
      <c r="A113" s="194" t="s">
        <v>654</v>
      </c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>
        <v>30</v>
      </c>
      <c r="AY113" s="195">
        <v>90</v>
      </c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6">
        <v>23</v>
      </c>
      <c r="BT113" s="197">
        <f t="shared" si="1"/>
        <v>143</v>
      </c>
    </row>
    <row r="114" spans="1:72" ht="15">
      <c r="A114" s="194" t="s">
        <v>655</v>
      </c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AU114" s="195">
        <v>20</v>
      </c>
      <c r="AV114" s="195"/>
      <c r="AW114" s="195"/>
      <c r="AX114" s="195"/>
      <c r="AY114" s="195"/>
      <c r="AZ114" s="195"/>
      <c r="BA114" s="195"/>
      <c r="BB114" s="195"/>
      <c r="BC114" s="195"/>
      <c r="BD114" s="195"/>
      <c r="BE114" s="195"/>
      <c r="BF114" s="195"/>
      <c r="BG114" s="195"/>
      <c r="BH114" s="195"/>
      <c r="BI114" s="195"/>
      <c r="BJ114" s="195"/>
      <c r="BK114" s="195"/>
      <c r="BL114" s="195"/>
      <c r="BM114" s="195"/>
      <c r="BN114" s="195"/>
      <c r="BO114" s="195"/>
      <c r="BP114" s="195"/>
      <c r="BQ114" s="195"/>
      <c r="BR114" s="195"/>
      <c r="BS114" s="196"/>
      <c r="BT114" s="197">
        <f t="shared" si="1"/>
        <v>20</v>
      </c>
    </row>
    <row r="115" spans="1:72" ht="15">
      <c r="A115" s="194" t="s">
        <v>663</v>
      </c>
      <c r="B115" s="195"/>
      <c r="C115" s="195"/>
      <c r="D115" s="195"/>
      <c r="E115" s="195"/>
      <c r="F115" s="195"/>
      <c r="G115" s="195"/>
      <c r="H115" s="195"/>
      <c r="I115" s="195">
        <v>44</v>
      </c>
      <c r="J115" s="195"/>
      <c r="K115" s="195">
        <v>16</v>
      </c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AU115" s="195"/>
      <c r="AV115" s="195"/>
      <c r="AW115" s="195"/>
      <c r="AX115" s="195"/>
      <c r="AY115" s="195"/>
      <c r="AZ115" s="195"/>
      <c r="BA115" s="195"/>
      <c r="BB115" s="195"/>
      <c r="BC115" s="195"/>
      <c r="BD115" s="195"/>
      <c r="BE115" s="195"/>
      <c r="BF115" s="195"/>
      <c r="BG115" s="195"/>
      <c r="BH115" s="195"/>
      <c r="BI115" s="195"/>
      <c r="BJ115" s="195"/>
      <c r="BK115" s="195"/>
      <c r="BL115" s="195"/>
      <c r="BM115" s="195"/>
      <c r="BN115" s="195"/>
      <c r="BO115" s="195"/>
      <c r="BP115" s="195"/>
      <c r="BQ115" s="195"/>
      <c r="BR115" s="195"/>
      <c r="BS115" s="196"/>
      <c r="BT115" s="197">
        <f t="shared" si="1"/>
        <v>60</v>
      </c>
    </row>
    <row r="116" spans="1:72" ht="15">
      <c r="A116" s="194" t="s">
        <v>659</v>
      </c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195"/>
      <c r="AY116" s="195"/>
      <c r="AZ116" s="195"/>
      <c r="BA116" s="195"/>
      <c r="BB116" s="195"/>
      <c r="BC116" s="195"/>
      <c r="BD116" s="195"/>
      <c r="BE116" s="195"/>
      <c r="BF116" s="195"/>
      <c r="BG116" s="195"/>
      <c r="BH116" s="195"/>
      <c r="BI116" s="195"/>
      <c r="BJ116" s="195"/>
      <c r="BK116" s="195">
        <v>1</v>
      </c>
      <c r="BL116" s="195"/>
      <c r="BM116" s="195"/>
      <c r="BN116" s="195"/>
      <c r="BO116" s="195"/>
      <c r="BP116" s="195"/>
      <c r="BQ116" s="195"/>
      <c r="BR116" s="195"/>
      <c r="BS116" s="196">
        <v>37</v>
      </c>
      <c r="BT116" s="197">
        <f t="shared" si="1"/>
        <v>38</v>
      </c>
    </row>
    <row r="117" spans="1:72" ht="15">
      <c r="A117" s="194" t="s">
        <v>652</v>
      </c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>
        <v>100</v>
      </c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>
        <v>70</v>
      </c>
      <c r="AV117" s="195">
        <v>210</v>
      </c>
      <c r="AW117" s="195"/>
      <c r="AX117" s="195"/>
      <c r="AY117" s="195"/>
      <c r="AZ117" s="195"/>
      <c r="BA117" s="195"/>
      <c r="BB117" s="195"/>
      <c r="BC117" s="195">
        <v>50</v>
      </c>
      <c r="BD117" s="195">
        <v>280</v>
      </c>
      <c r="BE117" s="195">
        <v>280</v>
      </c>
      <c r="BF117" s="195">
        <v>280</v>
      </c>
      <c r="BG117" s="195"/>
      <c r="BH117" s="195">
        <v>110</v>
      </c>
      <c r="BI117" s="195"/>
      <c r="BJ117" s="195"/>
      <c r="BK117" s="195"/>
      <c r="BL117" s="195"/>
      <c r="BM117" s="195">
        <v>90</v>
      </c>
      <c r="BN117" s="195"/>
      <c r="BO117" s="195"/>
      <c r="BP117" s="195"/>
      <c r="BQ117" s="195"/>
      <c r="BR117" s="195">
        <v>300</v>
      </c>
      <c r="BS117" s="196">
        <v>86</v>
      </c>
      <c r="BT117" s="197">
        <f t="shared" si="1"/>
        <v>1856</v>
      </c>
    </row>
    <row r="118" spans="1:72" ht="15">
      <c r="A118" s="194" t="s">
        <v>653</v>
      </c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  <c r="AU118" s="195">
        <v>65</v>
      </c>
      <c r="AV118" s="195"/>
      <c r="AW118" s="195"/>
      <c r="AX118" s="195"/>
      <c r="AY118" s="195"/>
      <c r="AZ118" s="195"/>
      <c r="BA118" s="195"/>
      <c r="BB118" s="195"/>
      <c r="BC118" s="195"/>
      <c r="BD118" s="195"/>
      <c r="BE118" s="195"/>
      <c r="BF118" s="195"/>
      <c r="BG118" s="195"/>
      <c r="BH118" s="195"/>
      <c r="BI118" s="195"/>
      <c r="BJ118" s="195"/>
      <c r="BK118" s="195"/>
      <c r="BL118" s="195"/>
      <c r="BM118" s="195"/>
      <c r="BN118" s="195"/>
      <c r="BO118" s="195"/>
      <c r="BP118" s="195"/>
      <c r="BQ118" s="195"/>
      <c r="BR118" s="195"/>
      <c r="BS118" s="196">
        <v>10</v>
      </c>
      <c r="BT118" s="197">
        <f t="shared" si="1"/>
        <v>75</v>
      </c>
    </row>
    <row r="119" spans="1:72" ht="15">
      <c r="A119" s="194" t="s">
        <v>1114</v>
      </c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>
        <v>50</v>
      </c>
      <c r="W119" s="195">
        <v>208</v>
      </c>
      <c r="X119" s="195"/>
      <c r="Y119" s="195">
        <v>189</v>
      </c>
      <c r="Z119" s="195">
        <v>109</v>
      </c>
      <c r="AA119" s="195">
        <v>41</v>
      </c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>
        <v>240</v>
      </c>
      <c r="AN119" s="195">
        <v>205</v>
      </c>
      <c r="AO119" s="195">
        <v>240</v>
      </c>
      <c r="AP119" s="195">
        <v>95</v>
      </c>
      <c r="AQ119" s="195"/>
      <c r="AR119" s="195"/>
      <c r="AS119" s="195"/>
      <c r="AT119" s="195"/>
      <c r="AU119" s="195"/>
      <c r="AV119" s="195"/>
      <c r="AW119" s="195"/>
      <c r="AX119" s="195"/>
      <c r="AY119" s="195"/>
      <c r="AZ119" s="195"/>
      <c r="BA119" s="195"/>
      <c r="BB119" s="195"/>
      <c r="BC119" s="195"/>
      <c r="BD119" s="195"/>
      <c r="BE119" s="195"/>
      <c r="BF119" s="195"/>
      <c r="BG119" s="195"/>
      <c r="BH119" s="195"/>
      <c r="BI119" s="195"/>
      <c r="BJ119" s="195"/>
      <c r="BK119" s="195"/>
      <c r="BL119" s="195"/>
      <c r="BM119" s="195"/>
      <c r="BN119" s="195"/>
      <c r="BO119" s="195"/>
      <c r="BP119" s="195"/>
      <c r="BQ119" s="195"/>
      <c r="BR119" s="195"/>
      <c r="BS119" s="196"/>
      <c r="BT119" s="197">
        <f t="shared" si="1"/>
        <v>1377</v>
      </c>
    </row>
    <row r="120" spans="1:72" ht="15">
      <c r="A120" s="194" t="s">
        <v>667</v>
      </c>
      <c r="B120" s="195"/>
      <c r="C120" s="195"/>
      <c r="D120" s="195"/>
      <c r="E120" s="195"/>
      <c r="F120" s="195"/>
      <c r="G120" s="195"/>
      <c r="H120" s="195">
        <v>88</v>
      </c>
      <c r="I120" s="195">
        <v>152</v>
      </c>
      <c r="J120" s="195"/>
      <c r="K120" s="195"/>
      <c r="L120" s="195"/>
      <c r="M120" s="195"/>
      <c r="N120" s="195">
        <v>193</v>
      </c>
      <c r="O120" s="195">
        <v>208</v>
      </c>
      <c r="P120" s="195">
        <v>49</v>
      </c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  <c r="AS120" s="195"/>
      <c r="AT120" s="195"/>
      <c r="AU120" s="195"/>
      <c r="AV120" s="195"/>
      <c r="AW120" s="195"/>
      <c r="AX120" s="195"/>
      <c r="AY120" s="195"/>
      <c r="AZ120" s="195"/>
      <c r="BA120" s="195"/>
      <c r="BB120" s="195"/>
      <c r="BC120" s="195"/>
      <c r="BD120" s="195"/>
      <c r="BE120" s="195"/>
      <c r="BF120" s="195"/>
      <c r="BG120" s="195"/>
      <c r="BH120" s="195"/>
      <c r="BI120" s="195"/>
      <c r="BJ120" s="195"/>
      <c r="BK120" s="195"/>
      <c r="BL120" s="195"/>
      <c r="BM120" s="195"/>
      <c r="BN120" s="195"/>
      <c r="BO120" s="195"/>
      <c r="BP120" s="195"/>
      <c r="BQ120" s="195"/>
      <c r="BR120" s="195"/>
      <c r="BS120" s="196"/>
      <c r="BT120" s="197">
        <f t="shared" si="1"/>
        <v>690</v>
      </c>
    </row>
    <row r="121" spans="1:72" ht="15">
      <c r="A121" s="194" t="s">
        <v>606</v>
      </c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>
        <v>99</v>
      </c>
      <c r="V121" s="195">
        <v>44</v>
      </c>
      <c r="W121" s="195">
        <v>41</v>
      </c>
      <c r="X121" s="195"/>
      <c r="Y121" s="195">
        <v>21</v>
      </c>
      <c r="Z121" s="195">
        <v>11</v>
      </c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>
        <v>150</v>
      </c>
      <c r="AQ121" s="195">
        <v>120</v>
      </c>
      <c r="AR121" s="195"/>
      <c r="AS121" s="195"/>
      <c r="AT121" s="195"/>
      <c r="AU121" s="195"/>
      <c r="AV121" s="195"/>
      <c r="AW121" s="195"/>
      <c r="AX121" s="195"/>
      <c r="AY121" s="195"/>
      <c r="AZ121" s="195"/>
      <c r="BA121" s="195"/>
      <c r="BB121" s="195"/>
      <c r="BC121" s="195"/>
      <c r="BD121" s="195"/>
      <c r="BE121" s="195"/>
      <c r="BF121" s="195"/>
      <c r="BG121" s="195"/>
      <c r="BH121" s="195"/>
      <c r="BI121" s="195"/>
      <c r="BJ121" s="195"/>
      <c r="BK121" s="195"/>
      <c r="BL121" s="195"/>
      <c r="BM121" s="195"/>
      <c r="BN121" s="195"/>
      <c r="BO121" s="195"/>
      <c r="BP121" s="195"/>
      <c r="BQ121" s="195"/>
      <c r="BR121" s="195"/>
      <c r="BS121" s="196"/>
      <c r="BT121" s="197">
        <f t="shared" si="1"/>
        <v>486</v>
      </c>
    </row>
    <row r="122" spans="1:72" ht="15">
      <c r="A122" s="194" t="s">
        <v>727</v>
      </c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>
        <v>91</v>
      </c>
      <c r="Q122" s="195"/>
      <c r="R122" s="195">
        <v>23</v>
      </c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>
        <v>72</v>
      </c>
      <c r="AS122" s="195"/>
      <c r="AT122" s="195"/>
      <c r="AU122" s="195"/>
      <c r="AV122" s="195"/>
      <c r="AW122" s="195"/>
      <c r="AX122" s="195"/>
      <c r="AY122" s="195"/>
      <c r="AZ122" s="195"/>
      <c r="BA122" s="195"/>
      <c r="BB122" s="195"/>
      <c r="BC122" s="195"/>
      <c r="BD122" s="195"/>
      <c r="BE122" s="195"/>
      <c r="BF122" s="195"/>
      <c r="BG122" s="195"/>
      <c r="BH122" s="195"/>
      <c r="BI122" s="195"/>
      <c r="BJ122" s="195"/>
      <c r="BK122" s="195"/>
      <c r="BL122" s="195"/>
      <c r="BM122" s="195"/>
      <c r="BN122" s="195"/>
      <c r="BO122" s="195"/>
      <c r="BP122" s="195"/>
      <c r="BQ122" s="195"/>
      <c r="BR122" s="195"/>
      <c r="BS122" s="196"/>
      <c r="BT122" s="197">
        <f t="shared" si="1"/>
        <v>186</v>
      </c>
    </row>
    <row r="123" spans="1:72" ht="15">
      <c r="A123" s="194" t="s">
        <v>665</v>
      </c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  <c r="AS123" s="195"/>
      <c r="AT123" s="195"/>
      <c r="AU123" s="195"/>
      <c r="AV123" s="195">
        <v>70</v>
      </c>
      <c r="AW123" s="195">
        <v>280</v>
      </c>
      <c r="AX123" s="195">
        <v>250</v>
      </c>
      <c r="AY123" s="195"/>
      <c r="AZ123" s="195"/>
      <c r="BA123" s="195"/>
      <c r="BB123" s="195"/>
      <c r="BC123" s="195"/>
      <c r="BD123" s="195"/>
      <c r="BE123" s="195"/>
      <c r="BF123" s="195"/>
      <c r="BG123" s="195"/>
      <c r="BH123" s="195">
        <v>38</v>
      </c>
      <c r="BI123" s="195"/>
      <c r="BJ123" s="195"/>
      <c r="BK123" s="195">
        <v>141</v>
      </c>
      <c r="BL123" s="195"/>
      <c r="BM123" s="195"/>
      <c r="BN123" s="195"/>
      <c r="BO123" s="195"/>
      <c r="BP123" s="195"/>
      <c r="BQ123" s="195"/>
      <c r="BR123" s="195"/>
      <c r="BS123" s="196">
        <v>143</v>
      </c>
      <c r="BT123" s="197">
        <f t="shared" si="1"/>
        <v>922</v>
      </c>
    </row>
    <row r="124" spans="1:72" ht="15">
      <c r="A124" s="194" t="s">
        <v>666</v>
      </c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>
        <v>20</v>
      </c>
      <c r="AO124" s="195"/>
      <c r="AP124" s="195"/>
      <c r="AQ124" s="195"/>
      <c r="AR124" s="195"/>
      <c r="AS124" s="195"/>
      <c r="AT124" s="195"/>
      <c r="AU124" s="195"/>
      <c r="AV124" s="195"/>
      <c r="AW124" s="195"/>
      <c r="AX124" s="195"/>
      <c r="AY124" s="195"/>
      <c r="AZ124" s="195"/>
      <c r="BA124" s="195"/>
      <c r="BB124" s="195"/>
      <c r="BC124" s="195"/>
      <c r="BD124" s="195"/>
      <c r="BE124" s="195"/>
      <c r="BF124" s="195"/>
      <c r="BG124" s="195"/>
      <c r="BH124" s="195"/>
      <c r="BI124" s="195"/>
      <c r="BJ124" s="195"/>
      <c r="BK124" s="195"/>
      <c r="BL124" s="195"/>
      <c r="BM124" s="195"/>
      <c r="BN124" s="195"/>
      <c r="BO124" s="195"/>
      <c r="BP124" s="195"/>
      <c r="BQ124" s="195"/>
      <c r="BR124" s="195"/>
      <c r="BS124" s="196"/>
      <c r="BT124" s="197">
        <f t="shared" si="1"/>
        <v>20</v>
      </c>
    </row>
    <row r="125" spans="1:72" ht="15">
      <c r="A125" s="194" t="s">
        <v>662</v>
      </c>
      <c r="B125" s="195"/>
      <c r="C125" s="195"/>
      <c r="D125" s="195"/>
      <c r="E125" s="195"/>
      <c r="F125" s="195"/>
      <c r="G125" s="195"/>
      <c r="H125" s="195"/>
      <c r="I125" s="195"/>
      <c r="J125" s="195"/>
      <c r="K125" s="195">
        <v>189</v>
      </c>
      <c r="L125" s="195">
        <v>11</v>
      </c>
      <c r="M125" s="195"/>
      <c r="N125" s="195"/>
      <c r="O125" s="195"/>
      <c r="P125" s="195">
        <v>22</v>
      </c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  <c r="AU125" s="195"/>
      <c r="AV125" s="195"/>
      <c r="AW125" s="195"/>
      <c r="AX125" s="195"/>
      <c r="AY125" s="195"/>
      <c r="AZ125" s="195"/>
      <c r="BA125" s="195"/>
      <c r="BB125" s="195"/>
      <c r="BC125" s="195"/>
      <c r="BD125" s="195"/>
      <c r="BE125" s="195"/>
      <c r="BF125" s="195"/>
      <c r="BG125" s="195"/>
      <c r="BH125" s="195"/>
      <c r="BI125" s="195"/>
      <c r="BJ125" s="195"/>
      <c r="BK125" s="195"/>
      <c r="BL125" s="195"/>
      <c r="BM125" s="195"/>
      <c r="BN125" s="195"/>
      <c r="BO125" s="195"/>
      <c r="BP125" s="195"/>
      <c r="BQ125" s="195"/>
      <c r="BR125" s="195"/>
      <c r="BS125" s="196"/>
      <c r="BT125" s="197">
        <f t="shared" si="1"/>
        <v>222</v>
      </c>
    </row>
    <row r="126" spans="1:72" ht="15">
      <c r="A126" s="194" t="s">
        <v>660</v>
      </c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  <c r="AU126" s="195"/>
      <c r="AV126" s="195"/>
      <c r="AW126" s="195"/>
      <c r="AX126" s="195"/>
      <c r="AY126" s="195"/>
      <c r="AZ126" s="195"/>
      <c r="BA126" s="195"/>
      <c r="BB126" s="195"/>
      <c r="BC126" s="195"/>
      <c r="BD126" s="195"/>
      <c r="BE126" s="195"/>
      <c r="BF126" s="195"/>
      <c r="BG126" s="195"/>
      <c r="BH126" s="195"/>
      <c r="BI126" s="195"/>
      <c r="BJ126" s="195"/>
      <c r="BK126" s="195">
        <v>11</v>
      </c>
      <c r="BL126" s="195"/>
      <c r="BM126" s="195"/>
      <c r="BN126" s="195"/>
      <c r="BO126" s="195"/>
      <c r="BP126" s="195"/>
      <c r="BQ126" s="195"/>
      <c r="BR126" s="195"/>
      <c r="BS126" s="196">
        <v>65</v>
      </c>
      <c r="BT126" s="197">
        <f t="shared" si="1"/>
        <v>76</v>
      </c>
    </row>
    <row r="127" spans="1:72" ht="15">
      <c r="A127" s="194" t="s">
        <v>658</v>
      </c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5"/>
      <c r="AP127" s="195"/>
      <c r="AQ127" s="195"/>
      <c r="AR127" s="195"/>
      <c r="AS127" s="195"/>
      <c r="AT127" s="195"/>
      <c r="AU127" s="195"/>
      <c r="AV127" s="195"/>
      <c r="AW127" s="195"/>
      <c r="AX127" s="195"/>
      <c r="AY127" s="195"/>
      <c r="AZ127" s="195"/>
      <c r="BA127" s="195"/>
      <c r="BB127" s="195"/>
      <c r="BC127" s="195"/>
      <c r="BD127" s="195"/>
      <c r="BE127" s="195"/>
      <c r="BF127" s="195"/>
      <c r="BG127" s="195"/>
      <c r="BH127" s="195"/>
      <c r="BI127" s="195">
        <v>20</v>
      </c>
      <c r="BJ127" s="195"/>
      <c r="BK127" s="195"/>
      <c r="BL127" s="195"/>
      <c r="BM127" s="195"/>
      <c r="BN127" s="195"/>
      <c r="BO127" s="195"/>
      <c r="BP127" s="195"/>
      <c r="BQ127" s="195"/>
      <c r="BR127" s="195"/>
      <c r="BS127" s="196">
        <v>9</v>
      </c>
      <c r="BT127" s="197">
        <f t="shared" si="1"/>
        <v>29</v>
      </c>
    </row>
    <row r="128" spans="1:72" ht="15">
      <c r="A128" s="194" t="s">
        <v>636</v>
      </c>
      <c r="B128" s="195"/>
      <c r="C128" s="195"/>
      <c r="D128" s="195"/>
      <c r="E128" s="195">
        <v>100</v>
      </c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195"/>
      <c r="AQ128" s="195"/>
      <c r="AR128" s="195">
        <v>145</v>
      </c>
      <c r="AS128" s="195"/>
      <c r="AT128" s="195">
        <v>255</v>
      </c>
      <c r="AU128" s="195"/>
      <c r="AV128" s="195"/>
      <c r="AW128" s="195"/>
      <c r="AX128" s="195"/>
      <c r="AY128" s="195">
        <v>190</v>
      </c>
      <c r="AZ128" s="195"/>
      <c r="BA128" s="195">
        <v>280</v>
      </c>
      <c r="BB128" s="195">
        <v>280</v>
      </c>
      <c r="BC128" s="195">
        <v>150</v>
      </c>
      <c r="BD128" s="195"/>
      <c r="BE128" s="195"/>
      <c r="BF128" s="195"/>
      <c r="BG128" s="195"/>
      <c r="BH128" s="195"/>
      <c r="BI128" s="195">
        <v>220</v>
      </c>
      <c r="BJ128" s="195">
        <v>280</v>
      </c>
      <c r="BK128" s="195">
        <v>131</v>
      </c>
      <c r="BL128" s="195"/>
      <c r="BM128" s="195"/>
      <c r="BN128" s="195"/>
      <c r="BO128" s="195"/>
      <c r="BP128" s="195"/>
      <c r="BQ128" s="195"/>
      <c r="BR128" s="195"/>
      <c r="BS128" s="196">
        <v>384</v>
      </c>
      <c r="BT128" s="197">
        <f t="shared" si="1"/>
        <v>2415</v>
      </c>
    </row>
    <row r="129" spans="1:72" ht="15">
      <c r="A129" s="194" t="s">
        <v>637</v>
      </c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195"/>
      <c r="AQ129" s="195"/>
      <c r="AR129" s="195"/>
      <c r="AS129" s="195"/>
      <c r="AT129" s="195">
        <v>25</v>
      </c>
      <c r="AU129" s="195">
        <v>125</v>
      </c>
      <c r="AV129" s="195"/>
      <c r="AW129" s="195"/>
      <c r="AX129" s="195"/>
      <c r="AY129" s="195"/>
      <c r="AZ129" s="195"/>
      <c r="BA129" s="195"/>
      <c r="BB129" s="195"/>
      <c r="BC129" s="195"/>
      <c r="BD129" s="195"/>
      <c r="BE129" s="195"/>
      <c r="BF129" s="195"/>
      <c r="BG129" s="195"/>
      <c r="BH129" s="195"/>
      <c r="BI129" s="195"/>
      <c r="BJ129" s="195"/>
      <c r="BK129" s="195"/>
      <c r="BL129" s="195"/>
      <c r="BM129" s="195"/>
      <c r="BN129" s="195"/>
      <c r="BO129" s="195"/>
      <c r="BP129" s="195"/>
      <c r="BQ129" s="195"/>
      <c r="BR129" s="195"/>
      <c r="BS129" s="196">
        <v>6</v>
      </c>
      <c r="BT129" s="197">
        <f t="shared" si="1"/>
        <v>156</v>
      </c>
    </row>
    <row r="130" spans="1:72" ht="15">
      <c r="A130" s="194" t="s">
        <v>1182</v>
      </c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  <c r="AM130" s="195"/>
      <c r="AN130" s="195"/>
      <c r="AO130" s="195"/>
      <c r="AP130" s="195">
        <v>165</v>
      </c>
      <c r="AQ130" s="195">
        <v>240</v>
      </c>
      <c r="AR130" s="195">
        <v>95</v>
      </c>
      <c r="AS130" s="195"/>
      <c r="AT130" s="195"/>
      <c r="AU130" s="195"/>
      <c r="AV130" s="195"/>
      <c r="AW130" s="195"/>
      <c r="AX130" s="195"/>
      <c r="AY130" s="195"/>
      <c r="AZ130" s="195"/>
      <c r="BA130" s="195"/>
      <c r="BB130" s="195"/>
      <c r="BC130" s="195"/>
      <c r="BD130" s="195"/>
      <c r="BE130" s="195"/>
      <c r="BF130" s="195"/>
      <c r="BG130" s="195"/>
      <c r="BH130" s="195"/>
      <c r="BI130" s="195"/>
      <c r="BJ130" s="195"/>
      <c r="BK130" s="195"/>
      <c r="BL130" s="195"/>
      <c r="BM130" s="195"/>
      <c r="BN130" s="195"/>
      <c r="BO130" s="195"/>
      <c r="BP130" s="195"/>
      <c r="BQ130" s="195"/>
      <c r="BR130" s="195"/>
      <c r="BS130" s="196"/>
      <c r="BT130" s="197">
        <f t="shared" si="1"/>
        <v>500</v>
      </c>
    </row>
    <row r="131" spans="1:72" ht="15">
      <c r="A131" s="194" t="s">
        <v>1184</v>
      </c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>
        <v>15</v>
      </c>
      <c r="AO131" s="195"/>
      <c r="AP131" s="195"/>
      <c r="AQ131" s="195"/>
      <c r="AR131" s="195"/>
      <c r="AS131" s="195"/>
      <c r="AT131" s="195"/>
      <c r="AU131" s="195"/>
      <c r="AV131" s="195"/>
      <c r="AW131" s="195"/>
      <c r="AX131" s="195"/>
      <c r="AY131" s="195"/>
      <c r="AZ131" s="195"/>
      <c r="BA131" s="195"/>
      <c r="BB131" s="195"/>
      <c r="BC131" s="195"/>
      <c r="BD131" s="195"/>
      <c r="BE131" s="195"/>
      <c r="BF131" s="195"/>
      <c r="BG131" s="195"/>
      <c r="BH131" s="195"/>
      <c r="BI131" s="195"/>
      <c r="BJ131" s="195"/>
      <c r="BK131" s="195"/>
      <c r="BL131" s="195"/>
      <c r="BM131" s="195"/>
      <c r="BN131" s="195"/>
      <c r="BO131" s="195"/>
      <c r="BP131" s="195"/>
      <c r="BQ131" s="195"/>
      <c r="BR131" s="195"/>
      <c r="BS131" s="196"/>
      <c r="BT131" s="197">
        <f t="shared" ref="BT131:BT144" si="2">SUM(B131:BS131)</f>
        <v>15</v>
      </c>
    </row>
    <row r="132" spans="1:72" ht="15">
      <c r="A132" s="194" t="s">
        <v>661</v>
      </c>
      <c r="B132" s="195"/>
      <c r="C132" s="195"/>
      <c r="D132" s="195"/>
      <c r="E132" s="195">
        <v>12</v>
      </c>
      <c r="F132" s="195">
        <v>184</v>
      </c>
      <c r="G132" s="195">
        <v>205</v>
      </c>
      <c r="H132" s="195">
        <v>106</v>
      </c>
      <c r="I132" s="195"/>
      <c r="J132" s="195"/>
      <c r="K132" s="195"/>
      <c r="L132" s="195">
        <v>194</v>
      </c>
      <c r="M132" s="195">
        <v>210</v>
      </c>
      <c r="N132" s="195">
        <v>16</v>
      </c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  <c r="AM132" s="195"/>
      <c r="AN132" s="195"/>
      <c r="AO132" s="195"/>
      <c r="AP132" s="195"/>
      <c r="AQ132" s="195"/>
      <c r="AR132" s="195"/>
      <c r="AS132" s="195"/>
      <c r="AT132" s="195"/>
      <c r="AU132" s="195"/>
      <c r="AV132" s="195"/>
      <c r="AW132" s="195"/>
      <c r="AX132" s="195"/>
      <c r="AY132" s="195"/>
      <c r="AZ132" s="195"/>
      <c r="BA132" s="195"/>
      <c r="BB132" s="195"/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95"/>
      <c r="BS132" s="196"/>
      <c r="BT132" s="197">
        <f t="shared" si="2"/>
        <v>927</v>
      </c>
    </row>
    <row r="133" spans="1:72" ht="15">
      <c r="A133" s="194" t="s">
        <v>1061</v>
      </c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>
        <v>36</v>
      </c>
      <c r="Q133" s="195"/>
      <c r="R133" s="195">
        <v>208</v>
      </c>
      <c r="S133" s="195">
        <v>207</v>
      </c>
      <c r="T133" s="195">
        <v>208</v>
      </c>
      <c r="U133" s="195">
        <v>208</v>
      </c>
      <c r="V133" s="195">
        <v>158</v>
      </c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  <c r="AM133" s="195"/>
      <c r="AN133" s="195"/>
      <c r="AO133" s="195"/>
      <c r="AP133" s="195"/>
      <c r="AQ133" s="195"/>
      <c r="AR133" s="195"/>
      <c r="AS133" s="195"/>
      <c r="AT133" s="195"/>
      <c r="AU133" s="195"/>
      <c r="AV133" s="195"/>
      <c r="AW133" s="195"/>
      <c r="AX133" s="195"/>
      <c r="AY133" s="195"/>
      <c r="AZ133" s="195"/>
      <c r="BA133" s="195"/>
      <c r="BB133" s="195"/>
      <c r="BC133" s="195"/>
      <c r="BD133" s="195"/>
      <c r="BE133" s="195"/>
      <c r="BF133" s="195"/>
      <c r="BG133" s="195"/>
      <c r="BH133" s="195"/>
      <c r="BI133" s="195"/>
      <c r="BJ133" s="195"/>
      <c r="BK133" s="195"/>
      <c r="BL133" s="195"/>
      <c r="BM133" s="195"/>
      <c r="BN133" s="195"/>
      <c r="BO133" s="195"/>
      <c r="BP133" s="195"/>
      <c r="BQ133" s="195"/>
      <c r="BR133" s="195"/>
      <c r="BS133" s="196"/>
      <c r="BT133" s="197">
        <f t="shared" si="2"/>
        <v>1025</v>
      </c>
    </row>
    <row r="134" spans="1:72" ht="15">
      <c r="A134" s="194" t="s">
        <v>241</v>
      </c>
      <c r="B134" s="195"/>
      <c r="C134" s="195"/>
      <c r="D134" s="195"/>
      <c r="E134" s="195">
        <v>59</v>
      </c>
      <c r="F134" s="195">
        <v>72</v>
      </c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>
        <v>32</v>
      </c>
      <c r="S134" s="195">
        <v>198</v>
      </c>
      <c r="T134" s="195">
        <v>160</v>
      </c>
      <c r="U134" s="195">
        <v>73</v>
      </c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>
        <v>200</v>
      </c>
      <c r="AN134" s="195">
        <v>200</v>
      </c>
      <c r="AO134" s="195">
        <v>200</v>
      </c>
      <c r="AP134" s="195">
        <v>48</v>
      </c>
      <c r="AQ134" s="195"/>
      <c r="AR134" s="195"/>
      <c r="AS134" s="195"/>
      <c r="AT134" s="195"/>
      <c r="AU134" s="195"/>
      <c r="AV134" s="195"/>
      <c r="AW134" s="195"/>
      <c r="AX134" s="195"/>
      <c r="AY134" s="195"/>
      <c r="AZ134" s="195"/>
      <c r="BA134" s="195"/>
      <c r="BB134" s="195"/>
      <c r="BC134" s="195"/>
      <c r="BD134" s="195"/>
      <c r="BE134" s="195"/>
      <c r="BF134" s="195"/>
      <c r="BG134" s="195"/>
      <c r="BH134" s="195"/>
      <c r="BI134" s="195"/>
      <c r="BJ134" s="195"/>
      <c r="BK134" s="195"/>
      <c r="BL134" s="195"/>
      <c r="BM134" s="195">
        <v>200</v>
      </c>
      <c r="BN134" s="195"/>
      <c r="BO134" s="195"/>
      <c r="BP134" s="195"/>
      <c r="BQ134" s="195"/>
      <c r="BR134" s="195">
        <v>200</v>
      </c>
      <c r="BS134" s="196">
        <v>320</v>
      </c>
      <c r="BT134" s="197">
        <f t="shared" si="2"/>
        <v>1962</v>
      </c>
    </row>
    <row r="135" spans="1:72" ht="15">
      <c r="A135" s="194" t="s">
        <v>35</v>
      </c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>
        <v>159</v>
      </c>
      <c r="AR135" s="195"/>
      <c r="AS135" s="195"/>
      <c r="AT135" s="195"/>
      <c r="AU135" s="195"/>
      <c r="AV135" s="195"/>
      <c r="AW135" s="195"/>
      <c r="AX135" s="195"/>
      <c r="AY135" s="195"/>
      <c r="AZ135" s="195"/>
      <c r="BA135" s="195"/>
      <c r="BB135" s="195"/>
      <c r="BC135" s="195"/>
      <c r="BD135" s="195"/>
      <c r="BE135" s="195"/>
      <c r="BF135" s="195"/>
      <c r="BG135" s="195"/>
      <c r="BH135" s="195"/>
      <c r="BI135" s="195"/>
      <c r="BJ135" s="195"/>
      <c r="BK135" s="195"/>
      <c r="BL135" s="195"/>
      <c r="BM135" s="195"/>
      <c r="BN135" s="195"/>
      <c r="BO135" s="195"/>
      <c r="BP135" s="195"/>
      <c r="BQ135" s="195"/>
      <c r="BR135" s="195"/>
      <c r="BS135" s="196"/>
      <c r="BT135" s="197">
        <f t="shared" si="2"/>
        <v>159</v>
      </c>
    </row>
    <row r="136" spans="1:72" ht="15">
      <c r="A136" s="194" t="s">
        <v>726</v>
      </c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>
        <v>58</v>
      </c>
      <c r="N136" s="195">
        <v>155</v>
      </c>
      <c r="O136" s="195">
        <v>20</v>
      </c>
      <c r="P136" s="195">
        <v>55</v>
      </c>
      <c r="Q136" s="195"/>
      <c r="R136" s="195">
        <v>60</v>
      </c>
      <c r="S136" s="195"/>
      <c r="T136" s="195"/>
      <c r="U136" s="195"/>
      <c r="V136" s="195">
        <v>110</v>
      </c>
      <c r="W136" s="195">
        <v>140</v>
      </c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>
        <v>126</v>
      </c>
      <c r="AS136" s="195"/>
      <c r="AT136" s="195"/>
      <c r="AU136" s="195"/>
      <c r="AV136" s="195"/>
      <c r="AW136" s="195"/>
      <c r="AX136" s="195"/>
      <c r="AY136" s="195"/>
      <c r="AZ136" s="195"/>
      <c r="BA136" s="195"/>
      <c r="BB136" s="195"/>
      <c r="BC136" s="195"/>
      <c r="BD136" s="195"/>
      <c r="BE136" s="195"/>
      <c r="BF136" s="195"/>
      <c r="BG136" s="195"/>
      <c r="BH136" s="195"/>
      <c r="BI136" s="195"/>
      <c r="BJ136" s="195"/>
      <c r="BK136" s="195"/>
      <c r="BL136" s="195"/>
      <c r="BM136" s="195"/>
      <c r="BN136" s="195"/>
      <c r="BO136" s="195"/>
      <c r="BP136" s="195"/>
      <c r="BQ136" s="195"/>
      <c r="BR136" s="195"/>
      <c r="BS136" s="196"/>
      <c r="BT136" s="197">
        <f t="shared" si="2"/>
        <v>724</v>
      </c>
    </row>
    <row r="137" spans="1:72" ht="15">
      <c r="A137" s="194" t="s">
        <v>1273</v>
      </c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  <c r="AU137" s="195"/>
      <c r="AV137" s="195"/>
      <c r="AW137" s="195"/>
      <c r="AX137" s="195"/>
      <c r="AY137" s="195"/>
      <c r="AZ137" s="195"/>
      <c r="BA137" s="195"/>
      <c r="BB137" s="195"/>
      <c r="BC137" s="195"/>
      <c r="BD137" s="195"/>
      <c r="BE137" s="195"/>
      <c r="BF137" s="195"/>
      <c r="BG137" s="195"/>
      <c r="BH137" s="195"/>
      <c r="BI137" s="195"/>
      <c r="BJ137" s="195"/>
      <c r="BK137" s="195"/>
      <c r="BL137" s="195"/>
      <c r="BM137" s="195"/>
      <c r="BN137" s="195"/>
      <c r="BO137" s="195"/>
      <c r="BP137" s="195"/>
      <c r="BQ137" s="195"/>
      <c r="BR137" s="195"/>
      <c r="BS137" s="196">
        <v>74</v>
      </c>
      <c r="BT137" s="197">
        <f t="shared" si="2"/>
        <v>74</v>
      </c>
    </row>
    <row r="138" spans="1:72" ht="15">
      <c r="A138" s="194" t="s">
        <v>1274</v>
      </c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  <c r="AQ138" s="195"/>
      <c r="AR138" s="195"/>
      <c r="AS138" s="195"/>
      <c r="AT138" s="195"/>
      <c r="AU138" s="195"/>
      <c r="AV138" s="195"/>
      <c r="AW138" s="195"/>
      <c r="AX138" s="195"/>
      <c r="AY138" s="195"/>
      <c r="AZ138" s="195"/>
      <c r="BA138" s="195"/>
      <c r="BB138" s="195"/>
      <c r="BC138" s="195"/>
      <c r="BD138" s="195"/>
      <c r="BE138" s="195"/>
      <c r="BF138" s="195"/>
      <c r="BG138" s="195"/>
      <c r="BH138" s="195"/>
      <c r="BI138" s="195"/>
      <c r="BJ138" s="195"/>
      <c r="BK138" s="195"/>
      <c r="BL138" s="195"/>
      <c r="BM138" s="195"/>
      <c r="BN138" s="195"/>
      <c r="BO138" s="195"/>
      <c r="BP138" s="195"/>
      <c r="BQ138" s="195"/>
      <c r="BR138" s="195"/>
      <c r="BS138" s="196">
        <v>76</v>
      </c>
      <c r="BT138" s="197">
        <f t="shared" si="2"/>
        <v>76</v>
      </c>
    </row>
    <row r="139" spans="1:72" ht="15">
      <c r="A139" s="194" t="s">
        <v>250</v>
      </c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>
        <v>20</v>
      </c>
      <c r="AP139" s="195"/>
      <c r="AQ139" s="195"/>
      <c r="AR139" s="195"/>
      <c r="AS139" s="195"/>
      <c r="AT139" s="195"/>
      <c r="AU139" s="195"/>
      <c r="AV139" s="195"/>
      <c r="AW139" s="195"/>
      <c r="AX139" s="195"/>
      <c r="AY139" s="195"/>
      <c r="AZ139" s="195"/>
      <c r="BA139" s="195"/>
      <c r="BB139" s="195"/>
      <c r="BC139" s="195"/>
      <c r="BD139" s="195"/>
      <c r="BE139" s="195"/>
      <c r="BF139" s="195"/>
      <c r="BG139" s="195"/>
      <c r="BH139" s="195">
        <v>380</v>
      </c>
      <c r="BI139" s="195">
        <v>370</v>
      </c>
      <c r="BJ139" s="195"/>
      <c r="BK139" s="195"/>
      <c r="BL139" s="195"/>
      <c r="BM139" s="195"/>
      <c r="BN139" s="195"/>
      <c r="BO139" s="195"/>
      <c r="BP139" s="195"/>
      <c r="BQ139" s="195"/>
      <c r="BR139" s="195"/>
      <c r="BS139" s="196"/>
      <c r="BT139" s="197">
        <f t="shared" si="2"/>
        <v>770</v>
      </c>
    </row>
    <row r="140" spans="1:72" ht="15">
      <c r="A140" s="194" t="s">
        <v>605</v>
      </c>
      <c r="B140" s="195"/>
      <c r="C140" s="195"/>
      <c r="D140" s="195"/>
      <c r="E140" s="195"/>
      <c r="F140" s="195">
        <v>294</v>
      </c>
      <c r="G140" s="195">
        <v>325</v>
      </c>
      <c r="H140" s="195">
        <v>121</v>
      </c>
      <c r="I140" s="195">
        <v>195</v>
      </c>
      <c r="J140" s="195"/>
      <c r="K140" s="195">
        <v>183</v>
      </c>
      <c r="L140" s="195">
        <v>321</v>
      </c>
      <c r="M140" s="195">
        <v>285</v>
      </c>
      <c r="N140" s="195">
        <v>357</v>
      </c>
      <c r="O140" s="195">
        <v>354</v>
      </c>
      <c r="P140" s="195">
        <v>112</v>
      </c>
      <c r="Q140" s="195"/>
      <c r="R140" s="195">
        <v>3</v>
      </c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>
        <v>102</v>
      </c>
      <c r="AE140" s="195"/>
      <c r="AF140" s="195">
        <v>12</v>
      </c>
      <c r="AG140" s="195">
        <v>70</v>
      </c>
      <c r="AH140" s="195"/>
      <c r="AI140" s="195"/>
      <c r="AJ140" s="195"/>
      <c r="AK140" s="195"/>
      <c r="AL140" s="195"/>
      <c r="AM140" s="195"/>
      <c r="AN140" s="195"/>
      <c r="AO140" s="195"/>
      <c r="AP140" s="195"/>
      <c r="AQ140" s="195"/>
      <c r="AR140" s="195"/>
      <c r="AS140" s="195"/>
      <c r="AT140" s="195"/>
      <c r="AU140" s="195"/>
      <c r="AV140" s="195">
        <v>16</v>
      </c>
      <c r="AW140" s="195">
        <v>380</v>
      </c>
      <c r="AX140" s="195">
        <v>380</v>
      </c>
      <c r="AY140" s="195">
        <v>380</v>
      </c>
      <c r="AZ140" s="195"/>
      <c r="BA140" s="195">
        <v>380</v>
      </c>
      <c r="BB140" s="195">
        <v>142</v>
      </c>
      <c r="BC140" s="195"/>
      <c r="BD140" s="195"/>
      <c r="BE140" s="195"/>
      <c r="BF140" s="195"/>
      <c r="BG140" s="195"/>
      <c r="BH140" s="195"/>
      <c r="BI140" s="195"/>
      <c r="BJ140" s="195"/>
      <c r="BK140" s="195"/>
      <c r="BL140" s="195"/>
      <c r="BM140" s="195"/>
      <c r="BN140" s="195"/>
      <c r="BO140" s="195"/>
      <c r="BP140" s="195"/>
      <c r="BQ140" s="195"/>
      <c r="BR140" s="195"/>
      <c r="BS140" s="196"/>
      <c r="BT140" s="197">
        <f t="shared" si="2"/>
        <v>4412</v>
      </c>
    </row>
    <row r="141" spans="1:72" ht="15">
      <c r="A141" s="194" t="s">
        <v>621</v>
      </c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  <c r="AQ141" s="195"/>
      <c r="AR141" s="195"/>
      <c r="AS141" s="195"/>
      <c r="AT141" s="195"/>
      <c r="AU141" s="195"/>
      <c r="AV141" s="195"/>
      <c r="AW141" s="195"/>
      <c r="AX141" s="195"/>
      <c r="AY141" s="195"/>
      <c r="AZ141" s="195"/>
      <c r="BA141" s="195"/>
      <c r="BB141" s="195"/>
      <c r="BC141" s="195"/>
      <c r="BD141" s="195"/>
      <c r="BE141" s="195"/>
      <c r="BF141" s="195"/>
      <c r="BG141" s="195"/>
      <c r="BH141" s="195"/>
      <c r="BI141" s="195"/>
      <c r="BJ141" s="195">
        <v>380</v>
      </c>
      <c r="BK141" s="195">
        <v>370</v>
      </c>
      <c r="BL141" s="195"/>
      <c r="BM141" s="195"/>
      <c r="BN141" s="195"/>
      <c r="BO141" s="195"/>
      <c r="BP141" s="195"/>
      <c r="BQ141" s="195"/>
      <c r="BR141" s="195"/>
      <c r="BS141" s="196"/>
      <c r="BT141" s="197">
        <f t="shared" si="2"/>
        <v>750</v>
      </c>
    </row>
    <row r="142" spans="1:72" ht="15">
      <c r="A142" s="194" t="s">
        <v>615</v>
      </c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>
        <v>102</v>
      </c>
      <c r="Q142" s="195"/>
      <c r="R142" s="195">
        <v>244</v>
      </c>
      <c r="S142" s="195">
        <v>4</v>
      </c>
      <c r="T142" s="195"/>
      <c r="U142" s="195"/>
      <c r="V142" s="195"/>
      <c r="W142" s="195"/>
      <c r="X142" s="195"/>
      <c r="Y142" s="195">
        <v>39</v>
      </c>
      <c r="Z142" s="195">
        <v>93</v>
      </c>
      <c r="AA142" s="195">
        <v>207</v>
      </c>
      <c r="AB142" s="195">
        <v>291</v>
      </c>
      <c r="AC142" s="195">
        <v>313</v>
      </c>
      <c r="AD142" s="195">
        <v>105</v>
      </c>
      <c r="AE142" s="195"/>
      <c r="AF142" s="195"/>
      <c r="AG142" s="195">
        <v>102</v>
      </c>
      <c r="AH142" s="195">
        <v>177</v>
      </c>
      <c r="AI142" s="195">
        <v>1</v>
      </c>
      <c r="AJ142" s="195"/>
      <c r="AK142" s="195"/>
      <c r="AL142" s="195"/>
      <c r="AM142" s="195"/>
      <c r="AN142" s="195"/>
      <c r="AO142" s="195">
        <v>150</v>
      </c>
      <c r="AP142" s="195">
        <v>380</v>
      </c>
      <c r="AQ142" s="195">
        <v>380</v>
      </c>
      <c r="AR142" s="195">
        <v>90</v>
      </c>
      <c r="AS142" s="195"/>
      <c r="AT142" s="195"/>
      <c r="AU142" s="195"/>
      <c r="AV142" s="195">
        <v>322</v>
      </c>
      <c r="AW142" s="195"/>
      <c r="AX142" s="195"/>
      <c r="AY142" s="195"/>
      <c r="AZ142" s="195"/>
      <c r="BA142" s="195"/>
      <c r="BB142" s="195"/>
      <c r="BC142" s="195"/>
      <c r="BD142" s="195"/>
      <c r="BE142" s="195"/>
      <c r="BF142" s="195"/>
      <c r="BG142" s="195"/>
      <c r="BH142" s="195"/>
      <c r="BI142" s="195"/>
      <c r="BJ142" s="195"/>
      <c r="BK142" s="195"/>
      <c r="BL142" s="195"/>
      <c r="BM142" s="195"/>
      <c r="BN142" s="195"/>
      <c r="BO142" s="195"/>
      <c r="BP142" s="195"/>
      <c r="BQ142" s="195"/>
      <c r="BR142" s="195"/>
      <c r="BS142" s="196"/>
      <c r="BT142" s="197">
        <f t="shared" si="2"/>
        <v>3000</v>
      </c>
    </row>
    <row r="143" spans="1:72" ht="15">
      <c r="A143" s="194" t="s">
        <v>650</v>
      </c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  <c r="AQ143" s="195"/>
      <c r="AR143" s="195"/>
      <c r="AS143" s="195"/>
      <c r="AT143" s="195"/>
      <c r="AU143" s="195"/>
      <c r="AV143" s="195"/>
      <c r="AW143" s="195"/>
      <c r="AX143" s="195"/>
      <c r="AY143" s="195"/>
      <c r="AZ143" s="195"/>
      <c r="BA143" s="195"/>
      <c r="BB143" s="195"/>
      <c r="BC143" s="195"/>
      <c r="BD143" s="195"/>
      <c r="BE143" s="195"/>
      <c r="BF143" s="195"/>
      <c r="BG143" s="195"/>
      <c r="BH143" s="195"/>
      <c r="BI143" s="195"/>
      <c r="BJ143" s="195"/>
      <c r="BK143" s="195">
        <v>2</v>
      </c>
      <c r="BL143" s="195"/>
      <c r="BM143" s="195"/>
      <c r="BN143" s="195"/>
      <c r="BO143" s="195"/>
      <c r="BP143" s="195"/>
      <c r="BQ143" s="195"/>
      <c r="BR143" s="195"/>
      <c r="BS143" s="196"/>
      <c r="BT143" s="197">
        <f t="shared" si="2"/>
        <v>2</v>
      </c>
    </row>
    <row r="144" spans="1:72" ht="15">
      <c r="A144" s="194" t="s">
        <v>651</v>
      </c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  <c r="AQ144" s="195"/>
      <c r="AR144" s="195"/>
      <c r="AS144" s="195"/>
      <c r="AT144" s="195"/>
      <c r="AU144" s="195"/>
      <c r="AV144" s="195"/>
      <c r="AW144" s="195"/>
      <c r="AX144" s="195"/>
      <c r="AY144" s="195"/>
      <c r="AZ144" s="195"/>
      <c r="BA144" s="195"/>
      <c r="BB144" s="195"/>
      <c r="BC144" s="195">
        <v>1</v>
      </c>
      <c r="BD144" s="195"/>
      <c r="BE144" s="195"/>
      <c r="BF144" s="195"/>
      <c r="BG144" s="195"/>
      <c r="BH144" s="195"/>
      <c r="BI144" s="195"/>
      <c r="BJ144" s="195"/>
      <c r="BK144" s="195"/>
      <c r="BL144" s="195"/>
      <c r="BM144" s="195"/>
      <c r="BN144" s="195"/>
      <c r="BO144" s="195"/>
      <c r="BP144" s="195"/>
      <c r="BQ144" s="195"/>
      <c r="BR144" s="195"/>
      <c r="BS144" s="196"/>
      <c r="BT144" s="197">
        <f t="shared" si="2"/>
        <v>1</v>
      </c>
    </row>
  </sheetData>
  <autoFilter ref="A1:BT144" xr:uid="{00000000-0009-0000-0000-000001000000}"/>
  <phoneticPr fontId="9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AK624"/>
  <sheetViews>
    <sheetView showGridLines="0" zoomScale="85" zoomScaleNormal="85" zoomScaleSheetLayoutView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D13" sqref="D13"/>
    </sheetView>
  </sheetViews>
  <sheetFormatPr defaultColWidth="8.58203125" defaultRowHeight="16.5" outlineLevelCol="1"/>
  <cols>
    <col min="1" max="1" width="11.58203125" style="89" customWidth="1"/>
    <col min="2" max="2" width="29.5" style="89" customWidth="1"/>
    <col min="3" max="3" width="31.33203125" style="90" customWidth="1" outlineLevel="1"/>
    <col min="4" max="4" width="29.6640625" style="89" customWidth="1" outlineLevel="1"/>
    <col min="5" max="5" width="8.1640625" style="90" customWidth="1"/>
    <col min="6" max="6" width="8.5" style="90" customWidth="1"/>
    <col min="7" max="7" width="7.1640625" style="91" customWidth="1"/>
    <col min="8" max="8" width="7.1640625" style="91" customWidth="1" outlineLevel="1"/>
    <col min="9" max="10" width="5.33203125" style="92" customWidth="1" outlineLevel="1"/>
    <col min="11" max="11" width="5.83203125" style="92" customWidth="1" outlineLevel="1"/>
    <col min="12" max="12" width="7.1640625" style="92" customWidth="1" outlineLevel="1"/>
    <col min="13" max="13" width="7.33203125" style="92" customWidth="1" outlineLevel="1"/>
    <col min="14" max="14" width="7.1640625" style="92" customWidth="1" outlineLevel="1"/>
    <col min="15" max="18" width="8.58203125" style="92" customWidth="1" outlineLevel="1"/>
    <col min="19" max="26" width="7.1640625" style="92" customWidth="1" outlineLevel="1"/>
    <col min="27" max="29" width="5.6640625" style="92" customWidth="1" outlineLevel="1"/>
    <col min="30" max="30" width="7.83203125" style="92" customWidth="1" outlineLevel="1"/>
    <col min="31" max="31" width="7.1640625" style="92" customWidth="1" outlineLevel="1"/>
    <col min="32" max="32" width="6.5" style="92" customWidth="1" outlineLevel="1"/>
    <col min="33" max="33" width="7.1640625" style="92" customWidth="1" outlineLevel="1"/>
    <col min="34" max="34" width="8.1640625" style="92" customWidth="1" outlineLevel="1"/>
    <col min="35" max="35" width="7.1640625" style="92" customWidth="1"/>
    <col min="36" max="36" width="15.5" style="29" customWidth="1"/>
    <col min="37" max="16384" width="8.58203125" style="37"/>
  </cols>
  <sheetData>
    <row r="1" spans="1:35" ht="19.5" customHeight="1">
      <c r="A1" s="25"/>
      <c r="B1" s="25"/>
      <c r="C1" s="26"/>
      <c r="D1" s="25"/>
      <c r="E1" s="25"/>
      <c r="F1" s="25"/>
      <c r="G1" s="27"/>
      <c r="H1" s="27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35" ht="19.5" customHeight="1">
      <c r="A2" s="30" t="s">
        <v>275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ht="19.5" customHeight="1">
      <c r="A3" s="225" t="s">
        <v>276</v>
      </c>
      <c r="B3" s="225" t="s">
        <v>277</v>
      </c>
      <c r="C3" s="225" t="s">
        <v>278</v>
      </c>
      <c r="D3" s="225" t="s">
        <v>279</v>
      </c>
      <c r="E3" s="225" t="s">
        <v>280</v>
      </c>
      <c r="F3" s="225" t="s">
        <v>281</v>
      </c>
      <c r="G3" s="224" t="s">
        <v>273</v>
      </c>
      <c r="H3" s="225" t="s">
        <v>282</v>
      </c>
      <c r="I3" s="225"/>
      <c r="J3" s="225"/>
      <c r="K3" s="225"/>
      <c r="L3" s="225"/>
      <c r="M3" s="225"/>
      <c r="N3" s="219" t="s">
        <v>283</v>
      </c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22" t="s">
        <v>284</v>
      </c>
      <c r="AI3" s="223" t="s">
        <v>285</v>
      </c>
    </row>
    <row r="4" spans="1:35" ht="15" customHeight="1">
      <c r="A4" s="225"/>
      <c r="B4" s="225"/>
      <c r="C4" s="225"/>
      <c r="D4" s="225"/>
      <c r="E4" s="225"/>
      <c r="F4" s="225"/>
      <c r="G4" s="224"/>
      <c r="H4" s="225" t="s">
        <v>286</v>
      </c>
      <c r="I4" s="225"/>
      <c r="J4" s="225"/>
      <c r="K4" s="225"/>
      <c r="L4" s="225"/>
      <c r="M4" s="225"/>
      <c r="N4" s="219" t="s">
        <v>287</v>
      </c>
      <c r="O4" s="219"/>
      <c r="P4" s="219"/>
      <c r="Q4" s="219"/>
      <c r="R4" s="219"/>
      <c r="S4" s="219"/>
      <c r="T4" s="219"/>
      <c r="U4" s="219" t="s">
        <v>288</v>
      </c>
      <c r="V4" s="219"/>
      <c r="W4" s="219"/>
      <c r="X4" s="219"/>
      <c r="Y4" s="219"/>
      <c r="Z4" s="219" t="s">
        <v>289</v>
      </c>
      <c r="AA4" s="219"/>
      <c r="AB4" s="219"/>
      <c r="AC4" s="219"/>
      <c r="AD4" s="219"/>
      <c r="AE4" s="219"/>
      <c r="AF4" s="221" t="s">
        <v>290</v>
      </c>
      <c r="AG4" s="221" t="s">
        <v>285</v>
      </c>
      <c r="AH4" s="222"/>
      <c r="AI4" s="223"/>
    </row>
    <row r="5" spans="1:35">
      <c r="A5" s="225"/>
      <c r="B5" s="225"/>
      <c r="C5" s="225"/>
      <c r="D5" s="225"/>
      <c r="E5" s="225"/>
      <c r="F5" s="225"/>
      <c r="G5" s="224"/>
      <c r="H5" s="224" t="s">
        <v>291</v>
      </c>
      <c r="I5" s="219" t="s">
        <v>292</v>
      </c>
      <c r="J5" s="219"/>
      <c r="K5" s="219"/>
      <c r="L5" s="219" t="s">
        <v>293</v>
      </c>
      <c r="M5" s="219" t="s">
        <v>294</v>
      </c>
      <c r="N5" s="219" t="s">
        <v>291</v>
      </c>
      <c r="O5" s="219" t="s">
        <v>292</v>
      </c>
      <c r="P5" s="219"/>
      <c r="Q5" s="219"/>
      <c r="R5" s="219"/>
      <c r="S5" s="219" t="s">
        <v>293</v>
      </c>
      <c r="T5" s="219" t="s">
        <v>294</v>
      </c>
      <c r="U5" s="219" t="s">
        <v>291</v>
      </c>
      <c r="V5" s="219" t="s">
        <v>292</v>
      </c>
      <c r="W5" s="219"/>
      <c r="X5" s="219" t="s">
        <v>293</v>
      </c>
      <c r="Y5" s="219" t="s">
        <v>294</v>
      </c>
      <c r="Z5" s="219" t="s">
        <v>291</v>
      </c>
      <c r="AA5" s="219" t="s">
        <v>292</v>
      </c>
      <c r="AB5" s="219"/>
      <c r="AC5" s="219"/>
      <c r="AD5" s="219" t="s">
        <v>293</v>
      </c>
      <c r="AE5" s="219" t="s">
        <v>294</v>
      </c>
      <c r="AF5" s="221"/>
      <c r="AG5" s="221"/>
      <c r="AH5" s="222"/>
      <c r="AI5" s="223"/>
    </row>
    <row r="6" spans="1:35">
      <c r="A6" s="225"/>
      <c r="B6" s="225"/>
      <c r="C6" s="225"/>
      <c r="D6" s="225"/>
      <c r="E6" s="225"/>
      <c r="F6" s="225"/>
      <c r="G6" s="224"/>
      <c r="H6" s="224"/>
      <c r="I6" s="32" t="s">
        <v>295</v>
      </c>
      <c r="J6" s="32" t="s">
        <v>296</v>
      </c>
      <c r="K6" s="32" t="s">
        <v>297</v>
      </c>
      <c r="L6" s="219"/>
      <c r="M6" s="219"/>
      <c r="N6" s="219"/>
      <c r="O6" s="32" t="s">
        <v>298</v>
      </c>
      <c r="P6" s="32" t="s">
        <v>295</v>
      </c>
      <c r="Q6" s="32" t="s">
        <v>296</v>
      </c>
      <c r="R6" s="32" t="s">
        <v>297</v>
      </c>
      <c r="S6" s="219"/>
      <c r="T6" s="219"/>
      <c r="U6" s="219"/>
      <c r="V6" s="32" t="s">
        <v>295</v>
      </c>
      <c r="W6" s="32" t="s">
        <v>296</v>
      </c>
      <c r="X6" s="219"/>
      <c r="Y6" s="219"/>
      <c r="Z6" s="219"/>
      <c r="AA6" s="32" t="s">
        <v>295</v>
      </c>
      <c r="AB6" s="32" t="s">
        <v>296</v>
      </c>
      <c r="AC6" s="32" t="s">
        <v>297</v>
      </c>
      <c r="AD6" s="219"/>
      <c r="AE6" s="219"/>
      <c r="AF6" s="219"/>
      <c r="AG6" s="219"/>
      <c r="AH6" s="222"/>
      <c r="AI6" s="223"/>
    </row>
    <row r="7" spans="1:35">
      <c r="A7" s="33" t="s">
        <v>299</v>
      </c>
      <c r="B7" s="33" t="s">
        <v>300</v>
      </c>
      <c r="C7" s="34" t="s">
        <v>301</v>
      </c>
      <c r="D7" s="34" t="str">
        <f>C7&amp;"("&amp;F7&amp;")"</f>
        <v>M32TWAM22FH-.AMT32C1(D901)</v>
      </c>
      <c r="E7" s="33" t="s">
        <v>7</v>
      </c>
      <c r="F7" s="33" t="s">
        <v>7</v>
      </c>
      <c r="G7" s="35">
        <v>250</v>
      </c>
      <c r="H7" s="35">
        <v>24</v>
      </c>
      <c r="I7" s="36">
        <v>1</v>
      </c>
      <c r="J7" s="36">
        <v>1</v>
      </c>
      <c r="K7" s="36">
        <v>3</v>
      </c>
      <c r="L7" s="36">
        <f t="shared" ref="L7:L70" si="0">SUM(H7:K7)</f>
        <v>29</v>
      </c>
      <c r="M7" s="36">
        <f t="shared" ref="M7:M70" si="1">60*L7/G7</f>
        <v>6.96</v>
      </c>
      <c r="N7" s="36">
        <v>26</v>
      </c>
      <c r="O7" s="36">
        <v>1</v>
      </c>
      <c r="P7" s="36">
        <v>1</v>
      </c>
      <c r="Q7" s="36">
        <v>1</v>
      </c>
      <c r="R7" s="36">
        <v>2</v>
      </c>
      <c r="S7" s="36">
        <f t="shared" ref="S7:S70" si="2">SUM(N7:R7)</f>
        <v>31</v>
      </c>
      <c r="T7" s="36">
        <f t="shared" ref="T7:T70" si="3">60*S7/G7</f>
        <v>7.44</v>
      </c>
      <c r="U7" s="36">
        <v>8</v>
      </c>
      <c r="V7" s="36">
        <v>1</v>
      </c>
      <c r="W7" s="36">
        <v>1</v>
      </c>
      <c r="X7" s="36">
        <f t="shared" ref="X7:X70" si="4">SUM(U7:W7)</f>
        <v>10</v>
      </c>
      <c r="Y7" s="36">
        <f t="shared" ref="Y7:Y70" si="5">60*X7/G7</f>
        <v>2.4</v>
      </c>
      <c r="Z7" s="36">
        <v>22</v>
      </c>
      <c r="AA7" s="36">
        <v>1</v>
      </c>
      <c r="AB7" s="36">
        <v>1</v>
      </c>
      <c r="AC7" s="36">
        <v>1</v>
      </c>
      <c r="AD7" s="36">
        <f t="shared" ref="AD7:AD70" si="6">SUM(Z7:AC7)</f>
        <v>25</v>
      </c>
      <c r="AE7" s="36">
        <f t="shared" ref="AE7:AE70" si="7">60*AD7/G7</f>
        <v>6</v>
      </c>
      <c r="AF7" s="36">
        <f t="shared" ref="AF7:AG37" si="8">SUM(S7,X7,AD7)</f>
        <v>66</v>
      </c>
      <c r="AG7" s="36">
        <f t="shared" si="8"/>
        <v>15.84</v>
      </c>
      <c r="AH7" s="36">
        <f t="shared" ref="AH7:AI37" si="9">SUM(L7,AF7)</f>
        <v>95</v>
      </c>
      <c r="AI7" s="36">
        <f t="shared" si="9"/>
        <v>22.8</v>
      </c>
    </row>
    <row r="8" spans="1:35">
      <c r="A8" s="33" t="s">
        <v>299</v>
      </c>
      <c r="B8" s="33" t="s">
        <v>300</v>
      </c>
      <c r="C8" s="34" t="s">
        <v>301</v>
      </c>
      <c r="D8" s="34" t="str">
        <f t="shared" ref="D8:D33" si="10">C8&amp;"("&amp;F8&amp;")"</f>
        <v>M32TWAM22FH-.AMT32C1(D902)</v>
      </c>
      <c r="E8" s="33" t="s">
        <v>10</v>
      </c>
      <c r="F8" s="33" t="s">
        <v>10</v>
      </c>
      <c r="G8" s="35">
        <v>250</v>
      </c>
      <c r="H8" s="35">
        <v>24</v>
      </c>
      <c r="I8" s="36">
        <v>1</v>
      </c>
      <c r="J8" s="36">
        <v>1</v>
      </c>
      <c r="K8" s="36">
        <v>3</v>
      </c>
      <c r="L8" s="36">
        <f t="shared" si="0"/>
        <v>29</v>
      </c>
      <c r="M8" s="36">
        <f t="shared" si="1"/>
        <v>6.96</v>
      </c>
      <c r="N8" s="36">
        <v>26</v>
      </c>
      <c r="O8" s="36">
        <v>1</v>
      </c>
      <c r="P8" s="36">
        <v>1</v>
      </c>
      <c r="Q8" s="36">
        <v>1</v>
      </c>
      <c r="R8" s="36">
        <v>2</v>
      </c>
      <c r="S8" s="36">
        <f t="shared" si="2"/>
        <v>31</v>
      </c>
      <c r="T8" s="36">
        <f t="shared" si="3"/>
        <v>7.44</v>
      </c>
      <c r="U8" s="36">
        <v>8</v>
      </c>
      <c r="V8" s="36">
        <v>1</v>
      </c>
      <c r="W8" s="36">
        <v>1</v>
      </c>
      <c r="X8" s="36">
        <f t="shared" si="4"/>
        <v>10</v>
      </c>
      <c r="Y8" s="36">
        <f t="shared" si="5"/>
        <v>2.4</v>
      </c>
      <c r="Z8" s="36">
        <v>22</v>
      </c>
      <c r="AA8" s="36">
        <v>1</v>
      </c>
      <c r="AB8" s="36">
        <v>1</v>
      </c>
      <c r="AC8" s="36">
        <v>1</v>
      </c>
      <c r="AD8" s="36">
        <f t="shared" si="6"/>
        <v>25</v>
      </c>
      <c r="AE8" s="36">
        <f t="shared" si="7"/>
        <v>6</v>
      </c>
      <c r="AF8" s="36">
        <f t="shared" si="8"/>
        <v>66</v>
      </c>
      <c r="AG8" s="36">
        <f t="shared" si="8"/>
        <v>15.84</v>
      </c>
      <c r="AH8" s="36">
        <f t="shared" si="9"/>
        <v>95</v>
      </c>
      <c r="AI8" s="36">
        <f t="shared" si="9"/>
        <v>22.8</v>
      </c>
    </row>
    <row r="9" spans="1:35">
      <c r="A9" s="33" t="s">
        <v>299</v>
      </c>
      <c r="B9" s="33" t="s">
        <v>300</v>
      </c>
      <c r="C9" s="34" t="s">
        <v>302</v>
      </c>
      <c r="D9" s="34" t="str">
        <f t="shared" si="10"/>
        <v>M32TWAM22AH-.AMT32C1(D901)</v>
      </c>
      <c r="E9" s="33" t="s">
        <v>7</v>
      </c>
      <c r="F9" s="33" t="s">
        <v>7</v>
      </c>
      <c r="G9" s="35">
        <v>250</v>
      </c>
      <c r="H9" s="35">
        <v>24</v>
      </c>
      <c r="I9" s="36">
        <v>1</v>
      </c>
      <c r="J9" s="36">
        <v>1</v>
      </c>
      <c r="K9" s="36">
        <v>3</v>
      </c>
      <c r="L9" s="36">
        <f t="shared" si="0"/>
        <v>29</v>
      </c>
      <c r="M9" s="36">
        <f t="shared" si="1"/>
        <v>6.96</v>
      </c>
      <c r="N9" s="36">
        <v>26</v>
      </c>
      <c r="O9" s="36">
        <v>1</v>
      </c>
      <c r="P9" s="36">
        <v>1</v>
      </c>
      <c r="Q9" s="36">
        <v>1</v>
      </c>
      <c r="R9" s="36">
        <v>2</v>
      </c>
      <c r="S9" s="36">
        <f t="shared" si="2"/>
        <v>31</v>
      </c>
      <c r="T9" s="36">
        <f t="shared" si="3"/>
        <v>7.44</v>
      </c>
      <c r="U9" s="36">
        <v>8</v>
      </c>
      <c r="V9" s="36">
        <v>1</v>
      </c>
      <c r="W9" s="36">
        <v>1</v>
      </c>
      <c r="X9" s="36">
        <f t="shared" si="4"/>
        <v>10</v>
      </c>
      <c r="Y9" s="36">
        <f t="shared" si="5"/>
        <v>2.4</v>
      </c>
      <c r="Z9" s="36">
        <v>22</v>
      </c>
      <c r="AA9" s="36">
        <v>1</v>
      </c>
      <c r="AB9" s="36">
        <v>1</v>
      </c>
      <c r="AC9" s="36">
        <v>1</v>
      </c>
      <c r="AD9" s="36">
        <f t="shared" si="6"/>
        <v>25</v>
      </c>
      <c r="AE9" s="36">
        <f t="shared" si="7"/>
        <v>6</v>
      </c>
      <c r="AF9" s="36">
        <f t="shared" si="8"/>
        <v>66</v>
      </c>
      <c r="AG9" s="36">
        <f t="shared" si="8"/>
        <v>15.84</v>
      </c>
      <c r="AH9" s="36">
        <f t="shared" si="9"/>
        <v>95</v>
      </c>
      <c r="AI9" s="36">
        <f t="shared" si="9"/>
        <v>22.8</v>
      </c>
    </row>
    <row r="10" spans="1:35">
      <c r="A10" s="33" t="s">
        <v>299</v>
      </c>
      <c r="B10" s="33" t="s">
        <v>300</v>
      </c>
      <c r="C10" s="34" t="s">
        <v>302</v>
      </c>
      <c r="D10" s="34" t="str">
        <f t="shared" si="10"/>
        <v>M32TWAM22AH-.AMT32C1(D902)</v>
      </c>
      <c r="E10" s="33" t="s">
        <v>10</v>
      </c>
      <c r="F10" s="33" t="s">
        <v>10</v>
      </c>
      <c r="G10" s="35">
        <v>250</v>
      </c>
      <c r="H10" s="35">
        <v>24</v>
      </c>
      <c r="I10" s="36">
        <v>1</v>
      </c>
      <c r="J10" s="36">
        <v>1</v>
      </c>
      <c r="K10" s="36">
        <v>3</v>
      </c>
      <c r="L10" s="36">
        <f t="shared" si="0"/>
        <v>29</v>
      </c>
      <c r="M10" s="36">
        <f t="shared" si="1"/>
        <v>6.96</v>
      </c>
      <c r="N10" s="36">
        <v>26</v>
      </c>
      <c r="O10" s="36">
        <v>1</v>
      </c>
      <c r="P10" s="36">
        <v>1</v>
      </c>
      <c r="Q10" s="36">
        <v>1</v>
      </c>
      <c r="R10" s="36">
        <v>2</v>
      </c>
      <c r="S10" s="36">
        <f t="shared" si="2"/>
        <v>31</v>
      </c>
      <c r="T10" s="36">
        <f t="shared" si="3"/>
        <v>7.44</v>
      </c>
      <c r="U10" s="36">
        <v>8</v>
      </c>
      <c r="V10" s="36">
        <v>1</v>
      </c>
      <c r="W10" s="36">
        <v>1</v>
      </c>
      <c r="X10" s="36">
        <f t="shared" si="4"/>
        <v>10</v>
      </c>
      <c r="Y10" s="36">
        <f t="shared" si="5"/>
        <v>2.4</v>
      </c>
      <c r="Z10" s="36">
        <v>22</v>
      </c>
      <c r="AA10" s="36">
        <v>1</v>
      </c>
      <c r="AB10" s="36">
        <v>1</v>
      </c>
      <c r="AC10" s="36">
        <v>1</v>
      </c>
      <c r="AD10" s="36">
        <f t="shared" si="6"/>
        <v>25</v>
      </c>
      <c r="AE10" s="36">
        <f t="shared" si="7"/>
        <v>6</v>
      </c>
      <c r="AF10" s="36">
        <f t="shared" si="8"/>
        <v>66</v>
      </c>
      <c r="AG10" s="36">
        <f t="shared" si="8"/>
        <v>15.84</v>
      </c>
      <c r="AH10" s="36">
        <f t="shared" si="9"/>
        <v>95</v>
      </c>
      <c r="AI10" s="36">
        <f t="shared" si="9"/>
        <v>22.8</v>
      </c>
    </row>
    <row r="11" spans="1:35">
      <c r="A11" s="33" t="s">
        <v>299</v>
      </c>
      <c r="B11" s="33" t="s">
        <v>300</v>
      </c>
      <c r="C11" s="34" t="s">
        <v>16</v>
      </c>
      <c r="D11" s="34" t="str">
        <f t="shared" si="10"/>
        <v>M32TWAM22EH-.AMT32C1(D901)</v>
      </c>
      <c r="E11" s="33" t="s">
        <v>7</v>
      </c>
      <c r="F11" s="33" t="s">
        <v>7</v>
      </c>
      <c r="G11" s="35">
        <v>250</v>
      </c>
      <c r="H11" s="35">
        <v>24</v>
      </c>
      <c r="I11" s="36">
        <v>1</v>
      </c>
      <c r="J11" s="36">
        <v>1</v>
      </c>
      <c r="K11" s="36">
        <v>3</v>
      </c>
      <c r="L11" s="36">
        <f t="shared" si="0"/>
        <v>29</v>
      </c>
      <c r="M11" s="36">
        <f t="shared" si="1"/>
        <v>6.96</v>
      </c>
      <c r="N11" s="36">
        <v>26</v>
      </c>
      <c r="O11" s="36">
        <v>1</v>
      </c>
      <c r="P11" s="36">
        <v>1</v>
      </c>
      <c r="Q11" s="36">
        <v>1</v>
      </c>
      <c r="R11" s="36">
        <v>2</v>
      </c>
      <c r="S11" s="36">
        <f t="shared" si="2"/>
        <v>31</v>
      </c>
      <c r="T11" s="36">
        <f t="shared" si="3"/>
        <v>7.44</v>
      </c>
      <c r="U11" s="36">
        <v>8</v>
      </c>
      <c r="V11" s="36">
        <v>1</v>
      </c>
      <c r="W11" s="36">
        <v>1</v>
      </c>
      <c r="X11" s="36">
        <f t="shared" si="4"/>
        <v>10</v>
      </c>
      <c r="Y11" s="36">
        <f t="shared" si="5"/>
        <v>2.4</v>
      </c>
      <c r="Z11" s="36">
        <v>22</v>
      </c>
      <c r="AA11" s="36">
        <v>1</v>
      </c>
      <c r="AB11" s="36">
        <v>1</v>
      </c>
      <c r="AC11" s="36">
        <v>1</v>
      </c>
      <c r="AD11" s="36">
        <f t="shared" si="6"/>
        <v>25</v>
      </c>
      <c r="AE11" s="36">
        <f t="shared" si="7"/>
        <v>6</v>
      </c>
      <c r="AF11" s="36">
        <f t="shared" si="8"/>
        <v>66</v>
      </c>
      <c r="AG11" s="36">
        <f t="shared" si="8"/>
        <v>15.84</v>
      </c>
      <c r="AH11" s="36">
        <f t="shared" si="9"/>
        <v>95</v>
      </c>
      <c r="AI11" s="36">
        <f t="shared" si="9"/>
        <v>22.8</v>
      </c>
    </row>
    <row r="12" spans="1:35">
      <c r="A12" s="33" t="s">
        <v>299</v>
      </c>
      <c r="B12" s="33" t="s">
        <v>300</v>
      </c>
      <c r="C12" s="34" t="s">
        <v>44</v>
      </c>
      <c r="D12" s="34" t="str">
        <f>C12&amp;"("&amp;F12&amp;")"</f>
        <v>M32TWAM22EH-.AMT32C2(D901)</v>
      </c>
      <c r="E12" s="33" t="s">
        <v>7</v>
      </c>
      <c r="F12" s="33" t="s">
        <v>7</v>
      </c>
      <c r="G12" s="35">
        <v>250</v>
      </c>
      <c r="H12" s="35">
        <v>24</v>
      </c>
      <c r="I12" s="36">
        <v>1</v>
      </c>
      <c r="J12" s="36">
        <v>1</v>
      </c>
      <c r="K12" s="36">
        <v>3</v>
      </c>
      <c r="L12" s="36">
        <f t="shared" si="0"/>
        <v>29</v>
      </c>
      <c r="M12" s="36">
        <f t="shared" si="1"/>
        <v>6.96</v>
      </c>
      <c r="N12" s="36">
        <v>26</v>
      </c>
      <c r="O12" s="36">
        <v>1</v>
      </c>
      <c r="P12" s="36">
        <v>1</v>
      </c>
      <c r="Q12" s="36">
        <v>1</v>
      </c>
      <c r="R12" s="36">
        <v>2</v>
      </c>
      <c r="S12" s="36">
        <f t="shared" si="2"/>
        <v>31</v>
      </c>
      <c r="T12" s="36">
        <f t="shared" si="3"/>
        <v>7.44</v>
      </c>
      <c r="U12" s="36">
        <v>8</v>
      </c>
      <c r="V12" s="36">
        <v>1</v>
      </c>
      <c r="W12" s="36">
        <v>1</v>
      </c>
      <c r="X12" s="36">
        <f t="shared" si="4"/>
        <v>10</v>
      </c>
      <c r="Y12" s="36">
        <f t="shared" si="5"/>
        <v>2.4</v>
      </c>
      <c r="Z12" s="36">
        <v>22</v>
      </c>
      <c r="AA12" s="36">
        <v>1</v>
      </c>
      <c r="AB12" s="36">
        <v>1</v>
      </c>
      <c r="AC12" s="36">
        <v>1</v>
      </c>
      <c r="AD12" s="36">
        <f t="shared" si="6"/>
        <v>25</v>
      </c>
      <c r="AE12" s="36">
        <f t="shared" si="7"/>
        <v>6</v>
      </c>
      <c r="AF12" s="36">
        <f t="shared" si="8"/>
        <v>66</v>
      </c>
      <c r="AG12" s="36">
        <f t="shared" si="8"/>
        <v>15.84</v>
      </c>
      <c r="AH12" s="36">
        <f t="shared" si="9"/>
        <v>95</v>
      </c>
      <c r="AI12" s="36">
        <f t="shared" si="9"/>
        <v>22.8</v>
      </c>
    </row>
    <row r="13" spans="1:35">
      <c r="A13" s="33" t="s">
        <v>299</v>
      </c>
      <c r="B13" s="33" t="s">
        <v>300</v>
      </c>
      <c r="C13" s="34" t="s">
        <v>44</v>
      </c>
      <c r="D13" s="34" t="str">
        <f>C13&amp;"("&amp;F13&amp;")"</f>
        <v>M32TWAM22EH-.AMT32C2(D902)</v>
      </c>
      <c r="E13" s="33" t="s">
        <v>10</v>
      </c>
      <c r="F13" s="33" t="s">
        <v>10</v>
      </c>
      <c r="G13" s="35">
        <v>250</v>
      </c>
      <c r="H13" s="35">
        <v>24</v>
      </c>
      <c r="I13" s="36">
        <v>1</v>
      </c>
      <c r="J13" s="36">
        <v>1</v>
      </c>
      <c r="K13" s="36">
        <v>3</v>
      </c>
      <c r="L13" s="36">
        <f t="shared" si="0"/>
        <v>29</v>
      </c>
      <c r="M13" s="36">
        <f t="shared" si="1"/>
        <v>6.96</v>
      </c>
      <c r="N13" s="36">
        <v>26</v>
      </c>
      <c r="O13" s="36">
        <v>1</v>
      </c>
      <c r="P13" s="36">
        <v>1</v>
      </c>
      <c r="Q13" s="36">
        <v>1</v>
      </c>
      <c r="R13" s="36">
        <v>2</v>
      </c>
      <c r="S13" s="36">
        <f t="shared" si="2"/>
        <v>31</v>
      </c>
      <c r="T13" s="36">
        <f t="shared" si="3"/>
        <v>7.44</v>
      </c>
      <c r="U13" s="36">
        <v>8</v>
      </c>
      <c r="V13" s="36">
        <v>1</v>
      </c>
      <c r="W13" s="36">
        <v>1</v>
      </c>
      <c r="X13" s="36">
        <f t="shared" si="4"/>
        <v>10</v>
      </c>
      <c r="Y13" s="36">
        <f t="shared" si="5"/>
        <v>2.4</v>
      </c>
      <c r="Z13" s="36">
        <v>22</v>
      </c>
      <c r="AA13" s="36">
        <v>1</v>
      </c>
      <c r="AB13" s="36">
        <v>1</v>
      </c>
      <c r="AC13" s="36">
        <v>1</v>
      </c>
      <c r="AD13" s="36">
        <f t="shared" si="6"/>
        <v>25</v>
      </c>
      <c r="AE13" s="36">
        <f t="shared" si="7"/>
        <v>6</v>
      </c>
      <c r="AF13" s="36">
        <f t="shared" si="8"/>
        <v>66</v>
      </c>
      <c r="AG13" s="36">
        <f t="shared" si="8"/>
        <v>15.84</v>
      </c>
      <c r="AH13" s="36">
        <f t="shared" si="9"/>
        <v>95</v>
      </c>
      <c r="AI13" s="36">
        <f t="shared" si="9"/>
        <v>22.8</v>
      </c>
    </row>
    <row r="14" spans="1:35">
      <c r="A14" s="33" t="s">
        <v>299</v>
      </c>
      <c r="B14" s="33" t="s">
        <v>300</v>
      </c>
      <c r="C14" s="34" t="s">
        <v>16</v>
      </c>
      <c r="D14" s="34" t="str">
        <f t="shared" si="10"/>
        <v>M32TWAM22EH-.AMT32C1(D902)</v>
      </c>
      <c r="E14" s="33" t="s">
        <v>10</v>
      </c>
      <c r="F14" s="33" t="s">
        <v>10</v>
      </c>
      <c r="G14" s="35">
        <v>250</v>
      </c>
      <c r="H14" s="35">
        <v>24</v>
      </c>
      <c r="I14" s="36">
        <v>1</v>
      </c>
      <c r="J14" s="36">
        <v>1</v>
      </c>
      <c r="K14" s="36">
        <v>3</v>
      </c>
      <c r="L14" s="36">
        <f t="shared" si="0"/>
        <v>29</v>
      </c>
      <c r="M14" s="36">
        <f t="shared" si="1"/>
        <v>6.96</v>
      </c>
      <c r="N14" s="36">
        <v>26</v>
      </c>
      <c r="O14" s="36">
        <v>1</v>
      </c>
      <c r="P14" s="36">
        <v>1</v>
      </c>
      <c r="Q14" s="36">
        <v>1</v>
      </c>
      <c r="R14" s="36">
        <v>2</v>
      </c>
      <c r="S14" s="36">
        <f t="shared" si="2"/>
        <v>31</v>
      </c>
      <c r="T14" s="36">
        <f t="shared" si="3"/>
        <v>7.44</v>
      </c>
      <c r="U14" s="36">
        <v>8</v>
      </c>
      <c r="V14" s="36">
        <v>1</v>
      </c>
      <c r="W14" s="36">
        <v>1</v>
      </c>
      <c r="X14" s="36">
        <f t="shared" si="4"/>
        <v>10</v>
      </c>
      <c r="Y14" s="36">
        <f t="shared" si="5"/>
        <v>2.4</v>
      </c>
      <c r="Z14" s="36">
        <v>22</v>
      </c>
      <c r="AA14" s="36">
        <v>1</v>
      </c>
      <c r="AB14" s="36">
        <v>1</v>
      </c>
      <c r="AC14" s="36">
        <v>1</v>
      </c>
      <c r="AD14" s="36">
        <f t="shared" si="6"/>
        <v>25</v>
      </c>
      <c r="AE14" s="36">
        <f t="shared" si="7"/>
        <v>6</v>
      </c>
      <c r="AF14" s="36">
        <f t="shared" si="8"/>
        <v>66</v>
      </c>
      <c r="AG14" s="36">
        <f t="shared" si="8"/>
        <v>15.84</v>
      </c>
      <c r="AH14" s="36">
        <f t="shared" si="9"/>
        <v>95</v>
      </c>
      <c r="AI14" s="36">
        <f t="shared" si="9"/>
        <v>22.8</v>
      </c>
    </row>
    <row r="15" spans="1:35">
      <c r="A15" s="33" t="s">
        <v>299</v>
      </c>
      <c r="B15" s="33" t="s">
        <v>303</v>
      </c>
      <c r="C15" s="34" t="s">
        <v>304</v>
      </c>
      <c r="D15" s="34" t="str">
        <f t="shared" si="10"/>
        <v>M32TWAM22AH-.JVC32J1(D901)</v>
      </c>
      <c r="E15" s="33" t="s">
        <v>7</v>
      </c>
      <c r="F15" s="33" t="s">
        <v>7</v>
      </c>
      <c r="G15" s="35">
        <v>250</v>
      </c>
      <c r="H15" s="35">
        <v>24</v>
      </c>
      <c r="I15" s="36">
        <v>1</v>
      </c>
      <c r="J15" s="36">
        <v>1</v>
      </c>
      <c r="K15" s="36">
        <v>3</v>
      </c>
      <c r="L15" s="36">
        <f t="shared" si="0"/>
        <v>29</v>
      </c>
      <c r="M15" s="36">
        <f t="shared" si="1"/>
        <v>6.96</v>
      </c>
      <c r="N15" s="36">
        <v>26</v>
      </c>
      <c r="O15" s="36">
        <v>1</v>
      </c>
      <c r="P15" s="36">
        <v>1</v>
      </c>
      <c r="Q15" s="36">
        <v>1</v>
      </c>
      <c r="R15" s="36">
        <v>2</v>
      </c>
      <c r="S15" s="36">
        <f t="shared" si="2"/>
        <v>31</v>
      </c>
      <c r="T15" s="36">
        <f t="shared" si="3"/>
        <v>7.44</v>
      </c>
      <c r="U15" s="36">
        <v>8</v>
      </c>
      <c r="V15" s="36">
        <v>1</v>
      </c>
      <c r="W15" s="36">
        <v>1</v>
      </c>
      <c r="X15" s="36">
        <f t="shared" si="4"/>
        <v>10</v>
      </c>
      <c r="Y15" s="36">
        <f t="shared" si="5"/>
        <v>2.4</v>
      </c>
      <c r="Z15" s="36">
        <v>22</v>
      </c>
      <c r="AA15" s="36">
        <v>1</v>
      </c>
      <c r="AB15" s="36">
        <v>1</v>
      </c>
      <c r="AC15" s="36">
        <v>1</v>
      </c>
      <c r="AD15" s="36">
        <f t="shared" si="6"/>
        <v>25</v>
      </c>
      <c r="AE15" s="36">
        <f t="shared" si="7"/>
        <v>6</v>
      </c>
      <c r="AF15" s="36">
        <f t="shared" si="8"/>
        <v>66</v>
      </c>
      <c r="AG15" s="36">
        <f t="shared" si="8"/>
        <v>15.84</v>
      </c>
      <c r="AH15" s="36">
        <f t="shared" si="9"/>
        <v>95</v>
      </c>
      <c r="AI15" s="36">
        <f t="shared" si="9"/>
        <v>22.8</v>
      </c>
    </row>
    <row r="16" spans="1:35">
      <c r="A16" s="33" t="s">
        <v>299</v>
      </c>
      <c r="B16" s="33" t="s">
        <v>303</v>
      </c>
      <c r="C16" s="34" t="s">
        <v>304</v>
      </c>
      <c r="D16" s="34" t="str">
        <f t="shared" si="10"/>
        <v>M32TWAM22AH-.JVC32J1(D902)</v>
      </c>
      <c r="E16" s="33" t="s">
        <v>10</v>
      </c>
      <c r="F16" s="33" t="s">
        <v>10</v>
      </c>
      <c r="G16" s="35">
        <v>250</v>
      </c>
      <c r="H16" s="35">
        <v>24</v>
      </c>
      <c r="I16" s="36">
        <v>1</v>
      </c>
      <c r="J16" s="36">
        <v>1</v>
      </c>
      <c r="K16" s="36">
        <v>3</v>
      </c>
      <c r="L16" s="36">
        <f t="shared" si="0"/>
        <v>29</v>
      </c>
      <c r="M16" s="36">
        <f t="shared" si="1"/>
        <v>6.96</v>
      </c>
      <c r="N16" s="36">
        <v>26</v>
      </c>
      <c r="O16" s="36">
        <v>1</v>
      </c>
      <c r="P16" s="36">
        <v>1</v>
      </c>
      <c r="Q16" s="36">
        <v>1</v>
      </c>
      <c r="R16" s="36">
        <v>2</v>
      </c>
      <c r="S16" s="36">
        <f t="shared" si="2"/>
        <v>31</v>
      </c>
      <c r="T16" s="36">
        <f t="shared" si="3"/>
        <v>7.44</v>
      </c>
      <c r="U16" s="36">
        <v>8</v>
      </c>
      <c r="V16" s="36">
        <v>1</v>
      </c>
      <c r="W16" s="36">
        <v>1</v>
      </c>
      <c r="X16" s="36">
        <f t="shared" si="4"/>
        <v>10</v>
      </c>
      <c r="Y16" s="36">
        <f t="shared" si="5"/>
        <v>2.4</v>
      </c>
      <c r="Z16" s="36">
        <v>22</v>
      </c>
      <c r="AA16" s="36">
        <v>1</v>
      </c>
      <c r="AB16" s="36">
        <v>1</v>
      </c>
      <c r="AC16" s="36">
        <v>1</v>
      </c>
      <c r="AD16" s="36">
        <f t="shared" si="6"/>
        <v>25</v>
      </c>
      <c r="AE16" s="36">
        <f t="shared" si="7"/>
        <v>6</v>
      </c>
      <c r="AF16" s="36">
        <f t="shared" si="8"/>
        <v>66</v>
      </c>
      <c r="AG16" s="36">
        <f t="shared" si="8"/>
        <v>15.84</v>
      </c>
      <c r="AH16" s="36">
        <f t="shared" si="9"/>
        <v>95</v>
      </c>
      <c r="AI16" s="36">
        <f t="shared" si="9"/>
        <v>22.8</v>
      </c>
    </row>
    <row r="17" spans="1:35">
      <c r="A17" s="33" t="s">
        <v>299</v>
      </c>
      <c r="B17" s="33" t="s">
        <v>303</v>
      </c>
      <c r="C17" s="34" t="s">
        <v>17</v>
      </c>
      <c r="D17" s="34" t="str">
        <f t="shared" si="10"/>
        <v>M32TWAM22EH-.JVC32J1(D901)</v>
      </c>
      <c r="E17" s="33" t="s">
        <v>7</v>
      </c>
      <c r="F17" s="33" t="s">
        <v>7</v>
      </c>
      <c r="G17" s="35">
        <v>250</v>
      </c>
      <c r="H17" s="35">
        <v>24</v>
      </c>
      <c r="I17" s="36">
        <v>1</v>
      </c>
      <c r="J17" s="36">
        <v>1</v>
      </c>
      <c r="K17" s="36">
        <v>3</v>
      </c>
      <c r="L17" s="36">
        <f t="shared" si="0"/>
        <v>29</v>
      </c>
      <c r="M17" s="36">
        <f t="shared" si="1"/>
        <v>6.96</v>
      </c>
      <c r="N17" s="36">
        <v>26</v>
      </c>
      <c r="O17" s="36">
        <v>1</v>
      </c>
      <c r="P17" s="36">
        <v>1</v>
      </c>
      <c r="Q17" s="36">
        <v>1</v>
      </c>
      <c r="R17" s="36">
        <v>2</v>
      </c>
      <c r="S17" s="36">
        <f t="shared" si="2"/>
        <v>31</v>
      </c>
      <c r="T17" s="36">
        <f t="shared" si="3"/>
        <v>7.44</v>
      </c>
      <c r="U17" s="36">
        <v>8</v>
      </c>
      <c r="V17" s="36">
        <v>1</v>
      </c>
      <c r="W17" s="36">
        <v>1</v>
      </c>
      <c r="X17" s="36">
        <f t="shared" si="4"/>
        <v>10</v>
      </c>
      <c r="Y17" s="36">
        <f t="shared" si="5"/>
        <v>2.4</v>
      </c>
      <c r="Z17" s="36">
        <v>22</v>
      </c>
      <c r="AA17" s="36">
        <v>1</v>
      </c>
      <c r="AB17" s="36">
        <v>1</v>
      </c>
      <c r="AC17" s="36">
        <v>1</v>
      </c>
      <c r="AD17" s="36">
        <f t="shared" si="6"/>
        <v>25</v>
      </c>
      <c r="AE17" s="36">
        <f t="shared" si="7"/>
        <v>6</v>
      </c>
      <c r="AF17" s="36">
        <f t="shared" si="8"/>
        <v>66</v>
      </c>
      <c r="AG17" s="36">
        <f t="shared" si="8"/>
        <v>15.84</v>
      </c>
      <c r="AH17" s="36">
        <f t="shared" si="9"/>
        <v>95</v>
      </c>
      <c r="AI17" s="36">
        <f t="shared" si="9"/>
        <v>22.8</v>
      </c>
    </row>
    <row r="18" spans="1:35">
      <c r="A18" s="33" t="s">
        <v>299</v>
      </c>
      <c r="B18" s="33" t="s">
        <v>303</v>
      </c>
      <c r="C18" s="34" t="s">
        <v>17</v>
      </c>
      <c r="D18" s="34" t="str">
        <f t="shared" si="10"/>
        <v>M32TWAM22EH-.JVC32J1(D902)</v>
      </c>
      <c r="E18" s="33" t="s">
        <v>10</v>
      </c>
      <c r="F18" s="33" t="s">
        <v>10</v>
      </c>
      <c r="G18" s="35">
        <v>250</v>
      </c>
      <c r="H18" s="35">
        <v>24</v>
      </c>
      <c r="I18" s="36">
        <v>1</v>
      </c>
      <c r="J18" s="36">
        <v>1</v>
      </c>
      <c r="K18" s="36">
        <v>3</v>
      </c>
      <c r="L18" s="36">
        <f t="shared" si="0"/>
        <v>29</v>
      </c>
      <c r="M18" s="36">
        <f t="shared" si="1"/>
        <v>6.96</v>
      </c>
      <c r="N18" s="36">
        <v>26</v>
      </c>
      <c r="O18" s="36">
        <v>1</v>
      </c>
      <c r="P18" s="36">
        <v>1</v>
      </c>
      <c r="Q18" s="36">
        <v>1</v>
      </c>
      <c r="R18" s="36">
        <v>2</v>
      </c>
      <c r="S18" s="36">
        <f t="shared" si="2"/>
        <v>31</v>
      </c>
      <c r="T18" s="36">
        <f t="shared" si="3"/>
        <v>7.44</v>
      </c>
      <c r="U18" s="36">
        <v>8</v>
      </c>
      <c r="V18" s="36">
        <v>1</v>
      </c>
      <c r="W18" s="36">
        <v>1</v>
      </c>
      <c r="X18" s="36">
        <f t="shared" si="4"/>
        <v>10</v>
      </c>
      <c r="Y18" s="36">
        <f t="shared" si="5"/>
        <v>2.4</v>
      </c>
      <c r="Z18" s="36">
        <v>22</v>
      </c>
      <c r="AA18" s="36">
        <v>1</v>
      </c>
      <c r="AB18" s="36">
        <v>1</v>
      </c>
      <c r="AC18" s="36">
        <v>1</v>
      </c>
      <c r="AD18" s="36">
        <f t="shared" si="6"/>
        <v>25</v>
      </c>
      <c r="AE18" s="36">
        <f t="shared" si="7"/>
        <v>6</v>
      </c>
      <c r="AF18" s="36">
        <f t="shared" si="8"/>
        <v>66</v>
      </c>
      <c r="AG18" s="36">
        <f t="shared" si="8"/>
        <v>15.84</v>
      </c>
      <c r="AH18" s="36">
        <f t="shared" si="9"/>
        <v>95</v>
      </c>
      <c r="AI18" s="36">
        <f t="shared" si="9"/>
        <v>22.8</v>
      </c>
    </row>
    <row r="19" spans="1:35">
      <c r="A19" s="33" t="s">
        <v>299</v>
      </c>
      <c r="B19" s="33" t="s">
        <v>303</v>
      </c>
      <c r="C19" s="34" t="s">
        <v>305</v>
      </c>
      <c r="D19" s="34" t="str">
        <f t="shared" si="10"/>
        <v>M32TWAM22EH-.JVC32J2(D901)</v>
      </c>
      <c r="E19" s="33" t="s">
        <v>7</v>
      </c>
      <c r="F19" s="33" t="s">
        <v>7</v>
      </c>
      <c r="G19" s="35">
        <v>250</v>
      </c>
      <c r="H19" s="35">
        <v>24</v>
      </c>
      <c r="I19" s="36">
        <v>1</v>
      </c>
      <c r="J19" s="36">
        <v>1</v>
      </c>
      <c r="K19" s="36">
        <v>3</v>
      </c>
      <c r="L19" s="36">
        <f t="shared" si="0"/>
        <v>29</v>
      </c>
      <c r="M19" s="36">
        <f t="shared" si="1"/>
        <v>6.96</v>
      </c>
      <c r="N19" s="36">
        <v>26</v>
      </c>
      <c r="O19" s="36">
        <v>1</v>
      </c>
      <c r="P19" s="36">
        <v>1</v>
      </c>
      <c r="Q19" s="36">
        <v>1</v>
      </c>
      <c r="R19" s="36">
        <v>2</v>
      </c>
      <c r="S19" s="36">
        <f t="shared" si="2"/>
        <v>31</v>
      </c>
      <c r="T19" s="36">
        <f t="shared" si="3"/>
        <v>7.44</v>
      </c>
      <c r="U19" s="36">
        <v>8</v>
      </c>
      <c r="V19" s="36">
        <v>1</v>
      </c>
      <c r="W19" s="36">
        <v>1</v>
      </c>
      <c r="X19" s="36">
        <f t="shared" si="4"/>
        <v>10</v>
      </c>
      <c r="Y19" s="36">
        <f t="shared" si="5"/>
        <v>2.4</v>
      </c>
      <c r="Z19" s="36">
        <v>22</v>
      </c>
      <c r="AA19" s="36">
        <v>1</v>
      </c>
      <c r="AB19" s="36">
        <v>1</v>
      </c>
      <c r="AC19" s="36">
        <v>1</v>
      </c>
      <c r="AD19" s="36">
        <f t="shared" si="6"/>
        <v>25</v>
      </c>
      <c r="AE19" s="36">
        <f t="shared" si="7"/>
        <v>6</v>
      </c>
      <c r="AF19" s="36">
        <f t="shared" si="8"/>
        <v>66</v>
      </c>
      <c r="AG19" s="36">
        <f t="shared" si="8"/>
        <v>15.84</v>
      </c>
      <c r="AH19" s="36">
        <f t="shared" si="9"/>
        <v>95</v>
      </c>
      <c r="AI19" s="36">
        <f t="shared" si="9"/>
        <v>22.8</v>
      </c>
    </row>
    <row r="20" spans="1:35">
      <c r="A20" s="33" t="s">
        <v>299</v>
      </c>
      <c r="B20" s="33" t="s">
        <v>303</v>
      </c>
      <c r="C20" s="34" t="s">
        <v>305</v>
      </c>
      <c r="D20" s="34" t="str">
        <f t="shared" si="10"/>
        <v>M32TWAM22EH-.JVC32J2(D902)</v>
      </c>
      <c r="E20" s="33" t="s">
        <v>10</v>
      </c>
      <c r="F20" s="33" t="s">
        <v>10</v>
      </c>
      <c r="G20" s="35">
        <v>250</v>
      </c>
      <c r="H20" s="35">
        <v>24</v>
      </c>
      <c r="I20" s="36">
        <v>1</v>
      </c>
      <c r="J20" s="36">
        <v>1</v>
      </c>
      <c r="K20" s="36">
        <v>3</v>
      </c>
      <c r="L20" s="36">
        <f t="shared" si="0"/>
        <v>29</v>
      </c>
      <c r="M20" s="36">
        <f t="shared" si="1"/>
        <v>6.96</v>
      </c>
      <c r="N20" s="36">
        <v>26</v>
      </c>
      <c r="O20" s="36">
        <v>1</v>
      </c>
      <c r="P20" s="36">
        <v>1</v>
      </c>
      <c r="Q20" s="36">
        <v>1</v>
      </c>
      <c r="R20" s="36">
        <v>2</v>
      </c>
      <c r="S20" s="36">
        <f t="shared" si="2"/>
        <v>31</v>
      </c>
      <c r="T20" s="36">
        <f t="shared" si="3"/>
        <v>7.44</v>
      </c>
      <c r="U20" s="36">
        <v>8</v>
      </c>
      <c r="V20" s="36">
        <v>1</v>
      </c>
      <c r="W20" s="36">
        <v>1</v>
      </c>
      <c r="X20" s="36">
        <f t="shared" si="4"/>
        <v>10</v>
      </c>
      <c r="Y20" s="36">
        <f t="shared" si="5"/>
        <v>2.4</v>
      </c>
      <c r="Z20" s="36">
        <v>22</v>
      </c>
      <c r="AA20" s="36">
        <v>1</v>
      </c>
      <c r="AB20" s="36">
        <v>1</v>
      </c>
      <c r="AC20" s="36">
        <v>1</v>
      </c>
      <c r="AD20" s="36">
        <f t="shared" si="6"/>
        <v>25</v>
      </c>
      <c r="AE20" s="36">
        <f t="shared" si="7"/>
        <v>6</v>
      </c>
      <c r="AF20" s="36">
        <f t="shared" si="8"/>
        <v>66</v>
      </c>
      <c r="AG20" s="36">
        <f t="shared" si="8"/>
        <v>15.84</v>
      </c>
      <c r="AH20" s="36">
        <f t="shared" si="9"/>
        <v>95</v>
      </c>
      <c r="AI20" s="36">
        <f t="shared" si="9"/>
        <v>22.8</v>
      </c>
    </row>
    <row r="21" spans="1:35">
      <c r="A21" s="33" t="s">
        <v>299</v>
      </c>
      <c r="B21" s="33" t="s">
        <v>306</v>
      </c>
      <c r="C21" s="34" t="s">
        <v>307</v>
      </c>
      <c r="D21" s="34" t="str">
        <f t="shared" si="10"/>
        <v>M32TWAM22A5S.32GWEB1(D901)</v>
      </c>
      <c r="E21" s="33" t="s">
        <v>7</v>
      </c>
      <c r="F21" s="33" t="s">
        <v>7</v>
      </c>
      <c r="G21" s="35">
        <v>240</v>
      </c>
      <c r="H21" s="35">
        <v>25</v>
      </c>
      <c r="I21" s="36">
        <v>1</v>
      </c>
      <c r="J21" s="36">
        <v>1</v>
      </c>
      <c r="K21" s="36">
        <v>3</v>
      </c>
      <c r="L21" s="36">
        <f t="shared" si="0"/>
        <v>30</v>
      </c>
      <c r="M21" s="36">
        <f t="shared" si="1"/>
        <v>7.5</v>
      </c>
      <c r="N21" s="36">
        <v>34</v>
      </c>
      <c r="O21" s="36">
        <v>1</v>
      </c>
      <c r="P21" s="36">
        <v>1</v>
      </c>
      <c r="Q21" s="36">
        <v>1</v>
      </c>
      <c r="R21" s="36">
        <v>2</v>
      </c>
      <c r="S21" s="36">
        <f t="shared" si="2"/>
        <v>39</v>
      </c>
      <c r="T21" s="36">
        <f t="shared" si="3"/>
        <v>9.75</v>
      </c>
      <c r="U21" s="36">
        <v>8</v>
      </c>
      <c r="V21" s="36">
        <v>1</v>
      </c>
      <c r="W21" s="36">
        <v>1</v>
      </c>
      <c r="X21" s="36">
        <f t="shared" si="4"/>
        <v>10</v>
      </c>
      <c r="Y21" s="36">
        <f t="shared" si="5"/>
        <v>2.5</v>
      </c>
      <c r="Z21" s="36">
        <v>21</v>
      </c>
      <c r="AA21" s="36">
        <v>1</v>
      </c>
      <c r="AB21" s="36">
        <v>1</v>
      </c>
      <c r="AC21" s="36">
        <v>1</v>
      </c>
      <c r="AD21" s="36">
        <f t="shared" si="6"/>
        <v>24</v>
      </c>
      <c r="AE21" s="36">
        <f t="shared" si="7"/>
        <v>6</v>
      </c>
      <c r="AF21" s="36">
        <f t="shared" si="8"/>
        <v>73</v>
      </c>
      <c r="AG21" s="36">
        <f t="shared" si="8"/>
        <v>18.25</v>
      </c>
      <c r="AH21" s="36">
        <f t="shared" si="9"/>
        <v>103</v>
      </c>
      <c r="AI21" s="36">
        <f t="shared" si="9"/>
        <v>25.75</v>
      </c>
    </row>
    <row r="22" spans="1:35">
      <c r="A22" s="33" t="s">
        <v>299</v>
      </c>
      <c r="B22" s="33" t="s">
        <v>306</v>
      </c>
      <c r="C22" s="34" t="s">
        <v>307</v>
      </c>
      <c r="D22" s="34" t="str">
        <f t="shared" si="10"/>
        <v>M32TWAM22A5S.32GWEB1(D902)</v>
      </c>
      <c r="E22" s="33" t="s">
        <v>10</v>
      </c>
      <c r="F22" s="33" t="s">
        <v>10</v>
      </c>
      <c r="G22" s="35">
        <v>240</v>
      </c>
      <c r="H22" s="35">
        <v>25</v>
      </c>
      <c r="I22" s="36">
        <v>1</v>
      </c>
      <c r="J22" s="36">
        <v>1</v>
      </c>
      <c r="K22" s="36">
        <v>3</v>
      </c>
      <c r="L22" s="36">
        <f t="shared" si="0"/>
        <v>30</v>
      </c>
      <c r="M22" s="36">
        <f t="shared" si="1"/>
        <v>7.5</v>
      </c>
      <c r="N22" s="36">
        <v>34</v>
      </c>
      <c r="O22" s="36">
        <v>1</v>
      </c>
      <c r="P22" s="36">
        <v>1</v>
      </c>
      <c r="Q22" s="36">
        <v>1</v>
      </c>
      <c r="R22" s="36">
        <v>2</v>
      </c>
      <c r="S22" s="36">
        <f t="shared" si="2"/>
        <v>39</v>
      </c>
      <c r="T22" s="36">
        <f t="shared" si="3"/>
        <v>9.75</v>
      </c>
      <c r="U22" s="36">
        <v>8</v>
      </c>
      <c r="V22" s="36">
        <v>1</v>
      </c>
      <c r="W22" s="36">
        <v>1</v>
      </c>
      <c r="X22" s="36">
        <f t="shared" si="4"/>
        <v>10</v>
      </c>
      <c r="Y22" s="36">
        <f t="shared" si="5"/>
        <v>2.5</v>
      </c>
      <c r="Z22" s="36">
        <v>21</v>
      </c>
      <c r="AA22" s="36">
        <v>1</v>
      </c>
      <c r="AB22" s="36">
        <v>1</v>
      </c>
      <c r="AC22" s="36">
        <v>1</v>
      </c>
      <c r="AD22" s="36">
        <f t="shared" si="6"/>
        <v>24</v>
      </c>
      <c r="AE22" s="36">
        <f t="shared" si="7"/>
        <v>6</v>
      </c>
      <c r="AF22" s="36">
        <f t="shared" si="8"/>
        <v>73</v>
      </c>
      <c r="AG22" s="36">
        <f t="shared" si="8"/>
        <v>18.25</v>
      </c>
      <c r="AH22" s="36">
        <f t="shared" si="9"/>
        <v>103</v>
      </c>
      <c r="AI22" s="36">
        <f t="shared" si="9"/>
        <v>25.75</v>
      </c>
    </row>
    <row r="23" spans="1:35">
      <c r="A23" s="33" t="s">
        <v>299</v>
      </c>
      <c r="B23" s="33" t="s">
        <v>306</v>
      </c>
      <c r="C23" s="34" t="s">
        <v>15</v>
      </c>
      <c r="D23" s="34" t="str">
        <f t="shared" si="10"/>
        <v>M32TWAM22EHS.32GHDW1(D901)</v>
      </c>
      <c r="E23" s="33" t="s">
        <v>7</v>
      </c>
      <c r="F23" s="33" t="s">
        <v>7</v>
      </c>
      <c r="G23" s="35">
        <v>240</v>
      </c>
      <c r="H23" s="35">
        <v>25</v>
      </c>
      <c r="I23" s="36">
        <v>1</v>
      </c>
      <c r="J23" s="36">
        <v>1</v>
      </c>
      <c r="K23" s="36">
        <v>3</v>
      </c>
      <c r="L23" s="36">
        <f t="shared" si="0"/>
        <v>30</v>
      </c>
      <c r="M23" s="36">
        <f t="shared" si="1"/>
        <v>7.5</v>
      </c>
      <c r="N23" s="36">
        <v>34</v>
      </c>
      <c r="O23" s="36">
        <v>1</v>
      </c>
      <c r="P23" s="36">
        <v>1</v>
      </c>
      <c r="Q23" s="36">
        <v>1</v>
      </c>
      <c r="R23" s="36">
        <v>2</v>
      </c>
      <c r="S23" s="36">
        <f t="shared" si="2"/>
        <v>39</v>
      </c>
      <c r="T23" s="36">
        <f t="shared" si="3"/>
        <v>9.75</v>
      </c>
      <c r="U23" s="36">
        <v>8</v>
      </c>
      <c r="V23" s="36">
        <v>1</v>
      </c>
      <c r="W23" s="36">
        <v>1</v>
      </c>
      <c r="X23" s="36">
        <f t="shared" si="4"/>
        <v>10</v>
      </c>
      <c r="Y23" s="36">
        <f t="shared" si="5"/>
        <v>2.5</v>
      </c>
      <c r="Z23" s="36">
        <v>21</v>
      </c>
      <c r="AA23" s="36">
        <v>1</v>
      </c>
      <c r="AB23" s="36">
        <v>1</v>
      </c>
      <c r="AC23" s="36">
        <v>1</v>
      </c>
      <c r="AD23" s="36">
        <f t="shared" si="6"/>
        <v>24</v>
      </c>
      <c r="AE23" s="36">
        <f t="shared" si="7"/>
        <v>6</v>
      </c>
      <c r="AF23" s="36">
        <f t="shared" si="8"/>
        <v>73</v>
      </c>
      <c r="AG23" s="36">
        <f t="shared" si="8"/>
        <v>18.25</v>
      </c>
      <c r="AH23" s="36">
        <f t="shared" si="9"/>
        <v>103</v>
      </c>
      <c r="AI23" s="36">
        <f t="shared" si="9"/>
        <v>25.75</v>
      </c>
    </row>
    <row r="24" spans="1:35">
      <c r="A24" s="33" t="s">
        <v>308</v>
      </c>
      <c r="B24" s="33" t="s">
        <v>306</v>
      </c>
      <c r="C24" s="34" t="s">
        <v>15</v>
      </c>
      <c r="D24" s="34" t="str">
        <f t="shared" si="10"/>
        <v>M32TWAM22EHS.32GHDW1(D902)</v>
      </c>
      <c r="E24" s="33" t="s">
        <v>10</v>
      </c>
      <c r="F24" s="33" t="s">
        <v>10</v>
      </c>
      <c r="G24" s="35">
        <v>240</v>
      </c>
      <c r="H24" s="35">
        <v>25</v>
      </c>
      <c r="I24" s="36">
        <v>1</v>
      </c>
      <c r="J24" s="36">
        <v>1</v>
      </c>
      <c r="K24" s="36">
        <v>3</v>
      </c>
      <c r="L24" s="36">
        <f t="shared" si="0"/>
        <v>30</v>
      </c>
      <c r="M24" s="36">
        <f t="shared" si="1"/>
        <v>7.5</v>
      </c>
      <c r="N24" s="36">
        <v>34</v>
      </c>
      <c r="O24" s="36">
        <v>1</v>
      </c>
      <c r="P24" s="36">
        <v>1</v>
      </c>
      <c r="Q24" s="36">
        <v>1</v>
      </c>
      <c r="R24" s="36">
        <v>2</v>
      </c>
      <c r="S24" s="36">
        <f t="shared" si="2"/>
        <v>39</v>
      </c>
      <c r="T24" s="36">
        <f t="shared" si="3"/>
        <v>9.75</v>
      </c>
      <c r="U24" s="36">
        <v>8</v>
      </c>
      <c r="V24" s="36">
        <v>1</v>
      </c>
      <c r="W24" s="36">
        <v>1</v>
      </c>
      <c r="X24" s="36">
        <f t="shared" si="4"/>
        <v>10</v>
      </c>
      <c r="Y24" s="36">
        <f t="shared" si="5"/>
        <v>2.5</v>
      </c>
      <c r="Z24" s="36">
        <v>21</v>
      </c>
      <c r="AA24" s="36">
        <v>1</v>
      </c>
      <c r="AB24" s="36">
        <v>1</v>
      </c>
      <c r="AC24" s="36">
        <v>1</v>
      </c>
      <c r="AD24" s="36">
        <f t="shared" si="6"/>
        <v>24</v>
      </c>
      <c r="AE24" s="36">
        <f t="shared" si="7"/>
        <v>6</v>
      </c>
      <c r="AF24" s="36">
        <f t="shared" si="8"/>
        <v>73</v>
      </c>
      <c r="AG24" s="36">
        <f t="shared" si="8"/>
        <v>18.25</v>
      </c>
      <c r="AH24" s="36">
        <f t="shared" si="9"/>
        <v>103</v>
      </c>
      <c r="AI24" s="36">
        <f t="shared" si="9"/>
        <v>25.75</v>
      </c>
    </row>
    <row r="25" spans="1:35">
      <c r="A25" s="33" t="s">
        <v>299</v>
      </c>
      <c r="B25" s="33" t="s">
        <v>306</v>
      </c>
      <c r="C25" s="34" t="s">
        <v>309</v>
      </c>
      <c r="D25" s="34" t="str">
        <f t="shared" si="10"/>
        <v>M32TWAM22EHS.32GHDW2(D901)</v>
      </c>
      <c r="E25" s="33" t="s">
        <v>7</v>
      </c>
      <c r="F25" s="33" t="s">
        <v>7</v>
      </c>
      <c r="G25" s="35">
        <v>240</v>
      </c>
      <c r="H25" s="35">
        <v>25</v>
      </c>
      <c r="I25" s="36">
        <v>1</v>
      </c>
      <c r="J25" s="36">
        <v>1</v>
      </c>
      <c r="K25" s="36">
        <v>3</v>
      </c>
      <c r="L25" s="36">
        <f t="shared" si="0"/>
        <v>30</v>
      </c>
      <c r="M25" s="36">
        <f t="shared" si="1"/>
        <v>7.5</v>
      </c>
      <c r="N25" s="36">
        <v>34</v>
      </c>
      <c r="O25" s="36">
        <v>1</v>
      </c>
      <c r="P25" s="36">
        <v>1</v>
      </c>
      <c r="Q25" s="36">
        <v>1</v>
      </c>
      <c r="R25" s="36">
        <v>2</v>
      </c>
      <c r="S25" s="36">
        <f t="shared" si="2"/>
        <v>39</v>
      </c>
      <c r="T25" s="36">
        <f t="shared" si="3"/>
        <v>9.75</v>
      </c>
      <c r="U25" s="36">
        <v>8</v>
      </c>
      <c r="V25" s="36">
        <v>1</v>
      </c>
      <c r="W25" s="36">
        <v>1</v>
      </c>
      <c r="X25" s="36">
        <f t="shared" si="4"/>
        <v>10</v>
      </c>
      <c r="Y25" s="36">
        <f t="shared" si="5"/>
        <v>2.5</v>
      </c>
      <c r="Z25" s="36">
        <v>21</v>
      </c>
      <c r="AA25" s="36">
        <v>1</v>
      </c>
      <c r="AB25" s="36">
        <v>1</v>
      </c>
      <c r="AC25" s="36">
        <v>1</v>
      </c>
      <c r="AD25" s="36">
        <f t="shared" si="6"/>
        <v>24</v>
      </c>
      <c r="AE25" s="36">
        <f t="shared" si="7"/>
        <v>6</v>
      </c>
      <c r="AF25" s="36">
        <f t="shared" si="8"/>
        <v>73</v>
      </c>
      <c r="AG25" s="36">
        <f t="shared" si="8"/>
        <v>18.25</v>
      </c>
      <c r="AH25" s="36">
        <f t="shared" si="9"/>
        <v>103</v>
      </c>
      <c r="AI25" s="36">
        <f t="shared" si="9"/>
        <v>25.75</v>
      </c>
    </row>
    <row r="26" spans="1:35">
      <c r="A26" s="33" t="s">
        <v>299</v>
      </c>
      <c r="B26" s="33" t="s">
        <v>306</v>
      </c>
      <c r="C26" s="34" t="s">
        <v>309</v>
      </c>
      <c r="D26" s="34" t="str">
        <f t="shared" si="10"/>
        <v>M32TWAM22EHS.32GHDW2(D902)</v>
      </c>
      <c r="E26" s="33" t="s">
        <v>10</v>
      </c>
      <c r="F26" s="33" t="s">
        <v>10</v>
      </c>
      <c r="G26" s="35">
        <v>240</v>
      </c>
      <c r="H26" s="35">
        <v>25</v>
      </c>
      <c r="I26" s="36">
        <v>1</v>
      </c>
      <c r="J26" s="36">
        <v>1</v>
      </c>
      <c r="K26" s="36">
        <v>3</v>
      </c>
      <c r="L26" s="36">
        <f t="shared" si="0"/>
        <v>30</v>
      </c>
      <c r="M26" s="36">
        <f t="shared" si="1"/>
        <v>7.5</v>
      </c>
      <c r="N26" s="36">
        <v>34</v>
      </c>
      <c r="O26" s="36">
        <v>1</v>
      </c>
      <c r="P26" s="36">
        <v>1</v>
      </c>
      <c r="Q26" s="36">
        <v>1</v>
      </c>
      <c r="R26" s="36">
        <v>2</v>
      </c>
      <c r="S26" s="36">
        <f t="shared" si="2"/>
        <v>39</v>
      </c>
      <c r="T26" s="36">
        <f t="shared" si="3"/>
        <v>9.75</v>
      </c>
      <c r="U26" s="36">
        <v>8</v>
      </c>
      <c r="V26" s="36">
        <v>1</v>
      </c>
      <c r="W26" s="36">
        <v>1</v>
      </c>
      <c r="X26" s="36">
        <f t="shared" si="4"/>
        <v>10</v>
      </c>
      <c r="Y26" s="36">
        <f t="shared" si="5"/>
        <v>2.5</v>
      </c>
      <c r="Z26" s="36">
        <v>21</v>
      </c>
      <c r="AA26" s="36">
        <v>1</v>
      </c>
      <c r="AB26" s="36">
        <v>1</v>
      </c>
      <c r="AC26" s="36">
        <v>1</v>
      </c>
      <c r="AD26" s="36">
        <f t="shared" si="6"/>
        <v>24</v>
      </c>
      <c r="AE26" s="36">
        <f t="shared" si="7"/>
        <v>6</v>
      </c>
      <c r="AF26" s="36">
        <f t="shared" si="8"/>
        <v>73</v>
      </c>
      <c r="AG26" s="36">
        <f t="shared" si="8"/>
        <v>18.25</v>
      </c>
      <c r="AH26" s="36">
        <f t="shared" si="9"/>
        <v>103</v>
      </c>
      <c r="AI26" s="36">
        <f t="shared" si="9"/>
        <v>25.75</v>
      </c>
    </row>
    <row r="27" spans="1:35">
      <c r="A27" s="33" t="s">
        <v>299</v>
      </c>
      <c r="B27" s="33" t="s">
        <v>310</v>
      </c>
      <c r="C27" s="34" t="s">
        <v>27</v>
      </c>
      <c r="D27" s="34" t="str">
        <f t="shared" si="10"/>
        <v>M40TWAM22CF-.40BFHD4(D901)</v>
      </c>
      <c r="E27" s="33" t="s">
        <v>7</v>
      </c>
      <c r="F27" s="33" t="s">
        <v>7</v>
      </c>
      <c r="G27" s="35">
        <v>210</v>
      </c>
      <c r="H27" s="35">
        <v>24</v>
      </c>
      <c r="I27" s="36">
        <v>1</v>
      </c>
      <c r="J27" s="36">
        <v>1</v>
      </c>
      <c r="K27" s="36">
        <v>3</v>
      </c>
      <c r="L27" s="36">
        <f t="shared" si="0"/>
        <v>29</v>
      </c>
      <c r="M27" s="36">
        <f t="shared" si="1"/>
        <v>8.2857142857142865</v>
      </c>
      <c r="N27" s="36">
        <v>29</v>
      </c>
      <c r="O27" s="36">
        <v>1</v>
      </c>
      <c r="P27" s="36">
        <v>1</v>
      </c>
      <c r="Q27" s="36">
        <v>1</v>
      </c>
      <c r="R27" s="36">
        <v>2</v>
      </c>
      <c r="S27" s="36">
        <f t="shared" si="2"/>
        <v>34</v>
      </c>
      <c r="T27" s="36">
        <f t="shared" si="3"/>
        <v>9.7142857142857135</v>
      </c>
      <c r="U27" s="36">
        <v>8</v>
      </c>
      <c r="V27" s="36">
        <v>1</v>
      </c>
      <c r="W27" s="36">
        <v>1</v>
      </c>
      <c r="X27" s="36">
        <f t="shared" si="4"/>
        <v>10</v>
      </c>
      <c r="Y27" s="36">
        <f t="shared" si="5"/>
        <v>2.8571428571428572</v>
      </c>
      <c r="Z27" s="36">
        <v>21</v>
      </c>
      <c r="AA27" s="36">
        <v>1</v>
      </c>
      <c r="AB27" s="36">
        <v>1</v>
      </c>
      <c r="AC27" s="36">
        <v>1</v>
      </c>
      <c r="AD27" s="36">
        <f t="shared" si="6"/>
        <v>24</v>
      </c>
      <c r="AE27" s="36">
        <f t="shared" si="7"/>
        <v>6.8571428571428568</v>
      </c>
      <c r="AF27" s="36">
        <f t="shared" si="8"/>
        <v>68</v>
      </c>
      <c r="AG27" s="36">
        <f t="shared" si="8"/>
        <v>19.428571428571427</v>
      </c>
      <c r="AH27" s="36">
        <f t="shared" si="9"/>
        <v>97</v>
      </c>
      <c r="AI27" s="36">
        <f t="shared" si="9"/>
        <v>27.714285714285715</v>
      </c>
    </row>
    <row r="28" spans="1:35">
      <c r="A28" s="33" t="s">
        <v>299</v>
      </c>
      <c r="B28" s="33" t="s">
        <v>310</v>
      </c>
      <c r="C28" s="34" t="s">
        <v>27</v>
      </c>
      <c r="D28" s="34" t="str">
        <f t="shared" si="10"/>
        <v>M40TWAM22CF-.40BFHD4(D902)</v>
      </c>
      <c r="E28" s="33" t="s">
        <v>10</v>
      </c>
      <c r="F28" s="33" t="s">
        <v>10</v>
      </c>
      <c r="G28" s="35">
        <v>210</v>
      </c>
      <c r="H28" s="35">
        <v>24</v>
      </c>
      <c r="I28" s="36">
        <v>1</v>
      </c>
      <c r="J28" s="36">
        <v>1</v>
      </c>
      <c r="K28" s="36">
        <v>3</v>
      </c>
      <c r="L28" s="36">
        <f t="shared" si="0"/>
        <v>29</v>
      </c>
      <c r="M28" s="36">
        <f t="shared" si="1"/>
        <v>8.2857142857142865</v>
      </c>
      <c r="N28" s="36">
        <v>29</v>
      </c>
      <c r="O28" s="36">
        <v>1</v>
      </c>
      <c r="P28" s="36">
        <v>1</v>
      </c>
      <c r="Q28" s="36">
        <v>1</v>
      </c>
      <c r="R28" s="36">
        <v>2</v>
      </c>
      <c r="S28" s="36">
        <f t="shared" si="2"/>
        <v>34</v>
      </c>
      <c r="T28" s="36">
        <f t="shared" si="3"/>
        <v>9.7142857142857135</v>
      </c>
      <c r="U28" s="36">
        <v>8</v>
      </c>
      <c r="V28" s="36">
        <v>1</v>
      </c>
      <c r="W28" s="36">
        <v>1</v>
      </c>
      <c r="X28" s="36">
        <f t="shared" si="4"/>
        <v>10</v>
      </c>
      <c r="Y28" s="36">
        <f t="shared" si="5"/>
        <v>2.8571428571428572</v>
      </c>
      <c r="Z28" s="36">
        <v>21</v>
      </c>
      <c r="AA28" s="36">
        <v>1</v>
      </c>
      <c r="AB28" s="36">
        <v>1</v>
      </c>
      <c r="AC28" s="36">
        <v>1</v>
      </c>
      <c r="AD28" s="36">
        <f t="shared" si="6"/>
        <v>24</v>
      </c>
      <c r="AE28" s="36">
        <f t="shared" si="7"/>
        <v>6.8571428571428568</v>
      </c>
      <c r="AF28" s="36">
        <f t="shared" si="8"/>
        <v>68</v>
      </c>
      <c r="AG28" s="36">
        <f t="shared" si="8"/>
        <v>19.428571428571427</v>
      </c>
      <c r="AH28" s="36">
        <f t="shared" si="9"/>
        <v>97</v>
      </c>
      <c r="AI28" s="36">
        <f t="shared" si="9"/>
        <v>27.714285714285715</v>
      </c>
    </row>
    <row r="29" spans="1:35">
      <c r="A29" s="33" t="s">
        <v>299</v>
      </c>
      <c r="B29" s="33" t="s">
        <v>310</v>
      </c>
      <c r="C29" s="34" t="s">
        <v>311</v>
      </c>
      <c r="D29" s="34" t="str">
        <f t="shared" si="10"/>
        <v>M40TWAM22CF-.40BFHD5(D901)</v>
      </c>
      <c r="E29" s="33" t="s">
        <v>7</v>
      </c>
      <c r="F29" s="33" t="s">
        <v>7</v>
      </c>
      <c r="G29" s="35">
        <v>210</v>
      </c>
      <c r="H29" s="35">
        <v>24</v>
      </c>
      <c r="I29" s="36">
        <v>1</v>
      </c>
      <c r="J29" s="36">
        <v>1</v>
      </c>
      <c r="K29" s="36">
        <v>3</v>
      </c>
      <c r="L29" s="36">
        <f t="shared" si="0"/>
        <v>29</v>
      </c>
      <c r="M29" s="36">
        <f t="shared" si="1"/>
        <v>8.2857142857142865</v>
      </c>
      <c r="N29" s="36">
        <v>29</v>
      </c>
      <c r="O29" s="36">
        <v>1</v>
      </c>
      <c r="P29" s="36">
        <v>1</v>
      </c>
      <c r="Q29" s="36">
        <v>1</v>
      </c>
      <c r="R29" s="36">
        <v>2</v>
      </c>
      <c r="S29" s="36">
        <f t="shared" si="2"/>
        <v>34</v>
      </c>
      <c r="T29" s="36">
        <f t="shared" si="3"/>
        <v>9.7142857142857135</v>
      </c>
      <c r="U29" s="36">
        <v>8</v>
      </c>
      <c r="V29" s="36">
        <v>1</v>
      </c>
      <c r="W29" s="36">
        <v>1</v>
      </c>
      <c r="X29" s="36">
        <f t="shared" si="4"/>
        <v>10</v>
      </c>
      <c r="Y29" s="36">
        <f t="shared" si="5"/>
        <v>2.8571428571428572</v>
      </c>
      <c r="Z29" s="36">
        <v>21</v>
      </c>
      <c r="AA29" s="36">
        <v>1</v>
      </c>
      <c r="AB29" s="36">
        <v>1</v>
      </c>
      <c r="AC29" s="36">
        <v>1</v>
      </c>
      <c r="AD29" s="36">
        <f t="shared" si="6"/>
        <v>24</v>
      </c>
      <c r="AE29" s="36">
        <f t="shared" si="7"/>
        <v>6.8571428571428568</v>
      </c>
      <c r="AF29" s="36">
        <f t="shared" si="8"/>
        <v>68</v>
      </c>
      <c r="AG29" s="36">
        <f t="shared" si="8"/>
        <v>19.428571428571427</v>
      </c>
      <c r="AH29" s="36">
        <f t="shared" si="9"/>
        <v>97</v>
      </c>
      <c r="AI29" s="36">
        <f t="shared" si="9"/>
        <v>27.714285714285715</v>
      </c>
    </row>
    <row r="30" spans="1:35">
      <c r="A30" s="33" t="s">
        <v>299</v>
      </c>
      <c r="B30" s="33" t="s">
        <v>310</v>
      </c>
      <c r="C30" s="34" t="s">
        <v>311</v>
      </c>
      <c r="D30" s="34" t="str">
        <f t="shared" si="10"/>
        <v>M40TWAM22CF-.40BFHD5(D902)</v>
      </c>
      <c r="E30" s="33" t="s">
        <v>10</v>
      </c>
      <c r="F30" s="33" t="s">
        <v>10</v>
      </c>
      <c r="G30" s="35">
        <v>210</v>
      </c>
      <c r="H30" s="35">
        <v>24</v>
      </c>
      <c r="I30" s="36">
        <v>1</v>
      </c>
      <c r="J30" s="36">
        <v>1</v>
      </c>
      <c r="K30" s="36">
        <v>3</v>
      </c>
      <c r="L30" s="36">
        <f t="shared" si="0"/>
        <v>29</v>
      </c>
      <c r="M30" s="36">
        <f t="shared" si="1"/>
        <v>8.2857142857142865</v>
      </c>
      <c r="N30" s="36">
        <v>29</v>
      </c>
      <c r="O30" s="36">
        <v>1</v>
      </c>
      <c r="P30" s="36">
        <v>1</v>
      </c>
      <c r="Q30" s="36">
        <v>1</v>
      </c>
      <c r="R30" s="36">
        <v>2</v>
      </c>
      <c r="S30" s="36">
        <f t="shared" si="2"/>
        <v>34</v>
      </c>
      <c r="T30" s="36">
        <f t="shared" si="3"/>
        <v>9.7142857142857135</v>
      </c>
      <c r="U30" s="36">
        <v>8</v>
      </c>
      <c r="V30" s="36">
        <v>1</v>
      </c>
      <c r="W30" s="36">
        <v>1</v>
      </c>
      <c r="X30" s="36">
        <f t="shared" si="4"/>
        <v>10</v>
      </c>
      <c r="Y30" s="36">
        <f t="shared" si="5"/>
        <v>2.8571428571428572</v>
      </c>
      <c r="Z30" s="36">
        <v>21</v>
      </c>
      <c r="AA30" s="36">
        <v>1</v>
      </c>
      <c r="AB30" s="36">
        <v>1</v>
      </c>
      <c r="AC30" s="36">
        <v>1</v>
      </c>
      <c r="AD30" s="36">
        <f t="shared" si="6"/>
        <v>24</v>
      </c>
      <c r="AE30" s="36">
        <f t="shared" si="7"/>
        <v>6.8571428571428568</v>
      </c>
      <c r="AF30" s="36">
        <f t="shared" si="8"/>
        <v>68</v>
      </c>
      <c r="AG30" s="36">
        <f t="shared" si="8"/>
        <v>19.428571428571427</v>
      </c>
      <c r="AH30" s="36">
        <f t="shared" si="9"/>
        <v>97</v>
      </c>
      <c r="AI30" s="36">
        <f t="shared" si="9"/>
        <v>27.714285714285715</v>
      </c>
    </row>
    <row r="31" spans="1:35">
      <c r="A31" s="33" t="s">
        <v>299</v>
      </c>
      <c r="B31" s="33" t="s">
        <v>310</v>
      </c>
      <c r="C31" s="34" t="s">
        <v>312</v>
      </c>
      <c r="D31" s="34" t="str">
        <f t="shared" si="10"/>
        <v>M40TWAM22CF-.40BFHD6(D901)</v>
      </c>
      <c r="E31" s="33" t="s">
        <v>7</v>
      </c>
      <c r="F31" s="33" t="s">
        <v>7</v>
      </c>
      <c r="G31" s="35">
        <v>210</v>
      </c>
      <c r="H31" s="35">
        <v>24</v>
      </c>
      <c r="I31" s="36">
        <v>1</v>
      </c>
      <c r="J31" s="36">
        <v>1</v>
      </c>
      <c r="K31" s="36">
        <v>3</v>
      </c>
      <c r="L31" s="36">
        <f t="shared" si="0"/>
        <v>29</v>
      </c>
      <c r="M31" s="36">
        <f t="shared" si="1"/>
        <v>8.2857142857142865</v>
      </c>
      <c r="N31" s="36">
        <v>29</v>
      </c>
      <c r="O31" s="36">
        <v>1</v>
      </c>
      <c r="P31" s="36">
        <v>1</v>
      </c>
      <c r="Q31" s="36">
        <v>1</v>
      </c>
      <c r="R31" s="36">
        <v>2</v>
      </c>
      <c r="S31" s="36">
        <f t="shared" si="2"/>
        <v>34</v>
      </c>
      <c r="T31" s="36">
        <f t="shared" si="3"/>
        <v>9.7142857142857135</v>
      </c>
      <c r="U31" s="36">
        <v>8</v>
      </c>
      <c r="V31" s="36">
        <v>1</v>
      </c>
      <c r="W31" s="36">
        <v>1</v>
      </c>
      <c r="X31" s="36">
        <f t="shared" si="4"/>
        <v>10</v>
      </c>
      <c r="Y31" s="36">
        <f t="shared" si="5"/>
        <v>2.8571428571428572</v>
      </c>
      <c r="Z31" s="36">
        <v>21</v>
      </c>
      <c r="AA31" s="36">
        <v>1</v>
      </c>
      <c r="AB31" s="36">
        <v>1</v>
      </c>
      <c r="AC31" s="36">
        <v>1</v>
      </c>
      <c r="AD31" s="36">
        <f t="shared" si="6"/>
        <v>24</v>
      </c>
      <c r="AE31" s="36">
        <f t="shared" si="7"/>
        <v>6.8571428571428568</v>
      </c>
      <c r="AF31" s="36">
        <f t="shared" si="8"/>
        <v>68</v>
      </c>
      <c r="AG31" s="36">
        <f t="shared" si="8"/>
        <v>19.428571428571427</v>
      </c>
      <c r="AH31" s="36">
        <f t="shared" si="9"/>
        <v>97</v>
      </c>
      <c r="AI31" s="36">
        <f t="shared" si="9"/>
        <v>27.714285714285715</v>
      </c>
    </row>
    <row r="32" spans="1:35">
      <c r="A32" s="33" t="s">
        <v>299</v>
      </c>
      <c r="B32" s="33" t="s">
        <v>310</v>
      </c>
      <c r="C32" s="34" t="s">
        <v>312</v>
      </c>
      <c r="D32" s="34" t="str">
        <f t="shared" si="10"/>
        <v>M40TWAM22CF-.40BFHD6(D902)</v>
      </c>
      <c r="E32" s="33" t="s">
        <v>10</v>
      </c>
      <c r="F32" s="33" t="s">
        <v>10</v>
      </c>
      <c r="G32" s="35">
        <v>210</v>
      </c>
      <c r="H32" s="35">
        <v>24</v>
      </c>
      <c r="I32" s="36">
        <v>1</v>
      </c>
      <c r="J32" s="36">
        <v>1</v>
      </c>
      <c r="K32" s="36">
        <v>3</v>
      </c>
      <c r="L32" s="36">
        <f t="shared" si="0"/>
        <v>29</v>
      </c>
      <c r="M32" s="36">
        <f t="shared" si="1"/>
        <v>8.2857142857142865</v>
      </c>
      <c r="N32" s="36">
        <v>29</v>
      </c>
      <c r="O32" s="36">
        <v>1</v>
      </c>
      <c r="P32" s="36">
        <v>1</v>
      </c>
      <c r="Q32" s="36">
        <v>1</v>
      </c>
      <c r="R32" s="36">
        <v>2</v>
      </c>
      <c r="S32" s="36">
        <f t="shared" si="2"/>
        <v>34</v>
      </c>
      <c r="T32" s="36">
        <f t="shared" si="3"/>
        <v>9.7142857142857135</v>
      </c>
      <c r="U32" s="36">
        <v>8</v>
      </c>
      <c r="V32" s="36">
        <v>1</v>
      </c>
      <c r="W32" s="36">
        <v>1</v>
      </c>
      <c r="X32" s="36">
        <f t="shared" si="4"/>
        <v>10</v>
      </c>
      <c r="Y32" s="36">
        <f t="shared" si="5"/>
        <v>2.8571428571428572</v>
      </c>
      <c r="Z32" s="36">
        <v>21</v>
      </c>
      <c r="AA32" s="36">
        <v>1</v>
      </c>
      <c r="AB32" s="36">
        <v>1</v>
      </c>
      <c r="AC32" s="36">
        <v>1</v>
      </c>
      <c r="AD32" s="36">
        <f t="shared" si="6"/>
        <v>24</v>
      </c>
      <c r="AE32" s="36">
        <f t="shared" si="7"/>
        <v>6.8571428571428568</v>
      </c>
      <c r="AF32" s="36">
        <f t="shared" si="8"/>
        <v>68</v>
      </c>
      <c r="AG32" s="36">
        <f t="shared" si="8"/>
        <v>19.428571428571427</v>
      </c>
      <c r="AH32" s="36">
        <f t="shared" si="9"/>
        <v>97</v>
      </c>
      <c r="AI32" s="36">
        <f t="shared" si="9"/>
        <v>27.714285714285715</v>
      </c>
    </row>
    <row r="33" spans="1:36">
      <c r="A33" s="33" t="s">
        <v>299</v>
      </c>
      <c r="B33" s="33" t="s">
        <v>313</v>
      </c>
      <c r="C33" s="34" t="s">
        <v>31</v>
      </c>
      <c r="D33" s="34" t="str">
        <f t="shared" si="10"/>
        <v>M50TWAM22COB.50W2UD1(D902)</v>
      </c>
      <c r="E33" s="33" t="s">
        <v>10</v>
      </c>
      <c r="F33" s="33" t="s">
        <v>10</v>
      </c>
      <c r="G33" s="35">
        <v>135</v>
      </c>
      <c r="H33" s="35">
        <v>30</v>
      </c>
      <c r="I33" s="36">
        <v>1</v>
      </c>
      <c r="J33" s="36">
        <v>1</v>
      </c>
      <c r="K33" s="36">
        <v>3</v>
      </c>
      <c r="L33" s="36">
        <f t="shared" si="0"/>
        <v>35</v>
      </c>
      <c r="M33" s="36">
        <f t="shared" si="1"/>
        <v>15.555555555555555</v>
      </c>
      <c r="N33" s="36">
        <v>29</v>
      </c>
      <c r="O33" s="36">
        <v>1</v>
      </c>
      <c r="P33" s="36">
        <v>1</v>
      </c>
      <c r="Q33" s="36">
        <v>1</v>
      </c>
      <c r="R33" s="36">
        <v>2</v>
      </c>
      <c r="S33" s="36">
        <f t="shared" si="2"/>
        <v>34</v>
      </c>
      <c r="T33" s="36">
        <f t="shared" si="3"/>
        <v>15.111111111111111</v>
      </c>
      <c r="U33" s="36">
        <v>8</v>
      </c>
      <c r="V33" s="36">
        <v>1</v>
      </c>
      <c r="W33" s="36">
        <v>1</v>
      </c>
      <c r="X33" s="36">
        <f t="shared" si="4"/>
        <v>10</v>
      </c>
      <c r="Y33" s="36">
        <f t="shared" si="5"/>
        <v>4.4444444444444446</v>
      </c>
      <c r="Z33" s="36">
        <v>24</v>
      </c>
      <c r="AA33" s="36">
        <v>1</v>
      </c>
      <c r="AB33" s="36">
        <v>1</v>
      </c>
      <c r="AC33" s="36">
        <v>1</v>
      </c>
      <c r="AD33" s="36">
        <f t="shared" si="6"/>
        <v>27</v>
      </c>
      <c r="AE33" s="36">
        <f t="shared" si="7"/>
        <v>12</v>
      </c>
      <c r="AF33" s="36">
        <f t="shared" si="8"/>
        <v>71</v>
      </c>
      <c r="AG33" s="36">
        <f t="shared" si="8"/>
        <v>31.555555555555557</v>
      </c>
      <c r="AH33" s="36">
        <f t="shared" si="9"/>
        <v>106</v>
      </c>
      <c r="AI33" s="36">
        <f t="shared" si="9"/>
        <v>47.111111111111114</v>
      </c>
    </row>
    <row r="34" spans="1:36">
      <c r="A34" s="33" t="s">
        <v>308</v>
      </c>
      <c r="B34" s="33" t="s">
        <v>313</v>
      </c>
      <c r="C34" s="34" t="s">
        <v>32</v>
      </c>
      <c r="D34" s="34" t="str">
        <f>C34&amp;"("&amp;F34&amp;")"</f>
        <v>M50TWAM22COS.50TG2U1(D902)</v>
      </c>
      <c r="E34" s="33" t="s">
        <v>10</v>
      </c>
      <c r="F34" s="33" t="s">
        <v>10</v>
      </c>
      <c r="G34" s="35">
        <v>135</v>
      </c>
      <c r="H34" s="35">
        <v>30</v>
      </c>
      <c r="I34" s="36">
        <v>1</v>
      </c>
      <c r="J34" s="36">
        <v>1</v>
      </c>
      <c r="K34" s="36">
        <v>3</v>
      </c>
      <c r="L34" s="36">
        <f t="shared" si="0"/>
        <v>35</v>
      </c>
      <c r="M34" s="36">
        <f t="shared" si="1"/>
        <v>15.555555555555555</v>
      </c>
      <c r="N34" s="36">
        <v>29</v>
      </c>
      <c r="O34" s="36">
        <v>1</v>
      </c>
      <c r="P34" s="36">
        <v>1</v>
      </c>
      <c r="Q34" s="36">
        <v>1</v>
      </c>
      <c r="R34" s="36">
        <v>2</v>
      </c>
      <c r="S34" s="36">
        <f t="shared" si="2"/>
        <v>34</v>
      </c>
      <c r="T34" s="36">
        <f t="shared" si="3"/>
        <v>15.111111111111111</v>
      </c>
      <c r="U34" s="36">
        <v>8</v>
      </c>
      <c r="V34" s="36">
        <v>1</v>
      </c>
      <c r="W34" s="36">
        <v>1</v>
      </c>
      <c r="X34" s="36">
        <f t="shared" si="4"/>
        <v>10</v>
      </c>
      <c r="Y34" s="36">
        <f t="shared" si="5"/>
        <v>4.4444444444444446</v>
      </c>
      <c r="Z34" s="36">
        <v>24</v>
      </c>
      <c r="AA34" s="36">
        <v>1</v>
      </c>
      <c r="AB34" s="36">
        <v>1</v>
      </c>
      <c r="AC34" s="36">
        <v>1</v>
      </c>
      <c r="AD34" s="36">
        <f t="shared" si="6"/>
        <v>27</v>
      </c>
      <c r="AE34" s="36">
        <f t="shared" si="7"/>
        <v>12</v>
      </c>
      <c r="AF34" s="36">
        <f t="shared" si="8"/>
        <v>71</v>
      </c>
      <c r="AG34" s="36">
        <f t="shared" si="8"/>
        <v>31.555555555555557</v>
      </c>
      <c r="AH34" s="36">
        <f t="shared" si="9"/>
        <v>106</v>
      </c>
      <c r="AI34" s="36">
        <f t="shared" si="9"/>
        <v>47.111111111111114</v>
      </c>
    </row>
    <row r="35" spans="1:36">
      <c r="A35" s="38" t="s">
        <v>299</v>
      </c>
      <c r="B35" s="38" t="s">
        <v>313</v>
      </c>
      <c r="C35" s="39" t="s">
        <v>260</v>
      </c>
      <c r="D35" s="39" t="str">
        <f>C35&amp;"("&amp;F35&amp;")"</f>
        <v>M50TWAM22COS.50TG2U2(D902)</v>
      </c>
      <c r="E35" s="38" t="s">
        <v>10</v>
      </c>
      <c r="F35" s="38" t="s">
        <v>10</v>
      </c>
      <c r="G35" s="40">
        <v>135</v>
      </c>
      <c r="H35" s="40">
        <v>30</v>
      </c>
      <c r="I35" s="41">
        <v>1</v>
      </c>
      <c r="J35" s="41">
        <v>1</v>
      </c>
      <c r="K35" s="41">
        <v>3</v>
      </c>
      <c r="L35" s="41">
        <f t="shared" si="0"/>
        <v>35</v>
      </c>
      <c r="M35" s="41">
        <f t="shared" si="1"/>
        <v>15.555555555555555</v>
      </c>
      <c r="N35" s="41">
        <v>29</v>
      </c>
      <c r="O35" s="41">
        <v>1</v>
      </c>
      <c r="P35" s="41">
        <v>1</v>
      </c>
      <c r="Q35" s="41">
        <v>1</v>
      </c>
      <c r="R35" s="41">
        <v>2</v>
      </c>
      <c r="S35" s="41">
        <f t="shared" si="2"/>
        <v>34</v>
      </c>
      <c r="T35" s="41">
        <f t="shared" si="3"/>
        <v>15.111111111111111</v>
      </c>
      <c r="U35" s="41">
        <v>8</v>
      </c>
      <c r="V35" s="41">
        <v>1</v>
      </c>
      <c r="W35" s="41">
        <v>1</v>
      </c>
      <c r="X35" s="41">
        <f t="shared" si="4"/>
        <v>10</v>
      </c>
      <c r="Y35" s="41">
        <f t="shared" si="5"/>
        <v>4.4444444444444446</v>
      </c>
      <c r="Z35" s="41">
        <v>24</v>
      </c>
      <c r="AA35" s="41">
        <v>1</v>
      </c>
      <c r="AB35" s="41">
        <v>1</v>
      </c>
      <c r="AC35" s="41">
        <v>1</v>
      </c>
      <c r="AD35" s="41">
        <f t="shared" si="6"/>
        <v>27</v>
      </c>
      <c r="AE35" s="41">
        <f t="shared" si="7"/>
        <v>12</v>
      </c>
      <c r="AF35" s="41">
        <f t="shared" si="8"/>
        <v>71</v>
      </c>
      <c r="AG35" s="41">
        <f t="shared" si="8"/>
        <v>31.555555555555557</v>
      </c>
      <c r="AH35" s="41">
        <f t="shared" si="9"/>
        <v>106</v>
      </c>
      <c r="AI35" s="41">
        <f t="shared" si="9"/>
        <v>47.111111111111114</v>
      </c>
      <c r="AJ35" s="29">
        <f>AI35/AH35</f>
        <v>0.44444444444444448</v>
      </c>
    </row>
    <row r="36" spans="1:36">
      <c r="A36" s="33" t="s">
        <v>299</v>
      </c>
      <c r="B36" s="33" t="s">
        <v>314</v>
      </c>
      <c r="C36" s="34" t="s">
        <v>33</v>
      </c>
      <c r="D36" s="34" t="str">
        <f>C36&amp;"("&amp;F36&amp;")"</f>
        <v>M55TWAM22EOB.55W2UD1(D902)</v>
      </c>
      <c r="E36" s="33" t="s">
        <v>10</v>
      </c>
      <c r="F36" s="33" t="s">
        <v>10</v>
      </c>
      <c r="G36" s="35">
        <v>125</v>
      </c>
      <c r="H36" s="35">
        <v>30</v>
      </c>
      <c r="I36" s="36">
        <v>1</v>
      </c>
      <c r="J36" s="36">
        <v>1</v>
      </c>
      <c r="K36" s="36">
        <v>3</v>
      </c>
      <c r="L36" s="36">
        <f t="shared" si="0"/>
        <v>35</v>
      </c>
      <c r="M36" s="36">
        <f t="shared" si="1"/>
        <v>16.8</v>
      </c>
      <c r="N36" s="36">
        <v>29</v>
      </c>
      <c r="O36" s="36">
        <v>1</v>
      </c>
      <c r="P36" s="36">
        <v>1</v>
      </c>
      <c r="Q36" s="36">
        <v>1</v>
      </c>
      <c r="R36" s="36">
        <v>2</v>
      </c>
      <c r="S36" s="36">
        <f t="shared" si="2"/>
        <v>34</v>
      </c>
      <c r="T36" s="36">
        <f t="shared" si="3"/>
        <v>16.32</v>
      </c>
      <c r="U36" s="36">
        <v>8</v>
      </c>
      <c r="V36" s="36">
        <v>1</v>
      </c>
      <c r="W36" s="36">
        <v>1</v>
      </c>
      <c r="X36" s="36">
        <f t="shared" si="4"/>
        <v>10</v>
      </c>
      <c r="Y36" s="36">
        <f t="shared" si="5"/>
        <v>4.8</v>
      </c>
      <c r="Z36" s="36">
        <v>24</v>
      </c>
      <c r="AA36" s="36">
        <v>1</v>
      </c>
      <c r="AB36" s="36">
        <v>1</v>
      </c>
      <c r="AC36" s="36">
        <v>1</v>
      </c>
      <c r="AD36" s="36">
        <f t="shared" si="6"/>
        <v>27</v>
      </c>
      <c r="AE36" s="36">
        <f t="shared" si="7"/>
        <v>12.96</v>
      </c>
      <c r="AF36" s="36">
        <f t="shared" si="8"/>
        <v>71</v>
      </c>
      <c r="AG36" s="36">
        <f t="shared" si="8"/>
        <v>34.08</v>
      </c>
      <c r="AH36" s="36">
        <f t="shared" si="9"/>
        <v>106</v>
      </c>
      <c r="AI36" s="36">
        <f t="shared" si="9"/>
        <v>50.879999999999995</v>
      </c>
    </row>
    <row r="37" spans="1:36">
      <c r="A37" s="33" t="s">
        <v>299</v>
      </c>
      <c r="B37" s="33" t="s">
        <v>314</v>
      </c>
      <c r="C37" s="34" t="s">
        <v>34</v>
      </c>
      <c r="D37" s="34" t="str">
        <f>C37&amp;"("&amp;F37&amp;")"</f>
        <v>M55TWAM22EOS.55TG2U1(D902)</v>
      </c>
      <c r="E37" s="33" t="s">
        <v>10</v>
      </c>
      <c r="F37" s="33" t="s">
        <v>10</v>
      </c>
      <c r="G37" s="35">
        <v>125</v>
      </c>
      <c r="H37" s="35">
        <v>30</v>
      </c>
      <c r="I37" s="36">
        <v>1</v>
      </c>
      <c r="J37" s="36">
        <v>1</v>
      </c>
      <c r="K37" s="36">
        <v>3</v>
      </c>
      <c r="L37" s="36">
        <f t="shared" si="0"/>
        <v>35</v>
      </c>
      <c r="M37" s="36">
        <f t="shared" si="1"/>
        <v>16.8</v>
      </c>
      <c r="N37" s="36">
        <v>29</v>
      </c>
      <c r="O37" s="36">
        <v>1</v>
      </c>
      <c r="P37" s="36">
        <v>1</v>
      </c>
      <c r="Q37" s="36">
        <v>1</v>
      </c>
      <c r="R37" s="36">
        <v>2</v>
      </c>
      <c r="S37" s="36">
        <f t="shared" si="2"/>
        <v>34</v>
      </c>
      <c r="T37" s="36">
        <f t="shared" si="3"/>
        <v>16.32</v>
      </c>
      <c r="U37" s="36">
        <v>8</v>
      </c>
      <c r="V37" s="36">
        <v>1</v>
      </c>
      <c r="W37" s="36">
        <v>1</v>
      </c>
      <c r="X37" s="36">
        <f t="shared" si="4"/>
        <v>10</v>
      </c>
      <c r="Y37" s="36">
        <f t="shared" si="5"/>
        <v>4.8</v>
      </c>
      <c r="Z37" s="36">
        <v>24</v>
      </c>
      <c r="AA37" s="36">
        <v>1</v>
      </c>
      <c r="AB37" s="36">
        <v>1</v>
      </c>
      <c r="AC37" s="36">
        <v>1</v>
      </c>
      <c r="AD37" s="36">
        <f t="shared" si="6"/>
        <v>27</v>
      </c>
      <c r="AE37" s="36">
        <f t="shared" si="7"/>
        <v>12.96</v>
      </c>
      <c r="AF37" s="36">
        <f t="shared" si="8"/>
        <v>71</v>
      </c>
      <c r="AG37" s="36">
        <f t="shared" si="8"/>
        <v>34.08</v>
      </c>
      <c r="AH37" s="36">
        <f t="shared" si="9"/>
        <v>106</v>
      </c>
      <c r="AI37" s="36">
        <f t="shared" si="9"/>
        <v>50.879999999999995</v>
      </c>
    </row>
    <row r="38" spans="1:36">
      <c r="A38" s="38" t="s">
        <v>299</v>
      </c>
      <c r="B38" s="38" t="s">
        <v>314</v>
      </c>
      <c r="C38" s="39" t="s">
        <v>255</v>
      </c>
      <c r="D38" s="39" t="str">
        <f>C38&amp;"("&amp;F38&amp;")"</f>
        <v>M55TWAM22EOS.55TG2U2(D902)</v>
      </c>
      <c r="E38" s="38" t="s">
        <v>10</v>
      </c>
      <c r="F38" s="38" t="s">
        <v>10</v>
      </c>
      <c r="G38" s="40">
        <v>125</v>
      </c>
      <c r="H38" s="40">
        <v>30</v>
      </c>
      <c r="I38" s="41">
        <v>1</v>
      </c>
      <c r="J38" s="41">
        <v>1</v>
      </c>
      <c r="K38" s="41">
        <v>3</v>
      </c>
      <c r="L38" s="41">
        <f t="shared" si="0"/>
        <v>35</v>
      </c>
      <c r="M38" s="41">
        <f t="shared" si="1"/>
        <v>16.8</v>
      </c>
      <c r="N38" s="41">
        <v>29</v>
      </c>
      <c r="O38" s="41">
        <v>1</v>
      </c>
      <c r="P38" s="41">
        <v>1</v>
      </c>
      <c r="Q38" s="41">
        <v>1</v>
      </c>
      <c r="R38" s="41">
        <v>2</v>
      </c>
      <c r="S38" s="41">
        <f t="shared" si="2"/>
        <v>34</v>
      </c>
      <c r="T38" s="41">
        <f t="shared" si="3"/>
        <v>16.32</v>
      </c>
      <c r="U38" s="41">
        <v>8</v>
      </c>
      <c r="V38" s="41">
        <v>1</v>
      </c>
      <c r="W38" s="41">
        <v>1</v>
      </c>
      <c r="X38" s="41">
        <f t="shared" si="4"/>
        <v>10</v>
      </c>
      <c r="Y38" s="41">
        <f t="shared" si="5"/>
        <v>4.8</v>
      </c>
      <c r="Z38" s="41">
        <v>24</v>
      </c>
      <c r="AA38" s="41">
        <v>1</v>
      </c>
      <c r="AB38" s="41">
        <v>1</v>
      </c>
      <c r="AC38" s="41">
        <v>1</v>
      </c>
      <c r="AD38" s="41">
        <f t="shared" si="6"/>
        <v>27</v>
      </c>
      <c r="AE38" s="41">
        <f t="shared" si="7"/>
        <v>12.96</v>
      </c>
      <c r="AF38" s="41">
        <f t="shared" ref="AF38:AG53" si="11">SUM(S38,X38,AD38)</f>
        <v>71</v>
      </c>
      <c r="AG38" s="41">
        <f t="shared" si="11"/>
        <v>34.08</v>
      </c>
      <c r="AH38" s="41">
        <f t="shared" ref="AH38:AI53" si="12">SUM(L38,AF38)</f>
        <v>106</v>
      </c>
      <c r="AI38" s="41">
        <f t="shared" si="12"/>
        <v>50.879999999999995</v>
      </c>
    </row>
    <row r="39" spans="1:36">
      <c r="A39" s="33" t="s">
        <v>299</v>
      </c>
      <c r="B39" s="33" t="s">
        <v>315</v>
      </c>
      <c r="C39" s="34" t="s">
        <v>39</v>
      </c>
      <c r="D39" s="34" t="str">
        <f t="shared" ref="D39:D102" si="13">C39&amp;"("&amp;F39&amp;")"</f>
        <v>M24NLSS22AFH.24D3601(D901)</v>
      </c>
      <c r="E39" s="33" t="s">
        <v>7</v>
      </c>
      <c r="F39" s="33" t="s">
        <v>7</v>
      </c>
      <c r="G39" s="35">
        <v>240</v>
      </c>
      <c r="H39" s="35">
        <v>25</v>
      </c>
      <c r="I39" s="36">
        <v>1</v>
      </c>
      <c r="J39" s="36">
        <v>1</v>
      </c>
      <c r="K39" s="36">
        <v>3</v>
      </c>
      <c r="L39" s="36">
        <f t="shared" si="0"/>
        <v>30</v>
      </c>
      <c r="M39" s="36">
        <f t="shared" si="1"/>
        <v>7.5</v>
      </c>
      <c r="N39" s="36">
        <v>29</v>
      </c>
      <c r="O39" s="36">
        <v>1</v>
      </c>
      <c r="P39" s="36">
        <v>1</v>
      </c>
      <c r="Q39" s="36">
        <v>1</v>
      </c>
      <c r="R39" s="36">
        <v>2</v>
      </c>
      <c r="S39" s="36">
        <f t="shared" si="2"/>
        <v>34</v>
      </c>
      <c r="T39" s="36">
        <f t="shared" si="3"/>
        <v>8.5</v>
      </c>
      <c r="U39" s="36">
        <v>6</v>
      </c>
      <c r="V39" s="36">
        <v>1</v>
      </c>
      <c r="W39" s="36">
        <v>1</v>
      </c>
      <c r="X39" s="36">
        <f t="shared" si="4"/>
        <v>8</v>
      </c>
      <c r="Y39" s="36">
        <f t="shared" si="5"/>
        <v>2</v>
      </c>
      <c r="Z39" s="36">
        <v>21</v>
      </c>
      <c r="AA39" s="36">
        <v>1</v>
      </c>
      <c r="AB39" s="36">
        <v>1</v>
      </c>
      <c r="AC39" s="36">
        <v>1</v>
      </c>
      <c r="AD39" s="36">
        <f t="shared" si="6"/>
        <v>24</v>
      </c>
      <c r="AE39" s="36">
        <f t="shared" si="7"/>
        <v>6</v>
      </c>
      <c r="AF39" s="36">
        <f t="shared" si="11"/>
        <v>66</v>
      </c>
      <c r="AG39" s="36">
        <f t="shared" si="11"/>
        <v>16.5</v>
      </c>
      <c r="AH39" s="36">
        <f t="shared" si="12"/>
        <v>96</v>
      </c>
      <c r="AI39" s="36">
        <f t="shared" si="12"/>
        <v>24</v>
      </c>
    </row>
    <row r="40" spans="1:36">
      <c r="A40" s="33" t="s">
        <v>299</v>
      </c>
      <c r="B40" s="33" t="s">
        <v>315</v>
      </c>
      <c r="C40" s="34" t="s">
        <v>46</v>
      </c>
      <c r="D40" s="34" t="str">
        <f t="shared" si="13"/>
        <v>M24NLSS22AFH.24D3621(D901)</v>
      </c>
      <c r="E40" s="33" t="s">
        <v>7</v>
      </c>
      <c r="F40" s="33" t="s">
        <v>7</v>
      </c>
      <c r="G40" s="35">
        <v>240</v>
      </c>
      <c r="H40" s="35">
        <v>25</v>
      </c>
      <c r="I40" s="36">
        <v>1</v>
      </c>
      <c r="J40" s="36">
        <v>1</v>
      </c>
      <c r="K40" s="36">
        <v>3</v>
      </c>
      <c r="L40" s="36">
        <f t="shared" si="0"/>
        <v>30</v>
      </c>
      <c r="M40" s="36">
        <f t="shared" si="1"/>
        <v>7.5</v>
      </c>
      <c r="N40" s="36">
        <v>29</v>
      </c>
      <c r="O40" s="36">
        <v>1</v>
      </c>
      <c r="P40" s="36">
        <v>1</v>
      </c>
      <c r="Q40" s="36">
        <v>1</v>
      </c>
      <c r="R40" s="36">
        <v>2</v>
      </c>
      <c r="S40" s="36">
        <f t="shared" si="2"/>
        <v>34</v>
      </c>
      <c r="T40" s="36">
        <f t="shared" si="3"/>
        <v>8.5</v>
      </c>
      <c r="U40" s="36">
        <v>6</v>
      </c>
      <c r="V40" s="36">
        <v>1</v>
      </c>
      <c r="W40" s="36">
        <v>1</v>
      </c>
      <c r="X40" s="36">
        <f t="shared" si="4"/>
        <v>8</v>
      </c>
      <c r="Y40" s="36">
        <f t="shared" si="5"/>
        <v>2</v>
      </c>
      <c r="Z40" s="36">
        <v>21</v>
      </c>
      <c r="AA40" s="36">
        <v>1</v>
      </c>
      <c r="AB40" s="36">
        <v>1</v>
      </c>
      <c r="AC40" s="36">
        <v>1</v>
      </c>
      <c r="AD40" s="36">
        <f t="shared" si="6"/>
        <v>24</v>
      </c>
      <c r="AE40" s="36">
        <f t="shared" si="7"/>
        <v>6</v>
      </c>
      <c r="AF40" s="36">
        <f t="shared" si="11"/>
        <v>66</v>
      </c>
      <c r="AG40" s="36">
        <f t="shared" si="11"/>
        <v>16.5</v>
      </c>
      <c r="AH40" s="36">
        <f t="shared" si="12"/>
        <v>96</v>
      </c>
      <c r="AI40" s="36">
        <f t="shared" si="12"/>
        <v>24</v>
      </c>
    </row>
    <row r="41" spans="1:36">
      <c r="A41" s="33" t="s">
        <v>299</v>
      </c>
      <c r="B41" s="33" t="s">
        <v>315</v>
      </c>
      <c r="C41" s="34" t="s">
        <v>47</v>
      </c>
      <c r="D41" s="34" t="str">
        <f t="shared" si="13"/>
        <v>M24NLSS22AFH.24D3641(D901)</v>
      </c>
      <c r="E41" s="33" t="s">
        <v>7</v>
      </c>
      <c r="F41" s="33" t="s">
        <v>7</v>
      </c>
      <c r="G41" s="35">
        <v>240</v>
      </c>
      <c r="H41" s="35">
        <v>25</v>
      </c>
      <c r="I41" s="36">
        <v>1</v>
      </c>
      <c r="J41" s="36">
        <v>1</v>
      </c>
      <c r="K41" s="36">
        <v>3</v>
      </c>
      <c r="L41" s="36">
        <f t="shared" si="0"/>
        <v>30</v>
      </c>
      <c r="M41" s="36">
        <f t="shared" si="1"/>
        <v>7.5</v>
      </c>
      <c r="N41" s="36">
        <v>29</v>
      </c>
      <c r="O41" s="36">
        <v>1</v>
      </c>
      <c r="P41" s="36">
        <v>1</v>
      </c>
      <c r="Q41" s="36">
        <v>1</v>
      </c>
      <c r="R41" s="36">
        <v>2</v>
      </c>
      <c r="S41" s="36">
        <f t="shared" si="2"/>
        <v>34</v>
      </c>
      <c r="T41" s="36">
        <f t="shared" si="3"/>
        <v>8.5</v>
      </c>
      <c r="U41" s="36">
        <v>6</v>
      </c>
      <c r="V41" s="36">
        <v>1</v>
      </c>
      <c r="W41" s="36">
        <v>1</v>
      </c>
      <c r="X41" s="36">
        <f t="shared" si="4"/>
        <v>8</v>
      </c>
      <c r="Y41" s="36">
        <f t="shared" si="5"/>
        <v>2</v>
      </c>
      <c r="Z41" s="36">
        <v>21</v>
      </c>
      <c r="AA41" s="36">
        <v>1</v>
      </c>
      <c r="AB41" s="36">
        <v>1</v>
      </c>
      <c r="AC41" s="36">
        <v>1</v>
      </c>
      <c r="AD41" s="36">
        <f t="shared" si="6"/>
        <v>24</v>
      </c>
      <c r="AE41" s="36">
        <f t="shared" si="7"/>
        <v>6</v>
      </c>
      <c r="AF41" s="36">
        <f t="shared" si="11"/>
        <v>66</v>
      </c>
      <c r="AG41" s="36">
        <f t="shared" si="11"/>
        <v>16.5</v>
      </c>
      <c r="AH41" s="36">
        <f t="shared" si="12"/>
        <v>96</v>
      </c>
      <c r="AI41" s="36">
        <f t="shared" si="12"/>
        <v>24</v>
      </c>
    </row>
    <row r="42" spans="1:36">
      <c r="A42" s="33" t="s">
        <v>308</v>
      </c>
      <c r="B42" s="33" t="s">
        <v>315</v>
      </c>
      <c r="C42" s="34" t="s">
        <v>40</v>
      </c>
      <c r="D42" s="34" t="str">
        <f t="shared" si="13"/>
        <v>M24NLSS22AFH.24D3661(D901)</v>
      </c>
      <c r="E42" s="33" t="s">
        <v>7</v>
      </c>
      <c r="F42" s="33" t="s">
        <v>7</v>
      </c>
      <c r="G42" s="35">
        <v>240</v>
      </c>
      <c r="H42" s="35">
        <v>25</v>
      </c>
      <c r="I42" s="36">
        <v>1</v>
      </c>
      <c r="J42" s="36">
        <v>1</v>
      </c>
      <c r="K42" s="36">
        <v>3</v>
      </c>
      <c r="L42" s="36">
        <f t="shared" si="0"/>
        <v>30</v>
      </c>
      <c r="M42" s="36">
        <f t="shared" si="1"/>
        <v>7.5</v>
      </c>
      <c r="N42" s="36">
        <v>29</v>
      </c>
      <c r="O42" s="36">
        <v>1</v>
      </c>
      <c r="P42" s="36">
        <v>1</v>
      </c>
      <c r="Q42" s="36">
        <v>1</v>
      </c>
      <c r="R42" s="36">
        <v>2</v>
      </c>
      <c r="S42" s="36">
        <f t="shared" si="2"/>
        <v>34</v>
      </c>
      <c r="T42" s="36">
        <f t="shared" si="3"/>
        <v>8.5</v>
      </c>
      <c r="U42" s="36">
        <v>6</v>
      </c>
      <c r="V42" s="36">
        <v>1</v>
      </c>
      <c r="W42" s="36">
        <v>1</v>
      </c>
      <c r="X42" s="36">
        <f t="shared" si="4"/>
        <v>8</v>
      </c>
      <c r="Y42" s="36">
        <f t="shared" si="5"/>
        <v>2</v>
      </c>
      <c r="Z42" s="36">
        <v>21</v>
      </c>
      <c r="AA42" s="36">
        <v>1</v>
      </c>
      <c r="AB42" s="36">
        <v>1</v>
      </c>
      <c r="AC42" s="36">
        <v>1</v>
      </c>
      <c r="AD42" s="36">
        <f t="shared" si="6"/>
        <v>24</v>
      </c>
      <c r="AE42" s="36">
        <f t="shared" si="7"/>
        <v>6</v>
      </c>
      <c r="AF42" s="36">
        <f t="shared" si="11"/>
        <v>66</v>
      </c>
      <c r="AG42" s="36">
        <f t="shared" si="11"/>
        <v>16.5</v>
      </c>
      <c r="AH42" s="36">
        <f t="shared" si="12"/>
        <v>96</v>
      </c>
      <c r="AI42" s="36">
        <f t="shared" si="12"/>
        <v>24</v>
      </c>
    </row>
    <row r="43" spans="1:36">
      <c r="A43" s="33" t="s">
        <v>299</v>
      </c>
      <c r="B43" s="33" t="s">
        <v>315</v>
      </c>
      <c r="C43" s="34" t="s">
        <v>102</v>
      </c>
      <c r="D43" s="34" t="str">
        <f t="shared" si="13"/>
        <v>M24VNSS22AF-.24D3661(D901)</v>
      </c>
      <c r="E43" s="33" t="s">
        <v>7</v>
      </c>
      <c r="F43" s="33" t="s">
        <v>7</v>
      </c>
      <c r="G43" s="35">
        <v>240</v>
      </c>
      <c r="H43" s="35">
        <v>25</v>
      </c>
      <c r="I43" s="36">
        <v>1</v>
      </c>
      <c r="J43" s="36">
        <v>1</v>
      </c>
      <c r="K43" s="36">
        <v>3</v>
      </c>
      <c r="L43" s="36">
        <f t="shared" si="0"/>
        <v>30</v>
      </c>
      <c r="M43" s="36">
        <f t="shared" si="1"/>
        <v>7.5</v>
      </c>
      <c r="N43" s="36">
        <v>29</v>
      </c>
      <c r="O43" s="36">
        <v>1</v>
      </c>
      <c r="P43" s="36">
        <v>1</v>
      </c>
      <c r="Q43" s="36">
        <v>1</v>
      </c>
      <c r="R43" s="36">
        <v>2</v>
      </c>
      <c r="S43" s="36">
        <f t="shared" si="2"/>
        <v>34</v>
      </c>
      <c r="T43" s="36">
        <f t="shared" si="3"/>
        <v>8.5</v>
      </c>
      <c r="U43" s="36">
        <v>6</v>
      </c>
      <c r="V43" s="36">
        <v>1</v>
      </c>
      <c r="W43" s="36">
        <v>1</v>
      </c>
      <c r="X43" s="36">
        <f t="shared" si="4"/>
        <v>8</v>
      </c>
      <c r="Y43" s="36">
        <f t="shared" si="5"/>
        <v>2</v>
      </c>
      <c r="Z43" s="36">
        <v>21</v>
      </c>
      <c r="AA43" s="36">
        <v>1</v>
      </c>
      <c r="AB43" s="36">
        <v>1</v>
      </c>
      <c r="AC43" s="36">
        <v>1</v>
      </c>
      <c r="AD43" s="36">
        <f t="shared" si="6"/>
        <v>24</v>
      </c>
      <c r="AE43" s="36">
        <f t="shared" si="7"/>
        <v>6</v>
      </c>
      <c r="AF43" s="36">
        <f t="shared" si="11"/>
        <v>66</v>
      </c>
      <c r="AG43" s="36">
        <f t="shared" si="11"/>
        <v>16.5</v>
      </c>
      <c r="AH43" s="36">
        <f t="shared" si="12"/>
        <v>96</v>
      </c>
      <c r="AI43" s="36">
        <f t="shared" si="12"/>
        <v>24</v>
      </c>
    </row>
    <row r="44" spans="1:36">
      <c r="A44" s="33" t="s">
        <v>299</v>
      </c>
      <c r="B44" s="33" t="s">
        <v>315</v>
      </c>
      <c r="C44" s="34" t="s">
        <v>42</v>
      </c>
      <c r="D44" s="34" t="str">
        <f t="shared" si="13"/>
        <v>M24AUSS22AFH.24D3601(D901)</v>
      </c>
      <c r="E44" s="33" t="s">
        <v>7</v>
      </c>
      <c r="F44" s="33" t="s">
        <v>7</v>
      </c>
      <c r="G44" s="35">
        <v>240</v>
      </c>
      <c r="H44" s="35">
        <v>25</v>
      </c>
      <c r="I44" s="36">
        <v>1</v>
      </c>
      <c r="J44" s="36">
        <v>1</v>
      </c>
      <c r="K44" s="36">
        <v>3</v>
      </c>
      <c r="L44" s="36">
        <f t="shared" si="0"/>
        <v>30</v>
      </c>
      <c r="M44" s="36">
        <f t="shared" si="1"/>
        <v>7.5</v>
      </c>
      <c r="N44" s="36">
        <v>29</v>
      </c>
      <c r="O44" s="36">
        <v>1</v>
      </c>
      <c r="P44" s="36">
        <v>1</v>
      </c>
      <c r="Q44" s="36">
        <v>1</v>
      </c>
      <c r="R44" s="36">
        <v>2</v>
      </c>
      <c r="S44" s="36">
        <f t="shared" si="2"/>
        <v>34</v>
      </c>
      <c r="T44" s="36">
        <f t="shared" si="3"/>
        <v>8.5</v>
      </c>
      <c r="U44" s="36">
        <v>6</v>
      </c>
      <c r="V44" s="36">
        <v>1</v>
      </c>
      <c r="W44" s="36">
        <v>1</v>
      </c>
      <c r="X44" s="36">
        <f t="shared" si="4"/>
        <v>8</v>
      </c>
      <c r="Y44" s="36">
        <f t="shared" si="5"/>
        <v>2</v>
      </c>
      <c r="Z44" s="36">
        <v>21</v>
      </c>
      <c r="AA44" s="36">
        <v>1</v>
      </c>
      <c r="AB44" s="36">
        <v>1</v>
      </c>
      <c r="AC44" s="36">
        <v>1</v>
      </c>
      <c r="AD44" s="36">
        <f t="shared" si="6"/>
        <v>24</v>
      </c>
      <c r="AE44" s="36">
        <f t="shared" si="7"/>
        <v>6</v>
      </c>
      <c r="AF44" s="36">
        <f t="shared" si="11"/>
        <v>66</v>
      </c>
      <c r="AG44" s="36">
        <f t="shared" si="11"/>
        <v>16.5</v>
      </c>
      <c r="AH44" s="36">
        <f t="shared" si="12"/>
        <v>96</v>
      </c>
      <c r="AI44" s="36">
        <f t="shared" si="12"/>
        <v>24</v>
      </c>
    </row>
    <row r="45" spans="1:36">
      <c r="A45" s="33" t="s">
        <v>299</v>
      </c>
      <c r="B45" s="33" t="s">
        <v>315</v>
      </c>
      <c r="C45" s="34" t="s">
        <v>86</v>
      </c>
      <c r="D45" s="34" t="str">
        <f t="shared" si="13"/>
        <v>M24AUSS22AF-.24D3601(D901)</v>
      </c>
      <c r="E45" s="33" t="s">
        <v>7</v>
      </c>
      <c r="F45" s="33" t="s">
        <v>7</v>
      </c>
      <c r="G45" s="35">
        <v>240</v>
      </c>
      <c r="H45" s="35">
        <v>25</v>
      </c>
      <c r="I45" s="36">
        <v>1</v>
      </c>
      <c r="J45" s="36">
        <v>1</v>
      </c>
      <c r="K45" s="36">
        <v>3</v>
      </c>
      <c r="L45" s="36">
        <f t="shared" si="0"/>
        <v>30</v>
      </c>
      <c r="M45" s="36">
        <f t="shared" si="1"/>
        <v>7.5</v>
      </c>
      <c r="N45" s="36">
        <v>29</v>
      </c>
      <c r="O45" s="36">
        <v>1</v>
      </c>
      <c r="P45" s="36">
        <v>1</v>
      </c>
      <c r="Q45" s="36">
        <v>1</v>
      </c>
      <c r="R45" s="36">
        <v>2</v>
      </c>
      <c r="S45" s="36">
        <f t="shared" si="2"/>
        <v>34</v>
      </c>
      <c r="T45" s="36">
        <f t="shared" si="3"/>
        <v>8.5</v>
      </c>
      <c r="U45" s="36">
        <v>6</v>
      </c>
      <c r="V45" s="36">
        <v>1</v>
      </c>
      <c r="W45" s="36">
        <v>1</v>
      </c>
      <c r="X45" s="36">
        <f t="shared" si="4"/>
        <v>8</v>
      </c>
      <c r="Y45" s="36">
        <f t="shared" si="5"/>
        <v>2</v>
      </c>
      <c r="Z45" s="36">
        <v>21</v>
      </c>
      <c r="AA45" s="36">
        <v>1</v>
      </c>
      <c r="AB45" s="36">
        <v>1</v>
      </c>
      <c r="AC45" s="36">
        <v>1</v>
      </c>
      <c r="AD45" s="36">
        <f t="shared" si="6"/>
        <v>24</v>
      </c>
      <c r="AE45" s="36">
        <f t="shared" si="7"/>
        <v>6</v>
      </c>
      <c r="AF45" s="36">
        <f t="shared" si="11"/>
        <v>66</v>
      </c>
      <c r="AG45" s="36">
        <f t="shared" si="11"/>
        <v>16.5</v>
      </c>
      <c r="AH45" s="36">
        <f t="shared" si="12"/>
        <v>96</v>
      </c>
      <c r="AI45" s="36">
        <f t="shared" si="12"/>
        <v>24</v>
      </c>
    </row>
    <row r="46" spans="1:36">
      <c r="A46" s="33" t="s">
        <v>299</v>
      </c>
      <c r="B46" s="33" t="s">
        <v>315</v>
      </c>
      <c r="C46" s="34" t="s">
        <v>49</v>
      </c>
      <c r="D46" s="34" t="str">
        <f t="shared" si="13"/>
        <v>M24AUSS22AFH.24D3661(D901)</v>
      </c>
      <c r="E46" s="33" t="s">
        <v>7</v>
      </c>
      <c r="F46" s="33" t="s">
        <v>7</v>
      </c>
      <c r="G46" s="35">
        <v>240</v>
      </c>
      <c r="H46" s="35">
        <v>25</v>
      </c>
      <c r="I46" s="36">
        <v>1</v>
      </c>
      <c r="J46" s="36">
        <v>1</v>
      </c>
      <c r="K46" s="36">
        <v>3</v>
      </c>
      <c r="L46" s="36">
        <f t="shared" si="0"/>
        <v>30</v>
      </c>
      <c r="M46" s="36">
        <f t="shared" si="1"/>
        <v>7.5</v>
      </c>
      <c r="N46" s="36">
        <v>29</v>
      </c>
      <c r="O46" s="36">
        <v>1</v>
      </c>
      <c r="P46" s="36">
        <v>1</v>
      </c>
      <c r="Q46" s="36">
        <v>1</v>
      </c>
      <c r="R46" s="36">
        <v>2</v>
      </c>
      <c r="S46" s="36">
        <f t="shared" si="2"/>
        <v>34</v>
      </c>
      <c r="T46" s="36">
        <f t="shared" si="3"/>
        <v>8.5</v>
      </c>
      <c r="U46" s="36">
        <v>6</v>
      </c>
      <c r="V46" s="36">
        <v>1</v>
      </c>
      <c r="W46" s="36">
        <v>1</v>
      </c>
      <c r="X46" s="36">
        <f t="shared" si="4"/>
        <v>8</v>
      </c>
      <c r="Y46" s="36">
        <f t="shared" si="5"/>
        <v>2</v>
      </c>
      <c r="Z46" s="36">
        <v>21</v>
      </c>
      <c r="AA46" s="36">
        <v>1</v>
      </c>
      <c r="AB46" s="36">
        <v>1</v>
      </c>
      <c r="AC46" s="36">
        <v>1</v>
      </c>
      <c r="AD46" s="36">
        <f t="shared" si="6"/>
        <v>24</v>
      </c>
      <c r="AE46" s="36">
        <f t="shared" si="7"/>
        <v>6</v>
      </c>
      <c r="AF46" s="36">
        <f t="shared" si="11"/>
        <v>66</v>
      </c>
      <c r="AG46" s="36">
        <f t="shared" si="11"/>
        <v>16.5</v>
      </c>
      <c r="AH46" s="36">
        <f t="shared" si="12"/>
        <v>96</v>
      </c>
      <c r="AI46" s="36">
        <f t="shared" si="12"/>
        <v>24</v>
      </c>
    </row>
    <row r="47" spans="1:36">
      <c r="A47" s="33" t="s">
        <v>299</v>
      </c>
      <c r="B47" s="33" t="s">
        <v>315</v>
      </c>
      <c r="C47" s="34" t="s">
        <v>43</v>
      </c>
      <c r="D47" s="34" t="str">
        <f t="shared" si="13"/>
        <v>M24CLSS22AFH.24D3601(D901)</v>
      </c>
      <c r="E47" s="33" t="s">
        <v>7</v>
      </c>
      <c r="F47" s="33" t="s">
        <v>7</v>
      </c>
      <c r="G47" s="35">
        <v>240</v>
      </c>
      <c r="H47" s="35">
        <v>25</v>
      </c>
      <c r="I47" s="36">
        <v>1</v>
      </c>
      <c r="J47" s="36">
        <v>1</v>
      </c>
      <c r="K47" s="36">
        <v>3</v>
      </c>
      <c r="L47" s="36">
        <f t="shared" si="0"/>
        <v>30</v>
      </c>
      <c r="M47" s="36">
        <f t="shared" si="1"/>
        <v>7.5</v>
      </c>
      <c r="N47" s="36">
        <v>29</v>
      </c>
      <c r="O47" s="36">
        <v>1</v>
      </c>
      <c r="P47" s="36">
        <v>1</v>
      </c>
      <c r="Q47" s="36">
        <v>1</v>
      </c>
      <c r="R47" s="36">
        <v>2</v>
      </c>
      <c r="S47" s="36">
        <f t="shared" si="2"/>
        <v>34</v>
      </c>
      <c r="T47" s="36">
        <f t="shared" si="3"/>
        <v>8.5</v>
      </c>
      <c r="U47" s="36">
        <v>6</v>
      </c>
      <c r="V47" s="36">
        <v>1</v>
      </c>
      <c r="W47" s="36">
        <v>1</v>
      </c>
      <c r="X47" s="36">
        <f t="shared" si="4"/>
        <v>8</v>
      </c>
      <c r="Y47" s="36">
        <f t="shared" si="5"/>
        <v>2</v>
      </c>
      <c r="Z47" s="36">
        <v>21</v>
      </c>
      <c r="AA47" s="36">
        <v>1</v>
      </c>
      <c r="AB47" s="36">
        <v>1</v>
      </c>
      <c r="AC47" s="36">
        <v>1</v>
      </c>
      <c r="AD47" s="36">
        <f t="shared" si="6"/>
        <v>24</v>
      </c>
      <c r="AE47" s="36">
        <f t="shared" si="7"/>
        <v>6</v>
      </c>
      <c r="AF47" s="36">
        <f t="shared" si="11"/>
        <v>66</v>
      </c>
      <c r="AG47" s="36">
        <f t="shared" si="11"/>
        <v>16.5</v>
      </c>
      <c r="AH47" s="36">
        <f t="shared" si="12"/>
        <v>96</v>
      </c>
      <c r="AI47" s="36">
        <f t="shared" si="12"/>
        <v>24</v>
      </c>
    </row>
    <row r="48" spans="1:36">
      <c r="A48" s="33" t="s">
        <v>299</v>
      </c>
      <c r="B48" s="33" t="s">
        <v>315</v>
      </c>
      <c r="C48" s="34" t="s">
        <v>50</v>
      </c>
      <c r="D48" s="34" t="str">
        <f t="shared" si="13"/>
        <v>M24CLSS22AFH.24D3661(D901)</v>
      </c>
      <c r="E48" s="33" t="s">
        <v>7</v>
      </c>
      <c r="F48" s="33" t="s">
        <v>7</v>
      </c>
      <c r="G48" s="35">
        <v>240</v>
      </c>
      <c r="H48" s="35">
        <v>25</v>
      </c>
      <c r="I48" s="36">
        <v>1</v>
      </c>
      <c r="J48" s="36">
        <v>1</v>
      </c>
      <c r="K48" s="36">
        <v>3</v>
      </c>
      <c r="L48" s="36">
        <f t="shared" si="0"/>
        <v>30</v>
      </c>
      <c r="M48" s="36">
        <f t="shared" si="1"/>
        <v>7.5</v>
      </c>
      <c r="N48" s="36">
        <v>29</v>
      </c>
      <c r="O48" s="36">
        <v>1</v>
      </c>
      <c r="P48" s="36">
        <v>1</v>
      </c>
      <c r="Q48" s="36">
        <v>1</v>
      </c>
      <c r="R48" s="36">
        <v>2</v>
      </c>
      <c r="S48" s="36">
        <f t="shared" si="2"/>
        <v>34</v>
      </c>
      <c r="T48" s="36">
        <f t="shared" si="3"/>
        <v>8.5</v>
      </c>
      <c r="U48" s="36">
        <v>6</v>
      </c>
      <c r="V48" s="36">
        <v>1</v>
      </c>
      <c r="W48" s="36">
        <v>1</v>
      </c>
      <c r="X48" s="36">
        <f t="shared" si="4"/>
        <v>8</v>
      </c>
      <c r="Y48" s="36">
        <f t="shared" si="5"/>
        <v>2</v>
      </c>
      <c r="Z48" s="36">
        <v>21</v>
      </c>
      <c r="AA48" s="36">
        <v>1</v>
      </c>
      <c r="AB48" s="36">
        <v>1</v>
      </c>
      <c r="AC48" s="36">
        <v>1</v>
      </c>
      <c r="AD48" s="36">
        <f t="shared" si="6"/>
        <v>24</v>
      </c>
      <c r="AE48" s="36">
        <f t="shared" si="7"/>
        <v>6</v>
      </c>
      <c r="AF48" s="36">
        <f t="shared" si="11"/>
        <v>66</v>
      </c>
      <c r="AG48" s="36">
        <f t="shared" si="11"/>
        <v>16.5</v>
      </c>
      <c r="AH48" s="36">
        <f t="shared" si="12"/>
        <v>96</v>
      </c>
      <c r="AI48" s="36">
        <f t="shared" si="12"/>
        <v>24</v>
      </c>
    </row>
    <row r="49" spans="1:35">
      <c r="A49" s="33" t="s">
        <v>299</v>
      </c>
      <c r="B49" s="33" t="s">
        <v>315</v>
      </c>
      <c r="C49" s="34" t="s">
        <v>316</v>
      </c>
      <c r="D49" s="34" t="str">
        <f t="shared" si="13"/>
        <v>M24USSS22AFH.24D3601(D901)</v>
      </c>
      <c r="E49" s="33" t="s">
        <v>7</v>
      </c>
      <c r="F49" s="33" t="s">
        <v>7</v>
      </c>
      <c r="G49" s="35">
        <v>240</v>
      </c>
      <c r="H49" s="35">
        <v>25</v>
      </c>
      <c r="I49" s="36">
        <v>1</v>
      </c>
      <c r="J49" s="36">
        <v>1</v>
      </c>
      <c r="K49" s="36">
        <v>3</v>
      </c>
      <c r="L49" s="36">
        <f t="shared" si="0"/>
        <v>30</v>
      </c>
      <c r="M49" s="36">
        <f t="shared" si="1"/>
        <v>7.5</v>
      </c>
      <c r="N49" s="36">
        <v>29</v>
      </c>
      <c r="O49" s="36">
        <v>1</v>
      </c>
      <c r="P49" s="36">
        <v>1</v>
      </c>
      <c r="Q49" s="36">
        <v>1</v>
      </c>
      <c r="R49" s="36">
        <v>2</v>
      </c>
      <c r="S49" s="36">
        <f t="shared" si="2"/>
        <v>34</v>
      </c>
      <c r="T49" s="36">
        <f t="shared" si="3"/>
        <v>8.5</v>
      </c>
      <c r="U49" s="36">
        <v>6</v>
      </c>
      <c r="V49" s="36">
        <v>1</v>
      </c>
      <c r="W49" s="36">
        <v>1</v>
      </c>
      <c r="X49" s="36">
        <f t="shared" si="4"/>
        <v>8</v>
      </c>
      <c r="Y49" s="36">
        <f t="shared" si="5"/>
        <v>2</v>
      </c>
      <c r="Z49" s="36">
        <v>21</v>
      </c>
      <c r="AA49" s="36">
        <v>1</v>
      </c>
      <c r="AB49" s="36">
        <v>1</v>
      </c>
      <c r="AC49" s="36">
        <v>1</v>
      </c>
      <c r="AD49" s="36">
        <f t="shared" si="6"/>
        <v>24</v>
      </c>
      <c r="AE49" s="36">
        <f t="shared" si="7"/>
        <v>6</v>
      </c>
      <c r="AF49" s="36">
        <f t="shared" si="11"/>
        <v>66</v>
      </c>
      <c r="AG49" s="36">
        <f t="shared" si="11"/>
        <v>16.5</v>
      </c>
      <c r="AH49" s="36">
        <f t="shared" si="12"/>
        <v>96</v>
      </c>
      <c r="AI49" s="36">
        <f t="shared" si="12"/>
        <v>24</v>
      </c>
    </row>
    <row r="50" spans="1:35">
      <c r="A50" s="33" t="s">
        <v>299</v>
      </c>
      <c r="B50" s="33" t="s">
        <v>315</v>
      </c>
      <c r="C50" s="34" t="s">
        <v>51</v>
      </c>
      <c r="D50" s="34" t="str">
        <f t="shared" si="13"/>
        <v>M24USSS22AFH.24D3661(D901)</v>
      </c>
      <c r="E50" s="33" t="s">
        <v>7</v>
      </c>
      <c r="F50" s="33" t="s">
        <v>7</v>
      </c>
      <c r="G50" s="35">
        <v>240</v>
      </c>
      <c r="H50" s="35">
        <v>25</v>
      </c>
      <c r="I50" s="36">
        <v>1</v>
      </c>
      <c r="J50" s="36">
        <v>1</v>
      </c>
      <c r="K50" s="36">
        <v>3</v>
      </c>
      <c r="L50" s="36">
        <f t="shared" si="0"/>
        <v>30</v>
      </c>
      <c r="M50" s="36">
        <f t="shared" si="1"/>
        <v>7.5</v>
      </c>
      <c r="N50" s="36">
        <v>29</v>
      </c>
      <c r="O50" s="36">
        <v>1</v>
      </c>
      <c r="P50" s="36">
        <v>1</v>
      </c>
      <c r="Q50" s="36">
        <v>1</v>
      </c>
      <c r="R50" s="36">
        <v>2</v>
      </c>
      <c r="S50" s="36">
        <f t="shared" si="2"/>
        <v>34</v>
      </c>
      <c r="T50" s="36">
        <f t="shared" si="3"/>
        <v>8.5</v>
      </c>
      <c r="U50" s="36">
        <v>6</v>
      </c>
      <c r="V50" s="36">
        <v>1</v>
      </c>
      <c r="W50" s="36">
        <v>1</v>
      </c>
      <c r="X50" s="36">
        <f t="shared" si="4"/>
        <v>8</v>
      </c>
      <c r="Y50" s="36">
        <f t="shared" si="5"/>
        <v>2</v>
      </c>
      <c r="Z50" s="36">
        <v>21</v>
      </c>
      <c r="AA50" s="36">
        <v>1</v>
      </c>
      <c r="AB50" s="36">
        <v>1</v>
      </c>
      <c r="AC50" s="36">
        <v>1</v>
      </c>
      <c r="AD50" s="36">
        <f t="shared" si="6"/>
        <v>24</v>
      </c>
      <c r="AE50" s="36">
        <f t="shared" si="7"/>
        <v>6</v>
      </c>
      <c r="AF50" s="36">
        <f t="shared" si="11"/>
        <v>66</v>
      </c>
      <c r="AG50" s="36">
        <f t="shared" si="11"/>
        <v>16.5</v>
      </c>
      <c r="AH50" s="36">
        <f t="shared" si="12"/>
        <v>96</v>
      </c>
      <c r="AI50" s="36">
        <f t="shared" si="12"/>
        <v>24</v>
      </c>
    </row>
    <row r="51" spans="1:35">
      <c r="A51" s="33" t="s">
        <v>299</v>
      </c>
      <c r="B51" s="33" t="s">
        <v>315</v>
      </c>
      <c r="C51" s="34" t="s">
        <v>58</v>
      </c>
      <c r="D51" s="34" t="str">
        <f t="shared" si="13"/>
        <v>M24AESS22AFH.24D3621(D901)</v>
      </c>
      <c r="E51" s="33" t="s">
        <v>7</v>
      </c>
      <c r="F51" s="33" t="s">
        <v>7</v>
      </c>
      <c r="G51" s="35">
        <v>240</v>
      </c>
      <c r="H51" s="35">
        <v>25</v>
      </c>
      <c r="I51" s="36">
        <v>1</v>
      </c>
      <c r="J51" s="36">
        <v>1</v>
      </c>
      <c r="K51" s="36">
        <v>3</v>
      </c>
      <c r="L51" s="36">
        <f t="shared" si="0"/>
        <v>30</v>
      </c>
      <c r="M51" s="36">
        <f t="shared" si="1"/>
        <v>7.5</v>
      </c>
      <c r="N51" s="36">
        <v>29</v>
      </c>
      <c r="O51" s="36">
        <v>1</v>
      </c>
      <c r="P51" s="36">
        <v>1</v>
      </c>
      <c r="Q51" s="36">
        <v>1</v>
      </c>
      <c r="R51" s="36">
        <v>2</v>
      </c>
      <c r="S51" s="36">
        <f t="shared" si="2"/>
        <v>34</v>
      </c>
      <c r="T51" s="36">
        <f t="shared" si="3"/>
        <v>8.5</v>
      </c>
      <c r="U51" s="36">
        <v>6</v>
      </c>
      <c r="V51" s="36">
        <v>1</v>
      </c>
      <c r="W51" s="36">
        <v>1</v>
      </c>
      <c r="X51" s="36">
        <f t="shared" si="4"/>
        <v>8</v>
      </c>
      <c r="Y51" s="36">
        <f t="shared" si="5"/>
        <v>2</v>
      </c>
      <c r="Z51" s="36">
        <v>21</v>
      </c>
      <c r="AA51" s="36">
        <v>1</v>
      </c>
      <c r="AB51" s="36">
        <v>1</v>
      </c>
      <c r="AC51" s="36">
        <v>1</v>
      </c>
      <c r="AD51" s="36">
        <f t="shared" si="6"/>
        <v>24</v>
      </c>
      <c r="AE51" s="36">
        <f t="shared" si="7"/>
        <v>6</v>
      </c>
      <c r="AF51" s="36">
        <f t="shared" si="11"/>
        <v>66</v>
      </c>
      <c r="AG51" s="36">
        <f t="shared" si="11"/>
        <v>16.5</v>
      </c>
      <c r="AH51" s="36">
        <f t="shared" si="12"/>
        <v>96</v>
      </c>
      <c r="AI51" s="36">
        <f t="shared" si="12"/>
        <v>24</v>
      </c>
    </row>
    <row r="52" spans="1:35">
      <c r="A52" s="33" t="s">
        <v>299</v>
      </c>
      <c r="B52" s="33" t="s">
        <v>315</v>
      </c>
      <c r="C52" s="34" t="s">
        <v>45</v>
      </c>
      <c r="D52" s="34" t="str">
        <f t="shared" si="13"/>
        <v>M24GBSS22AFH.24D3601(D901)</v>
      </c>
      <c r="E52" s="33" t="s">
        <v>7</v>
      </c>
      <c r="F52" s="33" t="s">
        <v>7</v>
      </c>
      <c r="G52" s="35">
        <v>240</v>
      </c>
      <c r="H52" s="35">
        <v>25</v>
      </c>
      <c r="I52" s="36">
        <v>1</v>
      </c>
      <c r="J52" s="36">
        <v>1</v>
      </c>
      <c r="K52" s="36">
        <v>3</v>
      </c>
      <c r="L52" s="36">
        <f t="shared" si="0"/>
        <v>30</v>
      </c>
      <c r="M52" s="36">
        <f t="shared" si="1"/>
        <v>7.5</v>
      </c>
      <c r="N52" s="36">
        <v>29</v>
      </c>
      <c r="O52" s="36">
        <v>1</v>
      </c>
      <c r="P52" s="36">
        <v>1</v>
      </c>
      <c r="Q52" s="36">
        <v>1</v>
      </c>
      <c r="R52" s="36">
        <v>2</v>
      </c>
      <c r="S52" s="36">
        <f t="shared" si="2"/>
        <v>34</v>
      </c>
      <c r="T52" s="36">
        <f t="shared" si="3"/>
        <v>8.5</v>
      </c>
      <c r="U52" s="36">
        <v>6</v>
      </c>
      <c r="V52" s="36">
        <v>1</v>
      </c>
      <c r="W52" s="36">
        <v>1</v>
      </c>
      <c r="X52" s="36">
        <f t="shared" si="4"/>
        <v>8</v>
      </c>
      <c r="Y52" s="36">
        <f t="shared" si="5"/>
        <v>2</v>
      </c>
      <c r="Z52" s="36">
        <v>21</v>
      </c>
      <c r="AA52" s="36">
        <v>1</v>
      </c>
      <c r="AB52" s="36">
        <v>1</v>
      </c>
      <c r="AC52" s="36">
        <v>1</v>
      </c>
      <c r="AD52" s="36">
        <f t="shared" si="6"/>
        <v>24</v>
      </c>
      <c r="AE52" s="36">
        <f t="shared" si="7"/>
        <v>6</v>
      </c>
      <c r="AF52" s="36">
        <f t="shared" si="11"/>
        <v>66</v>
      </c>
      <c r="AG52" s="36">
        <f t="shared" si="11"/>
        <v>16.5</v>
      </c>
      <c r="AH52" s="36">
        <f t="shared" si="12"/>
        <v>96</v>
      </c>
      <c r="AI52" s="36">
        <f t="shared" si="12"/>
        <v>24</v>
      </c>
    </row>
    <row r="53" spans="1:35">
      <c r="A53" s="33" t="s">
        <v>299</v>
      </c>
      <c r="B53" s="33" t="s">
        <v>315</v>
      </c>
      <c r="C53" s="34" t="s">
        <v>59</v>
      </c>
      <c r="D53" s="34" t="str">
        <f t="shared" si="13"/>
        <v>M24GBSS22AFH.24D3621(D901)</v>
      </c>
      <c r="E53" s="33" t="s">
        <v>7</v>
      </c>
      <c r="F53" s="33" t="s">
        <v>7</v>
      </c>
      <c r="G53" s="35">
        <v>240</v>
      </c>
      <c r="H53" s="35">
        <v>25</v>
      </c>
      <c r="I53" s="36">
        <v>1</v>
      </c>
      <c r="J53" s="36">
        <v>1</v>
      </c>
      <c r="K53" s="36">
        <v>3</v>
      </c>
      <c r="L53" s="36">
        <f t="shared" si="0"/>
        <v>30</v>
      </c>
      <c r="M53" s="36">
        <f t="shared" si="1"/>
        <v>7.5</v>
      </c>
      <c r="N53" s="36">
        <v>29</v>
      </c>
      <c r="O53" s="36">
        <v>1</v>
      </c>
      <c r="P53" s="36">
        <v>1</v>
      </c>
      <c r="Q53" s="36">
        <v>1</v>
      </c>
      <c r="R53" s="36">
        <v>2</v>
      </c>
      <c r="S53" s="36">
        <f t="shared" si="2"/>
        <v>34</v>
      </c>
      <c r="T53" s="36">
        <f t="shared" si="3"/>
        <v>8.5</v>
      </c>
      <c r="U53" s="36">
        <v>6</v>
      </c>
      <c r="V53" s="36">
        <v>1</v>
      </c>
      <c r="W53" s="36">
        <v>1</v>
      </c>
      <c r="X53" s="36">
        <f t="shared" si="4"/>
        <v>8</v>
      </c>
      <c r="Y53" s="36">
        <f t="shared" si="5"/>
        <v>2</v>
      </c>
      <c r="Z53" s="36">
        <v>21</v>
      </c>
      <c r="AA53" s="36">
        <v>1</v>
      </c>
      <c r="AB53" s="36">
        <v>1</v>
      </c>
      <c r="AC53" s="36">
        <v>1</v>
      </c>
      <c r="AD53" s="36">
        <f t="shared" si="6"/>
        <v>24</v>
      </c>
      <c r="AE53" s="36">
        <f t="shared" si="7"/>
        <v>6</v>
      </c>
      <c r="AF53" s="36">
        <f t="shared" si="11"/>
        <v>66</v>
      </c>
      <c r="AG53" s="36">
        <f t="shared" si="11"/>
        <v>16.5</v>
      </c>
      <c r="AH53" s="36">
        <f t="shared" si="12"/>
        <v>96</v>
      </c>
      <c r="AI53" s="36">
        <f t="shared" si="12"/>
        <v>24</v>
      </c>
    </row>
    <row r="54" spans="1:35">
      <c r="A54" s="33" t="s">
        <v>299</v>
      </c>
      <c r="B54" s="33" t="s">
        <v>315</v>
      </c>
      <c r="C54" s="34" t="s">
        <v>60</v>
      </c>
      <c r="D54" s="34" t="str">
        <f t="shared" si="13"/>
        <v>M24GBSS22AFH.24D3661(D901)</v>
      </c>
      <c r="E54" s="33" t="s">
        <v>7</v>
      </c>
      <c r="F54" s="33" t="s">
        <v>7</v>
      </c>
      <c r="G54" s="35">
        <v>240</v>
      </c>
      <c r="H54" s="35">
        <v>25</v>
      </c>
      <c r="I54" s="36">
        <v>1</v>
      </c>
      <c r="J54" s="36">
        <v>1</v>
      </c>
      <c r="K54" s="36">
        <v>3</v>
      </c>
      <c r="L54" s="36">
        <f t="shared" si="0"/>
        <v>30</v>
      </c>
      <c r="M54" s="36">
        <f t="shared" si="1"/>
        <v>7.5</v>
      </c>
      <c r="N54" s="36">
        <v>29</v>
      </c>
      <c r="O54" s="36">
        <v>1</v>
      </c>
      <c r="P54" s="36">
        <v>1</v>
      </c>
      <c r="Q54" s="36">
        <v>1</v>
      </c>
      <c r="R54" s="36">
        <v>2</v>
      </c>
      <c r="S54" s="36">
        <f t="shared" si="2"/>
        <v>34</v>
      </c>
      <c r="T54" s="36">
        <f t="shared" si="3"/>
        <v>8.5</v>
      </c>
      <c r="U54" s="36">
        <v>6</v>
      </c>
      <c r="V54" s="36">
        <v>1</v>
      </c>
      <c r="W54" s="36">
        <v>1</v>
      </c>
      <c r="X54" s="36">
        <f t="shared" si="4"/>
        <v>8</v>
      </c>
      <c r="Y54" s="36">
        <f t="shared" si="5"/>
        <v>2</v>
      </c>
      <c r="Z54" s="36">
        <v>21</v>
      </c>
      <c r="AA54" s="36">
        <v>1</v>
      </c>
      <c r="AB54" s="36">
        <v>1</v>
      </c>
      <c r="AC54" s="36">
        <v>1</v>
      </c>
      <c r="AD54" s="36">
        <f t="shared" si="6"/>
        <v>24</v>
      </c>
      <c r="AE54" s="36">
        <f t="shared" si="7"/>
        <v>6</v>
      </c>
      <c r="AF54" s="36">
        <f t="shared" ref="AF54:AG69" si="14">SUM(S54,X54,AD54)</f>
        <v>66</v>
      </c>
      <c r="AG54" s="36">
        <f t="shared" si="14"/>
        <v>16.5</v>
      </c>
      <c r="AH54" s="36">
        <f t="shared" ref="AH54:AI69" si="15">SUM(L54,AF54)</f>
        <v>96</v>
      </c>
      <c r="AI54" s="36">
        <f t="shared" si="15"/>
        <v>24</v>
      </c>
    </row>
    <row r="55" spans="1:35">
      <c r="A55" s="33" t="s">
        <v>299</v>
      </c>
      <c r="B55" s="33" t="s">
        <v>315</v>
      </c>
      <c r="C55" s="34" t="s">
        <v>48</v>
      </c>
      <c r="D55" s="34" t="str">
        <f t="shared" si="13"/>
        <v>M24PHSS22AFH.24D3661(D901)</v>
      </c>
      <c r="E55" s="33" t="s">
        <v>7</v>
      </c>
      <c r="F55" s="33" t="s">
        <v>7</v>
      </c>
      <c r="G55" s="35">
        <v>240</v>
      </c>
      <c r="H55" s="35">
        <v>25</v>
      </c>
      <c r="I55" s="36">
        <v>1</v>
      </c>
      <c r="J55" s="36">
        <v>1</v>
      </c>
      <c r="K55" s="36">
        <v>3</v>
      </c>
      <c r="L55" s="36">
        <f t="shared" si="0"/>
        <v>30</v>
      </c>
      <c r="M55" s="36">
        <f t="shared" si="1"/>
        <v>7.5</v>
      </c>
      <c r="N55" s="36">
        <v>29</v>
      </c>
      <c r="O55" s="36">
        <v>1</v>
      </c>
      <c r="P55" s="36">
        <v>1</v>
      </c>
      <c r="Q55" s="36">
        <v>1</v>
      </c>
      <c r="R55" s="36">
        <v>2</v>
      </c>
      <c r="S55" s="36">
        <f t="shared" si="2"/>
        <v>34</v>
      </c>
      <c r="T55" s="36">
        <f t="shared" si="3"/>
        <v>8.5</v>
      </c>
      <c r="U55" s="36">
        <v>6</v>
      </c>
      <c r="V55" s="36">
        <v>1</v>
      </c>
      <c r="W55" s="36">
        <v>1</v>
      </c>
      <c r="X55" s="36">
        <f t="shared" si="4"/>
        <v>8</v>
      </c>
      <c r="Y55" s="36">
        <f t="shared" si="5"/>
        <v>2</v>
      </c>
      <c r="Z55" s="36">
        <v>21</v>
      </c>
      <c r="AA55" s="36">
        <v>1</v>
      </c>
      <c r="AB55" s="36">
        <v>1</v>
      </c>
      <c r="AC55" s="36">
        <v>1</v>
      </c>
      <c r="AD55" s="36">
        <f t="shared" si="6"/>
        <v>24</v>
      </c>
      <c r="AE55" s="36">
        <f t="shared" si="7"/>
        <v>6</v>
      </c>
      <c r="AF55" s="36">
        <f t="shared" si="14"/>
        <v>66</v>
      </c>
      <c r="AG55" s="36">
        <f t="shared" si="14"/>
        <v>16.5</v>
      </c>
      <c r="AH55" s="36">
        <f t="shared" si="15"/>
        <v>96</v>
      </c>
      <c r="AI55" s="36">
        <f t="shared" si="15"/>
        <v>24</v>
      </c>
    </row>
    <row r="56" spans="1:35">
      <c r="A56" s="33" t="s">
        <v>299</v>
      </c>
      <c r="B56" s="33" t="s">
        <v>315</v>
      </c>
      <c r="C56" s="34" t="s">
        <v>72</v>
      </c>
      <c r="D56" s="34" t="str">
        <f t="shared" si="13"/>
        <v>M24TRSS22AF-.24D3661(D901)</v>
      </c>
      <c r="E56" s="33" t="s">
        <v>7</v>
      </c>
      <c r="F56" s="33" t="s">
        <v>7</v>
      </c>
      <c r="G56" s="35">
        <v>240</v>
      </c>
      <c r="H56" s="35">
        <v>25</v>
      </c>
      <c r="I56" s="36">
        <v>1</v>
      </c>
      <c r="J56" s="36">
        <v>1</v>
      </c>
      <c r="K56" s="36">
        <v>3</v>
      </c>
      <c r="L56" s="36">
        <f t="shared" si="0"/>
        <v>30</v>
      </c>
      <c r="M56" s="36">
        <f t="shared" si="1"/>
        <v>7.5</v>
      </c>
      <c r="N56" s="36">
        <v>29</v>
      </c>
      <c r="O56" s="36">
        <v>1</v>
      </c>
      <c r="P56" s="36">
        <v>1</v>
      </c>
      <c r="Q56" s="36">
        <v>1</v>
      </c>
      <c r="R56" s="36">
        <v>2</v>
      </c>
      <c r="S56" s="36">
        <f t="shared" si="2"/>
        <v>34</v>
      </c>
      <c r="T56" s="36">
        <f t="shared" si="3"/>
        <v>8.5</v>
      </c>
      <c r="U56" s="36">
        <v>6</v>
      </c>
      <c r="V56" s="36">
        <v>1</v>
      </c>
      <c r="W56" s="36">
        <v>1</v>
      </c>
      <c r="X56" s="36">
        <f t="shared" si="4"/>
        <v>8</v>
      </c>
      <c r="Y56" s="36">
        <f t="shared" si="5"/>
        <v>2</v>
      </c>
      <c r="Z56" s="36">
        <v>21</v>
      </c>
      <c r="AA56" s="36">
        <v>1</v>
      </c>
      <c r="AB56" s="36">
        <v>1</v>
      </c>
      <c r="AC56" s="36">
        <v>1</v>
      </c>
      <c r="AD56" s="36">
        <f t="shared" si="6"/>
        <v>24</v>
      </c>
      <c r="AE56" s="36">
        <f t="shared" si="7"/>
        <v>6</v>
      </c>
      <c r="AF56" s="36">
        <f t="shared" si="14"/>
        <v>66</v>
      </c>
      <c r="AG56" s="36">
        <f t="shared" si="14"/>
        <v>16.5</v>
      </c>
      <c r="AH56" s="36">
        <f t="shared" si="15"/>
        <v>96</v>
      </c>
      <c r="AI56" s="36">
        <f t="shared" si="15"/>
        <v>24</v>
      </c>
    </row>
    <row r="57" spans="1:35">
      <c r="A57" s="33" t="s">
        <v>299</v>
      </c>
      <c r="B57" s="33" t="s">
        <v>315</v>
      </c>
      <c r="C57" s="34" t="s">
        <v>52</v>
      </c>
      <c r="D57" s="34" t="str">
        <f t="shared" si="13"/>
        <v>M24TRSS22AFH.24D3661(D901)</v>
      </c>
      <c r="E57" s="33" t="s">
        <v>7</v>
      </c>
      <c r="F57" s="33" t="s">
        <v>7</v>
      </c>
      <c r="G57" s="35">
        <v>240</v>
      </c>
      <c r="H57" s="35">
        <v>25</v>
      </c>
      <c r="I57" s="36">
        <v>1</v>
      </c>
      <c r="J57" s="36">
        <v>1</v>
      </c>
      <c r="K57" s="36">
        <v>3</v>
      </c>
      <c r="L57" s="36">
        <f t="shared" si="0"/>
        <v>30</v>
      </c>
      <c r="M57" s="36">
        <f t="shared" si="1"/>
        <v>7.5</v>
      </c>
      <c r="N57" s="36">
        <v>29</v>
      </c>
      <c r="O57" s="36">
        <v>1</v>
      </c>
      <c r="P57" s="36">
        <v>1</v>
      </c>
      <c r="Q57" s="36">
        <v>1</v>
      </c>
      <c r="R57" s="36">
        <v>2</v>
      </c>
      <c r="S57" s="36">
        <f t="shared" si="2"/>
        <v>34</v>
      </c>
      <c r="T57" s="36">
        <f t="shared" si="3"/>
        <v>8.5</v>
      </c>
      <c r="U57" s="36">
        <v>6</v>
      </c>
      <c r="V57" s="36">
        <v>1</v>
      </c>
      <c r="W57" s="36">
        <v>1</v>
      </c>
      <c r="X57" s="36">
        <f t="shared" si="4"/>
        <v>8</v>
      </c>
      <c r="Y57" s="36">
        <f t="shared" si="5"/>
        <v>2</v>
      </c>
      <c r="Z57" s="36">
        <v>21</v>
      </c>
      <c r="AA57" s="36">
        <v>1</v>
      </c>
      <c r="AB57" s="36">
        <v>1</v>
      </c>
      <c r="AC57" s="36">
        <v>1</v>
      </c>
      <c r="AD57" s="36">
        <f t="shared" si="6"/>
        <v>24</v>
      </c>
      <c r="AE57" s="36">
        <f t="shared" si="7"/>
        <v>6</v>
      </c>
      <c r="AF57" s="36">
        <f t="shared" si="14"/>
        <v>66</v>
      </c>
      <c r="AG57" s="36">
        <f t="shared" si="14"/>
        <v>16.5</v>
      </c>
      <c r="AH57" s="36">
        <f t="shared" si="15"/>
        <v>96</v>
      </c>
      <c r="AI57" s="36">
        <f t="shared" si="15"/>
        <v>24</v>
      </c>
    </row>
    <row r="58" spans="1:35">
      <c r="A58" s="33" t="s">
        <v>299</v>
      </c>
      <c r="B58" s="33" t="s">
        <v>315</v>
      </c>
      <c r="C58" s="34" t="s">
        <v>88</v>
      </c>
      <c r="D58" s="34" t="str">
        <f t="shared" si="13"/>
        <v>M24ARSS22AFH.24D3661(D901)</v>
      </c>
      <c r="E58" s="33" t="s">
        <v>7</v>
      </c>
      <c r="F58" s="33" t="s">
        <v>7</v>
      </c>
      <c r="G58" s="35">
        <v>240</v>
      </c>
      <c r="H58" s="35">
        <v>25</v>
      </c>
      <c r="I58" s="36">
        <v>1</v>
      </c>
      <c r="J58" s="36">
        <v>1</v>
      </c>
      <c r="K58" s="36">
        <v>3</v>
      </c>
      <c r="L58" s="36">
        <f t="shared" si="0"/>
        <v>30</v>
      </c>
      <c r="M58" s="36">
        <f t="shared" si="1"/>
        <v>7.5</v>
      </c>
      <c r="N58" s="36">
        <v>29</v>
      </c>
      <c r="O58" s="36">
        <v>1</v>
      </c>
      <c r="P58" s="36">
        <v>1</v>
      </c>
      <c r="Q58" s="36">
        <v>1</v>
      </c>
      <c r="R58" s="36">
        <v>2</v>
      </c>
      <c r="S58" s="36">
        <f t="shared" si="2"/>
        <v>34</v>
      </c>
      <c r="T58" s="36">
        <f t="shared" si="3"/>
        <v>8.5</v>
      </c>
      <c r="U58" s="36">
        <v>6</v>
      </c>
      <c r="V58" s="36">
        <v>1</v>
      </c>
      <c r="W58" s="36">
        <v>1</v>
      </c>
      <c r="X58" s="36">
        <f t="shared" si="4"/>
        <v>8</v>
      </c>
      <c r="Y58" s="36">
        <f t="shared" si="5"/>
        <v>2</v>
      </c>
      <c r="Z58" s="36">
        <v>21</v>
      </c>
      <c r="AA58" s="36">
        <v>1</v>
      </c>
      <c r="AB58" s="36">
        <v>1</v>
      </c>
      <c r="AC58" s="36">
        <v>1</v>
      </c>
      <c r="AD58" s="36">
        <f t="shared" si="6"/>
        <v>24</v>
      </c>
      <c r="AE58" s="36">
        <f t="shared" si="7"/>
        <v>6</v>
      </c>
      <c r="AF58" s="36">
        <f t="shared" si="14"/>
        <v>66</v>
      </c>
      <c r="AG58" s="36">
        <f t="shared" si="14"/>
        <v>16.5</v>
      </c>
      <c r="AH58" s="36">
        <f t="shared" si="15"/>
        <v>96</v>
      </c>
      <c r="AI58" s="36">
        <f t="shared" si="15"/>
        <v>24</v>
      </c>
    </row>
    <row r="59" spans="1:35">
      <c r="A59" s="33" t="s">
        <v>299</v>
      </c>
      <c r="B59" s="33" t="s">
        <v>315</v>
      </c>
      <c r="C59" s="34" t="s">
        <v>163</v>
      </c>
      <c r="D59" s="34" t="str">
        <f t="shared" si="13"/>
        <v>M24NLSS22EFH.24D3601(D901)</v>
      </c>
      <c r="E59" s="33" t="s">
        <v>7</v>
      </c>
      <c r="F59" s="33" t="s">
        <v>7</v>
      </c>
      <c r="G59" s="35">
        <v>240</v>
      </c>
      <c r="H59" s="35">
        <v>25</v>
      </c>
      <c r="I59" s="36">
        <v>1</v>
      </c>
      <c r="J59" s="36">
        <v>1</v>
      </c>
      <c r="K59" s="36">
        <v>3</v>
      </c>
      <c r="L59" s="36">
        <f t="shared" si="0"/>
        <v>30</v>
      </c>
      <c r="M59" s="36">
        <f t="shared" si="1"/>
        <v>7.5</v>
      </c>
      <c r="N59" s="36">
        <v>29</v>
      </c>
      <c r="O59" s="36">
        <v>1</v>
      </c>
      <c r="P59" s="36">
        <v>1</v>
      </c>
      <c r="Q59" s="36">
        <v>1</v>
      </c>
      <c r="R59" s="36">
        <v>2</v>
      </c>
      <c r="S59" s="36">
        <f t="shared" si="2"/>
        <v>34</v>
      </c>
      <c r="T59" s="36">
        <f t="shared" si="3"/>
        <v>8.5</v>
      </c>
      <c r="U59" s="36">
        <v>6</v>
      </c>
      <c r="V59" s="36">
        <v>1</v>
      </c>
      <c r="W59" s="36">
        <v>1</v>
      </c>
      <c r="X59" s="36">
        <f t="shared" si="4"/>
        <v>8</v>
      </c>
      <c r="Y59" s="36">
        <f t="shared" si="5"/>
        <v>2</v>
      </c>
      <c r="Z59" s="36">
        <v>21</v>
      </c>
      <c r="AA59" s="36">
        <v>1</v>
      </c>
      <c r="AB59" s="36">
        <v>1</v>
      </c>
      <c r="AC59" s="36">
        <v>1</v>
      </c>
      <c r="AD59" s="36">
        <f t="shared" si="6"/>
        <v>24</v>
      </c>
      <c r="AE59" s="36">
        <f t="shared" si="7"/>
        <v>6</v>
      </c>
      <c r="AF59" s="36">
        <f t="shared" si="14"/>
        <v>66</v>
      </c>
      <c r="AG59" s="36">
        <f t="shared" si="14"/>
        <v>16.5</v>
      </c>
      <c r="AH59" s="36">
        <f t="shared" si="15"/>
        <v>96</v>
      </c>
      <c r="AI59" s="36">
        <f t="shared" si="15"/>
        <v>24</v>
      </c>
    </row>
    <row r="60" spans="1:35">
      <c r="A60" s="33" t="s">
        <v>299</v>
      </c>
      <c r="B60" s="33" t="s">
        <v>315</v>
      </c>
      <c r="C60" s="34" t="s">
        <v>82</v>
      </c>
      <c r="D60" s="34" t="str">
        <f t="shared" si="13"/>
        <v>M24NLSS22EFH.24D3641(D901)</v>
      </c>
      <c r="E60" s="33" t="s">
        <v>7</v>
      </c>
      <c r="F60" s="33" t="s">
        <v>7</v>
      </c>
      <c r="G60" s="35">
        <v>240</v>
      </c>
      <c r="H60" s="35">
        <v>25</v>
      </c>
      <c r="I60" s="36">
        <v>1</v>
      </c>
      <c r="J60" s="36">
        <v>1</v>
      </c>
      <c r="K60" s="36">
        <v>3</v>
      </c>
      <c r="L60" s="36">
        <f t="shared" si="0"/>
        <v>30</v>
      </c>
      <c r="M60" s="36">
        <f t="shared" si="1"/>
        <v>7.5</v>
      </c>
      <c r="N60" s="36">
        <v>29</v>
      </c>
      <c r="O60" s="36">
        <v>1</v>
      </c>
      <c r="P60" s="36">
        <v>1</v>
      </c>
      <c r="Q60" s="36">
        <v>1</v>
      </c>
      <c r="R60" s="36">
        <v>2</v>
      </c>
      <c r="S60" s="36">
        <f t="shared" si="2"/>
        <v>34</v>
      </c>
      <c r="T60" s="36">
        <f t="shared" si="3"/>
        <v>8.5</v>
      </c>
      <c r="U60" s="36">
        <v>6</v>
      </c>
      <c r="V60" s="36">
        <v>1</v>
      </c>
      <c r="W60" s="36">
        <v>1</v>
      </c>
      <c r="X60" s="36">
        <f t="shared" si="4"/>
        <v>8</v>
      </c>
      <c r="Y60" s="36">
        <f t="shared" si="5"/>
        <v>2</v>
      </c>
      <c r="Z60" s="36">
        <v>21</v>
      </c>
      <c r="AA60" s="36">
        <v>1</v>
      </c>
      <c r="AB60" s="36">
        <v>1</v>
      </c>
      <c r="AC60" s="36">
        <v>1</v>
      </c>
      <c r="AD60" s="36">
        <f t="shared" si="6"/>
        <v>24</v>
      </c>
      <c r="AE60" s="36">
        <f t="shared" si="7"/>
        <v>6</v>
      </c>
      <c r="AF60" s="36">
        <f t="shared" si="14"/>
        <v>66</v>
      </c>
      <c r="AG60" s="36">
        <f t="shared" si="14"/>
        <v>16.5</v>
      </c>
      <c r="AH60" s="36">
        <f t="shared" si="15"/>
        <v>96</v>
      </c>
      <c r="AI60" s="36">
        <f t="shared" si="15"/>
        <v>24</v>
      </c>
    </row>
    <row r="61" spans="1:35">
      <c r="A61" s="33" t="s">
        <v>299</v>
      </c>
      <c r="B61" s="33" t="s">
        <v>315</v>
      </c>
      <c r="C61" s="34" t="s">
        <v>90</v>
      </c>
      <c r="D61" s="34" t="str">
        <f t="shared" si="13"/>
        <v>M24IDSS22AFH.24D3661(D901)</v>
      </c>
      <c r="E61" s="33" t="s">
        <v>7</v>
      </c>
      <c r="F61" s="33" t="s">
        <v>7</v>
      </c>
      <c r="G61" s="35">
        <v>240</v>
      </c>
      <c r="H61" s="35">
        <v>25</v>
      </c>
      <c r="I61" s="36">
        <v>1</v>
      </c>
      <c r="J61" s="36">
        <v>1</v>
      </c>
      <c r="K61" s="36">
        <v>3</v>
      </c>
      <c r="L61" s="36">
        <f t="shared" si="0"/>
        <v>30</v>
      </c>
      <c r="M61" s="36">
        <f t="shared" si="1"/>
        <v>7.5</v>
      </c>
      <c r="N61" s="36">
        <v>29</v>
      </c>
      <c r="O61" s="36">
        <v>1</v>
      </c>
      <c r="P61" s="36">
        <v>1</v>
      </c>
      <c r="Q61" s="36">
        <v>1</v>
      </c>
      <c r="R61" s="36">
        <v>2</v>
      </c>
      <c r="S61" s="36">
        <f t="shared" si="2"/>
        <v>34</v>
      </c>
      <c r="T61" s="36">
        <f t="shared" si="3"/>
        <v>8.5</v>
      </c>
      <c r="U61" s="36">
        <v>6</v>
      </c>
      <c r="V61" s="36">
        <v>1</v>
      </c>
      <c r="W61" s="36">
        <v>1</v>
      </c>
      <c r="X61" s="36">
        <f t="shared" si="4"/>
        <v>8</v>
      </c>
      <c r="Y61" s="36">
        <f t="shared" si="5"/>
        <v>2</v>
      </c>
      <c r="Z61" s="36">
        <v>21</v>
      </c>
      <c r="AA61" s="36">
        <v>1</v>
      </c>
      <c r="AB61" s="36">
        <v>1</v>
      </c>
      <c r="AC61" s="36">
        <v>1</v>
      </c>
      <c r="AD61" s="36">
        <f t="shared" si="6"/>
        <v>24</v>
      </c>
      <c r="AE61" s="36">
        <f t="shared" si="7"/>
        <v>6</v>
      </c>
      <c r="AF61" s="36">
        <f t="shared" si="14"/>
        <v>66</v>
      </c>
      <c r="AG61" s="36">
        <f t="shared" si="14"/>
        <v>16.5</v>
      </c>
      <c r="AH61" s="36">
        <f t="shared" si="15"/>
        <v>96</v>
      </c>
      <c r="AI61" s="36">
        <f t="shared" si="15"/>
        <v>24</v>
      </c>
    </row>
    <row r="62" spans="1:35">
      <c r="A62" s="42" t="s">
        <v>299</v>
      </c>
      <c r="B62" s="38" t="s">
        <v>315</v>
      </c>
      <c r="C62" s="43" t="s">
        <v>144</v>
      </c>
      <c r="D62" s="43" t="str">
        <f t="shared" si="13"/>
        <v>M24NLSS22AF-.24D3601(D905)</v>
      </c>
      <c r="E62" s="42" t="s">
        <v>21</v>
      </c>
      <c r="F62" s="42" t="s">
        <v>21</v>
      </c>
      <c r="G62" s="44">
        <v>310</v>
      </c>
      <c r="H62" s="44">
        <v>27</v>
      </c>
      <c r="I62" s="45">
        <v>1</v>
      </c>
      <c r="J62" s="45">
        <v>1</v>
      </c>
      <c r="K62" s="45">
        <v>3</v>
      </c>
      <c r="L62" s="41">
        <f t="shared" si="0"/>
        <v>32</v>
      </c>
      <c r="M62" s="41">
        <f t="shared" si="1"/>
        <v>6.193548387096774</v>
      </c>
      <c r="N62" s="45">
        <v>29</v>
      </c>
      <c r="O62" s="45">
        <v>1</v>
      </c>
      <c r="P62" s="45">
        <v>1</v>
      </c>
      <c r="Q62" s="45">
        <v>1</v>
      </c>
      <c r="R62" s="45">
        <v>2</v>
      </c>
      <c r="S62" s="41">
        <f t="shared" si="2"/>
        <v>34</v>
      </c>
      <c r="T62" s="41">
        <f t="shared" si="3"/>
        <v>6.580645161290323</v>
      </c>
      <c r="U62" s="45">
        <v>4</v>
      </c>
      <c r="V62" s="45">
        <v>1</v>
      </c>
      <c r="W62" s="45">
        <v>1</v>
      </c>
      <c r="X62" s="41">
        <f t="shared" si="4"/>
        <v>6</v>
      </c>
      <c r="Y62" s="41">
        <f t="shared" si="5"/>
        <v>1.1612903225806452</v>
      </c>
      <c r="Z62" s="45">
        <v>23</v>
      </c>
      <c r="AA62" s="45">
        <v>2</v>
      </c>
      <c r="AB62" s="45">
        <v>1</v>
      </c>
      <c r="AC62" s="45">
        <v>1</v>
      </c>
      <c r="AD62" s="41">
        <f t="shared" si="6"/>
        <v>27</v>
      </c>
      <c r="AE62" s="41">
        <f t="shared" si="7"/>
        <v>5.225806451612903</v>
      </c>
      <c r="AF62" s="41">
        <f t="shared" si="14"/>
        <v>67</v>
      </c>
      <c r="AG62" s="41">
        <f t="shared" si="14"/>
        <v>12.967741935483872</v>
      </c>
      <c r="AH62" s="41">
        <f t="shared" si="15"/>
        <v>99</v>
      </c>
      <c r="AI62" s="41">
        <f t="shared" si="15"/>
        <v>19.161290322580648</v>
      </c>
    </row>
    <row r="63" spans="1:35">
      <c r="A63" s="42" t="s">
        <v>308</v>
      </c>
      <c r="B63" s="38" t="s">
        <v>315</v>
      </c>
      <c r="C63" s="43" t="s">
        <v>39</v>
      </c>
      <c r="D63" s="43" t="str">
        <f t="shared" si="13"/>
        <v>M24NLSS22AFH.24D3601(D905)</v>
      </c>
      <c r="E63" s="42" t="s">
        <v>21</v>
      </c>
      <c r="F63" s="42" t="s">
        <v>21</v>
      </c>
      <c r="G63" s="44">
        <v>310</v>
      </c>
      <c r="H63" s="44">
        <v>27</v>
      </c>
      <c r="I63" s="45">
        <v>1</v>
      </c>
      <c r="J63" s="45">
        <v>1</v>
      </c>
      <c r="K63" s="45">
        <v>3</v>
      </c>
      <c r="L63" s="41">
        <f t="shared" si="0"/>
        <v>32</v>
      </c>
      <c r="M63" s="41">
        <f t="shared" si="1"/>
        <v>6.193548387096774</v>
      </c>
      <c r="N63" s="45">
        <v>29</v>
      </c>
      <c r="O63" s="45">
        <v>1</v>
      </c>
      <c r="P63" s="45">
        <v>1</v>
      </c>
      <c r="Q63" s="45">
        <v>1</v>
      </c>
      <c r="R63" s="45">
        <v>2</v>
      </c>
      <c r="S63" s="41">
        <f t="shared" si="2"/>
        <v>34</v>
      </c>
      <c r="T63" s="41">
        <f t="shared" si="3"/>
        <v>6.580645161290323</v>
      </c>
      <c r="U63" s="45">
        <v>4</v>
      </c>
      <c r="V63" s="45">
        <v>1</v>
      </c>
      <c r="W63" s="45">
        <v>1</v>
      </c>
      <c r="X63" s="41">
        <f t="shared" si="4"/>
        <v>6</v>
      </c>
      <c r="Y63" s="41">
        <f t="shared" si="5"/>
        <v>1.1612903225806452</v>
      </c>
      <c r="Z63" s="45">
        <v>23</v>
      </c>
      <c r="AA63" s="45">
        <v>2</v>
      </c>
      <c r="AB63" s="45">
        <v>1</v>
      </c>
      <c r="AC63" s="45">
        <v>1</v>
      </c>
      <c r="AD63" s="41">
        <f t="shared" si="6"/>
        <v>27</v>
      </c>
      <c r="AE63" s="41">
        <f t="shared" si="7"/>
        <v>5.225806451612903</v>
      </c>
      <c r="AF63" s="41">
        <f t="shared" si="14"/>
        <v>67</v>
      </c>
      <c r="AG63" s="41">
        <f t="shared" si="14"/>
        <v>12.967741935483872</v>
      </c>
      <c r="AH63" s="41">
        <f t="shared" si="15"/>
        <v>99</v>
      </c>
      <c r="AI63" s="41">
        <f t="shared" si="15"/>
        <v>19.161290322580648</v>
      </c>
    </row>
    <row r="64" spans="1:35">
      <c r="A64" s="42" t="s">
        <v>299</v>
      </c>
      <c r="B64" s="38" t="s">
        <v>315</v>
      </c>
      <c r="C64" s="39" t="s">
        <v>40</v>
      </c>
      <c r="D64" s="43" t="str">
        <f t="shared" si="13"/>
        <v>M24NLSS22AFH.24D3661(D905)</v>
      </c>
      <c r="E64" s="42" t="s">
        <v>21</v>
      </c>
      <c r="F64" s="42" t="s">
        <v>21</v>
      </c>
      <c r="G64" s="44">
        <v>310</v>
      </c>
      <c r="H64" s="44">
        <v>27</v>
      </c>
      <c r="I64" s="45">
        <v>1</v>
      </c>
      <c r="J64" s="45">
        <v>1</v>
      </c>
      <c r="K64" s="45">
        <v>3</v>
      </c>
      <c r="L64" s="41">
        <f t="shared" si="0"/>
        <v>32</v>
      </c>
      <c r="M64" s="41">
        <f t="shared" si="1"/>
        <v>6.193548387096774</v>
      </c>
      <c r="N64" s="45">
        <v>29</v>
      </c>
      <c r="O64" s="45">
        <v>1</v>
      </c>
      <c r="P64" s="45">
        <v>1</v>
      </c>
      <c r="Q64" s="45">
        <v>1</v>
      </c>
      <c r="R64" s="45">
        <v>2</v>
      </c>
      <c r="S64" s="41">
        <f t="shared" si="2"/>
        <v>34</v>
      </c>
      <c r="T64" s="41">
        <f t="shared" si="3"/>
        <v>6.580645161290323</v>
      </c>
      <c r="U64" s="45">
        <v>4</v>
      </c>
      <c r="V64" s="45">
        <v>1</v>
      </c>
      <c r="W64" s="45">
        <v>1</v>
      </c>
      <c r="X64" s="41">
        <f t="shared" si="4"/>
        <v>6</v>
      </c>
      <c r="Y64" s="41">
        <f t="shared" si="5"/>
        <v>1.1612903225806452</v>
      </c>
      <c r="Z64" s="45">
        <v>23</v>
      </c>
      <c r="AA64" s="45">
        <v>2</v>
      </c>
      <c r="AB64" s="45">
        <v>1</v>
      </c>
      <c r="AC64" s="45">
        <v>1</v>
      </c>
      <c r="AD64" s="41">
        <f t="shared" si="6"/>
        <v>27</v>
      </c>
      <c r="AE64" s="41">
        <f t="shared" si="7"/>
        <v>5.225806451612903</v>
      </c>
      <c r="AF64" s="41">
        <f t="shared" si="14"/>
        <v>67</v>
      </c>
      <c r="AG64" s="41">
        <f t="shared" si="14"/>
        <v>12.967741935483872</v>
      </c>
      <c r="AH64" s="41">
        <f t="shared" si="15"/>
        <v>99</v>
      </c>
      <c r="AI64" s="41">
        <f t="shared" si="15"/>
        <v>19.161290322580648</v>
      </c>
    </row>
    <row r="65" spans="1:35">
      <c r="A65" s="42" t="s">
        <v>299</v>
      </c>
      <c r="B65" s="38" t="s">
        <v>315</v>
      </c>
      <c r="C65" s="39" t="s">
        <v>46</v>
      </c>
      <c r="D65" s="43" t="str">
        <f t="shared" si="13"/>
        <v>M24NLSS22AFH.24D3621(D905)</v>
      </c>
      <c r="E65" s="42" t="s">
        <v>21</v>
      </c>
      <c r="F65" s="42" t="s">
        <v>21</v>
      </c>
      <c r="G65" s="44">
        <v>310</v>
      </c>
      <c r="H65" s="44">
        <v>27</v>
      </c>
      <c r="I65" s="45">
        <v>1</v>
      </c>
      <c r="J65" s="45">
        <v>1</v>
      </c>
      <c r="K65" s="45">
        <v>3</v>
      </c>
      <c r="L65" s="41">
        <f t="shared" si="0"/>
        <v>32</v>
      </c>
      <c r="M65" s="41">
        <f t="shared" si="1"/>
        <v>6.193548387096774</v>
      </c>
      <c r="N65" s="45">
        <v>29</v>
      </c>
      <c r="O65" s="45">
        <v>1</v>
      </c>
      <c r="P65" s="45">
        <v>1</v>
      </c>
      <c r="Q65" s="45">
        <v>1</v>
      </c>
      <c r="R65" s="45">
        <v>2</v>
      </c>
      <c r="S65" s="41">
        <f t="shared" si="2"/>
        <v>34</v>
      </c>
      <c r="T65" s="41">
        <f t="shared" si="3"/>
        <v>6.580645161290323</v>
      </c>
      <c r="U65" s="45">
        <v>4</v>
      </c>
      <c r="V65" s="45">
        <v>1</v>
      </c>
      <c r="W65" s="45">
        <v>1</v>
      </c>
      <c r="X65" s="41">
        <f t="shared" si="4"/>
        <v>6</v>
      </c>
      <c r="Y65" s="41">
        <f t="shared" si="5"/>
        <v>1.1612903225806452</v>
      </c>
      <c r="Z65" s="45">
        <v>23</v>
      </c>
      <c r="AA65" s="45">
        <v>2</v>
      </c>
      <c r="AB65" s="45">
        <v>1</v>
      </c>
      <c r="AC65" s="45">
        <v>1</v>
      </c>
      <c r="AD65" s="41">
        <f t="shared" si="6"/>
        <v>27</v>
      </c>
      <c r="AE65" s="41">
        <f t="shared" si="7"/>
        <v>5.225806451612903</v>
      </c>
      <c r="AF65" s="41">
        <f t="shared" si="14"/>
        <v>67</v>
      </c>
      <c r="AG65" s="41">
        <f t="shared" si="14"/>
        <v>12.967741935483872</v>
      </c>
      <c r="AH65" s="41">
        <f t="shared" si="15"/>
        <v>99</v>
      </c>
      <c r="AI65" s="41">
        <f t="shared" si="15"/>
        <v>19.161290322580648</v>
      </c>
    </row>
    <row r="66" spans="1:35">
      <c r="A66" s="42" t="s">
        <v>299</v>
      </c>
      <c r="B66" s="38" t="s">
        <v>315</v>
      </c>
      <c r="C66" s="39" t="s">
        <v>47</v>
      </c>
      <c r="D66" s="43" t="str">
        <f t="shared" si="13"/>
        <v>M24NLSS22AFH.24D3641(D905)</v>
      </c>
      <c r="E66" s="42" t="s">
        <v>21</v>
      </c>
      <c r="F66" s="42" t="s">
        <v>21</v>
      </c>
      <c r="G66" s="44">
        <v>310</v>
      </c>
      <c r="H66" s="44">
        <v>27</v>
      </c>
      <c r="I66" s="45">
        <v>1</v>
      </c>
      <c r="J66" s="45">
        <v>1</v>
      </c>
      <c r="K66" s="45">
        <v>3</v>
      </c>
      <c r="L66" s="41">
        <f t="shared" si="0"/>
        <v>32</v>
      </c>
      <c r="M66" s="41">
        <f t="shared" si="1"/>
        <v>6.193548387096774</v>
      </c>
      <c r="N66" s="45">
        <v>29</v>
      </c>
      <c r="O66" s="45">
        <v>1</v>
      </c>
      <c r="P66" s="45">
        <v>1</v>
      </c>
      <c r="Q66" s="45">
        <v>1</v>
      </c>
      <c r="R66" s="45">
        <v>2</v>
      </c>
      <c r="S66" s="41">
        <f t="shared" si="2"/>
        <v>34</v>
      </c>
      <c r="T66" s="41">
        <f t="shared" si="3"/>
        <v>6.580645161290323</v>
      </c>
      <c r="U66" s="45">
        <v>4</v>
      </c>
      <c r="V66" s="45">
        <v>1</v>
      </c>
      <c r="W66" s="45">
        <v>1</v>
      </c>
      <c r="X66" s="41">
        <f t="shared" si="4"/>
        <v>6</v>
      </c>
      <c r="Y66" s="41">
        <f t="shared" si="5"/>
        <v>1.1612903225806452</v>
      </c>
      <c r="Z66" s="45">
        <v>23</v>
      </c>
      <c r="AA66" s="45">
        <v>2</v>
      </c>
      <c r="AB66" s="45">
        <v>1</v>
      </c>
      <c r="AC66" s="45">
        <v>1</v>
      </c>
      <c r="AD66" s="41">
        <f t="shared" si="6"/>
        <v>27</v>
      </c>
      <c r="AE66" s="41">
        <f t="shared" si="7"/>
        <v>5.225806451612903</v>
      </c>
      <c r="AF66" s="41">
        <f t="shared" si="14"/>
        <v>67</v>
      </c>
      <c r="AG66" s="41">
        <f t="shared" si="14"/>
        <v>12.967741935483872</v>
      </c>
      <c r="AH66" s="41">
        <f t="shared" si="15"/>
        <v>99</v>
      </c>
      <c r="AI66" s="41">
        <f t="shared" si="15"/>
        <v>19.161290322580648</v>
      </c>
    </row>
    <row r="67" spans="1:35">
      <c r="A67" s="42" t="s">
        <v>299</v>
      </c>
      <c r="B67" s="38" t="s">
        <v>315</v>
      </c>
      <c r="C67" s="39" t="s">
        <v>41</v>
      </c>
      <c r="D67" s="43" t="str">
        <f t="shared" si="13"/>
        <v>M24VNSS22AFH.24D3661(D905)</v>
      </c>
      <c r="E67" s="42" t="s">
        <v>21</v>
      </c>
      <c r="F67" s="42" t="s">
        <v>21</v>
      </c>
      <c r="G67" s="44">
        <v>310</v>
      </c>
      <c r="H67" s="44">
        <v>27</v>
      </c>
      <c r="I67" s="45">
        <v>1</v>
      </c>
      <c r="J67" s="45">
        <v>1</v>
      </c>
      <c r="K67" s="45">
        <v>3</v>
      </c>
      <c r="L67" s="41">
        <f t="shared" si="0"/>
        <v>32</v>
      </c>
      <c r="M67" s="41">
        <f t="shared" si="1"/>
        <v>6.193548387096774</v>
      </c>
      <c r="N67" s="45">
        <v>29</v>
      </c>
      <c r="O67" s="45">
        <v>1</v>
      </c>
      <c r="P67" s="45">
        <v>1</v>
      </c>
      <c r="Q67" s="45">
        <v>1</v>
      </c>
      <c r="R67" s="45">
        <v>2</v>
      </c>
      <c r="S67" s="41">
        <f t="shared" si="2"/>
        <v>34</v>
      </c>
      <c r="T67" s="41">
        <f t="shared" si="3"/>
        <v>6.580645161290323</v>
      </c>
      <c r="U67" s="45">
        <v>4</v>
      </c>
      <c r="V67" s="45">
        <v>1</v>
      </c>
      <c r="W67" s="45">
        <v>1</v>
      </c>
      <c r="X67" s="41">
        <f t="shared" si="4"/>
        <v>6</v>
      </c>
      <c r="Y67" s="41">
        <f t="shared" si="5"/>
        <v>1.1612903225806452</v>
      </c>
      <c r="Z67" s="45">
        <v>23</v>
      </c>
      <c r="AA67" s="45">
        <v>2</v>
      </c>
      <c r="AB67" s="45">
        <v>1</v>
      </c>
      <c r="AC67" s="45">
        <v>1</v>
      </c>
      <c r="AD67" s="41">
        <f t="shared" si="6"/>
        <v>27</v>
      </c>
      <c r="AE67" s="41">
        <f t="shared" si="7"/>
        <v>5.225806451612903</v>
      </c>
      <c r="AF67" s="41">
        <f t="shared" si="14"/>
        <v>67</v>
      </c>
      <c r="AG67" s="41">
        <f t="shared" si="14"/>
        <v>12.967741935483872</v>
      </c>
      <c r="AH67" s="41">
        <f t="shared" si="15"/>
        <v>99</v>
      </c>
      <c r="AI67" s="41">
        <f t="shared" si="15"/>
        <v>19.161290322580648</v>
      </c>
    </row>
    <row r="68" spans="1:35">
      <c r="A68" s="42" t="s">
        <v>299</v>
      </c>
      <c r="B68" s="38" t="s">
        <v>315</v>
      </c>
      <c r="C68" s="39" t="s">
        <v>102</v>
      </c>
      <c r="D68" s="43" t="str">
        <f t="shared" si="13"/>
        <v>M24VNSS22AF-.24D3661(D905)</v>
      </c>
      <c r="E68" s="42" t="s">
        <v>21</v>
      </c>
      <c r="F68" s="42" t="s">
        <v>21</v>
      </c>
      <c r="G68" s="44">
        <v>310</v>
      </c>
      <c r="H68" s="44">
        <v>27</v>
      </c>
      <c r="I68" s="45">
        <v>1</v>
      </c>
      <c r="J68" s="45">
        <v>1</v>
      </c>
      <c r="K68" s="45">
        <v>3</v>
      </c>
      <c r="L68" s="41">
        <f t="shared" si="0"/>
        <v>32</v>
      </c>
      <c r="M68" s="41">
        <f t="shared" si="1"/>
        <v>6.193548387096774</v>
      </c>
      <c r="N68" s="45">
        <v>29</v>
      </c>
      <c r="O68" s="45">
        <v>1</v>
      </c>
      <c r="P68" s="45">
        <v>1</v>
      </c>
      <c r="Q68" s="45">
        <v>1</v>
      </c>
      <c r="R68" s="45">
        <v>2</v>
      </c>
      <c r="S68" s="41">
        <f t="shared" si="2"/>
        <v>34</v>
      </c>
      <c r="T68" s="41">
        <f t="shared" si="3"/>
        <v>6.580645161290323</v>
      </c>
      <c r="U68" s="45">
        <v>4</v>
      </c>
      <c r="V68" s="45">
        <v>1</v>
      </c>
      <c r="W68" s="45">
        <v>1</v>
      </c>
      <c r="X68" s="41">
        <f t="shared" si="4"/>
        <v>6</v>
      </c>
      <c r="Y68" s="41">
        <f t="shared" si="5"/>
        <v>1.1612903225806452</v>
      </c>
      <c r="Z68" s="45">
        <v>23</v>
      </c>
      <c r="AA68" s="45">
        <v>2</v>
      </c>
      <c r="AB68" s="45">
        <v>1</v>
      </c>
      <c r="AC68" s="45">
        <v>1</v>
      </c>
      <c r="AD68" s="41">
        <f t="shared" si="6"/>
        <v>27</v>
      </c>
      <c r="AE68" s="41">
        <f t="shared" si="7"/>
        <v>5.225806451612903</v>
      </c>
      <c r="AF68" s="41">
        <f t="shared" si="14"/>
        <v>67</v>
      </c>
      <c r="AG68" s="41">
        <f t="shared" si="14"/>
        <v>12.967741935483872</v>
      </c>
      <c r="AH68" s="41">
        <f t="shared" si="15"/>
        <v>99</v>
      </c>
      <c r="AI68" s="41">
        <f t="shared" si="15"/>
        <v>19.161290322580648</v>
      </c>
    </row>
    <row r="69" spans="1:35">
      <c r="A69" s="42" t="s">
        <v>299</v>
      </c>
      <c r="B69" s="38" t="s">
        <v>315</v>
      </c>
      <c r="C69" s="39" t="s">
        <v>42</v>
      </c>
      <c r="D69" s="43" t="str">
        <f t="shared" si="13"/>
        <v>M24AUSS22AFH.24D3601(D905)</v>
      </c>
      <c r="E69" s="42" t="s">
        <v>21</v>
      </c>
      <c r="F69" s="42" t="s">
        <v>21</v>
      </c>
      <c r="G69" s="44">
        <v>310</v>
      </c>
      <c r="H69" s="44">
        <v>27</v>
      </c>
      <c r="I69" s="45">
        <v>1</v>
      </c>
      <c r="J69" s="45">
        <v>1</v>
      </c>
      <c r="K69" s="45">
        <v>3</v>
      </c>
      <c r="L69" s="41">
        <f t="shared" si="0"/>
        <v>32</v>
      </c>
      <c r="M69" s="41">
        <f t="shared" si="1"/>
        <v>6.193548387096774</v>
      </c>
      <c r="N69" s="45">
        <v>29</v>
      </c>
      <c r="O69" s="45">
        <v>1</v>
      </c>
      <c r="P69" s="45">
        <v>1</v>
      </c>
      <c r="Q69" s="45">
        <v>1</v>
      </c>
      <c r="R69" s="45">
        <v>2</v>
      </c>
      <c r="S69" s="41">
        <f t="shared" si="2"/>
        <v>34</v>
      </c>
      <c r="T69" s="41">
        <f t="shared" si="3"/>
        <v>6.580645161290323</v>
      </c>
      <c r="U69" s="45">
        <v>4</v>
      </c>
      <c r="V69" s="45">
        <v>1</v>
      </c>
      <c r="W69" s="45">
        <v>1</v>
      </c>
      <c r="X69" s="41">
        <f t="shared" si="4"/>
        <v>6</v>
      </c>
      <c r="Y69" s="41">
        <f t="shared" si="5"/>
        <v>1.1612903225806452</v>
      </c>
      <c r="Z69" s="45">
        <v>23</v>
      </c>
      <c r="AA69" s="45">
        <v>2</v>
      </c>
      <c r="AB69" s="45">
        <v>1</v>
      </c>
      <c r="AC69" s="45">
        <v>1</v>
      </c>
      <c r="AD69" s="41">
        <f t="shared" si="6"/>
        <v>27</v>
      </c>
      <c r="AE69" s="41">
        <f t="shared" si="7"/>
        <v>5.225806451612903</v>
      </c>
      <c r="AF69" s="41">
        <f t="shared" si="14"/>
        <v>67</v>
      </c>
      <c r="AG69" s="41">
        <f t="shared" si="14"/>
        <v>12.967741935483872</v>
      </c>
      <c r="AH69" s="41">
        <f t="shared" si="15"/>
        <v>99</v>
      </c>
      <c r="AI69" s="41">
        <f t="shared" si="15"/>
        <v>19.161290322580648</v>
      </c>
    </row>
    <row r="70" spans="1:35">
      <c r="A70" s="42" t="s">
        <v>299</v>
      </c>
      <c r="B70" s="38" t="s">
        <v>315</v>
      </c>
      <c r="C70" s="39" t="s">
        <v>86</v>
      </c>
      <c r="D70" s="43" t="str">
        <f t="shared" si="13"/>
        <v>M24AUSS22AF-.24D3601(D905)</v>
      </c>
      <c r="E70" s="42" t="s">
        <v>21</v>
      </c>
      <c r="F70" s="42" t="s">
        <v>21</v>
      </c>
      <c r="G70" s="44">
        <v>310</v>
      </c>
      <c r="H70" s="44">
        <v>27</v>
      </c>
      <c r="I70" s="45">
        <v>1</v>
      </c>
      <c r="J70" s="45">
        <v>1</v>
      </c>
      <c r="K70" s="45">
        <v>3</v>
      </c>
      <c r="L70" s="41">
        <f t="shared" si="0"/>
        <v>32</v>
      </c>
      <c r="M70" s="41">
        <f t="shared" si="1"/>
        <v>6.193548387096774</v>
      </c>
      <c r="N70" s="45">
        <v>29</v>
      </c>
      <c r="O70" s="45">
        <v>1</v>
      </c>
      <c r="P70" s="45">
        <v>1</v>
      </c>
      <c r="Q70" s="45">
        <v>1</v>
      </c>
      <c r="R70" s="45">
        <v>2</v>
      </c>
      <c r="S70" s="41">
        <f t="shared" si="2"/>
        <v>34</v>
      </c>
      <c r="T70" s="41">
        <f t="shared" si="3"/>
        <v>6.580645161290323</v>
      </c>
      <c r="U70" s="45">
        <v>4</v>
      </c>
      <c r="V70" s="45">
        <v>1</v>
      </c>
      <c r="W70" s="45">
        <v>1</v>
      </c>
      <c r="X70" s="41">
        <f t="shared" si="4"/>
        <v>6</v>
      </c>
      <c r="Y70" s="41">
        <f t="shared" si="5"/>
        <v>1.1612903225806452</v>
      </c>
      <c r="Z70" s="45">
        <v>23</v>
      </c>
      <c r="AA70" s="45">
        <v>2</v>
      </c>
      <c r="AB70" s="45">
        <v>1</v>
      </c>
      <c r="AC70" s="45">
        <v>1</v>
      </c>
      <c r="AD70" s="41">
        <f t="shared" si="6"/>
        <v>27</v>
      </c>
      <c r="AE70" s="41">
        <f t="shared" si="7"/>
        <v>5.225806451612903</v>
      </c>
      <c r="AF70" s="41">
        <f t="shared" ref="AF70:AG201" si="16">SUM(S70,X70,AD70)</f>
        <v>67</v>
      </c>
      <c r="AG70" s="41">
        <f t="shared" si="16"/>
        <v>12.967741935483872</v>
      </c>
      <c r="AH70" s="41">
        <f t="shared" ref="AH70:AI201" si="17">SUM(L70,AF70)</f>
        <v>99</v>
      </c>
      <c r="AI70" s="41">
        <f t="shared" si="17"/>
        <v>19.161290322580648</v>
      </c>
    </row>
    <row r="71" spans="1:35">
      <c r="A71" s="42" t="s">
        <v>299</v>
      </c>
      <c r="B71" s="38" t="s">
        <v>315</v>
      </c>
      <c r="C71" s="39" t="s">
        <v>49</v>
      </c>
      <c r="D71" s="43" t="str">
        <f t="shared" si="13"/>
        <v>M24AUSS22AFH.24D3661(D905)</v>
      </c>
      <c r="E71" s="42" t="s">
        <v>21</v>
      </c>
      <c r="F71" s="42" t="s">
        <v>21</v>
      </c>
      <c r="G71" s="44">
        <v>310</v>
      </c>
      <c r="H71" s="44">
        <v>27</v>
      </c>
      <c r="I71" s="45">
        <v>1</v>
      </c>
      <c r="J71" s="45">
        <v>1</v>
      </c>
      <c r="K71" s="45">
        <v>3</v>
      </c>
      <c r="L71" s="41">
        <f t="shared" ref="L71:L134" si="18">SUM(H71:K71)</f>
        <v>32</v>
      </c>
      <c r="M71" s="41">
        <f t="shared" ref="M71:M134" si="19">60*L71/G71</f>
        <v>6.193548387096774</v>
      </c>
      <c r="N71" s="45">
        <v>29</v>
      </c>
      <c r="O71" s="45">
        <v>1</v>
      </c>
      <c r="P71" s="45">
        <v>1</v>
      </c>
      <c r="Q71" s="45">
        <v>1</v>
      </c>
      <c r="R71" s="45">
        <v>2</v>
      </c>
      <c r="S71" s="41">
        <f t="shared" ref="S71:S134" si="20">SUM(N71:R71)</f>
        <v>34</v>
      </c>
      <c r="T71" s="41">
        <f t="shared" ref="T71:T134" si="21">60*S71/G71</f>
        <v>6.580645161290323</v>
      </c>
      <c r="U71" s="45">
        <v>4</v>
      </c>
      <c r="V71" s="45">
        <v>1</v>
      </c>
      <c r="W71" s="45">
        <v>1</v>
      </c>
      <c r="X71" s="41">
        <f t="shared" ref="X71:X134" si="22">SUM(U71:W71)</f>
        <v>6</v>
      </c>
      <c r="Y71" s="41">
        <f t="shared" ref="Y71:Y134" si="23">60*X71/G71</f>
        <v>1.1612903225806452</v>
      </c>
      <c r="Z71" s="45">
        <v>23</v>
      </c>
      <c r="AA71" s="45">
        <v>2</v>
      </c>
      <c r="AB71" s="45">
        <v>1</v>
      </c>
      <c r="AC71" s="45">
        <v>1</v>
      </c>
      <c r="AD71" s="41">
        <f t="shared" ref="AD71:AD134" si="24">SUM(Z71:AC71)</f>
        <v>27</v>
      </c>
      <c r="AE71" s="41">
        <f t="shared" ref="AE71:AE134" si="25">60*AD71/G71</f>
        <v>5.225806451612903</v>
      </c>
      <c r="AF71" s="41">
        <f t="shared" si="16"/>
        <v>67</v>
      </c>
      <c r="AG71" s="41">
        <f t="shared" si="16"/>
        <v>12.967741935483872</v>
      </c>
      <c r="AH71" s="41">
        <f t="shared" si="17"/>
        <v>99</v>
      </c>
      <c r="AI71" s="41">
        <f t="shared" si="17"/>
        <v>19.161290322580648</v>
      </c>
    </row>
    <row r="72" spans="1:35">
      <c r="A72" s="42" t="s">
        <v>317</v>
      </c>
      <c r="B72" s="38" t="s">
        <v>315</v>
      </c>
      <c r="C72" s="39" t="s">
        <v>43</v>
      </c>
      <c r="D72" s="43" t="str">
        <f t="shared" si="13"/>
        <v>M24CLSS22AFH.24D3601(D905)</v>
      </c>
      <c r="E72" s="42" t="s">
        <v>21</v>
      </c>
      <c r="F72" s="42" t="s">
        <v>21</v>
      </c>
      <c r="G72" s="44">
        <v>310</v>
      </c>
      <c r="H72" s="44">
        <v>27</v>
      </c>
      <c r="I72" s="45">
        <v>1</v>
      </c>
      <c r="J72" s="45">
        <v>1</v>
      </c>
      <c r="K72" s="45">
        <v>3</v>
      </c>
      <c r="L72" s="41">
        <f t="shared" si="18"/>
        <v>32</v>
      </c>
      <c r="M72" s="41">
        <f t="shared" si="19"/>
        <v>6.193548387096774</v>
      </c>
      <c r="N72" s="45">
        <v>29</v>
      </c>
      <c r="O72" s="45">
        <v>1</v>
      </c>
      <c r="P72" s="45">
        <v>1</v>
      </c>
      <c r="Q72" s="45">
        <v>1</v>
      </c>
      <c r="R72" s="45">
        <v>2</v>
      </c>
      <c r="S72" s="41">
        <f t="shared" si="20"/>
        <v>34</v>
      </c>
      <c r="T72" s="41">
        <f t="shared" si="21"/>
        <v>6.580645161290323</v>
      </c>
      <c r="U72" s="45">
        <v>4</v>
      </c>
      <c r="V72" s="45">
        <v>1</v>
      </c>
      <c r="W72" s="45">
        <v>1</v>
      </c>
      <c r="X72" s="41">
        <f t="shared" si="22"/>
        <v>6</v>
      </c>
      <c r="Y72" s="41">
        <f t="shared" si="23"/>
        <v>1.1612903225806452</v>
      </c>
      <c r="Z72" s="45">
        <v>23</v>
      </c>
      <c r="AA72" s="45">
        <v>2</v>
      </c>
      <c r="AB72" s="45">
        <v>1</v>
      </c>
      <c r="AC72" s="45">
        <v>1</v>
      </c>
      <c r="AD72" s="41">
        <f t="shared" si="24"/>
        <v>27</v>
      </c>
      <c r="AE72" s="41">
        <f t="shared" si="25"/>
        <v>5.225806451612903</v>
      </c>
      <c r="AF72" s="41">
        <f t="shared" si="16"/>
        <v>67</v>
      </c>
      <c r="AG72" s="41">
        <f t="shared" si="16"/>
        <v>12.967741935483872</v>
      </c>
      <c r="AH72" s="41">
        <f t="shared" si="17"/>
        <v>99</v>
      </c>
      <c r="AI72" s="41">
        <f t="shared" si="17"/>
        <v>19.161290322580648</v>
      </c>
    </row>
    <row r="73" spans="1:35">
      <c r="A73" s="42" t="s">
        <v>318</v>
      </c>
      <c r="B73" s="38" t="s">
        <v>315</v>
      </c>
      <c r="C73" s="39" t="s">
        <v>50</v>
      </c>
      <c r="D73" s="43" t="str">
        <f t="shared" si="13"/>
        <v>M24CLSS22AFH.24D3661(D905)</v>
      </c>
      <c r="E73" s="42" t="s">
        <v>21</v>
      </c>
      <c r="F73" s="42" t="s">
        <v>21</v>
      </c>
      <c r="G73" s="44">
        <v>310</v>
      </c>
      <c r="H73" s="44">
        <v>27</v>
      </c>
      <c r="I73" s="45">
        <v>1</v>
      </c>
      <c r="J73" s="45">
        <v>1</v>
      </c>
      <c r="K73" s="45">
        <v>3</v>
      </c>
      <c r="L73" s="41">
        <f t="shared" si="18"/>
        <v>32</v>
      </c>
      <c r="M73" s="41">
        <f t="shared" si="19"/>
        <v>6.193548387096774</v>
      </c>
      <c r="N73" s="45">
        <v>29</v>
      </c>
      <c r="O73" s="45">
        <v>1</v>
      </c>
      <c r="P73" s="45">
        <v>1</v>
      </c>
      <c r="Q73" s="45">
        <v>1</v>
      </c>
      <c r="R73" s="45">
        <v>2</v>
      </c>
      <c r="S73" s="41">
        <f t="shared" si="20"/>
        <v>34</v>
      </c>
      <c r="T73" s="41">
        <f t="shared" si="21"/>
        <v>6.580645161290323</v>
      </c>
      <c r="U73" s="45">
        <v>4</v>
      </c>
      <c r="V73" s="45">
        <v>1</v>
      </c>
      <c r="W73" s="45">
        <v>1</v>
      </c>
      <c r="X73" s="41">
        <f t="shared" si="22"/>
        <v>6</v>
      </c>
      <c r="Y73" s="41">
        <f t="shared" si="23"/>
        <v>1.1612903225806452</v>
      </c>
      <c r="Z73" s="45">
        <v>23</v>
      </c>
      <c r="AA73" s="45">
        <v>2</v>
      </c>
      <c r="AB73" s="45">
        <v>1</v>
      </c>
      <c r="AC73" s="45">
        <v>1</v>
      </c>
      <c r="AD73" s="41">
        <f t="shared" si="24"/>
        <v>27</v>
      </c>
      <c r="AE73" s="41">
        <f t="shared" si="25"/>
        <v>5.225806451612903</v>
      </c>
      <c r="AF73" s="41">
        <f t="shared" si="16"/>
        <v>67</v>
      </c>
      <c r="AG73" s="41">
        <f t="shared" si="16"/>
        <v>12.967741935483872</v>
      </c>
      <c r="AH73" s="41">
        <f t="shared" si="17"/>
        <v>99</v>
      </c>
      <c r="AI73" s="41">
        <f t="shared" si="17"/>
        <v>19.161290322580648</v>
      </c>
    </row>
    <row r="74" spans="1:35">
      <c r="A74" s="42" t="s">
        <v>308</v>
      </c>
      <c r="B74" s="38" t="s">
        <v>315</v>
      </c>
      <c r="C74" s="39" t="s">
        <v>316</v>
      </c>
      <c r="D74" s="43" t="str">
        <f t="shared" si="13"/>
        <v>M24USSS22AFH.24D3601(D905)</v>
      </c>
      <c r="E74" s="42" t="s">
        <v>21</v>
      </c>
      <c r="F74" s="42" t="s">
        <v>21</v>
      </c>
      <c r="G74" s="44">
        <v>310</v>
      </c>
      <c r="H74" s="44">
        <v>27</v>
      </c>
      <c r="I74" s="45">
        <v>1</v>
      </c>
      <c r="J74" s="45">
        <v>1</v>
      </c>
      <c r="K74" s="45">
        <v>3</v>
      </c>
      <c r="L74" s="41">
        <f t="shared" si="18"/>
        <v>32</v>
      </c>
      <c r="M74" s="41">
        <f t="shared" si="19"/>
        <v>6.193548387096774</v>
      </c>
      <c r="N74" s="45">
        <v>29</v>
      </c>
      <c r="O74" s="45">
        <v>1</v>
      </c>
      <c r="P74" s="45">
        <v>1</v>
      </c>
      <c r="Q74" s="45">
        <v>1</v>
      </c>
      <c r="R74" s="45">
        <v>2</v>
      </c>
      <c r="S74" s="41">
        <f t="shared" si="20"/>
        <v>34</v>
      </c>
      <c r="T74" s="41">
        <f t="shared" si="21"/>
        <v>6.580645161290323</v>
      </c>
      <c r="U74" s="45">
        <v>4</v>
      </c>
      <c r="V74" s="45">
        <v>1</v>
      </c>
      <c r="W74" s="45">
        <v>1</v>
      </c>
      <c r="X74" s="41">
        <f t="shared" si="22"/>
        <v>6</v>
      </c>
      <c r="Y74" s="41">
        <f t="shared" si="23"/>
        <v>1.1612903225806452</v>
      </c>
      <c r="Z74" s="45">
        <v>23</v>
      </c>
      <c r="AA74" s="45">
        <v>2</v>
      </c>
      <c r="AB74" s="45">
        <v>1</v>
      </c>
      <c r="AC74" s="45">
        <v>1</v>
      </c>
      <c r="AD74" s="41">
        <f t="shared" si="24"/>
        <v>27</v>
      </c>
      <c r="AE74" s="41">
        <f t="shared" si="25"/>
        <v>5.225806451612903</v>
      </c>
      <c r="AF74" s="41">
        <f t="shared" si="16"/>
        <v>67</v>
      </c>
      <c r="AG74" s="41">
        <f t="shared" si="16"/>
        <v>12.967741935483872</v>
      </c>
      <c r="AH74" s="41">
        <f t="shared" si="17"/>
        <v>99</v>
      </c>
      <c r="AI74" s="41">
        <f t="shared" si="17"/>
        <v>19.161290322580648</v>
      </c>
    </row>
    <row r="75" spans="1:35">
      <c r="A75" s="42" t="s">
        <v>308</v>
      </c>
      <c r="B75" s="38" t="s">
        <v>315</v>
      </c>
      <c r="C75" s="39" t="s">
        <v>51</v>
      </c>
      <c r="D75" s="43" t="str">
        <f t="shared" si="13"/>
        <v>M24USSS22AFH.24D3661(D905)</v>
      </c>
      <c r="E75" s="42" t="s">
        <v>21</v>
      </c>
      <c r="F75" s="42" t="s">
        <v>21</v>
      </c>
      <c r="G75" s="44">
        <v>310</v>
      </c>
      <c r="H75" s="44">
        <v>27</v>
      </c>
      <c r="I75" s="45">
        <v>1</v>
      </c>
      <c r="J75" s="45">
        <v>1</v>
      </c>
      <c r="K75" s="45">
        <v>3</v>
      </c>
      <c r="L75" s="41">
        <f t="shared" si="18"/>
        <v>32</v>
      </c>
      <c r="M75" s="41">
        <f t="shared" si="19"/>
        <v>6.193548387096774</v>
      </c>
      <c r="N75" s="45">
        <v>29</v>
      </c>
      <c r="O75" s="45">
        <v>1</v>
      </c>
      <c r="P75" s="45">
        <v>1</v>
      </c>
      <c r="Q75" s="45">
        <v>1</v>
      </c>
      <c r="R75" s="45">
        <v>2</v>
      </c>
      <c r="S75" s="41">
        <f t="shared" si="20"/>
        <v>34</v>
      </c>
      <c r="T75" s="41">
        <f t="shared" si="21"/>
        <v>6.580645161290323</v>
      </c>
      <c r="U75" s="45">
        <v>4</v>
      </c>
      <c r="V75" s="45">
        <v>1</v>
      </c>
      <c r="W75" s="45">
        <v>1</v>
      </c>
      <c r="X75" s="41">
        <f t="shared" si="22"/>
        <v>6</v>
      </c>
      <c r="Y75" s="41">
        <f t="shared" si="23"/>
        <v>1.1612903225806452</v>
      </c>
      <c r="Z75" s="45">
        <v>23</v>
      </c>
      <c r="AA75" s="45">
        <v>2</v>
      </c>
      <c r="AB75" s="45">
        <v>1</v>
      </c>
      <c r="AC75" s="45">
        <v>1</v>
      </c>
      <c r="AD75" s="41">
        <f t="shared" si="24"/>
        <v>27</v>
      </c>
      <c r="AE75" s="41">
        <f t="shared" si="25"/>
        <v>5.225806451612903</v>
      </c>
      <c r="AF75" s="41">
        <f t="shared" si="16"/>
        <v>67</v>
      </c>
      <c r="AG75" s="41">
        <f t="shared" si="16"/>
        <v>12.967741935483872</v>
      </c>
      <c r="AH75" s="41">
        <f t="shared" si="17"/>
        <v>99</v>
      </c>
      <c r="AI75" s="41">
        <f t="shared" si="17"/>
        <v>19.161290322580648</v>
      </c>
    </row>
    <row r="76" spans="1:35">
      <c r="A76" s="42" t="s">
        <v>308</v>
      </c>
      <c r="B76" s="38" t="s">
        <v>315</v>
      </c>
      <c r="C76" s="39" t="s">
        <v>58</v>
      </c>
      <c r="D76" s="43" t="str">
        <f t="shared" si="13"/>
        <v>M24AESS22AFH.24D3621(D905)</v>
      </c>
      <c r="E76" s="42" t="s">
        <v>21</v>
      </c>
      <c r="F76" s="42" t="s">
        <v>21</v>
      </c>
      <c r="G76" s="44">
        <v>310</v>
      </c>
      <c r="H76" s="44">
        <v>27</v>
      </c>
      <c r="I76" s="45">
        <v>1</v>
      </c>
      <c r="J76" s="45">
        <v>1</v>
      </c>
      <c r="K76" s="45">
        <v>3</v>
      </c>
      <c r="L76" s="41">
        <f t="shared" si="18"/>
        <v>32</v>
      </c>
      <c r="M76" s="41">
        <f t="shared" si="19"/>
        <v>6.193548387096774</v>
      </c>
      <c r="N76" s="45">
        <v>29</v>
      </c>
      <c r="O76" s="45">
        <v>1</v>
      </c>
      <c r="P76" s="45">
        <v>1</v>
      </c>
      <c r="Q76" s="45">
        <v>1</v>
      </c>
      <c r="R76" s="45">
        <v>2</v>
      </c>
      <c r="S76" s="41">
        <f t="shared" si="20"/>
        <v>34</v>
      </c>
      <c r="T76" s="41">
        <f t="shared" si="21"/>
        <v>6.580645161290323</v>
      </c>
      <c r="U76" s="45">
        <v>4</v>
      </c>
      <c r="V76" s="45">
        <v>1</v>
      </c>
      <c r="W76" s="45">
        <v>1</v>
      </c>
      <c r="X76" s="41">
        <f t="shared" si="22"/>
        <v>6</v>
      </c>
      <c r="Y76" s="41">
        <f t="shared" si="23"/>
        <v>1.1612903225806452</v>
      </c>
      <c r="Z76" s="45">
        <v>23</v>
      </c>
      <c r="AA76" s="45">
        <v>2</v>
      </c>
      <c r="AB76" s="45">
        <v>1</v>
      </c>
      <c r="AC76" s="45">
        <v>1</v>
      </c>
      <c r="AD76" s="41">
        <f t="shared" si="24"/>
        <v>27</v>
      </c>
      <c r="AE76" s="41">
        <f t="shared" si="25"/>
        <v>5.225806451612903</v>
      </c>
      <c r="AF76" s="41">
        <f t="shared" si="16"/>
        <v>67</v>
      </c>
      <c r="AG76" s="41">
        <f t="shared" si="16"/>
        <v>12.967741935483872</v>
      </c>
      <c r="AH76" s="41">
        <f t="shared" si="17"/>
        <v>99</v>
      </c>
      <c r="AI76" s="41">
        <f t="shared" si="17"/>
        <v>19.161290322580648</v>
      </c>
    </row>
    <row r="77" spans="1:35">
      <c r="A77" s="42" t="s">
        <v>319</v>
      </c>
      <c r="B77" s="38" t="s">
        <v>315</v>
      </c>
      <c r="C77" s="39" t="s">
        <v>45</v>
      </c>
      <c r="D77" s="43" t="str">
        <f t="shared" si="13"/>
        <v>M24GBSS22AFH.24D3601(D905)</v>
      </c>
      <c r="E77" s="42" t="s">
        <v>21</v>
      </c>
      <c r="F77" s="42" t="s">
        <v>21</v>
      </c>
      <c r="G77" s="44">
        <v>310</v>
      </c>
      <c r="H77" s="44">
        <v>27</v>
      </c>
      <c r="I77" s="45">
        <v>1</v>
      </c>
      <c r="J77" s="45">
        <v>1</v>
      </c>
      <c r="K77" s="45">
        <v>3</v>
      </c>
      <c r="L77" s="41">
        <f t="shared" si="18"/>
        <v>32</v>
      </c>
      <c r="M77" s="41">
        <f t="shared" si="19"/>
        <v>6.193548387096774</v>
      </c>
      <c r="N77" s="45">
        <v>29</v>
      </c>
      <c r="O77" s="45">
        <v>1</v>
      </c>
      <c r="P77" s="45">
        <v>1</v>
      </c>
      <c r="Q77" s="45">
        <v>1</v>
      </c>
      <c r="R77" s="45">
        <v>2</v>
      </c>
      <c r="S77" s="41">
        <f t="shared" si="20"/>
        <v>34</v>
      </c>
      <c r="T77" s="41">
        <f t="shared" si="21"/>
        <v>6.580645161290323</v>
      </c>
      <c r="U77" s="45">
        <v>4</v>
      </c>
      <c r="V77" s="45">
        <v>1</v>
      </c>
      <c r="W77" s="45">
        <v>1</v>
      </c>
      <c r="X77" s="41">
        <f t="shared" si="22"/>
        <v>6</v>
      </c>
      <c r="Y77" s="41">
        <f t="shared" si="23"/>
        <v>1.1612903225806452</v>
      </c>
      <c r="Z77" s="45">
        <v>23</v>
      </c>
      <c r="AA77" s="45">
        <v>2</v>
      </c>
      <c r="AB77" s="45">
        <v>1</v>
      </c>
      <c r="AC77" s="45">
        <v>1</v>
      </c>
      <c r="AD77" s="41">
        <f t="shared" si="24"/>
        <v>27</v>
      </c>
      <c r="AE77" s="41">
        <f t="shared" si="25"/>
        <v>5.225806451612903</v>
      </c>
      <c r="AF77" s="41">
        <f t="shared" si="16"/>
        <v>67</v>
      </c>
      <c r="AG77" s="41">
        <f t="shared" si="16"/>
        <v>12.967741935483872</v>
      </c>
      <c r="AH77" s="41">
        <f t="shared" si="17"/>
        <v>99</v>
      </c>
      <c r="AI77" s="41">
        <f t="shared" si="17"/>
        <v>19.161290322580648</v>
      </c>
    </row>
    <row r="78" spans="1:35">
      <c r="A78" s="42" t="s">
        <v>308</v>
      </c>
      <c r="B78" s="38" t="s">
        <v>315</v>
      </c>
      <c r="C78" s="39" t="s">
        <v>59</v>
      </c>
      <c r="D78" s="43" t="str">
        <f t="shared" si="13"/>
        <v>M24GBSS22AFH.24D3621(D905)</v>
      </c>
      <c r="E78" s="42" t="s">
        <v>21</v>
      </c>
      <c r="F78" s="42" t="s">
        <v>21</v>
      </c>
      <c r="G78" s="44">
        <v>310</v>
      </c>
      <c r="H78" s="44">
        <v>27</v>
      </c>
      <c r="I78" s="45">
        <v>1</v>
      </c>
      <c r="J78" s="45">
        <v>1</v>
      </c>
      <c r="K78" s="45">
        <v>3</v>
      </c>
      <c r="L78" s="41">
        <f t="shared" si="18"/>
        <v>32</v>
      </c>
      <c r="M78" s="41">
        <f t="shared" si="19"/>
        <v>6.193548387096774</v>
      </c>
      <c r="N78" s="45">
        <v>29</v>
      </c>
      <c r="O78" s="45">
        <v>1</v>
      </c>
      <c r="P78" s="45">
        <v>1</v>
      </c>
      <c r="Q78" s="45">
        <v>1</v>
      </c>
      <c r="R78" s="45">
        <v>2</v>
      </c>
      <c r="S78" s="41">
        <f t="shared" si="20"/>
        <v>34</v>
      </c>
      <c r="T78" s="41">
        <f t="shared" si="21"/>
        <v>6.580645161290323</v>
      </c>
      <c r="U78" s="45">
        <v>4</v>
      </c>
      <c r="V78" s="45">
        <v>1</v>
      </c>
      <c r="W78" s="45">
        <v>1</v>
      </c>
      <c r="X78" s="41">
        <f t="shared" si="22"/>
        <v>6</v>
      </c>
      <c r="Y78" s="41">
        <f t="shared" si="23"/>
        <v>1.1612903225806452</v>
      </c>
      <c r="Z78" s="45">
        <v>23</v>
      </c>
      <c r="AA78" s="45">
        <v>2</v>
      </c>
      <c r="AB78" s="45">
        <v>1</v>
      </c>
      <c r="AC78" s="45">
        <v>1</v>
      </c>
      <c r="AD78" s="41">
        <f t="shared" si="24"/>
        <v>27</v>
      </c>
      <c r="AE78" s="41">
        <f t="shared" si="25"/>
        <v>5.225806451612903</v>
      </c>
      <c r="AF78" s="41">
        <f t="shared" si="16"/>
        <v>67</v>
      </c>
      <c r="AG78" s="41">
        <f t="shared" si="16"/>
        <v>12.967741935483872</v>
      </c>
      <c r="AH78" s="41">
        <f t="shared" si="17"/>
        <v>99</v>
      </c>
      <c r="AI78" s="41">
        <f t="shared" si="17"/>
        <v>19.161290322580648</v>
      </c>
    </row>
    <row r="79" spans="1:35">
      <c r="A79" s="42" t="s">
        <v>308</v>
      </c>
      <c r="B79" s="38" t="s">
        <v>315</v>
      </c>
      <c r="C79" s="39" t="s">
        <v>60</v>
      </c>
      <c r="D79" s="43" t="str">
        <f t="shared" si="13"/>
        <v>M24GBSS22AFH.24D3661(D905)</v>
      </c>
      <c r="E79" s="42" t="s">
        <v>21</v>
      </c>
      <c r="F79" s="42" t="s">
        <v>21</v>
      </c>
      <c r="G79" s="44">
        <v>310</v>
      </c>
      <c r="H79" s="44">
        <v>27</v>
      </c>
      <c r="I79" s="45">
        <v>1</v>
      </c>
      <c r="J79" s="45">
        <v>1</v>
      </c>
      <c r="K79" s="45">
        <v>3</v>
      </c>
      <c r="L79" s="41">
        <f t="shared" si="18"/>
        <v>32</v>
      </c>
      <c r="M79" s="41">
        <f t="shared" si="19"/>
        <v>6.193548387096774</v>
      </c>
      <c r="N79" s="45">
        <v>29</v>
      </c>
      <c r="O79" s="45">
        <v>1</v>
      </c>
      <c r="P79" s="45">
        <v>1</v>
      </c>
      <c r="Q79" s="45">
        <v>1</v>
      </c>
      <c r="R79" s="45">
        <v>2</v>
      </c>
      <c r="S79" s="41">
        <f t="shared" si="20"/>
        <v>34</v>
      </c>
      <c r="T79" s="41">
        <f t="shared" si="21"/>
        <v>6.580645161290323</v>
      </c>
      <c r="U79" s="45">
        <v>4</v>
      </c>
      <c r="V79" s="45">
        <v>1</v>
      </c>
      <c r="W79" s="45">
        <v>1</v>
      </c>
      <c r="X79" s="41">
        <f t="shared" si="22"/>
        <v>6</v>
      </c>
      <c r="Y79" s="41">
        <f t="shared" si="23"/>
        <v>1.1612903225806452</v>
      </c>
      <c r="Z79" s="45">
        <v>23</v>
      </c>
      <c r="AA79" s="45">
        <v>2</v>
      </c>
      <c r="AB79" s="45">
        <v>1</v>
      </c>
      <c r="AC79" s="45">
        <v>1</v>
      </c>
      <c r="AD79" s="41">
        <f t="shared" si="24"/>
        <v>27</v>
      </c>
      <c r="AE79" s="41">
        <f t="shared" si="25"/>
        <v>5.225806451612903</v>
      </c>
      <c r="AF79" s="41">
        <f t="shared" si="16"/>
        <v>67</v>
      </c>
      <c r="AG79" s="41">
        <f t="shared" si="16"/>
        <v>12.967741935483872</v>
      </c>
      <c r="AH79" s="41">
        <f t="shared" si="17"/>
        <v>99</v>
      </c>
      <c r="AI79" s="41">
        <f t="shared" si="17"/>
        <v>19.161290322580648</v>
      </c>
    </row>
    <row r="80" spans="1:35">
      <c r="A80" s="42" t="s">
        <v>299</v>
      </c>
      <c r="B80" s="38" t="s">
        <v>315</v>
      </c>
      <c r="C80" s="39" t="s">
        <v>48</v>
      </c>
      <c r="D80" s="43" t="str">
        <f t="shared" si="13"/>
        <v>M24PHSS22AFH.24D3661(D905)</v>
      </c>
      <c r="E80" s="42" t="s">
        <v>21</v>
      </c>
      <c r="F80" s="42" t="s">
        <v>21</v>
      </c>
      <c r="G80" s="44">
        <v>310</v>
      </c>
      <c r="H80" s="44">
        <v>27</v>
      </c>
      <c r="I80" s="45">
        <v>1</v>
      </c>
      <c r="J80" s="45">
        <v>1</v>
      </c>
      <c r="K80" s="45">
        <v>3</v>
      </c>
      <c r="L80" s="41">
        <f t="shared" si="18"/>
        <v>32</v>
      </c>
      <c r="M80" s="41">
        <f t="shared" si="19"/>
        <v>6.193548387096774</v>
      </c>
      <c r="N80" s="45">
        <v>29</v>
      </c>
      <c r="O80" s="45">
        <v>1</v>
      </c>
      <c r="P80" s="45">
        <v>1</v>
      </c>
      <c r="Q80" s="45">
        <v>1</v>
      </c>
      <c r="R80" s="45">
        <v>2</v>
      </c>
      <c r="S80" s="41">
        <f t="shared" si="20"/>
        <v>34</v>
      </c>
      <c r="T80" s="41">
        <f t="shared" si="21"/>
        <v>6.580645161290323</v>
      </c>
      <c r="U80" s="45">
        <v>4</v>
      </c>
      <c r="V80" s="45">
        <v>1</v>
      </c>
      <c r="W80" s="45">
        <v>1</v>
      </c>
      <c r="X80" s="41">
        <f t="shared" si="22"/>
        <v>6</v>
      </c>
      <c r="Y80" s="41">
        <f t="shared" si="23"/>
        <v>1.1612903225806452</v>
      </c>
      <c r="Z80" s="45">
        <v>23</v>
      </c>
      <c r="AA80" s="45">
        <v>2</v>
      </c>
      <c r="AB80" s="45">
        <v>1</v>
      </c>
      <c r="AC80" s="45">
        <v>1</v>
      </c>
      <c r="AD80" s="41">
        <f t="shared" si="24"/>
        <v>27</v>
      </c>
      <c r="AE80" s="41">
        <f t="shared" si="25"/>
        <v>5.225806451612903</v>
      </c>
      <c r="AF80" s="41">
        <f t="shared" si="16"/>
        <v>67</v>
      </c>
      <c r="AG80" s="41">
        <f t="shared" si="16"/>
        <v>12.967741935483872</v>
      </c>
      <c r="AH80" s="41">
        <f t="shared" si="17"/>
        <v>99</v>
      </c>
      <c r="AI80" s="41">
        <f t="shared" si="17"/>
        <v>19.161290322580648</v>
      </c>
    </row>
    <row r="81" spans="1:35">
      <c r="A81" s="42" t="s">
        <v>299</v>
      </c>
      <c r="B81" s="38" t="s">
        <v>315</v>
      </c>
      <c r="C81" s="39" t="s">
        <v>72</v>
      </c>
      <c r="D81" s="43" t="str">
        <f t="shared" si="13"/>
        <v>M24TRSS22AF-.24D3661(D905)</v>
      </c>
      <c r="E81" s="42" t="s">
        <v>21</v>
      </c>
      <c r="F81" s="42" t="s">
        <v>21</v>
      </c>
      <c r="G81" s="44">
        <v>310</v>
      </c>
      <c r="H81" s="44">
        <v>27</v>
      </c>
      <c r="I81" s="45">
        <v>1</v>
      </c>
      <c r="J81" s="45">
        <v>1</v>
      </c>
      <c r="K81" s="45">
        <v>3</v>
      </c>
      <c r="L81" s="41">
        <f t="shared" si="18"/>
        <v>32</v>
      </c>
      <c r="M81" s="41">
        <f t="shared" si="19"/>
        <v>6.193548387096774</v>
      </c>
      <c r="N81" s="45">
        <v>29</v>
      </c>
      <c r="O81" s="45">
        <v>1</v>
      </c>
      <c r="P81" s="45">
        <v>1</v>
      </c>
      <c r="Q81" s="45">
        <v>1</v>
      </c>
      <c r="R81" s="45">
        <v>2</v>
      </c>
      <c r="S81" s="41">
        <f t="shared" si="20"/>
        <v>34</v>
      </c>
      <c r="T81" s="41">
        <f t="shared" si="21"/>
        <v>6.580645161290323</v>
      </c>
      <c r="U81" s="45">
        <v>4</v>
      </c>
      <c r="V81" s="45">
        <v>1</v>
      </c>
      <c r="W81" s="45">
        <v>1</v>
      </c>
      <c r="X81" s="41">
        <f t="shared" si="22"/>
        <v>6</v>
      </c>
      <c r="Y81" s="41">
        <f t="shared" si="23"/>
        <v>1.1612903225806452</v>
      </c>
      <c r="Z81" s="45">
        <v>23</v>
      </c>
      <c r="AA81" s="45">
        <v>2</v>
      </c>
      <c r="AB81" s="45">
        <v>1</v>
      </c>
      <c r="AC81" s="45">
        <v>1</v>
      </c>
      <c r="AD81" s="41">
        <f t="shared" si="24"/>
        <v>27</v>
      </c>
      <c r="AE81" s="41">
        <f t="shared" si="25"/>
        <v>5.225806451612903</v>
      </c>
      <c r="AF81" s="41">
        <f t="shared" si="16"/>
        <v>67</v>
      </c>
      <c r="AG81" s="41">
        <f t="shared" si="16"/>
        <v>12.967741935483872</v>
      </c>
      <c r="AH81" s="41">
        <f t="shared" si="17"/>
        <v>99</v>
      </c>
      <c r="AI81" s="41">
        <f t="shared" si="17"/>
        <v>19.161290322580648</v>
      </c>
    </row>
    <row r="82" spans="1:35">
      <c r="A82" s="42" t="s">
        <v>308</v>
      </c>
      <c r="B82" s="38" t="s">
        <v>315</v>
      </c>
      <c r="C82" s="39" t="s">
        <v>52</v>
      </c>
      <c r="D82" s="43" t="str">
        <f t="shared" si="13"/>
        <v>M24TRSS22AFH.24D3661(D905)</v>
      </c>
      <c r="E82" s="42" t="s">
        <v>21</v>
      </c>
      <c r="F82" s="42" t="s">
        <v>21</v>
      </c>
      <c r="G82" s="44">
        <v>310</v>
      </c>
      <c r="H82" s="44">
        <v>27</v>
      </c>
      <c r="I82" s="45">
        <v>1</v>
      </c>
      <c r="J82" s="45">
        <v>1</v>
      </c>
      <c r="K82" s="45">
        <v>3</v>
      </c>
      <c r="L82" s="41">
        <f t="shared" si="18"/>
        <v>32</v>
      </c>
      <c r="M82" s="41">
        <f t="shared" si="19"/>
        <v>6.193548387096774</v>
      </c>
      <c r="N82" s="45">
        <v>29</v>
      </c>
      <c r="O82" s="45">
        <v>1</v>
      </c>
      <c r="P82" s="45">
        <v>1</v>
      </c>
      <c r="Q82" s="45">
        <v>1</v>
      </c>
      <c r="R82" s="45">
        <v>2</v>
      </c>
      <c r="S82" s="41">
        <f t="shared" si="20"/>
        <v>34</v>
      </c>
      <c r="T82" s="41">
        <f t="shared" si="21"/>
        <v>6.580645161290323</v>
      </c>
      <c r="U82" s="45">
        <v>4</v>
      </c>
      <c r="V82" s="45">
        <v>1</v>
      </c>
      <c r="W82" s="45">
        <v>1</v>
      </c>
      <c r="X82" s="41">
        <f t="shared" si="22"/>
        <v>6</v>
      </c>
      <c r="Y82" s="41">
        <f t="shared" si="23"/>
        <v>1.1612903225806452</v>
      </c>
      <c r="Z82" s="45">
        <v>23</v>
      </c>
      <c r="AA82" s="45">
        <v>2</v>
      </c>
      <c r="AB82" s="45">
        <v>1</v>
      </c>
      <c r="AC82" s="45">
        <v>1</v>
      </c>
      <c r="AD82" s="41">
        <f t="shared" si="24"/>
        <v>27</v>
      </c>
      <c r="AE82" s="41">
        <f t="shared" si="25"/>
        <v>5.225806451612903</v>
      </c>
      <c r="AF82" s="41">
        <f t="shared" si="16"/>
        <v>67</v>
      </c>
      <c r="AG82" s="41">
        <f t="shared" si="16"/>
        <v>12.967741935483872</v>
      </c>
      <c r="AH82" s="41">
        <f t="shared" si="17"/>
        <v>99</v>
      </c>
      <c r="AI82" s="41">
        <f t="shared" si="17"/>
        <v>19.161290322580648</v>
      </c>
    </row>
    <row r="83" spans="1:35">
      <c r="A83" s="42" t="s">
        <v>308</v>
      </c>
      <c r="B83" s="38" t="s">
        <v>315</v>
      </c>
      <c r="C83" s="39" t="s">
        <v>88</v>
      </c>
      <c r="D83" s="43" t="str">
        <f t="shared" si="13"/>
        <v>M24ARSS22AFH.24D3661(D905)</v>
      </c>
      <c r="E83" s="42" t="s">
        <v>21</v>
      </c>
      <c r="F83" s="42" t="s">
        <v>21</v>
      </c>
      <c r="G83" s="44">
        <v>310</v>
      </c>
      <c r="H83" s="44">
        <v>27</v>
      </c>
      <c r="I83" s="45">
        <v>1</v>
      </c>
      <c r="J83" s="45">
        <v>1</v>
      </c>
      <c r="K83" s="45">
        <v>3</v>
      </c>
      <c r="L83" s="41">
        <f t="shared" si="18"/>
        <v>32</v>
      </c>
      <c r="M83" s="41">
        <f t="shared" si="19"/>
        <v>6.193548387096774</v>
      </c>
      <c r="N83" s="45">
        <v>29</v>
      </c>
      <c r="O83" s="45">
        <v>1</v>
      </c>
      <c r="P83" s="45">
        <v>1</v>
      </c>
      <c r="Q83" s="45">
        <v>1</v>
      </c>
      <c r="R83" s="45">
        <v>2</v>
      </c>
      <c r="S83" s="41">
        <f t="shared" si="20"/>
        <v>34</v>
      </c>
      <c r="T83" s="41">
        <f t="shared" si="21"/>
        <v>6.580645161290323</v>
      </c>
      <c r="U83" s="45">
        <v>4</v>
      </c>
      <c r="V83" s="45">
        <v>1</v>
      </c>
      <c r="W83" s="45">
        <v>1</v>
      </c>
      <c r="X83" s="41">
        <f t="shared" si="22"/>
        <v>6</v>
      </c>
      <c r="Y83" s="41">
        <f t="shared" si="23"/>
        <v>1.1612903225806452</v>
      </c>
      <c r="Z83" s="45">
        <v>23</v>
      </c>
      <c r="AA83" s="45">
        <v>2</v>
      </c>
      <c r="AB83" s="45">
        <v>1</v>
      </c>
      <c r="AC83" s="45">
        <v>1</v>
      </c>
      <c r="AD83" s="41">
        <f t="shared" si="24"/>
        <v>27</v>
      </c>
      <c r="AE83" s="41">
        <f t="shared" si="25"/>
        <v>5.225806451612903</v>
      </c>
      <c r="AF83" s="41">
        <f t="shared" si="16"/>
        <v>67</v>
      </c>
      <c r="AG83" s="41">
        <f t="shared" si="16"/>
        <v>12.967741935483872</v>
      </c>
      <c r="AH83" s="41">
        <f t="shared" si="17"/>
        <v>99</v>
      </c>
      <c r="AI83" s="41">
        <f t="shared" si="17"/>
        <v>19.161290322580648</v>
      </c>
    </row>
    <row r="84" spans="1:35">
      <c r="A84" s="42" t="s">
        <v>308</v>
      </c>
      <c r="B84" s="38" t="s">
        <v>315</v>
      </c>
      <c r="C84" s="39" t="s">
        <v>163</v>
      </c>
      <c r="D84" s="43" t="str">
        <f t="shared" si="13"/>
        <v>M24NLSS22EFH.24D3601(D905)</v>
      </c>
      <c r="E84" s="42" t="s">
        <v>21</v>
      </c>
      <c r="F84" s="42" t="s">
        <v>21</v>
      </c>
      <c r="G84" s="44">
        <v>310</v>
      </c>
      <c r="H84" s="44">
        <v>27</v>
      </c>
      <c r="I84" s="45">
        <v>1</v>
      </c>
      <c r="J84" s="45">
        <v>1</v>
      </c>
      <c r="K84" s="45">
        <v>3</v>
      </c>
      <c r="L84" s="41">
        <f t="shared" si="18"/>
        <v>32</v>
      </c>
      <c r="M84" s="41">
        <f t="shared" si="19"/>
        <v>6.193548387096774</v>
      </c>
      <c r="N84" s="45">
        <v>29</v>
      </c>
      <c r="O84" s="45">
        <v>1</v>
      </c>
      <c r="P84" s="45">
        <v>1</v>
      </c>
      <c r="Q84" s="45">
        <v>1</v>
      </c>
      <c r="R84" s="45">
        <v>2</v>
      </c>
      <c r="S84" s="41">
        <f t="shared" si="20"/>
        <v>34</v>
      </c>
      <c r="T84" s="41">
        <f t="shared" si="21"/>
        <v>6.580645161290323</v>
      </c>
      <c r="U84" s="45">
        <v>4</v>
      </c>
      <c r="V84" s="45">
        <v>1</v>
      </c>
      <c r="W84" s="45">
        <v>1</v>
      </c>
      <c r="X84" s="41">
        <f t="shared" si="22"/>
        <v>6</v>
      </c>
      <c r="Y84" s="41">
        <f t="shared" si="23"/>
        <v>1.1612903225806452</v>
      </c>
      <c r="Z84" s="45">
        <v>23</v>
      </c>
      <c r="AA84" s="45">
        <v>2</v>
      </c>
      <c r="AB84" s="45">
        <v>1</v>
      </c>
      <c r="AC84" s="45">
        <v>1</v>
      </c>
      <c r="AD84" s="41">
        <f t="shared" si="24"/>
        <v>27</v>
      </c>
      <c r="AE84" s="41">
        <f t="shared" si="25"/>
        <v>5.225806451612903</v>
      </c>
      <c r="AF84" s="41">
        <f t="shared" si="16"/>
        <v>67</v>
      </c>
      <c r="AG84" s="41">
        <f t="shared" si="16"/>
        <v>12.967741935483872</v>
      </c>
      <c r="AH84" s="41">
        <f t="shared" si="17"/>
        <v>99</v>
      </c>
      <c r="AI84" s="41">
        <f t="shared" si="17"/>
        <v>19.161290322580648</v>
      </c>
    </row>
    <row r="85" spans="1:35">
      <c r="A85" s="42" t="s">
        <v>317</v>
      </c>
      <c r="B85" s="38" t="s">
        <v>315</v>
      </c>
      <c r="C85" s="39" t="s">
        <v>82</v>
      </c>
      <c r="D85" s="43" t="str">
        <f t="shared" si="13"/>
        <v>M24NLSS22EFH.24D3641(D905)</v>
      </c>
      <c r="E85" s="42" t="s">
        <v>21</v>
      </c>
      <c r="F85" s="42" t="s">
        <v>21</v>
      </c>
      <c r="G85" s="44">
        <v>310</v>
      </c>
      <c r="H85" s="44">
        <v>27</v>
      </c>
      <c r="I85" s="45">
        <v>1</v>
      </c>
      <c r="J85" s="45">
        <v>1</v>
      </c>
      <c r="K85" s="45">
        <v>3</v>
      </c>
      <c r="L85" s="41">
        <f t="shared" si="18"/>
        <v>32</v>
      </c>
      <c r="M85" s="41">
        <f t="shared" si="19"/>
        <v>6.193548387096774</v>
      </c>
      <c r="N85" s="45">
        <v>29</v>
      </c>
      <c r="O85" s="45">
        <v>1</v>
      </c>
      <c r="P85" s="45">
        <v>1</v>
      </c>
      <c r="Q85" s="45">
        <v>1</v>
      </c>
      <c r="R85" s="45">
        <v>2</v>
      </c>
      <c r="S85" s="41">
        <f t="shared" si="20"/>
        <v>34</v>
      </c>
      <c r="T85" s="41">
        <f t="shared" si="21"/>
        <v>6.580645161290323</v>
      </c>
      <c r="U85" s="45">
        <v>4</v>
      </c>
      <c r="V85" s="45">
        <v>1</v>
      </c>
      <c r="W85" s="45">
        <v>1</v>
      </c>
      <c r="X85" s="41">
        <f t="shared" si="22"/>
        <v>6</v>
      </c>
      <c r="Y85" s="41">
        <f t="shared" si="23"/>
        <v>1.1612903225806452</v>
      </c>
      <c r="Z85" s="45">
        <v>23</v>
      </c>
      <c r="AA85" s="45">
        <v>2</v>
      </c>
      <c r="AB85" s="45">
        <v>1</v>
      </c>
      <c r="AC85" s="45">
        <v>1</v>
      </c>
      <c r="AD85" s="41">
        <f t="shared" si="24"/>
        <v>27</v>
      </c>
      <c r="AE85" s="41">
        <f t="shared" si="25"/>
        <v>5.225806451612903</v>
      </c>
      <c r="AF85" s="41">
        <f t="shared" si="16"/>
        <v>67</v>
      </c>
      <c r="AG85" s="41">
        <f t="shared" si="16"/>
        <v>12.967741935483872</v>
      </c>
      <c r="AH85" s="41">
        <f t="shared" si="17"/>
        <v>99</v>
      </c>
      <c r="AI85" s="41">
        <f t="shared" si="17"/>
        <v>19.161290322580648</v>
      </c>
    </row>
    <row r="86" spans="1:35">
      <c r="A86" s="42" t="s">
        <v>308</v>
      </c>
      <c r="B86" s="38" t="s">
        <v>315</v>
      </c>
      <c r="C86" s="39" t="s">
        <v>149</v>
      </c>
      <c r="D86" s="43" t="str">
        <f t="shared" si="13"/>
        <v>M24AUSS22EFH.24D3661(D905)</v>
      </c>
      <c r="E86" s="42" t="s">
        <v>21</v>
      </c>
      <c r="F86" s="42" t="s">
        <v>21</v>
      </c>
      <c r="G86" s="44">
        <v>310</v>
      </c>
      <c r="H86" s="44">
        <v>27</v>
      </c>
      <c r="I86" s="45">
        <v>1</v>
      </c>
      <c r="J86" s="45">
        <v>1</v>
      </c>
      <c r="K86" s="45">
        <v>3</v>
      </c>
      <c r="L86" s="41">
        <f t="shared" si="18"/>
        <v>32</v>
      </c>
      <c r="M86" s="41">
        <f t="shared" si="19"/>
        <v>6.193548387096774</v>
      </c>
      <c r="N86" s="45">
        <v>29</v>
      </c>
      <c r="O86" s="45">
        <v>1</v>
      </c>
      <c r="P86" s="45">
        <v>1</v>
      </c>
      <c r="Q86" s="45">
        <v>1</v>
      </c>
      <c r="R86" s="45">
        <v>2</v>
      </c>
      <c r="S86" s="41">
        <f t="shared" si="20"/>
        <v>34</v>
      </c>
      <c r="T86" s="41">
        <f t="shared" si="21"/>
        <v>6.580645161290323</v>
      </c>
      <c r="U86" s="45">
        <v>4</v>
      </c>
      <c r="V86" s="45">
        <v>1</v>
      </c>
      <c r="W86" s="45">
        <v>1</v>
      </c>
      <c r="X86" s="41">
        <f t="shared" si="22"/>
        <v>6</v>
      </c>
      <c r="Y86" s="41">
        <f t="shared" si="23"/>
        <v>1.1612903225806452</v>
      </c>
      <c r="Z86" s="45">
        <v>23</v>
      </c>
      <c r="AA86" s="45">
        <v>2</v>
      </c>
      <c r="AB86" s="45">
        <v>1</v>
      </c>
      <c r="AC86" s="45">
        <v>1</v>
      </c>
      <c r="AD86" s="41">
        <f t="shared" si="24"/>
        <v>27</v>
      </c>
      <c r="AE86" s="41">
        <f t="shared" si="25"/>
        <v>5.225806451612903</v>
      </c>
      <c r="AF86" s="41">
        <f t="shared" si="16"/>
        <v>67</v>
      </c>
      <c r="AG86" s="41">
        <f t="shared" si="16"/>
        <v>12.967741935483872</v>
      </c>
      <c r="AH86" s="41">
        <f t="shared" si="17"/>
        <v>99</v>
      </c>
      <c r="AI86" s="41">
        <f t="shared" si="17"/>
        <v>19.161290322580648</v>
      </c>
    </row>
    <row r="87" spans="1:35">
      <c r="A87" s="42" t="s">
        <v>308</v>
      </c>
      <c r="B87" s="38" t="s">
        <v>315</v>
      </c>
      <c r="C87" s="39" t="s">
        <v>189</v>
      </c>
      <c r="D87" s="43" t="str">
        <f t="shared" si="13"/>
        <v>M24USSS22AFH.24D3681(D905)</v>
      </c>
      <c r="E87" s="42" t="s">
        <v>21</v>
      </c>
      <c r="F87" s="42" t="s">
        <v>21</v>
      </c>
      <c r="G87" s="44">
        <v>310</v>
      </c>
      <c r="H87" s="44">
        <v>27</v>
      </c>
      <c r="I87" s="45">
        <v>1</v>
      </c>
      <c r="J87" s="45">
        <v>1</v>
      </c>
      <c r="K87" s="45">
        <v>3</v>
      </c>
      <c r="L87" s="41">
        <f t="shared" si="18"/>
        <v>32</v>
      </c>
      <c r="M87" s="41">
        <f t="shared" si="19"/>
        <v>6.193548387096774</v>
      </c>
      <c r="N87" s="45">
        <v>29</v>
      </c>
      <c r="O87" s="45">
        <v>1</v>
      </c>
      <c r="P87" s="45">
        <v>1</v>
      </c>
      <c r="Q87" s="45">
        <v>1</v>
      </c>
      <c r="R87" s="45">
        <v>2</v>
      </c>
      <c r="S87" s="41">
        <f t="shared" si="20"/>
        <v>34</v>
      </c>
      <c r="T87" s="41">
        <f t="shared" si="21"/>
        <v>6.580645161290323</v>
      </c>
      <c r="U87" s="45">
        <v>4</v>
      </c>
      <c r="V87" s="45">
        <v>1</v>
      </c>
      <c r="W87" s="45">
        <v>1</v>
      </c>
      <c r="X87" s="41">
        <f t="shared" si="22"/>
        <v>6</v>
      </c>
      <c r="Y87" s="41">
        <f t="shared" si="23"/>
        <v>1.1612903225806452</v>
      </c>
      <c r="Z87" s="45">
        <v>23</v>
      </c>
      <c r="AA87" s="45">
        <v>2</v>
      </c>
      <c r="AB87" s="45">
        <v>1</v>
      </c>
      <c r="AC87" s="45">
        <v>1</v>
      </c>
      <c r="AD87" s="41">
        <f t="shared" si="24"/>
        <v>27</v>
      </c>
      <c r="AE87" s="41">
        <f t="shared" si="25"/>
        <v>5.225806451612903</v>
      </c>
      <c r="AF87" s="41">
        <f t="shared" si="16"/>
        <v>67</v>
      </c>
      <c r="AG87" s="41">
        <f t="shared" si="16"/>
        <v>12.967741935483872</v>
      </c>
      <c r="AH87" s="41">
        <f t="shared" si="17"/>
        <v>99</v>
      </c>
      <c r="AI87" s="41">
        <f t="shared" si="17"/>
        <v>19.161290322580648</v>
      </c>
    </row>
    <row r="88" spans="1:35">
      <c r="A88" s="46" t="s">
        <v>317</v>
      </c>
      <c r="B88" s="33" t="s">
        <v>315</v>
      </c>
      <c r="C88" s="47" t="s">
        <v>144</v>
      </c>
      <c r="D88" s="47" t="str">
        <f t="shared" si="13"/>
        <v>M24NLSS22AF-.24D3601(D905)</v>
      </c>
      <c r="E88" s="46" t="s">
        <v>21</v>
      </c>
      <c r="F88" s="46" t="s">
        <v>21</v>
      </c>
      <c r="G88" s="48">
        <v>450</v>
      </c>
      <c r="H88" s="48">
        <v>39</v>
      </c>
      <c r="I88" s="49">
        <v>1</v>
      </c>
      <c r="J88" s="49">
        <v>1</v>
      </c>
      <c r="K88" s="49">
        <v>4</v>
      </c>
      <c r="L88" s="36">
        <f t="shared" si="18"/>
        <v>45</v>
      </c>
      <c r="M88" s="36">
        <f t="shared" si="19"/>
        <v>6</v>
      </c>
      <c r="N88" s="49">
        <v>40</v>
      </c>
      <c r="O88" s="49">
        <v>1</v>
      </c>
      <c r="P88" s="49">
        <v>1</v>
      </c>
      <c r="Q88" s="49">
        <v>1</v>
      </c>
      <c r="R88" s="49">
        <v>3</v>
      </c>
      <c r="S88" s="36">
        <f t="shared" si="20"/>
        <v>46</v>
      </c>
      <c r="T88" s="36">
        <f t="shared" si="21"/>
        <v>6.1333333333333337</v>
      </c>
      <c r="U88" s="49">
        <v>8</v>
      </c>
      <c r="V88" s="49">
        <v>1</v>
      </c>
      <c r="W88" s="49">
        <v>1</v>
      </c>
      <c r="X88" s="36">
        <f t="shared" si="22"/>
        <v>10</v>
      </c>
      <c r="Y88" s="36">
        <f t="shared" si="23"/>
        <v>1.3333333333333333</v>
      </c>
      <c r="Z88" s="49">
        <v>39</v>
      </c>
      <c r="AA88" s="49">
        <v>2</v>
      </c>
      <c r="AB88" s="49">
        <v>1</v>
      </c>
      <c r="AC88" s="49">
        <v>2</v>
      </c>
      <c r="AD88" s="36">
        <f t="shared" si="24"/>
        <v>44</v>
      </c>
      <c r="AE88" s="36">
        <f t="shared" si="25"/>
        <v>5.8666666666666663</v>
      </c>
      <c r="AF88" s="36">
        <f t="shared" si="16"/>
        <v>100</v>
      </c>
      <c r="AG88" s="36">
        <f t="shared" si="16"/>
        <v>13.333333333333332</v>
      </c>
      <c r="AH88" s="36">
        <f t="shared" si="17"/>
        <v>145</v>
      </c>
      <c r="AI88" s="36">
        <f t="shared" si="17"/>
        <v>19.333333333333332</v>
      </c>
    </row>
    <row r="89" spans="1:35">
      <c r="A89" s="46" t="s">
        <v>320</v>
      </c>
      <c r="B89" s="33" t="s">
        <v>315</v>
      </c>
      <c r="C89" s="47" t="s">
        <v>39</v>
      </c>
      <c r="D89" s="47" t="str">
        <f t="shared" si="13"/>
        <v>M24NLSS22AFH.24D3601(D905)</v>
      </c>
      <c r="E89" s="46" t="s">
        <v>21</v>
      </c>
      <c r="F89" s="46" t="s">
        <v>21</v>
      </c>
      <c r="G89" s="48">
        <v>450</v>
      </c>
      <c r="H89" s="48">
        <v>39</v>
      </c>
      <c r="I89" s="49">
        <v>1</v>
      </c>
      <c r="J89" s="49">
        <v>1</v>
      </c>
      <c r="K89" s="49">
        <v>4</v>
      </c>
      <c r="L89" s="36">
        <f t="shared" si="18"/>
        <v>45</v>
      </c>
      <c r="M89" s="36">
        <f t="shared" si="19"/>
        <v>6</v>
      </c>
      <c r="N89" s="49">
        <v>40</v>
      </c>
      <c r="O89" s="49">
        <v>1</v>
      </c>
      <c r="P89" s="49">
        <v>1</v>
      </c>
      <c r="Q89" s="49">
        <v>1</v>
      </c>
      <c r="R89" s="49">
        <v>3</v>
      </c>
      <c r="S89" s="36">
        <f t="shared" si="20"/>
        <v>46</v>
      </c>
      <c r="T89" s="36">
        <f t="shared" si="21"/>
        <v>6.1333333333333337</v>
      </c>
      <c r="U89" s="49">
        <v>8</v>
      </c>
      <c r="V89" s="49">
        <v>1</v>
      </c>
      <c r="W89" s="49">
        <v>1</v>
      </c>
      <c r="X89" s="36">
        <f t="shared" si="22"/>
        <v>10</v>
      </c>
      <c r="Y89" s="36">
        <f t="shared" si="23"/>
        <v>1.3333333333333333</v>
      </c>
      <c r="Z89" s="49">
        <v>39</v>
      </c>
      <c r="AA89" s="49">
        <v>2</v>
      </c>
      <c r="AB89" s="49">
        <v>1</v>
      </c>
      <c r="AC89" s="49">
        <v>2</v>
      </c>
      <c r="AD89" s="36">
        <f t="shared" si="24"/>
        <v>44</v>
      </c>
      <c r="AE89" s="36">
        <f t="shared" si="25"/>
        <v>5.8666666666666663</v>
      </c>
      <c r="AF89" s="36">
        <f t="shared" si="16"/>
        <v>100</v>
      </c>
      <c r="AG89" s="36">
        <f t="shared" si="16"/>
        <v>13.333333333333332</v>
      </c>
      <c r="AH89" s="36">
        <f t="shared" si="17"/>
        <v>145</v>
      </c>
      <c r="AI89" s="36">
        <f t="shared" si="17"/>
        <v>19.333333333333332</v>
      </c>
    </row>
    <row r="90" spans="1:35">
      <c r="A90" s="46" t="s">
        <v>319</v>
      </c>
      <c r="B90" s="33" t="s">
        <v>315</v>
      </c>
      <c r="C90" s="34" t="s">
        <v>40</v>
      </c>
      <c r="D90" s="47" t="str">
        <f t="shared" si="13"/>
        <v>M24NLSS22AFH.24D3661(D905)</v>
      </c>
      <c r="E90" s="46" t="s">
        <v>21</v>
      </c>
      <c r="F90" s="46" t="s">
        <v>21</v>
      </c>
      <c r="G90" s="48">
        <v>450</v>
      </c>
      <c r="H90" s="48">
        <v>39</v>
      </c>
      <c r="I90" s="49">
        <v>1</v>
      </c>
      <c r="J90" s="49">
        <v>1</v>
      </c>
      <c r="K90" s="49">
        <v>4</v>
      </c>
      <c r="L90" s="36">
        <f t="shared" si="18"/>
        <v>45</v>
      </c>
      <c r="M90" s="36">
        <f t="shared" si="19"/>
        <v>6</v>
      </c>
      <c r="N90" s="49">
        <v>40</v>
      </c>
      <c r="O90" s="49">
        <v>1</v>
      </c>
      <c r="P90" s="49">
        <v>1</v>
      </c>
      <c r="Q90" s="49">
        <v>1</v>
      </c>
      <c r="R90" s="49">
        <v>3</v>
      </c>
      <c r="S90" s="36">
        <f t="shared" si="20"/>
        <v>46</v>
      </c>
      <c r="T90" s="36">
        <f t="shared" si="21"/>
        <v>6.1333333333333337</v>
      </c>
      <c r="U90" s="49">
        <v>8</v>
      </c>
      <c r="V90" s="49">
        <v>1</v>
      </c>
      <c r="W90" s="49">
        <v>1</v>
      </c>
      <c r="X90" s="36">
        <f t="shared" si="22"/>
        <v>10</v>
      </c>
      <c r="Y90" s="36">
        <f t="shared" si="23"/>
        <v>1.3333333333333333</v>
      </c>
      <c r="Z90" s="49">
        <v>39</v>
      </c>
      <c r="AA90" s="49">
        <v>2</v>
      </c>
      <c r="AB90" s="49">
        <v>1</v>
      </c>
      <c r="AC90" s="49">
        <v>2</v>
      </c>
      <c r="AD90" s="36">
        <f t="shared" si="24"/>
        <v>44</v>
      </c>
      <c r="AE90" s="36">
        <f t="shared" si="25"/>
        <v>5.8666666666666663</v>
      </c>
      <c r="AF90" s="36">
        <f t="shared" si="16"/>
        <v>100</v>
      </c>
      <c r="AG90" s="36">
        <f t="shared" si="16"/>
        <v>13.333333333333332</v>
      </c>
      <c r="AH90" s="36">
        <f t="shared" si="17"/>
        <v>145</v>
      </c>
      <c r="AI90" s="36">
        <f t="shared" si="17"/>
        <v>19.333333333333332</v>
      </c>
    </row>
    <row r="91" spans="1:35">
      <c r="A91" s="46" t="s">
        <v>318</v>
      </c>
      <c r="B91" s="33" t="s">
        <v>315</v>
      </c>
      <c r="C91" s="34" t="s">
        <v>46</v>
      </c>
      <c r="D91" s="47" t="str">
        <f t="shared" si="13"/>
        <v>M24NLSS22AFH.24D3621(D905)</v>
      </c>
      <c r="E91" s="46" t="s">
        <v>21</v>
      </c>
      <c r="F91" s="46" t="s">
        <v>21</v>
      </c>
      <c r="G91" s="48">
        <v>450</v>
      </c>
      <c r="H91" s="48">
        <v>39</v>
      </c>
      <c r="I91" s="49">
        <v>1</v>
      </c>
      <c r="J91" s="49">
        <v>1</v>
      </c>
      <c r="K91" s="49">
        <v>4</v>
      </c>
      <c r="L91" s="36">
        <f t="shared" si="18"/>
        <v>45</v>
      </c>
      <c r="M91" s="36">
        <f t="shared" si="19"/>
        <v>6</v>
      </c>
      <c r="N91" s="49">
        <v>40</v>
      </c>
      <c r="O91" s="49">
        <v>1</v>
      </c>
      <c r="P91" s="49">
        <v>1</v>
      </c>
      <c r="Q91" s="49">
        <v>1</v>
      </c>
      <c r="R91" s="49">
        <v>3</v>
      </c>
      <c r="S91" s="36">
        <f t="shared" si="20"/>
        <v>46</v>
      </c>
      <c r="T91" s="36">
        <f t="shared" si="21"/>
        <v>6.1333333333333337</v>
      </c>
      <c r="U91" s="49">
        <v>8</v>
      </c>
      <c r="V91" s="49">
        <v>1</v>
      </c>
      <c r="W91" s="49">
        <v>1</v>
      </c>
      <c r="X91" s="36">
        <f t="shared" si="22"/>
        <v>10</v>
      </c>
      <c r="Y91" s="36">
        <f t="shared" si="23"/>
        <v>1.3333333333333333</v>
      </c>
      <c r="Z91" s="49">
        <v>39</v>
      </c>
      <c r="AA91" s="49">
        <v>2</v>
      </c>
      <c r="AB91" s="49">
        <v>1</v>
      </c>
      <c r="AC91" s="49">
        <v>2</v>
      </c>
      <c r="AD91" s="36">
        <f t="shared" si="24"/>
        <v>44</v>
      </c>
      <c r="AE91" s="36">
        <f t="shared" si="25"/>
        <v>5.8666666666666663</v>
      </c>
      <c r="AF91" s="36">
        <f t="shared" si="16"/>
        <v>100</v>
      </c>
      <c r="AG91" s="36">
        <f t="shared" si="16"/>
        <v>13.333333333333332</v>
      </c>
      <c r="AH91" s="36">
        <f t="shared" si="17"/>
        <v>145</v>
      </c>
      <c r="AI91" s="36">
        <f t="shared" si="17"/>
        <v>19.333333333333332</v>
      </c>
    </row>
    <row r="92" spans="1:35">
      <c r="A92" s="46" t="s">
        <v>308</v>
      </c>
      <c r="B92" s="33" t="s">
        <v>315</v>
      </c>
      <c r="C92" s="34" t="s">
        <v>47</v>
      </c>
      <c r="D92" s="47" t="str">
        <f t="shared" si="13"/>
        <v>M24NLSS22AFH.24D3641(D905)</v>
      </c>
      <c r="E92" s="46" t="s">
        <v>21</v>
      </c>
      <c r="F92" s="46" t="s">
        <v>21</v>
      </c>
      <c r="G92" s="48">
        <v>450</v>
      </c>
      <c r="H92" s="48">
        <v>39</v>
      </c>
      <c r="I92" s="49">
        <v>1</v>
      </c>
      <c r="J92" s="49">
        <v>1</v>
      </c>
      <c r="K92" s="49">
        <v>4</v>
      </c>
      <c r="L92" s="36">
        <f t="shared" si="18"/>
        <v>45</v>
      </c>
      <c r="M92" s="36">
        <f t="shared" si="19"/>
        <v>6</v>
      </c>
      <c r="N92" s="49">
        <v>40</v>
      </c>
      <c r="O92" s="49">
        <v>1</v>
      </c>
      <c r="P92" s="49">
        <v>1</v>
      </c>
      <c r="Q92" s="49">
        <v>1</v>
      </c>
      <c r="R92" s="49">
        <v>3</v>
      </c>
      <c r="S92" s="36">
        <f t="shared" si="20"/>
        <v>46</v>
      </c>
      <c r="T92" s="36">
        <f t="shared" si="21"/>
        <v>6.1333333333333337</v>
      </c>
      <c r="U92" s="49">
        <v>8</v>
      </c>
      <c r="V92" s="49">
        <v>1</v>
      </c>
      <c r="W92" s="49">
        <v>1</v>
      </c>
      <c r="X92" s="36">
        <f t="shared" si="22"/>
        <v>10</v>
      </c>
      <c r="Y92" s="36">
        <f t="shared" si="23"/>
        <v>1.3333333333333333</v>
      </c>
      <c r="Z92" s="49">
        <v>39</v>
      </c>
      <c r="AA92" s="49">
        <v>2</v>
      </c>
      <c r="AB92" s="49">
        <v>1</v>
      </c>
      <c r="AC92" s="49">
        <v>2</v>
      </c>
      <c r="AD92" s="36">
        <f t="shared" si="24"/>
        <v>44</v>
      </c>
      <c r="AE92" s="36">
        <f t="shared" si="25"/>
        <v>5.8666666666666663</v>
      </c>
      <c r="AF92" s="36">
        <f t="shared" si="16"/>
        <v>100</v>
      </c>
      <c r="AG92" s="36">
        <f t="shared" si="16"/>
        <v>13.333333333333332</v>
      </c>
      <c r="AH92" s="36">
        <f t="shared" si="17"/>
        <v>145</v>
      </c>
      <c r="AI92" s="36">
        <f t="shared" si="17"/>
        <v>19.333333333333332</v>
      </c>
    </row>
    <row r="93" spans="1:35">
      <c r="A93" s="46" t="s">
        <v>308</v>
      </c>
      <c r="B93" s="33" t="s">
        <v>315</v>
      </c>
      <c r="C93" s="34" t="s">
        <v>102</v>
      </c>
      <c r="D93" s="47" t="str">
        <f t="shared" si="13"/>
        <v>M24VNSS22AF-.24D3661(D905)</v>
      </c>
      <c r="E93" s="46" t="s">
        <v>21</v>
      </c>
      <c r="F93" s="46" t="s">
        <v>21</v>
      </c>
      <c r="G93" s="48">
        <v>450</v>
      </c>
      <c r="H93" s="48">
        <v>39</v>
      </c>
      <c r="I93" s="49">
        <v>1</v>
      </c>
      <c r="J93" s="49">
        <v>1</v>
      </c>
      <c r="K93" s="49">
        <v>4</v>
      </c>
      <c r="L93" s="36">
        <f t="shared" si="18"/>
        <v>45</v>
      </c>
      <c r="M93" s="36">
        <f t="shared" si="19"/>
        <v>6</v>
      </c>
      <c r="N93" s="49">
        <v>40</v>
      </c>
      <c r="O93" s="49">
        <v>1</v>
      </c>
      <c r="P93" s="49">
        <v>1</v>
      </c>
      <c r="Q93" s="49">
        <v>1</v>
      </c>
      <c r="R93" s="49">
        <v>3</v>
      </c>
      <c r="S93" s="36">
        <f t="shared" si="20"/>
        <v>46</v>
      </c>
      <c r="T93" s="36">
        <f t="shared" si="21"/>
        <v>6.1333333333333337</v>
      </c>
      <c r="U93" s="49">
        <v>8</v>
      </c>
      <c r="V93" s="49">
        <v>1</v>
      </c>
      <c r="W93" s="49">
        <v>1</v>
      </c>
      <c r="X93" s="36">
        <f t="shared" si="22"/>
        <v>10</v>
      </c>
      <c r="Y93" s="36">
        <f t="shared" si="23"/>
        <v>1.3333333333333333</v>
      </c>
      <c r="Z93" s="49">
        <v>39</v>
      </c>
      <c r="AA93" s="49">
        <v>2</v>
      </c>
      <c r="AB93" s="49">
        <v>1</v>
      </c>
      <c r="AC93" s="49">
        <v>2</v>
      </c>
      <c r="AD93" s="36">
        <f t="shared" si="24"/>
        <v>44</v>
      </c>
      <c r="AE93" s="36">
        <f t="shared" si="25"/>
        <v>5.8666666666666663</v>
      </c>
      <c r="AF93" s="36">
        <f t="shared" si="16"/>
        <v>100</v>
      </c>
      <c r="AG93" s="36">
        <f t="shared" si="16"/>
        <v>13.333333333333332</v>
      </c>
      <c r="AH93" s="36">
        <f t="shared" si="17"/>
        <v>145</v>
      </c>
      <c r="AI93" s="36">
        <f t="shared" si="17"/>
        <v>19.333333333333332</v>
      </c>
    </row>
    <row r="94" spans="1:35">
      <c r="A94" s="46" t="s">
        <v>308</v>
      </c>
      <c r="B94" s="33" t="s">
        <v>315</v>
      </c>
      <c r="C94" s="34" t="s">
        <v>41</v>
      </c>
      <c r="D94" s="47" t="str">
        <f t="shared" si="13"/>
        <v>M24VNSS22AFH.24D3661(D905)</v>
      </c>
      <c r="E94" s="46" t="s">
        <v>21</v>
      </c>
      <c r="F94" s="46" t="s">
        <v>21</v>
      </c>
      <c r="G94" s="48">
        <v>450</v>
      </c>
      <c r="H94" s="48">
        <v>39</v>
      </c>
      <c r="I94" s="49">
        <v>1</v>
      </c>
      <c r="J94" s="49">
        <v>1</v>
      </c>
      <c r="K94" s="49">
        <v>4</v>
      </c>
      <c r="L94" s="36">
        <f t="shared" si="18"/>
        <v>45</v>
      </c>
      <c r="M94" s="36">
        <f t="shared" si="19"/>
        <v>6</v>
      </c>
      <c r="N94" s="49">
        <v>40</v>
      </c>
      <c r="O94" s="49">
        <v>1</v>
      </c>
      <c r="P94" s="49">
        <v>1</v>
      </c>
      <c r="Q94" s="49">
        <v>1</v>
      </c>
      <c r="R94" s="49">
        <v>3</v>
      </c>
      <c r="S94" s="36">
        <f t="shared" si="20"/>
        <v>46</v>
      </c>
      <c r="T94" s="36">
        <f t="shared" si="21"/>
        <v>6.1333333333333337</v>
      </c>
      <c r="U94" s="49">
        <v>8</v>
      </c>
      <c r="V94" s="49">
        <v>1</v>
      </c>
      <c r="W94" s="49">
        <v>1</v>
      </c>
      <c r="X94" s="36">
        <f t="shared" si="22"/>
        <v>10</v>
      </c>
      <c r="Y94" s="36">
        <f t="shared" si="23"/>
        <v>1.3333333333333333</v>
      </c>
      <c r="Z94" s="49">
        <v>39</v>
      </c>
      <c r="AA94" s="49">
        <v>2</v>
      </c>
      <c r="AB94" s="49">
        <v>1</v>
      </c>
      <c r="AC94" s="49">
        <v>2</v>
      </c>
      <c r="AD94" s="36">
        <f t="shared" si="24"/>
        <v>44</v>
      </c>
      <c r="AE94" s="36">
        <f t="shared" si="25"/>
        <v>5.8666666666666663</v>
      </c>
      <c r="AF94" s="36">
        <f t="shared" si="16"/>
        <v>100</v>
      </c>
      <c r="AG94" s="36">
        <f t="shared" si="16"/>
        <v>13.333333333333332</v>
      </c>
      <c r="AH94" s="36">
        <f t="shared" si="17"/>
        <v>145</v>
      </c>
      <c r="AI94" s="36">
        <f t="shared" si="17"/>
        <v>19.333333333333332</v>
      </c>
    </row>
    <row r="95" spans="1:35">
      <c r="A95" s="46" t="s">
        <v>308</v>
      </c>
      <c r="B95" s="33" t="s">
        <v>315</v>
      </c>
      <c r="C95" s="34" t="s">
        <v>42</v>
      </c>
      <c r="D95" s="47" t="str">
        <f t="shared" si="13"/>
        <v>M24AUSS22AFH.24D3601(D905)</v>
      </c>
      <c r="E95" s="46" t="s">
        <v>21</v>
      </c>
      <c r="F95" s="46" t="s">
        <v>21</v>
      </c>
      <c r="G95" s="48">
        <v>450</v>
      </c>
      <c r="H95" s="48">
        <v>39</v>
      </c>
      <c r="I95" s="49">
        <v>1</v>
      </c>
      <c r="J95" s="49">
        <v>1</v>
      </c>
      <c r="K95" s="49">
        <v>4</v>
      </c>
      <c r="L95" s="36">
        <f t="shared" si="18"/>
        <v>45</v>
      </c>
      <c r="M95" s="36">
        <f t="shared" si="19"/>
        <v>6</v>
      </c>
      <c r="N95" s="49">
        <v>40</v>
      </c>
      <c r="O95" s="49">
        <v>1</v>
      </c>
      <c r="P95" s="49">
        <v>1</v>
      </c>
      <c r="Q95" s="49">
        <v>1</v>
      </c>
      <c r="R95" s="49">
        <v>3</v>
      </c>
      <c r="S95" s="36">
        <f t="shared" si="20"/>
        <v>46</v>
      </c>
      <c r="T95" s="36">
        <f t="shared" si="21"/>
        <v>6.1333333333333337</v>
      </c>
      <c r="U95" s="49">
        <v>8</v>
      </c>
      <c r="V95" s="49">
        <v>1</v>
      </c>
      <c r="W95" s="49">
        <v>1</v>
      </c>
      <c r="X95" s="36">
        <f t="shared" si="22"/>
        <v>10</v>
      </c>
      <c r="Y95" s="36">
        <f t="shared" si="23"/>
        <v>1.3333333333333333</v>
      </c>
      <c r="Z95" s="49">
        <v>39</v>
      </c>
      <c r="AA95" s="49">
        <v>2</v>
      </c>
      <c r="AB95" s="49">
        <v>1</v>
      </c>
      <c r="AC95" s="49">
        <v>2</v>
      </c>
      <c r="AD95" s="36">
        <f t="shared" si="24"/>
        <v>44</v>
      </c>
      <c r="AE95" s="36">
        <f t="shared" si="25"/>
        <v>5.8666666666666663</v>
      </c>
      <c r="AF95" s="36">
        <f t="shared" si="16"/>
        <v>100</v>
      </c>
      <c r="AG95" s="36">
        <f t="shared" si="16"/>
        <v>13.333333333333332</v>
      </c>
      <c r="AH95" s="36">
        <f t="shared" si="17"/>
        <v>145</v>
      </c>
      <c r="AI95" s="36">
        <f t="shared" si="17"/>
        <v>19.333333333333332</v>
      </c>
    </row>
    <row r="96" spans="1:35">
      <c r="A96" s="46" t="s">
        <v>308</v>
      </c>
      <c r="B96" s="33" t="s">
        <v>315</v>
      </c>
      <c r="C96" s="34" t="s">
        <v>86</v>
      </c>
      <c r="D96" s="47" t="str">
        <f t="shared" si="13"/>
        <v>M24AUSS22AF-.24D3601(D905)</v>
      </c>
      <c r="E96" s="46" t="s">
        <v>21</v>
      </c>
      <c r="F96" s="46" t="s">
        <v>21</v>
      </c>
      <c r="G96" s="48">
        <v>450</v>
      </c>
      <c r="H96" s="48">
        <v>39</v>
      </c>
      <c r="I96" s="49">
        <v>1</v>
      </c>
      <c r="J96" s="49">
        <v>1</v>
      </c>
      <c r="K96" s="49">
        <v>4</v>
      </c>
      <c r="L96" s="36">
        <f t="shared" si="18"/>
        <v>45</v>
      </c>
      <c r="M96" s="36">
        <f t="shared" si="19"/>
        <v>6</v>
      </c>
      <c r="N96" s="49">
        <v>40</v>
      </c>
      <c r="O96" s="49">
        <v>1</v>
      </c>
      <c r="P96" s="49">
        <v>1</v>
      </c>
      <c r="Q96" s="49">
        <v>1</v>
      </c>
      <c r="R96" s="49">
        <v>3</v>
      </c>
      <c r="S96" s="36">
        <f t="shared" si="20"/>
        <v>46</v>
      </c>
      <c r="T96" s="36">
        <f t="shared" si="21"/>
        <v>6.1333333333333337</v>
      </c>
      <c r="U96" s="49">
        <v>8</v>
      </c>
      <c r="V96" s="49">
        <v>1</v>
      </c>
      <c r="W96" s="49">
        <v>1</v>
      </c>
      <c r="X96" s="36">
        <f t="shared" si="22"/>
        <v>10</v>
      </c>
      <c r="Y96" s="36">
        <f t="shared" si="23"/>
        <v>1.3333333333333333</v>
      </c>
      <c r="Z96" s="49">
        <v>39</v>
      </c>
      <c r="AA96" s="49">
        <v>2</v>
      </c>
      <c r="AB96" s="49">
        <v>1</v>
      </c>
      <c r="AC96" s="49">
        <v>2</v>
      </c>
      <c r="AD96" s="36">
        <f t="shared" si="24"/>
        <v>44</v>
      </c>
      <c r="AE96" s="36">
        <f t="shared" si="25"/>
        <v>5.8666666666666663</v>
      </c>
      <c r="AF96" s="36">
        <f t="shared" si="16"/>
        <v>100</v>
      </c>
      <c r="AG96" s="36">
        <f t="shared" si="16"/>
        <v>13.333333333333332</v>
      </c>
      <c r="AH96" s="36">
        <f t="shared" si="17"/>
        <v>145</v>
      </c>
      <c r="AI96" s="36">
        <f t="shared" si="17"/>
        <v>19.333333333333332</v>
      </c>
    </row>
    <row r="97" spans="1:35">
      <c r="A97" s="46" t="s">
        <v>308</v>
      </c>
      <c r="B97" s="33" t="s">
        <v>315</v>
      </c>
      <c r="C97" s="34" t="s">
        <v>49</v>
      </c>
      <c r="D97" s="47" t="str">
        <f t="shared" si="13"/>
        <v>M24AUSS22AFH.24D3661(D905)</v>
      </c>
      <c r="E97" s="46" t="s">
        <v>21</v>
      </c>
      <c r="F97" s="46" t="s">
        <v>21</v>
      </c>
      <c r="G97" s="48">
        <v>450</v>
      </c>
      <c r="H97" s="48">
        <v>39</v>
      </c>
      <c r="I97" s="49">
        <v>1</v>
      </c>
      <c r="J97" s="49">
        <v>1</v>
      </c>
      <c r="K97" s="49">
        <v>4</v>
      </c>
      <c r="L97" s="36">
        <f t="shared" si="18"/>
        <v>45</v>
      </c>
      <c r="M97" s="36">
        <f t="shared" si="19"/>
        <v>6</v>
      </c>
      <c r="N97" s="49">
        <v>40</v>
      </c>
      <c r="O97" s="49">
        <v>1</v>
      </c>
      <c r="P97" s="49">
        <v>1</v>
      </c>
      <c r="Q97" s="49">
        <v>1</v>
      </c>
      <c r="R97" s="49">
        <v>3</v>
      </c>
      <c r="S97" s="36">
        <f t="shared" si="20"/>
        <v>46</v>
      </c>
      <c r="T97" s="36">
        <f t="shared" si="21"/>
        <v>6.1333333333333337</v>
      </c>
      <c r="U97" s="49">
        <v>8</v>
      </c>
      <c r="V97" s="49">
        <v>1</v>
      </c>
      <c r="W97" s="49">
        <v>1</v>
      </c>
      <c r="X97" s="36">
        <f t="shared" si="22"/>
        <v>10</v>
      </c>
      <c r="Y97" s="36">
        <f t="shared" si="23"/>
        <v>1.3333333333333333</v>
      </c>
      <c r="Z97" s="49">
        <v>39</v>
      </c>
      <c r="AA97" s="49">
        <v>2</v>
      </c>
      <c r="AB97" s="49">
        <v>1</v>
      </c>
      <c r="AC97" s="49">
        <v>2</v>
      </c>
      <c r="AD97" s="36">
        <f t="shared" si="24"/>
        <v>44</v>
      </c>
      <c r="AE97" s="36">
        <f t="shared" si="25"/>
        <v>5.8666666666666663</v>
      </c>
      <c r="AF97" s="36">
        <f t="shared" si="16"/>
        <v>100</v>
      </c>
      <c r="AG97" s="36">
        <f t="shared" si="16"/>
        <v>13.333333333333332</v>
      </c>
      <c r="AH97" s="36">
        <f t="shared" si="17"/>
        <v>145</v>
      </c>
      <c r="AI97" s="36">
        <f t="shared" si="17"/>
        <v>19.333333333333332</v>
      </c>
    </row>
    <row r="98" spans="1:35">
      <c r="A98" s="46" t="s">
        <v>308</v>
      </c>
      <c r="B98" s="33" t="s">
        <v>315</v>
      </c>
      <c r="C98" s="34" t="s">
        <v>43</v>
      </c>
      <c r="D98" s="47" t="str">
        <f t="shared" si="13"/>
        <v>M24CLSS22AFH.24D3601(D905)</v>
      </c>
      <c r="E98" s="46" t="s">
        <v>21</v>
      </c>
      <c r="F98" s="46" t="s">
        <v>21</v>
      </c>
      <c r="G98" s="48">
        <v>450</v>
      </c>
      <c r="H98" s="48">
        <v>39</v>
      </c>
      <c r="I98" s="49">
        <v>1</v>
      </c>
      <c r="J98" s="49">
        <v>1</v>
      </c>
      <c r="K98" s="49">
        <v>4</v>
      </c>
      <c r="L98" s="36">
        <f t="shared" si="18"/>
        <v>45</v>
      </c>
      <c r="M98" s="36">
        <f t="shared" si="19"/>
        <v>6</v>
      </c>
      <c r="N98" s="49">
        <v>40</v>
      </c>
      <c r="O98" s="49">
        <v>1</v>
      </c>
      <c r="P98" s="49">
        <v>1</v>
      </c>
      <c r="Q98" s="49">
        <v>1</v>
      </c>
      <c r="R98" s="49">
        <v>3</v>
      </c>
      <c r="S98" s="36">
        <f t="shared" si="20"/>
        <v>46</v>
      </c>
      <c r="T98" s="36">
        <f t="shared" si="21"/>
        <v>6.1333333333333337</v>
      </c>
      <c r="U98" s="49">
        <v>8</v>
      </c>
      <c r="V98" s="49">
        <v>1</v>
      </c>
      <c r="W98" s="49">
        <v>1</v>
      </c>
      <c r="X98" s="36">
        <f t="shared" si="22"/>
        <v>10</v>
      </c>
      <c r="Y98" s="36">
        <f t="shared" si="23"/>
        <v>1.3333333333333333</v>
      </c>
      <c r="Z98" s="49">
        <v>39</v>
      </c>
      <c r="AA98" s="49">
        <v>2</v>
      </c>
      <c r="AB98" s="49">
        <v>1</v>
      </c>
      <c r="AC98" s="49">
        <v>2</v>
      </c>
      <c r="AD98" s="36">
        <f t="shared" si="24"/>
        <v>44</v>
      </c>
      <c r="AE98" s="36">
        <f t="shared" si="25"/>
        <v>5.8666666666666663</v>
      </c>
      <c r="AF98" s="36">
        <f t="shared" si="16"/>
        <v>100</v>
      </c>
      <c r="AG98" s="36">
        <f t="shared" si="16"/>
        <v>13.333333333333332</v>
      </c>
      <c r="AH98" s="36">
        <f t="shared" si="17"/>
        <v>145</v>
      </c>
      <c r="AI98" s="36">
        <f t="shared" si="17"/>
        <v>19.333333333333332</v>
      </c>
    </row>
    <row r="99" spans="1:35">
      <c r="A99" s="46" t="s">
        <v>308</v>
      </c>
      <c r="B99" s="33" t="s">
        <v>315</v>
      </c>
      <c r="C99" s="34" t="s">
        <v>50</v>
      </c>
      <c r="D99" s="47" t="str">
        <f t="shared" si="13"/>
        <v>M24CLSS22AFH.24D3661(D905)</v>
      </c>
      <c r="E99" s="46" t="s">
        <v>21</v>
      </c>
      <c r="F99" s="46" t="s">
        <v>21</v>
      </c>
      <c r="G99" s="48">
        <v>450</v>
      </c>
      <c r="H99" s="48">
        <v>39</v>
      </c>
      <c r="I99" s="49">
        <v>1</v>
      </c>
      <c r="J99" s="49">
        <v>1</v>
      </c>
      <c r="K99" s="49">
        <v>4</v>
      </c>
      <c r="L99" s="36">
        <f t="shared" si="18"/>
        <v>45</v>
      </c>
      <c r="M99" s="36">
        <f t="shared" si="19"/>
        <v>6</v>
      </c>
      <c r="N99" s="49">
        <v>40</v>
      </c>
      <c r="O99" s="49">
        <v>1</v>
      </c>
      <c r="P99" s="49">
        <v>1</v>
      </c>
      <c r="Q99" s="49">
        <v>1</v>
      </c>
      <c r="R99" s="49">
        <v>3</v>
      </c>
      <c r="S99" s="36">
        <f t="shared" si="20"/>
        <v>46</v>
      </c>
      <c r="T99" s="36">
        <f t="shared" si="21"/>
        <v>6.1333333333333337</v>
      </c>
      <c r="U99" s="49">
        <v>8</v>
      </c>
      <c r="V99" s="49">
        <v>1</v>
      </c>
      <c r="W99" s="49">
        <v>1</v>
      </c>
      <c r="X99" s="36">
        <f t="shared" si="22"/>
        <v>10</v>
      </c>
      <c r="Y99" s="36">
        <f t="shared" si="23"/>
        <v>1.3333333333333333</v>
      </c>
      <c r="Z99" s="49">
        <v>39</v>
      </c>
      <c r="AA99" s="49">
        <v>2</v>
      </c>
      <c r="AB99" s="49">
        <v>1</v>
      </c>
      <c r="AC99" s="49">
        <v>2</v>
      </c>
      <c r="AD99" s="36">
        <f t="shared" si="24"/>
        <v>44</v>
      </c>
      <c r="AE99" s="36">
        <f t="shared" si="25"/>
        <v>5.8666666666666663</v>
      </c>
      <c r="AF99" s="36">
        <f t="shared" si="16"/>
        <v>100</v>
      </c>
      <c r="AG99" s="36">
        <f t="shared" si="16"/>
        <v>13.333333333333332</v>
      </c>
      <c r="AH99" s="36">
        <f t="shared" si="17"/>
        <v>145</v>
      </c>
      <c r="AI99" s="36">
        <f t="shared" si="17"/>
        <v>19.333333333333332</v>
      </c>
    </row>
    <row r="100" spans="1:35">
      <c r="A100" s="46" t="s">
        <v>320</v>
      </c>
      <c r="B100" s="33" t="s">
        <v>315</v>
      </c>
      <c r="C100" s="34" t="s">
        <v>316</v>
      </c>
      <c r="D100" s="47" t="str">
        <f t="shared" si="13"/>
        <v>M24USSS22AFH.24D3601(D905)</v>
      </c>
      <c r="E100" s="46" t="s">
        <v>21</v>
      </c>
      <c r="F100" s="46" t="s">
        <v>21</v>
      </c>
      <c r="G100" s="48">
        <v>450</v>
      </c>
      <c r="H100" s="48">
        <v>39</v>
      </c>
      <c r="I100" s="49">
        <v>1</v>
      </c>
      <c r="J100" s="49">
        <v>1</v>
      </c>
      <c r="K100" s="49">
        <v>4</v>
      </c>
      <c r="L100" s="36">
        <f t="shared" si="18"/>
        <v>45</v>
      </c>
      <c r="M100" s="36">
        <f t="shared" si="19"/>
        <v>6</v>
      </c>
      <c r="N100" s="49">
        <v>40</v>
      </c>
      <c r="O100" s="49">
        <v>1</v>
      </c>
      <c r="P100" s="49">
        <v>1</v>
      </c>
      <c r="Q100" s="49">
        <v>1</v>
      </c>
      <c r="R100" s="49">
        <v>3</v>
      </c>
      <c r="S100" s="36">
        <f t="shared" si="20"/>
        <v>46</v>
      </c>
      <c r="T100" s="36">
        <f t="shared" si="21"/>
        <v>6.1333333333333337</v>
      </c>
      <c r="U100" s="49">
        <v>8</v>
      </c>
      <c r="V100" s="49">
        <v>1</v>
      </c>
      <c r="W100" s="49">
        <v>1</v>
      </c>
      <c r="X100" s="36">
        <f t="shared" si="22"/>
        <v>10</v>
      </c>
      <c r="Y100" s="36">
        <f t="shared" si="23"/>
        <v>1.3333333333333333</v>
      </c>
      <c r="Z100" s="49">
        <v>39</v>
      </c>
      <c r="AA100" s="49">
        <v>2</v>
      </c>
      <c r="AB100" s="49">
        <v>1</v>
      </c>
      <c r="AC100" s="49">
        <v>2</v>
      </c>
      <c r="AD100" s="36">
        <f t="shared" si="24"/>
        <v>44</v>
      </c>
      <c r="AE100" s="36">
        <f t="shared" si="25"/>
        <v>5.8666666666666663</v>
      </c>
      <c r="AF100" s="36">
        <f t="shared" si="16"/>
        <v>100</v>
      </c>
      <c r="AG100" s="36">
        <f t="shared" si="16"/>
        <v>13.333333333333332</v>
      </c>
      <c r="AH100" s="36">
        <f t="shared" si="17"/>
        <v>145</v>
      </c>
      <c r="AI100" s="36">
        <f t="shared" si="17"/>
        <v>19.333333333333332</v>
      </c>
    </row>
    <row r="101" spans="1:35">
      <c r="A101" s="46" t="s">
        <v>320</v>
      </c>
      <c r="B101" s="33" t="s">
        <v>315</v>
      </c>
      <c r="C101" s="34" t="s">
        <v>51</v>
      </c>
      <c r="D101" s="47" t="str">
        <f t="shared" si="13"/>
        <v>M24USSS22AFH.24D3661(D905)</v>
      </c>
      <c r="E101" s="46" t="s">
        <v>21</v>
      </c>
      <c r="F101" s="46" t="s">
        <v>21</v>
      </c>
      <c r="G101" s="48">
        <v>450</v>
      </c>
      <c r="H101" s="48">
        <v>39</v>
      </c>
      <c r="I101" s="49">
        <v>1</v>
      </c>
      <c r="J101" s="49">
        <v>1</v>
      </c>
      <c r="K101" s="49">
        <v>4</v>
      </c>
      <c r="L101" s="36">
        <f t="shared" si="18"/>
        <v>45</v>
      </c>
      <c r="M101" s="36">
        <f t="shared" si="19"/>
        <v>6</v>
      </c>
      <c r="N101" s="49">
        <v>40</v>
      </c>
      <c r="O101" s="49">
        <v>1</v>
      </c>
      <c r="P101" s="49">
        <v>1</v>
      </c>
      <c r="Q101" s="49">
        <v>1</v>
      </c>
      <c r="R101" s="49">
        <v>3</v>
      </c>
      <c r="S101" s="36">
        <f t="shared" si="20"/>
        <v>46</v>
      </c>
      <c r="T101" s="36">
        <f t="shared" si="21"/>
        <v>6.1333333333333337</v>
      </c>
      <c r="U101" s="49">
        <v>8</v>
      </c>
      <c r="V101" s="49">
        <v>1</v>
      </c>
      <c r="W101" s="49">
        <v>1</v>
      </c>
      <c r="X101" s="36">
        <f t="shared" si="22"/>
        <v>10</v>
      </c>
      <c r="Y101" s="36">
        <f t="shared" si="23"/>
        <v>1.3333333333333333</v>
      </c>
      <c r="Z101" s="49">
        <v>39</v>
      </c>
      <c r="AA101" s="49">
        <v>2</v>
      </c>
      <c r="AB101" s="49">
        <v>1</v>
      </c>
      <c r="AC101" s="49">
        <v>2</v>
      </c>
      <c r="AD101" s="36">
        <f t="shared" si="24"/>
        <v>44</v>
      </c>
      <c r="AE101" s="36">
        <f t="shared" si="25"/>
        <v>5.8666666666666663</v>
      </c>
      <c r="AF101" s="36">
        <f t="shared" si="16"/>
        <v>100</v>
      </c>
      <c r="AG101" s="36">
        <f t="shared" si="16"/>
        <v>13.333333333333332</v>
      </c>
      <c r="AH101" s="36">
        <f t="shared" si="17"/>
        <v>145</v>
      </c>
      <c r="AI101" s="36">
        <f t="shared" si="17"/>
        <v>19.333333333333332</v>
      </c>
    </row>
    <row r="102" spans="1:35">
      <c r="A102" s="46" t="s">
        <v>318</v>
      </c>
      <c r="B102" s="33" t="s">
        <v>315</v>
      </c>
      <c r="C102" s="34" t="s">
        <v>58</v>
      </c>
      <c r="D102" s="47" t="str">
        <f t="shared" si="13"/>
        <v>M24AESS22AFH.24D3621(D905)</v>
      </c>
      <c r="E102" s="46" t="s">
        <v>21</v>
      </c>
      <c r="F102" s="46" t="s">
        <v>21</v>
      </c>
      <c r="G102" s="48">
        <v>450</v>
      </c>
      <c r="H102" s="48">
        <v>39</v>
      </c>
      <c r="I102" s="49">
        <v>1</v>
      </c>
      <c r="J102" s="49">
        <v>1</v>
      </c>
      <c r="K102" s="49">
        <v>4</v>
      </c>
      <c r="L102" s="36">
        <f t="shared" si="18"/>
        <v>45</v>
      </c>
      <c r="M102" s="36">
        <f t="shared" si="19"/>
        <v>6</v>
      </c>
      <c r="N102" s="49">
        <v>40</v>
      </c>
      <c r="O102" s="49">
        <v>1</v>
      </c>
      <c r="P102" s="49">
        <v>1</v>
      </c>
      <c r="Q102" s="49">
        <v>1</v>
      </c>
      <c r="R102" s="49">
        <v>3</v>
      </c>
      <c r="S102" s="36">
        <f t="shared" si="20"/>
        <v>46</v>
      </c>
      <c r="T102" s="36">
        <f t="shared" si="21"/>
        <v>6.1333333333333337</v>
      </c>
      <c r="U102" s="49">
        <v>8</v>
      </c>
      <c r="V102" s="49">
        <v>1</v>
      </c>
      <c r="W102" s="49">
        <v>1</v>
      </c>
      <c r="X102" s="36">
        <f t="shared" si="22"/>
        <v>10</v>
      </c>
      <c r="Y102" s="36">
        <f t="shared" si="23"/>
        <v>1.3333333333333333</v>
      </c>
      <c r="Z102" s="49">
        <v>39</v>
      </c>
      <c r="AA102" s="49">
        <v>2</v>
      </c>
      <c r="AB102" s="49">
        <v>1</v>
      </c>
      <c r="AC102" s="49">
        <v>2</v>
      </c>
      <c r="AD102" s="36">
        <f t="shared" si="24"/>
        <v>44</v>
      </c>
      <c r="AE102" s="36">
        <f t="shared" si="25"/>
        <v>5.8666666666666663</v>
      </c>
      <c r="AF102" s="36">
        <f t="shared" si="16"/>
        <v>100</v>
      </c>
      <c r="AG102" s="36">
        <f t="shared" si="16"/>
        <v>13.333333333333332</v>
      </c>
      <c r="AH102" s="36">
        <f t="shared" si="17"/>
        <v>145</v>
      </c>
      <c r="AI102" s="36">
        <f t="shared" si="17"/>
        <v>19.333333333333332</v>
      </c>
    </row>
    <row r="103" spans="1:35">
      <c r="A103" s="46" t="s">
        <v>319</v>
      </c>
      <c r="B103" s="33" t="s">
        <v>315</v>
      </c>
      <c r="C103" s="34" t="s">
        <v>45</v>
      </c>
      <c r="D103" s="47" t="str">
        <f t="shared" ref="D103:D112" si="26">C103&amp;"("&amp;F103&amp;")"</f>
        <v>M24GBSS22AFH.24D3601(D905)</v>
      </c>
      <c r="E103" s="46" t="s">
        <v>21</v>
      </c>
      <c r="F103" s="46" t="s">
        <v>21</v>
      </c>
      <c r="G103" s="48">
        <v>450</v>
      </c>
      <c r="H103" s="48">
        <v>39</v>
      </c>
      <c r="I103" s="49">
        <v>1</v>
      </c>
      <c r="J103" s="49">
        <v>1</v>
      </c>
      <c r="K103" s="49">
        <v>4</v>
      </c>
      <c r="L103" s="36">
        <f t="shared" si="18"/>
        <v>45</v>
      </c>
      <c r="M103" s="36">
        <f t="shared" si="19"/>
        <v>6</v>
      </c>
      <c r="N103" s="49">
        <v>40</v>
      </c>
      <c r="O103" s="49">
        <v>1</v>
      </c>
      <c r="P103" s="49">
        <v>1</v>
      </c>
      <c r="Q103" s="49">
        <v>1</v>
      </c>
      <c r="R103" s="49">
        <v>3</v>
      </c>
      <c r="S103" s="36">
        <f t="shared" si="20"/>
        <v>46</v>
      </c>
      <c r="T103" s="36">
        <f t="shared" si="21"/>
        <v>6.1333333333333337</v>
      </c>
      <c r="U103" s="49">
        <v>8</v>
      </c>
      <c r="V103" s="49">
        <v>1</v>
      </c>
      <c r="W103" s="49">
        <v>1</v>
      </c>
      <c r="X103" s="36">
        <f t="shared" si="22"/>
        <v>10</v>
      </c>
      <c r="Y103" s="36">
        <f t="shared" si="23"/>
        <v>1.3333333333333333</v>
      </c>
      <c r="Z103" s="49">
        <v>39</v>
      </c>
      <c r="AA103" s="49">
        <v>2</v>
      </c>
      <c r="AB103" s="49">
        <v>1</v>
      </c>
      <c r="AC103" s="49">
        <v>2</v>
      </c>
      <c r="AD103" s="36">
        <f t="shared" si="24"/>
        <v>44</v>
      </c>
      <c r="AE103" s="36">
        <f t="shared" si="25"/>
        <v>5.8666666666666663</v>
      </c>
      <c r="AF103" s="36">
        <f t="shared" si="16"/>
        <v>100</v>
      </c>
      <c r="AG103" s="36">
        <f t="shared" si="16"/>
        <v>13.333333333333332</v>
      </c>
      <c r="AH103" s="36">
        <f t="shared" si="17"/>
        <v>145</v>
      </c>
      <c r="AI103" s="36">
        <f t="shared" si="17"/>
        <v>19.333333333333332</v>
      </c>
    </row>
    <row r="104" spans="1:35">
      <c r="A104" s="46" t="s">
        <v>308</v>
      </c>
      <c r="B104" s="33" t="s">
        <v>315</v>
      </c>
      <c r="C104" s="34" t="s">
        <v>59</v>
      </c>
      <c r="D104" s="47" t="str">
        <f t="shared" si="26"/>
        <v>M24GBSS22AFH.24D3621(D905)</v>
      </c>
      <c r="E104" s="46" t="s">
        <v>21</v>
      </c>
      <c r="F104" s="46" t="s">
        <v>21</v>
      </c>
      <c r="G104" s="48">
        <v>450</v>
      </c>
      <c r="H104" s="48">
        <v>39</v>
      </c>
      <c r="I104" s="49">
        <v>1</v>
      </c>
      <c r="J104" s="49">
        <v>1</v>
      </c>
      <c r="K104" s="49">
        <v>4</v>
      </c>
      <c r="L104" s="36">
        <f t="shared" si="18"/>
        <v>45</v>
      </c>
      <c r="M104" s="36">
        <f t="shared" si="19"/>
        <v>6</v>
      </c>
      <c r="N104" s="49">
        <v>40</v>
      </c>
      <c r="O104" s="49">
        <v>1</v>
      </c>
      <c r="P104" s="49">
        <v>1</v>
      </c>
      <c r="Q104" s="49">
        <v>1</v>
      </c>
      <c r="R104" s="49">
        <v>3</v>
      </c>
      <c r="S104" s="36">
        <f t="shared" si="20"/>
        <v>46</v>
      </c>
      <c r="T104" s="36">
        <f t="shared" si="21"/>
        <v>6.1333333333333337</v>
      </c>
      <c r="U104" s="49">
        <v>8</v>
      </c>
      <c r="V104" s="49">
        <v>1</v>
      </c>
      <c r="W104" s="49">
        <v>1</v>
      </c>
      <c r="X104" s="36">
        <f t="shared" si="22"/>
        <v>10</v>
      </c>
      <c r="Y104" s="36">
        <f t="shared" si="23"/>
        <v>1.3333333333333333</v>
      </c>
      <c r="Z104" s="49">
        <v>39</v>
      </c>
      <c r="AA104" s="49">
        <v>2</v>
      </c>
      <c r="AB104" s="49">
        <v>1</v>
      </c>
      <c r="AC104" s="49">
        <v>2</v>
      </c>
      <c r="AD104" s="36">
        <f t="shared" si="24"/>
        <v>44</v>
      </c>
      <c r="AE104" s="36">
        <f t="shared" si="25"/>
        <v>5.8666666666666663</v>
      </c>
      <c r="AF104" s="36">
        <f t="shared" si="16"/>
        <v>100</v>
      </c>
      <c r="AG104" s="36">
        <f t="shared" si="16"/>
        <v>13.333333333333332</v>
      </c>
      <c r="AH104" s="36">
        <f t="shared" si="17"/>
        <v>145</v>
      </c>
      <c r="AI104" s="36">
        <f t="shared" si="17"/>
        <v>19.333333333333332</v>
      </c>
    </row>
    <row r="105" spans="1:35">
      <c r="A105" s="46" t="s">
        <v>308</v>
      </c>
      <c r="B105" s="33" t="s">
        <v>315</v>
      </c>
      <c r="C105" s="34" t="s">
        <v>60</v>
      </c>
      <c r="D105" s="47" t="str">
        <f t="shared" si="26"/>
        <v>M24GBSS22AFH.24D3661(D905)</v>
      </c>
      <c r="E105" s="46" t="s">
        <v>21</v>
      </c>
      <c r="F105" s="46" t="s">
        <v>21</v>
      </c>
      <c r="G105" s="48">
        <v>450</v>
      </c>
      <c r="H105" s="48">
        <v>39</v>
      </c>
      <c r="I105" s="49">
        <v>1</v>
      </c>
      <c r="J105" s="49">
        <v>1</v>
      </c>
      <c r="K105" s="49">
        <v>4</v>
      </c>
      <c r="L105" s="36">
        <f t="shared" si="18"/>
        <v>45</v>
      </c>
      <c r="M105" s="36">
        <f t="shared" si="19"/>
        <v>6</v>
      </c>
      <c r="N105" s="49">
        <v>40</v>
      </c>
      <c r="O105" s="49">
        <v>1</v>
      </c>
      <c r="P105" s="49">
        <v>1</v>
      </c>
      <c r="Q105" s="49">
        <v>1</v>
      </c>
      <c r="R105" s="49">
        <v>3</v>
      </c>
      <c r="S105" s="36">
        <f t="shared" si="20"/>
        <v>46</v>
      </c>
      <c r="T105" s="36">
        <f t="shared" si="21"/>
        <v>6.1333333333333337</v>
      </c>
      <c r="U105" s="49">
        <v>8</v>
      </c>
      <c r="V105" s="49">
        <v>1</v>
      </c>
      <c r="W105" s="49">
        <v>1</v>
      </c>
      <c r="X105" s="36">
        <f t="shared" si="22"/>
        <v>10</v>
      </c>
      <c r="Y105" s="36">
        <f t="shared" si="23"/>
        <v>1.3333333333333333</v>
      </c>
      <c r="Z105" s="49">
        <v>39</v>
      </c>
      <c r="AA105" s="49">
        <v>2</v>
      </c>
      <c r="AB105" s="49">
        <v>1</v>
      </c>
      <c r="AC105" s="49">
        <v>2</v>
      </c>
      <c r="AD105" s="36">
        <f t="shared" si="24"/>
        <v>44</v>
      </c>
      <c r="AE105" s="36">
        <f t="shared" si="25"/>
        <v>5.8666666666666663</v>
      </c>
      <c r="AF105" s="36">
        <f t="shared" si="16"/>
        <v>100</v>
      </c>
      <c r="AG105" s="36">
        <f t="shared" si="16"/>
        <v>13.333333333333332</v>
      </c>
      <c r="AH105" s="36">
        <f t="shared" si="17"/>
        <v>145</v>
      </c>
      <c r="AI105" s="36">
        <f t="shared" si="17"/>
        <v>19.333333333333332</v>
      </c>
    </row>
    <row r="106" spans="1:35">
      <c r="A106" s="46" t="s">
        <v>308</v>
      </c>
      <c r="B106" s="33" t="s">
        <v>315</v>
      </c>
      <c r="C106" s="34" t="s">
        <v>48</v>
      </c>
      <c r="D106" s="47" t="str">
        <f t="shared" si="26"/>
        <v>M24PHSS22AFH.24D3661(D905)</v>
      </c>
      <c r="E106" s="46" t="s">
        <v>21</v>
      </c>
      <c r="F106" s="46" t="s">
        <v>21</v>
      </c>
      <c r="G106" s="48">
        <v>450</v>
      </c>
      <c r="H106" s="48">
        <v>39</v>
      </c>
      <c r="I106" s="49">
        <v>1</v>
      </c>
      <c r="J106" s="49">
        <v>1</v>
      </c>
      <c r="K106" s="49">
        <v>4</v>
      </c>
      <c r="L106" s="36">
        <f t="shared" si="18"/>
        <v>45</v>
      </c>
      <c r="M106" s="36">
        <f t="shared" si="19"/>
        <v>6</v>
      </c>
      <c r="N106" s="49">
        <v>40</v>
      </c>
      <c r="O106" s="49">
        <v>1</v>
      </c>
      <c r="P106" s="49">
        <v>1</v>
      </c>
      <c r="Q106" s="49">
        <v>1</v>
      </c>
      <c r="R106" s="49">
        <v>3</v>
      </c>
      <c r="S106" s="36">
        <f t="shared" si="20"/>
        <v>46</v>
      </c>
      <c r="T106" s="36">
        <f t="shared" si="21"/>
        <v>6.1333333333333337</v>
      </c>
      <c r="U106" s="49">
        <v>8</v>
      </c>
      <c r="V106" s="49">
        <v>1</v>
      </c>
      <c r="W106" s="49">
        <v>1</v>
      </c>
      <c r="X106" s="36">
        <f t="shared" si="22"/>
        <v>10</v>
      </c>
      <c r="Y106" s="36">
        <f t="shared" si="23"/>
        <v>1.3333333333333333</v>
      </c>
      <c r="Z106" s="49">
        <v>39</v>
      </c>
      <c r="AA106" s="49">
        <v>2</v>
      </c>
      <c r="AB106" s="49">
        <v>1</v>
      </c>
      <c r="AC106" s="49">
        <v>2</v>
      </c>
      <c r="AD106" s="36">
        <f t="shared" si="24"/>
        <v>44</v>
      </c>
      <c r="AE106" s="36">
        <f t="shared" si="25"/>
        <v>5.8666666666666663</v>
      </c>
      <c r="AF106" s="36">
        <f t="shared" si="16"/>
        <v>100</v>
      </c>
      <c r="AG106" s="36">
        <f t="shared" si="16"/>
        <v>13.333333333333332</v>
      </c>
      <c r="AH106" s="36">
        <f t="shared" si="17"/>
        <v>145</v>
      </c>
      <c r="AI106" s="36">
        <f t="shared" si="17"/>
        <v>19.333333333333332</v>
      </c>
    </row>
    <row r="107" spans="1:35">
      <c r="A107" s="46" t="s">
        <v>308</v>
      </c>
      <c r="B107" s="33" t="s">
        <v>315</v>
      </c>
      <c r="C107" s="34" t="s">
        <v>72</v>
      </c>
      <c r="D107" s="47" t="str">
        <f t="shared" si="26"/>
        <v>M24TRSS22AF-.24D3661(D905)</v>
      </c>
      <c r="E107" s="46" t="s">
        <v>21</v>
      </c>
      <c r="F107" s="46" t="s">
        <v>21</v>
      </c>
      <c r="G107" s="48">
        <v>450</v>
      </c>
      <c r="H107" s="48">
        <v>39</v>
      </c>
      <c r="I107" s="49">
        <v>1</v>
      </c>
      <c r="J107" s="49">
        <v>1</v>
      </c>
      <c r="K107" s="49">
        <v>4</v>
      </c>
      <c r="L107" s="36">
        <f t="shared" si="18"/>
        <v>45</v>
      </c>
      <c r="M107" s="36">
        <f t="shared" si="19"/>
        <v>6</v>
      </c>
      <c r="N107" s="49">
        <v>40</v>
      </c>
      <c r="O107" s="49">
        <v>1</v>
      </c>
      <c r="P107" s="49">
        <v>1</v>
      </c>
      <c r="Q107" s="49">
        <v>1</v>
      </c>
      <c r="R107" s="49">
        <v>3</v>
      </c>
      <c r="S107" s="36">
        <f t="shared" si="20"/>
        <v>46</v>
      </c>
      <c r="T107" s="36">
        <f t="shared" si="21"/>
        <v>6.1333333333333337</v>
      </c>
      <c r="U107" s="49">
        <v>8</v>
      </c>
      <c r="V107" s="49">
        <v>1</v>
      </c>
      <c r="W107" s="49">
        <v>1</v>
      </c>
      <c r="X107" s="36">
        <f t="shared" si="22"/>
        <v>10</v>
      </c>
      <c r="Y107" s="36">
        <f t="shared" si="23"/>
        <v>1.3333333333333333</v>
      </c>
      <c r="Z107" s="49">
        <v>39</v>
      </c>
      <c r="AA107" s="49">
        <v>2</v>
      </c>
      <c r="AB107" s="49">
        <v>1</v>
      </c>
      <c r="AC107" s="49">
        <v>2</v>
      </c>
      <c r="AD107" s="36">
        <f t="shared" si="24"/>
        <v>44</v>
      </c>
      <c r="AE107" s="36">
        <f t="shared" si="25"/>
        <v>5.8666666666666663</v>
      </c>
      <c r="AF107" s="36">
        <f t="shared" si="16"/>
        <v>100</v>
      </c>
      <c r="AG107" s="36">
        <f t="shared" si="16"/>
        <v>13.333333333333332</v>
      </c>
      <c r="AH107" s="36">
        <f t="shared" si="17"/>
        <v>145</v>
      </c>
      <c r="AI107" s="36">
        <f t="shared" si="17"/>
        <v>19.333333333333332</v>
      </c>
    </row>
    <row r="108" spans="1:35">
      <c r="A108" s="46" t="s">
        <v>320</v>
      </c>
      <c r="B108" s="33" t="s">
        <v>315</v>
      </c>
      <c r="C108" s="34" t="s">
        <v>88</v>
      </c>
      <c r="D108" s="47" t="str">
        <f t="shared" si="26"/>
        <v>M24ARSS22AFH.24D3661(D905)</v>
      </c>
      <c r="E108" s="46" t="s">
        <v>21</v>
      </c>
      <c r="F108" s="46" t="s">
        <v>21</v>
      </c>
      <c r="G108" s="48">
        <v>450</v>
      </c>
      <c r="H108" s="48">
        <v>39</v>
      </c>
      <c r="I108" s="49">
        <v>1</v>
      </c>
      <c r="J108" s="49">
        <v>1</v>
      </c>
      <c r="K108" s="49">
        <v>4</v>
      </c>
      <c r="L108" s="36">
        <f t="shared" si="18"/>
        <v>45</v>
      </c>
      <c r="M108" s="36">
        <f t="shared" si="19"/>
        <v>6</v>
      </c>
      <c r="N108" s="49">
        <v>40</v>
      </c>
      <c r="O108" s="49">
        <v>1</v>
      </c>
      <c r="P108" s="49">
        <v>1</v>
      </c>
      <c r="Q108" s="49">
        <v>1</v>
      </c>
      <c r="R108" s="49">
        <v>3</v>
      </c>
      <c r="S108" s="36">
        <f t="shared" si="20"/>
        <v>46</v>
      </c>
      <c r="T108" s="36">
        <f t="shared" si="21"/>
        <v>6.1333333333333337</v>
      </c>
      <c r="U108" s="49">
        <v>8</v>
      </c>
      <c r="V108" s="49">
        <v>1</v>
      </c>
      <c r="W108" s="49">
        <v>1</v>
      </c>
      <c r="X108" s="36">
        <f t="shared" si="22"/>
        <v>10</v>
      </c>
      <c r="Y108" s="36">
        <f t="shared" si="23"/>
        <v>1.3333333333333333</v>
      </c>
      <c r="Z108" s="49">
        <v>39</v>
      </c>
      <c r="AA108" s="49">
        <v>2</v>
      </c>
      <c r="AB108" s="49">
        <v>1</v>
      </c>
      <c r="AC108" s="49">
        <v>2</v>
      </c>
      <c r="AD108" s="36">
        <f t="shared" si="24"/>
        <v>44</v>
      </c>
      <c r="AE108" s="36">
        <f t="shared" si="25"/>
        <v>5.8666666666666663</v>
      </c>
      <c r="AF108" s="36">
        <f t="shared" si="16"/>
        <v>100</v>
      </c>
      <c r="AG108" s="36">
        <f t="shared" si="16"/>
        <v>13.333333333333332</v>
      </c>
      <c r="AH108" s="36">
        <f t="shared" si="17"/>
        <v>145</v>
      </c>
      <c r="AI108" s="36">
        <f t="shared" si="17"/>
        <v>19.333333333333332</v>
      </c>
    </row>
    <row r="109" spans="1:35">
      <c r="A109" s="46" t="s">
        <v>317</v>
      </c>
      <c r="B109" s="33" t="s">
        <v>315</v>
      </c>
      <c r="C109" s="34" t="s">
        <v>52</v>
      </c>
      <c r="D109" s="47" t="str">
        <f t="shared" si="26"/>
        <v>M24TRSS22AFH.24D3661(D905)</v>
      </c>
      <c r="E109" s="46" t="s">
        <v>21</v>
      </c>
      <c r="F109" s="46" t="s">
        <v>21</v>
      </c>
      <c r="G109" s="48">
        <v>450</v>
      </c>
      <c r="H109" s="48">
        <v>39</v>
      </c>
      <c r="I109" s="49">
        <v>1</v>
      </c>
      <c r="J109" s="49">
        <v>1</v>
      </c>
      <c r="K109" s="49">
        <v>4</v>
      </c>
      <c r="L109" s="36">
        <f t="shared" si="18"/>
        <v>45</v>
      </c>
      <c r="M109" s="36">
        <f t="shared" si="19"/>
        <v>6</v>
      </c>
      <c r="N109" s="49">
        <v>40</v>
      </c>
      <c r="O109" s="49">
        <v>1</v>
      </c>
      <c r="P109" s="49">
        <v>1</v>
      </c>
      <c r="Q109" s="49">
        <v>1</v>
      </c>
      <c r="R109" s="49">
        <v>3</v>
      </c>
      <c r="S109" s="36">
        <f t="shared" si="20"/>
        <v>46</v>
      </c>
      <c r="T109" s="36">
        <f t="shared" si="21"/>
        <v>6.1333333333333337</v>
      </c>
      <c r="U109" s="49">
        <v>8</v>
      </c>
      <c r="V109" s="49">
        <v>1</v>
      </c>
      <c r="W109" s="49">
        <v>1</v>
      </c>
      <c r="X109" s="36">
        <f t="shared" si="22"/>
        <v>10</v>
      </c>
      <c r="Y109" s="36">
        <f t="shared" si="23"/>
        <v>1.3333333333333333</v>
      </c>
      <c r="Z109" s="49">
        <v>39</v>
      </c>
      <c r="AA109" s="49">
        <v>2</v>
      </c>
      <c r="AB109" s="49">
        <v>1</v>
      </c>
      <c r="AC109" s="49">
        <v>2</v>
      </c>
      <c r="AD109" s="36">
        <f t="shared" si="24"/>
        <v>44</v>
      </c>
      <c r="AE109" s="36">
        <f t="shared" si="25"/>
        <v>5.8666666666666663</v>
      </c>
      <c r="AF109" s="36">
        <f t="shared" si="16"/>
        <v>100</v>
      </c>
      <c r="AG109" s="36">
        <f t="shared" si="16"/>
        <v>13.333333333333332</v>
      </c>
      <c r="AH109" s="36">
        <f t="shared" si="17"/>
        <v>145</v>
      </c>
      <c r="AI109" s="36">
        <f t="shared" si="17"/>
        <v>19.333333333333332</v>
      </c>
    </row>
    <row r="110" spans="1:35">
      <c r="A110" s="46" t="s">
        <v>318</v>
      </c>
      <c r="B110" s="33" t="s">
        <v>315</v>
      </c>
      <c r="C110" s="34" t="s">
        <v>163</v>
      </c>
      <c r="D110" s="47" t="str">
        <f t="shared" si="26"/>
        <v>M24NLSS22EFH.24D3601(D905)</v>
      </c>
      <c r="E110" s="46" t="s">
        <v>21</v>
      </c>
      <c r="F110" s="46" t="s">
        <v>21</v>
      </c>
      <c r="G110" s="48">
        <v>450</v>
      </c>
      <c r="H110" s="48">
        <v>39</v>
      </c>
      <c r="I110" s="49">
        <v>1</v>
      </c>
      <c r="J110" s="49">
        <v>1</v>
      </c>
      <c r="K110" s="49">
        <v>4</v>
      </c>
      <c r="L110" s="36">
        <f t="shared" si="18"/>
        <v>45</v>
      </c>
      <c r="M110" s="36">
        <f t="shared" si="19"/>
        <v>6</v>
      </c>
      <c r="N110" s="49">
        <v>40</v>
      </c>
      <c r="O110" s="49">
        <v>1</v>
      </c>
      <c r="P110" s="49">
        <v>1</v>
      </c>
      <c r="Q110" s="49">
        <v>1</v>
      </c>
      <c r="R110" s="49">
        <v>3</v>
      </c>
      <c r="S110" s="36">
        <f t="shared" si="20"/>
        <v>46</v>
      </c>
      <c r="T110" s="36">
        <f t="shared" si="21"/>
        <v>6.1333333333333337</v>
      </c>
      <c r="U110" s="49">
        <v>8</v>
      </c>
      <c r="V110" s="49">
        <v>1</v>
      </c>
      <c r="W110" s="49">
        <v>1</v>
      </c>
      <c r="X110" s="36">
        <f t="shared" si="22"/>
        <v>10</v>
      </c>
      <c r="Y110" s="36">
        <f t="shared" si="23"/>
        <v>1.3333333333333333</v>
      </c>
      <c r="Z110" s="49">
        <v>39</v>
      </c>
      <c r="AA110" s="49">
        <v>2</v>
      </c>
      <c r="AB110" s="49">
        <v>1</v>
      </c>
      <c r="AC110" s="49">
        <v>2</v>
      </c>
      <c r="AD110" s="36">
        <f t="shared" si="24"/>
        <v>44</v>
      </c>
      <c r="AE110" s="36">
        <f t="shared" si="25"/>
        <v>5.8666666666666663</v>
      </c>
      <c r="AF110" s="36">
        <f t="shared" si="16"/>
        <v>100</v>
      </c>
      <c r="AG110" s="36">
        <f t="shared" si="16"/>
        <v>13.333333333333332</v>
      </c>
      <c r="AH110" s="36">
        <f t="shared" si="17"/>
        <v>145</v>
      </c>
      <c r="AI110" s="36">
        <f t="shared" si="17"/>
        <v>19.333333333333332</v>
      </c>
    </row>
    <row r="111" spans="1:35">
      <c r="A111" s="46" t="s">
        <v>299</v>
      </c>
      <c r="B111" s="33" t="s">
        <v>315</v>
      </c>
      <c r="C111" s="34" t="s">
        <v>82</v>
      </c>
      <c r="D111" s="47" t="str">
        <f t="shared" si="26"/>
        <v>M24NLSS22EFH.24D3641(D905)</v>
      </c>
      <c r="E111" s="46" t="s">
        <v>21</v>
      </c>
      <c r="F111" s="46" t="s">
        <v>21</v>
      </c>
      <c r="G111" s="48">
        <v>450</v>
      </c>
      <c r="H111" s="48">
        <v>39</v>
      </c>
      <c r="I111" s="49">
        <v>1</v>
      </c>
      <c r="J111" s="49">
        <v>1</v>
      </c>
      <c r="K111" s="49">
        <v>4</v>
      </c>
      <c r="L111" s="36">
        <f t="shared" si="18"/>
        <v>45</v>
      </c>
      <c r="M111" s="36">
        <f t="shared" si="19"/>
        <v>6</v>
      </c>
      <c r="N111" s="49">
        <v>40</v>
      </c>
      <c r="O111" s="49">
        <v>1</v>
      </c>
      <c r="P111" s="49">
        <v>1</v>
      </c>
      <c r="Q111" s="49">
        <v>1</v>
      </c>
      <c r="R111" s="49">
        <v>3</v>
      </c>
      <c r="S111" s="36">
        <f t="shared" si="20"/>
        <v>46</v>
      </c>
      <c r="T111" s="36">
        <f t="shared" si="21"/>
        <v>6.1333333333333337</v>
      </c>
      <c r="U111" s="49">
        <v>8</v>
      </c>
      <c r="V111" s="49">
        <v>1</v>
      </c>
      <c r="W111" s="49">
        <v>1</v>
      </c>
      <c r="X111" s="36">
        <f t="shared" si="22"/>
        <v>10</v>
      </c>
      <c r="Y111" s="36">
        <f t="shared" si="23"/>
        <v>1.3333333333333333</v>
      </c>
      <c r="Z111" s="49">
        <v>39</v>
      </c>
      <c r="AA111" s="49">
        <v>2</v>
      </c>
      <c r="AB111" s="49">
        <v>1</v>
      </c>
      <c r="AC111" s="49">
        <v>2</v>
      </c>
      <c r="AD111" s="36">
        <f t="shared" si="24"/>
        <v>44</v>
      </c>
      <c r="AE111" s="36">
        <f t="shared" si="25"/>
        <v>5.8666666666666663</v>
      </c>
      <c r="AF111" s="36">
        <f t="shared" si="16"/>
        <v>100</v>
      </c>
      <c r="AG111" s="36">
        <f t="shared" si="16"/>
        <v>13.333333333333332</v>
      </c>
      <c r="AH111" s="36">
        <f t="shared" si="17"/>
        <v>145</v>
      </c>
      <c r="AI111" s="36">
        <f t="shared" si="17"/>
        <v>19.333333333333332</v>
      </c>
    </row>
    <row r="112" spans="1:35">
      <c r="A112" s="46" t="s">
        <v>299</v>
      </c>
      <c r="B112" s="33" t="s">
        <v>315</v>
      </c>
      <c r="C112" s="34" t="s">
        <v>90</v>
      </c>
      <c r="D112" s="47" t="str">
        <f t="shared" si="26"/>
        <v>M24IDSS22AFH.24D3661(D905)</v>
      </c>
      <c r="E112" s="46" t="s">
        <v>21</v>
      </c>
      <c r="F112" s="46" t="s">
        <v>21</v>
      </c>
      <c r="G112" s="48">
        <v>450</v>
      </c>
      <c r="H112" s="48">
        <v>39</v>
      </c>
      <c r="I112" s="49">
        <v>1</v>
      </c>
      <c r="J112" s="49">
        <v>1</v>
      </c>
      <c r="K112" s="49">
        <v>4</v>
      </c>
      <c r="L112" s="36">
        <f t="shared" si="18"/>
        <v>45</v>
      </c>
      <c r="M112" s="36">
        <f t="shared" si="19"/>
        <v>6</v>
      </c>
      <c r="N112" s="49">
        <v>40</v>
      </c>
      <c r="O112" s="49">
        <v>1</v>
      </c>
      <c r="P112" s="49">
        <v>1</v>
      </c>
      <c r="Q112" s="49">
        <v>1</v>
      </c>
      <c r="R112" s="49">
        <v>3</v>
      </c>
      <c r="S112" s="36">
        <f t="shared" si="20"/>
        <v>46</v>
      </c>
      <c r="T112" s="36">
        <f t="shared" si="21"/>
        <v>6.1333333333333337</v>
      </c>
      <c r="U112" s="49">
        <v>8</v>
      </c>
      <c r="V112" s="49">
        <v>1</v>
      </c>
      <c r="W112" s="49">
        <v>1</v>
      </c>
      <c r="X112" s="36">
        <f t="shared" si="22"/>
        <v>10</v>
      </c>
      <c r="Y112" s="36">
        <f t="shared" si="23"/>
        <v>1.3333333333333333</v>
      </c>
      <c r="Z112" s="49">
        <v>39</v>
      </c>
      <c r="AA112" s="49">
        <v>2</v>
      </c>
      <c r="AB112" s="49">
        <v>1</v>
      </c>
      <c r="AC112" s="49">
        <v>2</v>
      </c>
      <c r="AD112" s="36">
        <f t="shared" si="24"/>
        <v>44</v>
      </c>
      <c r="AE112" s="36">
        <f t="shared" si="25"/>
        <v>5.8666666666666663</v>
      </c>
      <c r="AF112" s="36">
        <f t="shared" si="16"/>
        <v>100</v>
      </c>
      <c r="AG112" s="36">
        <f t="shared" si="16"/>
        <v>13.333333333333332</v>
      </c>
      <c r="AH112" s="36">
        <f t="shared" si="17"/>
        <v>145</v>
      </c>
      <c r="AI112" s="36">
        <f t="shared" si="17"/>
        <v>19.333333333333332</v>
      </c>
    </row>
    <row r="113" spans="1:35">
      <c r="A113" s="33" t="s">
        <v>308</v>
      </c>
      <c r="B113" s="33" t="s">
        <v>321</v>
      </c>
      <c r="C113" s="34" t="s">
        <v>322</v>
      </c>
      <c r="D113" s="34" t="str">
        <f>C113&amp;"("&amp;F113&amp;")"</f>
        <v>M27NLSS22AFH.27D3601(D901)</v>
      </c>
      <c r="E113" s="33" t="s">
        <v>7</v>
      </c>
      <c r="F113" s="33" t="s">
        <v>7</v>
      </c>
      <c r="G113" s="48">
        <v>220</v>
      </c>
      <c r="H113" s="35">
        <v>25</v>
      </c>
      <c r="I113" s="36">
        <v>1</v>
      </c>
      <c r="J113" s="36">
        <v>1</v>
      </c>
      <c r="K113" s="36">
        <v>3</v>
      </c>
      <c r="L113" s="36">
        <f>SUM(H113:K113)</f>
        <v>30</v>
      </c>
      <c r="M113" s="36">
        <f>60*L113/G113</f>
        <v>8.1818181818181817</v>
      </c>
      <c r="N113" s="36">
        <v>29</v>
      </c>
      <c r="O113" s="36">
        <v>1</v>
      </c>
      <c r="P113" s="36">
        <v>1</v>
      </c>
      <c r="Q113" s="36">
        <v>1</v>
      </c>
      <c r="R113" s="36">
        <v>2</v>
      </c>
      <c r="S113" s="36">
        <f>SUM(N113:R113)</f>
        <v>34</v>
      </c>
      <c r="T113" s="36">
        <f>60*S113/G113</f>
        <v>9.2727272727272734</v>
      </c>
      <c r="U113" s="36">
        <v>8</v>
      </c>
      <c r="V113" s="36">
        <v>1</v>
      </c>
      <c r="W113" s="36">
        <v>1</v>
      </c>
      <c r="X113" s="36">
        <f>SUM(U113:W113)</f>
        <v>10</v>
      </c>
      <c r="Y113" s="36">
        <f>60*X113/G113</f>
        <v>2.7272727272727271</v>
      </c>
      <c r="Z113" s="36">
        <v>21</v>
      </c>
      <c r="AA113" s="36">
        <v>1</v>
      </c>
      <c r="AB113" s="36">
        <v>1</v>
      </c>
      <c r="AC113" s="36">
        <v>1</v>
      </c>
      <c r="AD113" s="36">
        <f>SUM(Z113:AC113)</f>
        <v>24</v>
      </c>
      <c r="AE113" s="36">
        <f>60*AD113/G113</f>
        <v>6.5454545454545459</v>
      </c>
      <c r="AF113" s="36">
        <f>SUM(S113,X113,AD113)</f>
        <v>68</v>
      </c>
      <c r="AG113" s="36">
        <f>SUM(T113,Y113,AE113)</f>
        <v>18.545454545454547</v>
      </c>
      <c r="AH113" s="36">
        <f>SUM(L113,AF113)</f>
        <v>98</v>
      </c>
      <c r="AI113" s="36">
        <f>SUM(M113,AG113)</f>
        <v>26.727272727272727</v>
      </c>
    </row>
    <row r="114" spans="1:35">
      <c r="A114" s="33" t="s">
        <v>317</v>
      </c>
      <c r="B114" s="33" t="s">
        <v>321</v>
      </c>
      <c r="C114" s="34" t="s">
        <v>65</v>
      </c>
      <c r="D114" s="34" t="str">
        <f t="shared" ref="D114:D177" si="27">C114&amp;"("&amp;F114&amp;")"</f>
        <v>M27NLSS22AFH.27D3602(D901)</v>
      </c>
      <c r="E114" s="33" t="s">
        <v>7</v>
      </c>
      <c r="F114" s="33" t="s">
        <v>7</v>
      </c>
      <c r="G114" s="48">
        <v>220</v>
      </c>
      <c r="H114" s="35">
        <v>25</v>
      </c>
      <c r="I114" s="36">
        <v>1</v>
      </c>
      <c r="J114" s="36">
        <v>1</v>
      </c>
      <c r="K114" s="36">
        <v>3</v>
      </c>
      <c r="L114" s="36">
        <f>SUM(H114:K114)</f>
        <v>30</v>
      </c>
      <c r="M114" s="36">
        <f>60*L114/G114</f>
        <v>8.1818181818181817</v>
      </c>
      <c r="N114" s="36">
        <v>29</v>
      </c>
      <c r="O114" s="36">
        <v>1</v>
      </c>
      <c r="P114" s="36">
        <v>1</v>
      </c>
      <c r="Q114" s="36">
        <v>1</v>
      </c>
      <c r="R114" s="36">
        <v>2</v>
      </c>
      <c r="S114" s="36">
        <f>SUM(N114:R114)</f>
        <v>34</v>
      </c>
      <c r="T114" s="36">
        <f>60*S114/G114</f>
        <v>9.2727272727272734</v>
      </c>
      <c r="U114" s="36">
        <v>8</v>
      </c>
      <c r="V114" s="36">
        <v>1</v>
      </c>
      <c r="W114" s="36">
        <v>1</v>
      </c>
      <c r="X114" s="36">
        <f>SUM(U114:W114)</f>
        <v>10</v>
      </c>
      <c r="Y114" s="36">
        <f>60*X114/G114</f>
        <v>2.7272727272727271</v>
      </c>
      <c r="Z114" s="36">
        <v>21</v>
      </c>
      <c r="AA114" s="36">
        <v>1</v>
      </c>
      <c r="AB114" s="36">
        <v>1</v>
      </c>
      <c r="AC114" s="36">
        <v>1</v>
      </c>
      <c r="AD114" s="36">
        <f>SUM(Z114:AC114)</f>
        <v>24</v>
      </c>
      <c r="AE114" s="36">
        <f>60*AD114/G114</f>
        <v>6.5454545454545459</v>
      </c>
      <c r="AF114" s="36">
        <f>SUM(S114,X114,AD114)</f>
        <v>68</v>
      </c>
      <c r="AG114" s="36">
        <f>SUM(T114,Y114,AE114)</f>
        <v>18.545454545454547</v>
      </c>
      <c r="AH114" s="36">
        <f>SUM(L114,AF114)</f>
        <v>98</v>
      </c>
      <c r="AI114" s="36">
        <f>SUM(M114,AG114)</f>
        <v>26.727272727272727</v>
      </c>
    </row>
    <row r="115" spans="1:35">
      <c r="A115" s="33" t="s">
        <v>308</v>
      </c>
      <c r="B115" s="33" t="s">
        <v>321</v>
      </c>
      <c r="C115" s="34" t="s">
        <v>323</v>
      </c>
      <c r="D115" s="34" t="str">
        <f t="shared" si="27"/>
        <v>M27NLSS22AFH.27D3621(D901)</v>
      </c>
      <c r="E115" s="33" t="s">
        <v>7</v>
      </c>
      <c r="F115" s="33" t="s">
        <v>7</v>
      </c>
      <c r="G115" s="48">
        <v>220</v>
      </c>
      <c r="H115" s="35">
        <v>25</v>
      </c>
      <c r="I115" s="36">
        <v>1</v>
      </c>
      <c r="J115" s="36">
        <v>1</v>
      </c>
      <c r="K115" s="36">
        <v>3</v>
      </c>
      <c r="L115" s="36">
        <f t="shared" si="18"/>
        <v>30</v>
      </c>
      <c r="M115" s="36">
        <f t="shared" si="19"/>
        <v>8.1818181818181817</v>
      </c>
      <c r="N115" s="36">
        <v>29</v>
      </c>
      <c r="O115" s="36">
        <v>1</v>
      </c>
      <c r="P115" s="36">
        <v>1</v>
      </c>
      <c r="Q115" s="36">
        <v>1</v>
      </c>
      <c r="R115" s="36">
        <v>2</v>
      </c>
      <c r="S115" s="36">
        <f t="shared" si="20"/>
        <v>34</v>
      </c>
      <c r="T115" s="36">
        <f t="shared" si="21"/>
        <v>9.2727272727272734</v>
      </c>
      <c r="U115" s="36">
        <v>8</v>
      </c>
      <c r="V115" s="36">
        <v>1</v>
      </c>
      <c r="W115" s="36">
        <v>1</v>
      </c>
      <c r="X115" s="36">
        <f t="shared" si="22"/>
        <v>10</v>
      </c>
      <c r="Y115" s="36">
        <f t="shared" si="23"/>
        <v>2.7272727272727271</v>
      </c>
      <c r="Z115" s="36">
        <v>21</v>
      </c>
      <c r="AA115" s="36">
        <v>1</v>
      </c>
      <c r="AB115" s="36">
        <v>1</v>
      </c>
      <c r="AC115" s="36">
        <v>1</v>
      </c>
      <c r="AD115" s="36">
        <f t="shared" si="24"/>
        <v>24</v>
      </c>
      <c r="AE115" s="36">
        <f t="shared" si="25"/>
        <v>6.5454545454545459</v>
      </c>
      <c r="AF115" s="36">
        <f t="shared" si="16"/>
        <v>68</v>
      </c>
      <c r="AG115" s="36">
        <f t="shared" si="16"/>
        <v>18.545454545454547</v>
      </c>
      <c r="AH115" s="36">
        <f t="shared" si="17"/>
        <v>98</v>
      </c>
      <c r="AI115" s="36">
        <f t="shared" si="17"/>
        <v>26.727272727272727</v>
      </c>
    </row>
    <row r="116" spans="1:35">
      <c r="A116" s="33" t="s">
        <v>320</v>
      </c>
      <c r="B116" s="33" t="s">
        <v>321</v>
      </c>
      <c r="C116" s="34" t="s">
        <v>70</v>
      </c>
      <c r="D116" s="34" t="str">
        <f t="shared" si="27"/>
        <v>M27NLSS22AFH.27D3622(D901)</v>
      </c>
      <c r="E116" s="33" t="s">
        <v>7</v>
      </c>
      <c r="F116" s="33" t="s">
        <v>7</v>
      </c>
      <c r="G116" s="48">
        <v>220</v>
      </c>
      <c r="H116" s="35">
        <v>25</v>
      </c>
      <c r="I116" s="36">
        <v>1</v>
      </c>
      <c r="J116" s="36">
        <v>1</v>
      </c>
      <c r="K116" s="36">
        <v>3</v>
      </c>
      <c r="L116" s="36">
        <f t="shared" si="18"/>
        <v>30</v>
      </c>
      <c r="M116" s="36">
        <f t="shared" si="19"/>
        <v>8.1818181818181817</v>
      </c>
      <c r="N116" s="36">
        <v>29</v>
      </c>
      <c r="O116" s="36">
        <v>1</v>
      </c>
      <c r="P116" s="36">
        <v>1</v>
      </c>
      <c r="Q116" s="36">
        <v>1</v>
      </c>
      <c r="R116" s="36">
        <v>2</v>
      </c>
      <c r="S116" s="36">
        <f t="shared" si="20"/>
        <v>34</v>
      </c>
      <c r="T116" s="36">
        <f t="shared" si="21"/>
        <v>9.2727272727272734</v>
      </c>
      <c r="U116" s="36">
        <v>8</v>
      </c>
      <c r="V116" s="36">
        <v>1</v>
      </c>
      <c r="W116" s="36">
        <v>1</v>
      </c>
      <c r="X116" s="36">
        <f t="shared" si="22"/>
        <v>10</v>
      </c>
      <c r="Y116" s="36">
        <f t="shared" si="23"/>
        <v>2.7272727272727271</v>
      </c>
      <c r="Z116" s="36">
        <v>21</v>
      </c>
      <c r="AA116" s="36">
        <v>1</v>
      </c>
      <c r="AB116" s="36">
        <v>1</v>
      </c>
      <c r="AC116" s="36">
        <v>1</v>
      </c>
      <c r="AD116" s="36">
        <f t="shared" si="24"/>
        <v>24</v>
      </c>
      <c r="AE116" s="36">
        <f t="shared" si="25"/>
        <v>6.5454545454545459</v>
      </c>
      <c r="AF116" s="36">
        <f t="shared" si="16"/>
        <v>68</v>
      </c>
      <c r="AG116" s="36">
        <f t="shared" si="16"/>
        <v>18.545454545454547</v>
      </c>
      <c r="AH116" s="36">
        <f t="shared" si="17"/>
        <v>98</v>
      </c>
      <c r="AI116" s="36">
        <f t="shared" si="17"/>
        <v>26.727272727272727</v>
      </c>
    </row>
    <row r="117" spans="1:35">
      <c r="A117" s="33" t="s">
        <v>319</v>
      </c>
      <c r="B117" s="33" t="s">
        <v>321</v>
      </c>
      <c r="C117" s="34" t="s">
        <v>324</v>
      </c>
      <c r="D117" s="34" t="str">
        <f t="shared" si="27"/>
        <v>M27NLSS22AFH.27D3641(D901)</v>
      </c>
      <c r="E117" s="33" t="s">
        <v>7</v>
      </c>
      <c r="F117" s="33" t="s">
        <v>7</v>
      </c>
      <c r="G117" s="48">
        <v>220</v>
      </c>
      <c r="H117" s="35">
        <v>25</v>
      </c>
      <c r="I117" s="36">
        <v>1</v>
      </c>
      <c r="J117" s="36">
        <v>1</v>
      </c>
      <c r="K117" s="36">
        <v>3</v>
      </c>
      <c r="L117" s="36">
        <f t="shared" si="18"/>
        <v>30</v>
      </c>
      <c r="M117" s="36">
        <f t="shared" si="19"/>
        <v>8.1818181818181817</v>
      </c>
      <c r="N117" s="36">
        <v>29</v>
      </c>
      <c r="O117" s="36">
        <v>1</v>
      </c>
      <c r="P117" s="36">
        <v>1</v>
      </c>
      <c r="Q117" s="36">
        <v>1</v>
      </c>
      <c r="R117" s="36">
        <v>2</v>
      </c>
      <c r="S117" s="36">
        <f t="shared" si="20"/>
        <v>34</v>
      </c>
      <c r="T117" s="36">
        <f t="shared" si="21"/>
        <v>9.2727272727272734</v>
      </c>
      <c r="U117" s="36">
        <v>8</v>
      </c>
      <c r="V117" s="36">
        <v>1</v>
      </c>
      <c r="W117" s="36">
        <v>1</v>
      </c>
      <c r="X117" s="36">
        <f t="shared" si="22"/>
        <v>10</v>
      </c>
      <c r="Y117" s="36">
        <f t="shared" si="23"/>
        <v>2.7272727272727271</v>
      </c>
      <c r="Z117" s="36">
        <v>21</v>
      </c>
      <c r="AA117" s="36">
        <v>1</v>
      </c>
      <c r="AB117" s="36">
        <v>1</v>
      </c>
      <c r="AC117" s="36">
        <v>1</v>
      </c>
      <c r="AD117" s="36">
        <f t="shared" si="24"/>
        <v>24</v>
      </c>
      <c r="AE117" s="36">
        <f t="shared" si="25"/>
        <v>6.5454545454545459</v>
      </c>
      <c r="AF117" s="36">
        <f t="shared" si="16"/>
        <v>68</v>
      </c>
      <c r="AG117" s="36">
        <f t="shared" si="16"/>
        <v>18.545454545454547</v>
      </c>
      <c r="AH117" s="36">
        <f t="shared" si="17"/>
        <v>98</v>
      </c>
      <c r="AI117" s="36">
        <f t="shared" si="17"/>
        <v>26.727272727272727</v>
      </c>
    </row>
    <row r="118" spans="1:35">
      <c r="A118" s="33" t="s">
        <v>318</v>
      </c>
      <c r="B118" s="33" t="s">
        <v>321</v>
      </c>
      <c r="C118" s="34" t="s">
        <v>67</v>
      </c>
      <c r="D118" s="34" t="str">
        <f t="shared" si="27"/>
        <v>M27NLSS22AFH.27D3642(D901)</v>
      </c>
      <c r="E118" s="33" t="s">
        <v>7</v>
      </c>
      <c r="F118" s="33" t="s">
        <v>7</v>
      </c>
      <c r="G118" s="48">
        <v>220</v>
      </c>
      <c r="H118" s="35">
        <v>25</v>
      </c>
      <c r="I118" s="36">
        <v>1</v>
      </c>
      <c r="J118" s="36">
        <v>1</v>
      </c>
      <c r="K118" s="36">
        <v>3</v>
      </c>
      <c r="L118" s="36">
        <f t="shared" si="18"/>
        <v>30</v>
      </c>
      <c r="M118" s="36">
        <f t="shared" si="19"/>
        <v>8.1818181818181817</v>
      </c>
      <c r="N118" s="36">
        <v>29</v>
      </c>
      <c r="O118" s="36">
        <v>1</v>
      </c>
      <c r="P118" s="36">
        <v>1</v>
      </c>
      <c r="Q118" s="36">
        <v>1</v>
      </c>
      <c r="R118" s="36">
        <v>2</v>
      </c>
      <c r="S118" s="36">
        <f t="shared" si="20"/>
        <v>34</v>
      </c>
      <c r="T118" s="36">
        <f t="shared" si="21"/>
        <v>9.2727272727272734</v>
      </c>
      <c r="U118" s="36">
        <v>8</v>
      </c>
      <c r="V118" s="36">
        <v>1</v>
      </c>
      <c r="W118" s="36">
        <v>1</v>
      </c>
      <c r="X118" s="36">
        <f t="shared" si="22"/>
        <v>10</v>
      </c>
      <c r="Y118" s="36">
        <f t="shared" si="23"/>
        <v>2.7272727272727271</v>
      </c>
      <c r="Z118" s="36">
        <v>21</v>
      </c>
      <c r="AA118" s="36">
        <v>1</v>
      </c>
      <c r="AB118" s="36">
        <v>1</v>
      </c>
      <c r="AC118" s="36">
        <v>1</v>
      </c>
      <c r="AD118" s="36">
        <f t="shared" si="24"/>
        <v>24</v>
      </c>
      <c r="AE118" s="36">
        <f t="shared" si="25"/>
        <v>6.5454545454545459</v>
      </c>
      <c r="AF118" s="36">
        <f t="shared" si="16"/>
        <v>68</v>
      </c>
      <c r="AG118" s="36">
        <f t="shared" si="16"/>
        <v>18.545454545454547</v>
      </c>
      <c r="AH118" s="36">
        <f t="shared" si="17"/>
        <v>98</v>
      </c>
      <c r="AI118" s="36">
        <f t="shared" si="17"/>
        <v>26.727272727272727</v>
      </c>
    </row>
    <row r="119" spans="1:35">
      <c r="A119" s="33" t="s">
        <v>308</v>
      </c>
      <c r="B119" s="33" t="s">
        <v>321</v>
      </c>
      <c r="C119" s="34" t="s">
        <v>325</v>
      </c>
      <c r="D119" s="34" t="str">
        <f>C119&amp;"("&amp;F119&amp;")"</f>
        <v>M27NLSS22AFH.27D3661(D901)</v>
      </c>
      <c r="E119" s="33" t="s">
        <v>7</v>
      </c>
      <c r="F119" s="33" t="s">
        <v>7</v>
      </c>
      <c r="G119" s="48">
        <v>220</v>
      </c>
      <c r="H119" s="35">
        <v>25</v>
      </c>
      <c r="I119" s="36">
        <v>1</v>
      </c>
      <c r="J119" s="36">
        <v>1</v>
      </c>
      <c r="K119" s="36">
        <v>3</v>
      </c>
      <c r="L119" s="36">
        <f>SUM(H119:K119)</f>
        <v>30</v>
      </c>
      <c r="M119" s="36">
        <f>60*L119/G119</f>
        <v>8.1818181818181817</v>
      </c>
      <c r="N119" s="36">
        <v>29</v>
      </c>
      <c r="O119" s="36">
        <v>1</v>
      </c>
      <c r="P119" s="36">
        <v>1</v>
      </c>
      <c r="Q119" s="36">
        <v>1</v>
      </c>
      <c r="R119" s="36">
        <v>2</v>
      </c>
      <c r="S119" s="36">
        <f>SUM(N119:R119)</f>
        <v>34</v>
      </c>
      <c r="T119" s="36">
        <f>60*S119/G119</f>
        <v>9.2727272727272734</v>
      </c>
      <c r="U119" s="36">
        <v>8</v>
      </c>
      <c r="V119" s="36">
        <v>1</v>
      </c>
      <c r="W119" s="36">
        <v>1</v>
      </c>
      <c r="X119" s="36">
        <f>SUM(U119:W119)</f>
        <v>10</v>
      </c>
      <c r="Y119" s="36">
        <f>60*X119/G119</f>
        <v>2.7272727272727271</v>
      </c>
      <c r="Z119" s="36">
        <v>21</v>
      </c>
      <c r="AA119" s="36">
        <v>1</v>
      </c>
      <c r="AB119" s="36">
        <v>1</v>
      </c>
      <c r="AC119" s="36">
        <v>1</v>
      </c>
      <c r="AD119" s="36">
        <f>SUM(Z119:AC119)</f>
        <v>24</v>
      </c>
      <c r="AE119" s="36">
        <f>60*AD119/G119</f>
        <v>6.5454545454545459</v>
      </c>
      <c r="AF119" s="36">
        <f>SUM(S119,X119,AD119)</f>
        <v>68</v>
      </c>
      <c r="AG119" s="36">
        <f>SUM(T119,Y119,AE119)</f>
        <v>18.545454545454547</v>
      </c>
      <c r="AH119" s="36">
        <f>SUM(L119,AF119)</f>
        <v>98</v>
      </c>
      <c r="AI119" s="36">
        <f>SUM(M119,AG119)</f>
        <v>26.727272727272727</v>
      </c>
    </row>
    <row r="120" spans="1:35">
      <c r="A120" s="33" t="s">
        <v>308</v>
      </c>
      <c r="B120" s="33" t="s">
        <v>321</v>
      </c>
      <c r="C120" s="34" t="s">
        <v>64</v>
      </c>
      <c r="D120" s="34" t="str">
        <f>C120&amp;"("&amp;F120&amp;")"</f>
        <v>M27NLSS22AFH.27D3662(D901)</v>
      </c>
      <c r="E120" s="33" t="s">
        <v>7</v>
      </c>
      <c r="F120" s="33" t="s">
        <v>7</v>
      </c>
      <c r="G120" s="48">
        <v>220</v>
      </c>
      <c r="H120" s="35">
        <v>25</v>
      </c>
      <c r="I120" s="36">
        <v>1</v>
      </c>
      <c r="J120" s="36">
        <v>1</v>
      </c>
      <c r="K120" s="36">
        <v>3</v>
      </c>
      <c r="L120" s="36">
        <f>SUM(H120:K120)</f>
        <v>30</v>
      </c>
      <c r="M120" s="36">
        <f>60*L120/G120</f>
        <v>8.1818181818181817</v>
      </c>
      <c r="N120" s="36">
        <v>29</v>
      </c>
      <c r="O120" s="36">
        <v>1</v>
      </c>
      <c r="P120" s="36">
        <v>1</v>
      </c>
      <c r="Q120" s="36">
        <v>1</v>
      </c>
      <c r="R120" s="36">
        <v>2</v>
      </c>
      <c r="S120" s="36">
        <f>SUM(N120:R120)</f>
        <v>34</v>
      </c>
      <c r="T120" s="36">
        <f>60*S120/G120</f>
        <v>9.2727272727272734</v>
      </c>
      <c r="U120" s="36">
        <v>8</v>
      </c>
      <c r="V120" s="36">
        <v>1</v>
      </c>
      <c r="W120" s="36">
        <v>1</v>
      </c>
      <c r="X120" s="36">
        <f>SUM(U120:W120)</f>
        <v>10</v>
      </c>
      <c r="Y120" s="36">
        <f>60*X120/G120</f>
        <v>2.7272727272727271</v>
      </c>
      <c r="Z120" s="36">
        <v>21</v>
      </c>
      <c r="AA120" s="36">
        <v>1</v>
      </c>
      <c r="AB120" s="36">
        <v>1</v>
      </c>
      <c r="AC120" s="36">
        <v>1</v>
      </c>
      <c r="AD120" s="36">
        <f>SUM(Z120:AC120)</f>
        <v>24</v>
      </c>
      <c r="AE120" s="36">
        <f>60*AD120/G120</f>
        <v>6.5454545454545459</v>
      </c>
      <c r="AF120" s="36">
        <f>SUM(S120,X120,AD120)</f>
        <v>68</v>
      </c>
      <c r="AG120" s="36">
        <f>SUM(T120,Y120,AE120)</f>
        <v>18.545454545454547</v>
      </c>
      <c r="AH120" s="36">
        <f>SUM(L120,AF120)</f>
        <v>98</v>
      </c>
      <c r="AI120" s="36">
        <f>SUM(M120,AG120)</f>
        <v>26.727272727272727</v>
      </c>
    </row>
    <row r="121" spans="1:35">
      <c r="A121" s="33" t="s">
        <v>319</v>
      </c>
      <c r="B121" s="33" t="s">
        <v>321</v>
      </c>
      <c r="C121" s="34" t="s">
        <v>326</v>
      </c>
      <c r="D121" s="34" t="str">
        <f t="shared" si="27"/>
        <v>M27VNSS22AFH.27D3661(D901)</v>
      </c>
      <c r="E121" s="33" t="s">
        <v>7</v>
      </c>
      <c r="F121" s="33" t="s">
        <v>7</v>
      </c>
      <c r="G121" s="48">
        <v>220</v>
      </c>
      <c r="H121" s="35">
        <v>25</v>
      </c>
      <c r="I121" s="36">
        <v>1</v>
      </c>
      <c r="J121" s="36">
        <v>1</v>
      </c>
      <c r="K121" s="36">
        <v>3</v>
      </c>
      <c r="L121" s="36">
        <f t="shared" si="18"/>
        <v>30</v>
      </c>
      <c r="M121" s="36">
        <f t="shared" si="19"/>
        <v>8.1818181818181817</v>
      </c>
      <c r="N121" s="36">
        <v>29</v>
      </c>
      <c r="O121" s="36">
        <v>1</v>
      </c>
      <c r="P121" s="36">
        <v>1</v>
      </c>
      <c r="Q121" s="36">
        <v>1</v>
      </c>
      <c r="R121" s="36">
        <v>2</v>
      </c>
      <c r="S121" s="36">
        <f t="shared" si="20"/>
        <v>34</v>
      </c>
      <c r="T121" s="36">
        <f t="shared" si="21"/>
        <v>9.2727272727272734</v>
      </c>
      <c r="U121" s="36">
        <v>8</v>
      </c>
      <c r="V121" s="36">
        <v>1</v>
      </c>
      <c r="W121" s="36">
        <v>1</v>
      </c>
      <c r="X121" s="36">
        <f t="shared" si="22"/>
        <v>10</v>
      </c>
      <c r="Y121" s="36">
        <f t="shared" si="23"/>
        <v>2.7272727272727271</v>
      </c>
      <c r="Z121" s="36">
        <v>21</v>
      </c>
      <c r="AA121" s="36">
        <v>1</v>
      </c>
      <c r="AB121" s="36">
        <v>1</v>
      </c>
      <c r="AC121" s="36">
        <v>1</v>
      </c>
      <c r="AD121" s="36">
        <f t="shared" si="24"/>
        <v>24</v>
      </c>
      <c r="AE121" s="36">
        <f t="shared" si="25"/>
        <v>6.5454545454545459</v>
      </c>
      <c r="AF121" s="36">
        <f t="shared" si="16"/>
        <v>68</v>
      </c>
      <c r="AG121" s="36">
        <f t="shared" si="16"/>
        <v>18.545454545454547</v>
      </c>
      <c r="AH121" s="36">
        <f t="shared" si="17"/>
        <v>98</v>
      </c>
      <c r="AI121" s="36">
        <f t="shared" si="17"/>
        <v>26.727272727272727</v>
      </c>
    </row>
    <row r="122" spans="1:35">
      <c r="A122" s="33" t="s">
        <v>319</v>
      </c>
      <c r="B122" s="33" t="s">
        <v>321</v>
      </c>
      <c r="C122" s="34" t="s">
        <v>92</v>
      </c>
      <c r="D122" s="34" t="str">
        <f t="shared" si="27"/>
        <v>M27VNSS22AF-.27D3662(D901)</v>
      </c>
      <c r="E122" s="33" t="s">
        <v>7</v>
      </c>
      <c r="F122" s="33" t="s">
        <v>7</v>
      </c>
      <c r="G122" s="48">
        <v>220</v>
      </c>
      <c r="H122" s="35">
        <v>25</v>
      </c>
      <c r="I122" s="36">
        <v>1</v>
      </c>
      <c r="J122" s="36">
        <v>1</v>
      </c>
      <c r="K122" s="36">
        <v>3</v>
      </c>
      <c r="L122" s="36">
        <f t="shared" si="18"/>
        <v>30</v>
      </c>
      <c r="M122" s="36">
        <f t="shared" si="19"/>
        <v>8.1818181818181817</v>
      </c>
      <c r="N122" s="36">
        <v>29</v>
      </c>
      <c r="O122" s="36">
        <v>1</v>
      </c>
      <c r="P122" s="36">
        <v>1</v>
      </c>
      <c r="Q122" s="36">
        <v>1</v>
      </c>
      <c r="R122" s="36">
        <v>2</v>
      </c>
      <c r="S122" s="36">
        <f t="shared" si="20"/>
        <v>34</v>
      </c>
      <c r="T122" s="36">
        <f t="shared" si="21"/>
        <v>9.2727272727272734</v>
      </c>
      <c r="U122" s="36">
        <v>8</v>
      </c>
      <c r="V122" s="36">
        <v>1</v>
      </c>
      <c r="W122" s="36">
        <v>1</v>
      </c>
      <c r="X122" s="36">
        <f t="shared" si="22"/>
        <v>10</v>
      </c>
      <c r="Y122" s="36">
        <f t="shared" si="23"/>
        <v>2.7272727272727271</v>
      </c>
      <c r="Z122" s="36">
        <v>21</v>
      </c>
      <c r="AA122" s="36">
        <v>1</v>
      </c>
      <c r="AB122" s="36">
        <v>1</v>
      </c>
      <c r="AC122" s="36">
        <v>1</v>
      </c>
      <c r="AD122" s="36">
        <f t="shared" si="24"/>
        <v>24</v>
      </c>
      <c r="AE122" s="36">
        <f t="shared" si="25"/>
        <v>6.5454545454545459</v>
      </c>
      <c r="AF122" s="36">
        <f t="shared" si="16"/>
        <v>68</v>
      </c>
      <c r="AG122" s="36">
        <f t="shared" si="16"/>
        <v>18.545454545454547</v>
      </c>
      <c r="AH122" s="36">
        <f t="shared" si="17"/>
        <v>98</v>
      </c>
      <c r="AI122" s="36">
        <f t="shared" si="17"/>
        <v>26.727272727272727</v>
      </c>
    </row>
    <row r="123" spans="1:35">
      <c r="A123" s="33" t="s">
        <v>317</v>
      </c>
      <c r="B123" s="33" t="s">
        <v>321</v>
      </c>
      <c r="C123" s="34" t="s">
        <v>71</v>
      </c>
      <c r="D123" s="34" t="str">
        <f t="shared" si="27"/>
        <v>M27VNSS22AFH.27D3662(D901)</v>
      </c>
      <c r="E123" s="33" t="s">
        <v>7</v>
      </c>
      <c r="F123" s="33" t="s">
        <v>7</v>
      </c>
      <c r="G123" s="48">
        <v>220</v>
      </c>
      <c r="H123" s="35">
        <v>25</v>
      </c>
      <c r="I123" s="36">
        <v>1</v>
      </c>
      <c r="J123" s="36">
        <v>1</v>
      </c>
      <c r="K123" s="36">
        <v>3</v>
      </c>
      <c r="L123" s="36">
        <f t="shared" si="18"/>
        <v>30</v>
      </c>
      <c r="M123" s="36">
        <f t="shared" si="19"/>
        <v>8.1818181818181817</v>
      </c>
      <c r="N123" s="36">
        <v>29</v>
      </c>
      <c r="O123" s="36">
        <v>1</v>
      </c>
      <c r="P123" s="36">
        <v>1</v>
      </c>
      <c r="Q123" s="36">
        <v>1</v>
      </c>
      <c r="R123" s="36">
        <v>2</v>
      </c>
      <c r="S123" s="36">
        <f t="shared" si="20"/>
        <v>34</v>
      </c>
      <c r="T123" s="36">
        <f t="shared" si="21"/>
        <v>9.2727272727272734</v>
      </c>
      <c r="U123" s="36">
        <v>8</v>
      </c>
      <c r="V123" s="36">
        <v>1</v>
      </c>
      <c r="W123" s="36">
        <v>1</v>
      </c>
      <c r="X123" s="36">
        <f t="shared" si="22"/>
        <v>10</v>
      </c>
      <c r="Y123" s="36">
        <f t="shared" si="23"/>
        <v>2.7272727272727271</v>
      </c>
      <c r="Z123" s="36">
        <v>21</v>
      </c>
      <c r="AA123" s="36">
        <v>1</v>
      </c>
      <c r="AB123" s="36">
        <v>1</v>
      </c>
      <c r="AC123" s="36">
        <v>1</v>
      </c>
      <c r="AD123" s="36">
        <f t="shared" si="24"/>
        <v>24</v>
      </c>
      <c r="AE123" s="36">
        <f t="shared" si="25"/>
        <v>6.5454545454545459</v>
      </c>
      <c r="AF123" s="36">
        <f t="shared" si="16"/>
        <v>68</v>
      </c>
      <c r="AG123" s="36">
        <f t="shared" si="16"/>
        <v>18.545454545454547</v>
      </c>
      <c r="AH123" s="36">
        <f t="shared" si="17"/>
        <v>98</v>
      </c>
      <c r="AI123" s="36">
        <f t="shared" si="17"/>
        <v>26.727272727272727</v>
      </c>
    </row>
    <row r="124" spans="1:35">
      <c r="A124" s="33" t="s">
        <v>318</v>
      </c>
      <c r="B124" s="33" t="s">
        <v>321</v>
      </c>
      <c r="C124" s="34" t="s">
        <v>327</v>
      </c>
      <c r="D124" s="34" t="str">
        <f t="shared" si="27"/>
        <v>M27AUSS22AFH.27D3601(D901)</v>
      </c>
      <c r="E124" s="33" t="s">
        <v>7</v>
      </c>
      <c r="F124" s="33" t="s">
        <v>7</v>
      </c>
      <c r="G124" s="48">
        <v>220</v>
      </c>
      <c r="H124" s="35">
        <v>25</v>
      </c>
      <c r="I124" s="36">
        <v>1</v>
      </c>
      <c r="J124" s="36">
        <v>1</v>
      </c>
      <c r="K124" s="36">
        <v>3</v>
      </c>
      <c r="L124" s="36">
        <f t="shared" si="18"/>
        <v>30</v>
      </c>
      <c r="M124" s="36">
        <f t="shared" si="19"/>
        <v>8.1818181818181817</v>
      </c>
      <c r="N124" s="36">
        <v>29</v>
      </c>
      <c r="O124" s="36">
        <v>1</v>
      </c>
      <c r="P124" s="36">
        <v>1</v>
      </c>
      <c r="Q124" s="36">
        <v>1</v>
      </c>
      <c r="R124" s="36">
        <v>2</v>
      </c>
      <c r="S124" s="36">
        <f t="shared" si="20"/>
        <v>34</v>
      </c>
      <c r="T124" s="36">
        <f t="shared" si="21"/>
        <v>9.2727272727272734</v>
      </c>
      <c r="U124" s="36">
        <v>8</v>
      </c>
      <c r="V124" s="36">
        <v>1</v>
      </c>
      <c r="W124" s="36">
        <v>1</v>
      </c>
      <c r="X124" s="36">
        <f t="shared" si="22"/>
        <v>10</v>
      </c>
      <c r="Y124" s="36">
        <f t="shared" si="23"/>
        <v>2.7272727272727271</v>
      </c>
      <c r="Z124" s="36">
        <v>21</v>
      </c>
      <c r="AA124" s="36">
        <v>1</v>
      </c>
      <c r="AB124" s="36">
        <v>1</v>
      </c>
      <c r="AC124" s="36">
        <v>1</v>
      </c>
      <c r="AD124" s="36">
        <f t="shared" si="24"/>
        <v>24</v>
      </c>
      <c r="AE124" s="36">
        <f t="shared" si="25"/>
        <v>6.5454545454545459</v>
      </c>
      <c r="AF124" s="36">
        <f t="shared" si="16"/>
        <v>68</v>
      </c>
      <c r="AG124" s="36">
        <f t="shared" si="16"/>
        <v>18.545454545454547</v>
      </c>
      <c r="AH124" s="36">
        <f t="shared" si="17"/>
        <v>98</v>
      </c>
      <c r="AI124" s="36">
        <f t="shared" si="17"/>
        <v>26.727272727272727</v>
      </c>
    </row>
    <row r="125" spans="1:35">
      <c r="A125" s="33" t="s">
        <v>319</v>
      </c>
      <c r="B125" s="33" t="s">
        <v>321</v>
      </c>
      <c r="C125" s="34" t="s">
        <v>87</v>
      </c>
      <c r="D125" s="34" t="str">
        <f t="shared" si="27"/>
        <v>M27AUSS22AF-.27D3602(D901)</v>
      </c>
      <c r="E125" s="33" t="s">
        <v>7</v>
      </c>
      <c r="F125" s="33" t="s">
        <v>7</v>
      </c>
      <c r="G125" s="48">
        <v>220</v>
      </c>
      <c r="H125" s="35">
        <v>25</v>
      </c>
      <c r="I125" s="36">
        <v>1</v>
      </c>
      <c r="J125" s="36">
        <v>1</v>
      </c>
      <c r="K125" s="36">
        <v>3</v>
      </c>
      <c r="L125" s="36">
        <f t="shared" si="18"/>
        <v>30</v>
      </c>
      <c r="M125" s="36">
        <f t="shared" si="19"/>
        <v>8.1818181818181817</v>
      </c>
      <c r="N125" s="36">
        <v>29</v>
      </c>
      <c r="O125" s="36">
        <v>1</v>
      </c>
      <c r="P125" s="36">
        <v>1</v>
      </c>
      <c r="Q125" s="36">
        <v>1</v>
      </c>
      <c r="R125" s="36">
        <v>2</v>
      </c>
      <c r="S125" s="36">
        <f t="shared" si="20"/>
        <v>34</v>
      </c>
      <c r="T125" s="36">
        <f t="shared" si="21"/>
        <v>9.2727272727272734</v>
      </c>
      <c r="U125" s="36">
        <v>8</v>
      </c>
      <c r="V125" s="36">
        <v>1</v>
      </c>
      <c r="W125" s="36">
        <v>1</v>
      </c>
      <c r="X125" s="36">
        <f t="shared" si="22"/>
        <v>10</v>
      </c>
      <c r="Y125" s="36">
        <f t="shared" si="23"/>
        <v>2.7272727272727271</v>
      </c>
      <c r="Z125" s="36">
        <v>21</v>
      </c>
      <c r="AA125" s="36">
        <v>1</v>
      </c>
      <c r="AB125" s="36">
        <v>1</v>
      </c>
      <c r="AC125" s="36">
        <v>1</v>
      </c>
      <c r="AD125" s="36">
        <f t="shared" si="24"/>
        <v>24</v>
      </c>
      <c r="AE125" s="36">
        <f t="shared" si="25"/>
        <v>6.5454545454545459</v>
      </c>
      <c r="AF125" s="36">
        <f t="shared" si="16"/>
        <v>68</v>
      </c>
      <c r="AG125" s="36">
        <f t="shared" si="16"/>
        <v>18.545454545454547</v>
      </c>
      <c r="AH125" s="36">
        <f t="shared" si="17"/>
        <v>98</v>
      </c>
      <c r="AI125" s="36">
        <f t="shared" si="17"/>
        <v>26.727272727272727</v>
      </c>
    </row>
    <row r="126" spans="1:35">
      <c r="A126" s="33" t="s">
        <v>308</v>
      </c>
      <c r="B126" s="33" t="s">
        <v>321</v>
      </c>
      <c r="C126" s="34" t="s">
        <v>66</v>
      </c>
      <c r="D126" s="34" t="str">
        <f t="shared" si="27"/>
        <v>M27AUSS22AFH.27D3602(D901)</v>
      </c>
      <c r="E126" s="33" t="s">
        <v>7</v>
      </c>
      <c r="F126" s="33" t="s">
        <v>7</v>
      </c>
      <c r="G126" s="48">
        <v>220</v>
      </c>
      <c r="H126" s="35">
        <v>25</v>
      </c>
      <c r="I126" s="36">
        <v>1</v>
      </c>
      <c r="J126" s="36">
        <v>1</v>
      </c>
      <c r="K126" s="36">
        <v>3</v>
      </c>
      <c r="L126" s="36">
        <f t="shared" si="18"/>
        <v>30</v>
      </c>
      <c r="M126" s="36">
        <f t="shared" si="19"/>
        <v>8.1818181818181817</v>
      </c>
      <c r="N126" s="36">
        <v>29</v>
      </c>
      <c r="O126" s="36">
        <v>1</v>
      </c>
      <c r="P126" s="36">
        <v>1</v>
      </c>
      <c r="Q126" s="36">
        <v>1</v>
      </c>
      <c r="R126" s="36">
        <v>2</v>
      </c>
      <c r="S126" s="36">
        <f t="shared" si="20"/>
        <v>34</v>
      </c>
      <c r="T126" s="36">
        <f t="shared" si="21"/>
        <v>9.2727272727272734</v>
      </c>
      <c r="U126" s="36">
        <v>8</v>
      </c>
      <c r="V126" s="36">
        <v>1</v>
      </c>
      <c r="W126" s="36">
        <v>1</v>
      </c>
      <c r="X126" s="36">
        <f t="shared" si="22"/>
        <v>10</v>
      </c>
      <c r="Y126" s="36">
        <f t="shared" si="23"/>
        <v>2.7272727272727271</v>
      </c>
      <c r="Z126" s="36">
        <v>21</v>
      </c>
      <c r="AA126" s="36">
        <v>1</v>
      </c>
      <c r="AB126" s="36">
        <v>1</v>
      </c>
      <c r="AC126" s="36">
        <v>1</v>
      </c>
      <c r="AD126" s="36">
        <f t="shared" si="24"/>
        <v>24</v>
      </c>
      <c r="AE126" s="36">
        <f t="shared" si="25"/>
        <v>6.5454545454545459</v>
      </c>
      <c r="AF126" s="36">
        <f t="shared" si="16"/>
        <v>68</v>
      </c>
      <c r="AG126" s="36">
        <f t="shared" si="16"/>
        <v>18.545454545454547</v>
      </c>
      <c r="AH126" s="36">
        <f t="shared" si="17"/>
        <v>98</v>
      </c>
      <c r="AI126" s="36">
        <f t="shared" si="17"/>
        <v>26.727272727272727</v>
      </c>
    </row>
    <row r="127" spans="1:35">
      <c r="A127" s="33" t="s">
        <v>318</v>
      </c>
      <c r="B127" s="33" t="s">
        <v>321</v>
      </c>
      <c r="C127" s="34" t="s">
        <v>55</v>
      </c>
      <c r="D127" s="34" t="str">
        <f t="shared" si="27"/>
        <v>M27AUSS22AFH.27D3662(D901)</v>
      </c>
      <c r="E127" s="33" t="s">
        <v>7</v>
      </c>
      <c r="F127" s="33" t="s">
        <v>7</v>
      </c>
      <c r="G127" s="48">
        <v>220</v>
      </c>
      <c r="H127" s="35">
        <v>25</v>
      </c>
      <c r="I127" s="36">
        <v>1</v>
      </c>
      <c r="J127" s="36">
        <v>1</v>
      </c>
      <c r="K127" s="36">
        <v>3</v>
      </c>
      <c r="L127" s="36">
        <f t="shared" si="18"/>
        <v>30</v>
      </c>
      <c r="M127" s="36">
        <f t="shared" si="19"/>
        <v>8.1818181818181817</v>
      </c>
      <c r="N127" s="36">
        <v>29</v>
      </c>
      <c r="O127" s="36">
        <v>1</v>
      </c>
      <c r="P127" s="36">
        <v>1</v>
      </c>
      <c r="Q127" s="36">
        <v>1</v>
      </c>
      <c r="R127" s="36">
        <v>2</v>
      </c>
      <c r="S127" s="36">
        <f t="shared" si="20"/>
        <v>34</v>
      </c>
      <c r="T127" s="36">
        <f t="shared" si="21"/>
        <v>9.2727272727272734</v>
      </c>
      <c r="U127" s="36">
        <v>8</v>
      </c>
      <c r="V127" s="36">
        <v>1</v>
      </c>
      <c r="W127" s="36">
        <v>1</v>
      </c>
      <c r="X127" s="36">
        <f t="shared" si="22"/>
        <v>10</v>
      </c>
      <c r="Y127" s="36">
        <f t="shared" si="23"/>
        <v>2.7272727272727271</v>
      </c>
      <c r="Z127" s="36">
        <v>21</v>
      </c>
      <c r="AA127" s="36">
        <v>1</v>
      </c>
      <c r="AB127" s="36">
        <v>1</v>
      </c>
      <c r="AC127" s="36">
        <v>1</v>
      </c>
      <c r="AD127" s="36">
        <f t="shared" si="24"/>
        <v>24</v>
      </c>
      <c r="AE127" s="36">
        <f t="shared" si="25"/>
        <v>6.5454545454545459</v>
      </c>
      <c r="AF127" s="36">
        <f t="shared" si="16"/>
        <v>68</v>
      </c>
      <c r="AG127" s="36">
        <f t="shared" si="16"/>
        <v>18.545454545454547</v>
      </c>
      <c r="AH127" s="36">
        <f t="shared" si="17"/>
        <v>98</v>
      </c>
      <c r="AI127" s="36">
        <f t="shared" si="17"/>
        <v>26.727272727272727</v>
      </c>
    </row>
    <row r="128" spans="1:35">
      <c r="A128" s="33" t="s">
        <v>318</v>
      </c>
      <c r="B128" s="33" t="s">
        <v>321</v>
      </c>
      <c r="C128" s="34" t="s">
        <v>328</v>
      </c>
      <c r="D128" s="34" t="str">
        <f t="shared" si="27"/>
        <v>M27CLSS22AFH.27D3601(D901)</v>
      </c>
      <c r="E128" s="33" t="s">
        <v>7</v>
      </c>
      <c r="F128" s="33" t="s">
        <v>7</v>
      </c>
      <c r="G128" s="48">
        <v>220</v>
      </c>
      <c r="H128" s="35">
        <v>25</v>
      </c>
      <c r="I128" s="36">
        <v>1</v>
      </c>
      <c r="J128" s="36">
        <v>1</v>
      </c>
      <c r="K128" s="36">
        <v>3</v>
      </c>
      <c r="L128" s="36">
        <f t="shared" si="18"/>
        <v>30</v>
      </c>
      <c r="M128" s="36">
        <f t="shared" si="19"/>
        <v>8.1818181818181817</v>
      </c>
      <c r="N128" s="36">
        <v>29</v>
      </c>
      <c r="O128" s="36">
        <v>1</v>
      </c>
      <c r="P128" s="36">
        <v>1</v>
      </c>
      <c r="Q128" s="36">
        <v>1</v>
      </c>
      <c r="R128" s="36">
        <v>2</v>
      </c>
      <c r="S128" s="36">
        <f t="shared" si="20"/>
        <v>34</v>
      </c>
      <c r="T128" s="36">
        <f t="shared" si="21"/>
        <v>9.2727272727272734</v>
      </c>
      <c r="U128" s="36">
        <v>8</v>
      </c>
      <c r="V128" s="36">
        <v>1</v>
      </c>
      <c r="W128" s="36">
        <v>1</v>
      </c>
      <c r="X128" s="36">
        <f t="shared" si="22"/>
        <v>10</v>
      </c>
      <c r="Y128" s="36">
        <f t="shared" si="23"/>
        <v>2.7272727272727271</v>
      </c>
      <c r="Z128" s="36">
        <v>21</v>
      </c>
      <c r="AA128" s="36">
        <v>1</v>
      </c>
      <c r="AB128" s="36">
        <v>1</v>
      </c>
      <c r="AC128" s="36">
        <v>1</v>
      </c>
      <c r="AD128" s="36">
        <f t="shared" si="24"/>
        <v>24</v>
      </c>
      <c r="AE128" s="36">
        <f t="shared" si="25"/>
        <v>6.5454545454545459</v>
      </c>
      <c r="AF128" s="36">
        <f t="shared" si="16"/>
        <v>68</v>
      </c>
      <c r="AG128" s="36">
        <f t="shared" si="16"/>
        <v>18.545454545454547</v>
      </c>
      <c r="AH128" s="36">
        <f t="shared" si="17"/>
        <v>98</v>
      </c>
      <c r="AI128" s="36">
        <f t="shared" si="17"/>
        <v>26.727272727272727</v>
      </c>
    </row>
    <row r="129" spans="1:35">
      <c r="A129" s="33" t="s">
        <v>308</v>
      </c>
      <c r="B129" s="33" t="s">
        <v>321</v>
      </c>
      <c r="C129" s="34" t="s">
        <v>69</v>
      </c>
      <c r="D129" s="34" t="str">
        <f t="shared" si="27"/>
        <v>M27CLSS22AFH.27D3602(D901)</v>
      </c>
      <c r="E129" s="33" t="s">
        <v>7</v>
      </c>
      <c r="F129" s="33" t="s">
        <v>7</v>
      </c>
      <c r="G129" s="48">
        <v>220</v>
      </c>
      <c r="H129" s="35">
        <v>25</v>
      </c>
      <c r="I129" s="36">
        <v>1</v>
      </c>
      <c r="J129" s="36">
        <v>1</v>
      </c>
      <c r="K129" s="36">
        <v>3</v>
      </c>
      <c r="L129" s="36">
        <f t="shared" si="18"/>
        <v>30</v>
      </c>
      <c r="M129" s="36">
        <f t="shared" si="19"/>
        <v>8.1818181818181817</v>
      </c>
      <c r="N129" s="36">
        <v>29</v>
      </c>
      <c r="O129" s="36">
        <v>1</v>
      </c>
      <c r="P129" s="36">
        <v>1</v>
      </c>
      <c r="Q129" s="36">
        <v>1</v>
      </c>
      <c r="R129" s="36">
        <v>2</v>
      </c>
      <c r="S129" s="36">
        <f t="shared" si="20"/>
        <v>34</v>
      </c>
      <c r="T129" s="36">
        <f t="shared" si="21"/>
        <v>9.2727272727272734</v>
      </c>
      <c r="U129" s="36">
        <v>8</v>
      </c>
      <c r="V129" s="36">
        <v>1</v>
      </c>
      <c r="W129" s="36">
        <v>1</v>
      </c>
      <c r="X129" s="36">
        <f t="shared" si="22"/>
        <v>10</v>
      </c>
      <c r="Y129" s="36">
        <f t="shared" si="23"/>
        <v>2.7272727272727271</v>
      </c>
      <c r="Z129" s="36">
        <v>21</v>
      </c>
      <c r="AA129" s="36">
        <v>1</v>
      </c>
      <c r="AB129" s="36">
        <v>1</v>
      </c>
      <c r="AC129" s="36">
        <v>1</v>
      </c>
      <c r="AD129" s="36">
        <f t="shared" si="24"/>
        <v>24</v>
      </c>
      <c r="AE129" s="36">
        <f t="shared" si="25"/>
        <v>6.5454545454545459</v>
      </c>
      <c r="AF129" s="36">
        <f t="shared" si="16"/>
        <v>68</v>
      </c>
      <c r="AG129" s="36">
        <f t="shared" si="16"/>
        <v>18.545454545454547</v>
      </c>
      <c r="AH129" s="36">
        <f t="shared" si="17"/>
        <v>98</v>
      </c>
      <c r="AI129" s="36">
        <f t="shared" si="17"/>
        <v>26.727272727272727</v>
      </c>
    </row>
    <row r="130" spans="1:35">
      <c r="A130" s="33" t="s">
        <v>308</v>
      </c>
      <c r="B130" s="33" t="s">
        <v>321</v>
      </c>
      <c r="C130" s="34" t="s">
        <v>56</v>
      </c>
      <c r="D130" s="34" t="str">
        <f t="shared" si="27"/>
        <v>M27CLSS22AFH.27D3662(D901)</v>
      </c>
      <c r="E130" s="33" t="s">
        <v>7</v>
      </c>
      <c r="F130" s="33" t="s">
        <v>7</v>
      </c>
      <c r="G130" s="48">
        <v>220</v>
      </c>
      <c r="H130" s="35">
        <v>25</v>
      </c>
      <c r="I130" s="36">
        <v>1</v>
      </c>
      <c r="J130" s="36">
        <v>1</v>
      </c>
      <c r="K130" s="36">
        <v>3</v>
      </c>
      <c r="L130" s="36">
        <f t="shared" si="18"/>
        <v>30</v>
      </c>
      <c r="M130" s="36">
        <f t="shared" si="19"/>
        <v>8.1818181818181817</v>
      </c>
      <c r="N130" s="36">
        <v>29</v>
      </c>
      <c r="O130" s="36">
        <v>1</v>
      </c>
      <c r="P130" s="36">
        <v>1</v>
      </c>
      <c r="Q130" s="36">
        <v>1</v>
      </c>
      <c r="R130" s="36">
        <v>2</v>
      </c>
      <c r="S130" s="36">
        <f t="shared" si="20"/>
        <v>34</v>
      </c>
      <c r="T130" s="36">
        <f t="shared" si="21"/>
        <v>9.2727272727272734</v>
      </c>
      <c r="U130" s="36">
        <v>8</v>
      </c>
      <c r="V130" s="36">
        <v>1</v>
      </c>
      <c r="W130" s="36">
        <v>1</v>
      </c>
      <c r="X130" s="36">
        <f t="shared" si="22"/>
        <v>10</v>
      </c>
      <c r="Y130" s="36">
        <f t="shared" si="23"/>
        <v>2.7272727272727271</v>
      </c>
      <c r="Z130" s="36">
        <v>21</v>
      </c>
      <c r="AA130" s="36">
        <v>1</v>
      </c>
      <c r="AB130" s="36">
        <v>1</v>
      </c>
      <c r="AC130" s="36">
        <v>1</v>
      </c>
      <c r="AD130" s="36">
        <f t="shared" si="24"/>
        <v>24</v>
      </c>
      <c r="AE130" s="36">
        <f t="shared" si="25"/>
        <v>6.5454545454545459</v>
      </c>
      <c r="AF130" s="36">
        <f t="shared" si="16"/>
        <v>68</v>
      </c>
      <c r="AG130" s="36">
        <f t="shared" si="16"/>
        <v>18.545454545454547</v>
      </c>
      <c r="AH130" s="36">
        <f t="shared" si="17"/>
        <v>98</v>
      </c>
      <c r="AI130" s="36">
        <f t="shared" si="17"/>
        <v>26.727272727272727</v>
      </c>
    </row>
    <row r="131" spans="1:35">
      <c r="A131" s="33" t="s">
        <v>319</v>
      </c>
      <c r="B131" s="33" t="s">
        <v>321</v>
      </c>
      <c r="C131" s="34" t="s">
        <v>329</v>
      </c>
      <c r="D131" s="34" t="str">
        <f t="shared" si="27"/>
        <v>M27USSS22AFH.27D3601(D901)</v>
      </c>
      <c r="E131" s="33" t="s">
        <v>7</v>
      </c>
      <c r="F131" s="33" t="s">
        <v>7</v>
      </c>
      <c r="G131" s="48">
        <v>220</v>
      </c>
      <c r="H131" s="35">
        <v>25</v>
      </c>
      <c r="I131" s="36">
        <v>1</v>
      </c>
      <c r="J131" s="36">
        <v>1</v>
      </c>
      <c r="K131" s="36">
        <v>3</v>
      </c>
      <c r="L131" s="36">
        <f t="shared" si="18"/>
        <v>30</v>
      </c>
      <c r="M131" s="36">
        <f t="shared" si="19"/>
        <v>8.1818181818181817</v>
      </c>
      <c r="N131" s="36">
        <v>29</v>
      </c>
      <c r="O131" s="36">
        <v>1</v>
      </c>
      <c r="P131" s="36">
        <v>1</v>
      </c>
      <c r="Q131" s="36">
        <v>1</v>
      </c>
      <c r="R131" s="36">
        <v>2</v>
      </c>
      <c r="S131" s="36">
        <f t="shared" si="20"/>
        <v>34</v>
      </c>
      <c r="T131" s="36">
        <f t="shared" si="21"/>
        <v>9.2727272727272734</v>
      </c>
      <c r="U131" s="36">
        <v>8</v>
      </c>
      <c r="V131" s="36">
        <v>1</v>
      </c>
      <c r="W131" s="36">
        <v>1</v>
      </c>
      <c r="X131" s="36">
        <f t="shared" si="22"/>
        <v>10</v>
      </c>
      <c r="Y131" s="36">
        <f t="shared" si="23"/>
        <v>2.7272727272727271</v>
      </c>
      <c r="Z131" s="36">
        <v>21</v>
      </c>
      <c r="AA131" s="36">
        <v>1</v>
      </c>
      <c r="AB131" s="36">
        <v>1</v>
      </c>
      <c r="AC131" s="36">
        <v>1</v>
      </c>
      <c r="AD131" s="36">
        <f t="shared" si="24"/>
        <v>24</v>
      </c>
      <c r="AE131" s="36">
        <f t="shared" si="25"/>
        <v>6.5454545454545459</v>
      </c>
      <c r="AF131" s="36">
        <f t="shared" si="16"/>
        <v>68</v>
      </c>
      <c r="AG131" s="36">
        <f t="shared" si="16"/>
        <v>18.545454545454547</v>
      </c>
      <c r="AH131" s="36">
        <f t="shared" si="17"/>
        <v>98</v>
      </c>
      <c r="AI131" s="36">
        <f t="shared" si="17"/>
        <v>26.727272727272727</v>
      </c>
    </row>
    <row r="132" spans="1:35">
      <c r="A132" s="33" t="s">
        <v>319</v>
      </c>
      <c r="B132" s="33" t="s">
        <v>321</v>
      </c>
      <c r="C132" s="34" t="s">
        <v>330</v>
      </c>
      <c r="D132" s="34" t="str">
        <f t="shared" si="27"/>
        <v>M27USSS22AFH.27D3602(D901)</v>
      </c>
      <c r="E132" s="33" t="s">
        <v>7</v>
      </c>
      <c r="F132" s="33" t="s">
        <v>7</v>
      </c>
      <c r="G132" s="48">
        <v>220</v>
      </c>
      <c r="H132" s="35">
        <v>25</v>
      </c>
      <c r="I132" s="36">
        <v>1</v>
      </c>
      <c r="J132" s="36">
        <v>1</v>
      </c>
      <c r="K132" s="36">
        <v>3</v>
      </c>
      <c r="L132" s="36">
        <f t="shared" si="18"/>
        <v>30</v>
      </c>
      <c r="M132" s="36">
        <f t="shared" si="19"/>
        <v>8.1818181818181817</v>
      </c>
      <c r="N132" s="36">
        <v>29</v>
      </c>
      <c r="O132" s="36">
        <v>1</v>
      </c>
      <c r="P132" s="36">
        <v>1</v>
      </c>
      <c r="Q132" s="36">
        <v>1</v>
      </c>
      <c r="R132" s="36">
        <v>2</v>
      </c>
      <c r="S132" s="36">
        <f t="shared" si="20"/>
        <v>34</v>
      </c>
      <c r="T132" s="36">
        <f t="shared" si="21"/>
        <v>9.2727272727272734</v>
      </c>
      <c r="U132" s="36">
        <v>8</v>
      </c>
      <c r="V132" s="36">
        <v>1</v>
      </c>
      <c r="W132" s="36">
        <v>1</v>
      </c>
      <c r="X132" s="36">
        <f t="shared" si="22"/>
        <v>10</v>
      </c>
      <c r="Y132" s="36">
        <f t="shared" si="23"/>
        <v>2.7272727272727271</v>
      </c>
      <c r="Z132" s="36">
        <v>21</v>
      </c>
      <c r="AA132" s="36">
        <v>1</v>
      </c>
      <c r="AB132" s="36">
        <v>1</v>
      </c>
      <c r="AC132" s="36">
        <v>1</v>
      </c>
      <c r="AD132" s="36">
        <f t="shared" si="24"/>
        <v>24</v>
      </c>
      <c r="AE132" s="36">
        <f t="shared" si="25"/>
        <v>6.5454545454545459</v>
      </c>
      <c r="AF132" s="36">
        <f t="shared" si="16"/>
        <v>68</v>
      </c>
      <c r="AG132" s="36">
        <f t="shared" si="16"/>
        <v>18.545454545454547</v>
      </c>
      <c r="AH132" s="36">
        <f t="shared" si="17"/>
        <v>98</v>
      </c>
      <c r="AI132" s="36">
        <f t="shared" si="17"/>
        <v>26.727272727272727</v>
      </c>
    </row>
    <row r="133" spans="1:35">
      <c r="A133" s="33" t="s">
        <v>319</v>
      </c>
      <c r="B133" s="33" t="s">
        <v>321</v>
      </c>
      <c r="C133" s="34" t="s">
        <v>331</v>
      </c>
      <c r="D133" s="34" t="str">
        <f t="shared" si="27"/>
        <v>M27USSS22AFH.27D3622(D901)</v>
      </c>
      <c r="E133" s="33" t="s">
        <v>7</v>
      </c>
      <c r="F133" s="33" t="s">
        <v>7</v>
      </c>
      <c r="G133" s="48">
        <v>220</v>
      </c>
      <c r="H133" s="35">
        <v>25</v>
      </c>
      <c r="I133" s="36">
        <v>1</v>
      </c>
      <c r="J133" s="36">
        <v>1</v>
      </c>
      <c r="K133" s="36">
        <v>3</v>
      </c>
      <c r="L133" s="36">
        <f t="shared" si="18"/>
        <v>30</v>
      </c>
      <c r="M133" s="36">
        <f t="shared" si="19"/>
        <v>8.1818181818181817</v>
      </c>
      <c r="N133" s="36">
        <v>29</v>
      </c>
      <c r="O133" s="36">
        <v>1</v>
      </c>
      <c r="P133" s="36">
        <v>1</v>
      </c>
      <c r="Q133" s="36">
        <v>1</v>
      </c>
      <c r="R133" s="36">
        <v>2</v>
      </c>
      <c r="S133" s="36">
        <f t="shared" si="20"/>
        <v>34</v>
      </c>
      <c r="T133" s="36">
        <f t="shared" si="21"/>
        <v>9.2727272727272734</v>
      </c>
      <c r="U133" s="36">
        <v>8</v>
      </c>
      <c r="V133" s="36">
        <v>1</v>
      </c>
      <c r="W133" s="36">
        <v>1</v>
      </c>
      <c r="X133" s="36">
        <f t="shared" si="22"/>
        <v>10</v>
      </c>
      <c r="Y133" s="36">
        <f t="shared" si="23"/>
        <v>2.7272727272727271</v>
      </c>
      <c r="Z133" s="36">
        <v>21</v>
      </c>
      <c r="AA133" s="36">
        <v>1</v>
      </c>
      <c r="AB133" s="36">
        <v>1</v>
      </c>
      <c r="AC133" s="36">
        <v>1</v>
      </c>
      <c r="AD133" s="36">
        <f t="shared" si="24"/>
        <v>24</v>
      </c>
      <c r="AE133" s="36">
        <f t="shared" si="25"/>
        <v>6.5454545454545459</v>
      </c>
      <c r="AF133" s="36">
        <f t="shared" si="16"/>
        <v>68</v>
      </c>
      <c r="AG133" s="36">
        <f t="shared" si="16"/>
        <v>18.545454545454547</v>
      </c>
      <c r="AH133" s="36">
        <f t="shared" si="17"/>
        <v>98</v>
      </c>
      <c r="AI133" s="36">
        <f t="shared" si="17"/>
        <v>26.727272727272727</v>
      </c>
    </row>
    <row r="134" spans="1:35">
      <c r="A134" s="33" t="s">
        <v>318</v>
      </c>
      <c r="B134" s="33" t="s">
        <v>321</v>
      </c>
      <c r="C134" s="34" t="s">
        <v>332</v>
      </c>
      <c r="D134" s="34" t="str">
        <f t="shared" si="27"/>
        <v>M27USSS22AFH.27D3661(D901)</v>
      </c>
      <c r="E134" s="33" t="s">
        <v>7</v>
      </c>
      <c r="F134" s="33" t="s">
        <v>7</v>
      </c>
      <c r="G134" s="48">
        <v>220</v>
      </c>
      <c r="H134" s="35">
        <v>25</v>
      </c>
      <c r="I134" s="36">
        <v>1</v>
      </c>
      <c r="J134" s="36">
        <v>1</v>
      </c>
      <c r="K134" s="36">
        <v>3</v>
      </c>
      <c r="L134" s="36">
        <f t="shared" si="18"/>
        <v>30</v>
      </c>
      <c r="M134" s="36">
        <f t="shared" si="19"/>
        <v>8.1818181818181817</v>
      </c>
      <c r="N134" s="36">
        <v>29</v>
      </c>
      <c r="O134" s="36">
        <v>1</v>
      </c>
      <c r="P134" s="36">
        <v>1</v>
      </c>
      <c r="Q134" s="36">
        <v>1</v>
      </c>
      <c r="R134" s="36">
        <v>2</v>
      </c>
      <c r="S134" s="36">
        <f t="shared" si="20"/>
        <v>34</v>
      </c>
      <c r="T134" s="36">
        <f t="shared" si="21"/>
        <v>9.2727272727272734</v>
      </c>
      <c r="U134" s="36">
        <v>8</v>
      </c>
      <c r="V134" s="36">
        <v>1</v>
      </c>
      <c r="W134" s="36">
        <v>1</v>
      </c>
      <c r="X134" s="36">
        <f t="shared" si="22"/>
        <v>10</v>
      </c>
      <c r="Y134" s="36">
        <f t="shared" si="23"/>
        <v>2.7272727272727271</v>
      </c>
      <c r="Z134" s="36">
        <v>21</v>
      </c>
      <c r="AA134" s="36">
        <v>1</v>
      </c>
      <c r="AB134" s="36">
        <v>1</v>
      </c>
      <c r="AC134" s="36">
        <v>1</v>
      </c>
      <c r="AD134" s="36">
        <f t="shared" si="24"/>
        <v>24</v>
      </c>
      <c r="AE134" s="36">
        <f t="shared" si="25"/>
        <v>6.5454545454545459</v>
      </c>
      <c r="AF134" s="36">
        <f t="shared" si="16"/>
        <v>68</v>
      </c>
      <c r="AG134" s="36">
        <f t="shared" si="16"/>
        <v>18.545454545454547</v>
      </c>
      <c r="AH134" s="36">
        <f t="shared" si="17"/>
        <v>98</v>
      </c>
      <c r="AI134" s="36">
        <f t="shared" si="17"/>
        <v>26.727272727272727</v>
      </c>
    </row>
    <row r="135" spans="1:35">
      <c r="A135" s="33" t="s">
        <v>308</v>
      </c>
      <c r="B135" s="33" t="s">
        <v>321</v>
      </c>
      <c r="C135" s="34" t="s">
        <v>68</v>
      </c>
      <c r="D135" s="34" t="str">
        <f t="shared" si="27"/>
        <v>M27USSS22AFH.27D3662(D901)</v>
      </c>
      <c r="E135" s="33" t="s">
        <v>7</v>
      </c>
      <c r="F135" s="33" t="s">
        <v>7</v>
      </c>
      <c r="G135" s="48">
        <v>220</v>
      </c>
      <c r="H135" s="35">
        <v>25</v>
      </c>
      <c r="I135" s="36">
        <v>1</v>
      </c>
      <c r="J135" s="36">
        <v>1</v>
      </c>
      <c r="K135" s="36">
        <v>3</v>
      </c>
      <c r="L135" s="36">
        <f t="shared" ref="L135:L190" si="28">SUM(H135:K135)</f>
        <v>30</v>
      </c>
      <c r="M135" s="36">
        <f t="shared" ref="M135:M190" si="29">60*L135/G135</f>
        <v>8.1818181818181817</v>
      </c>
      <c r="N135" s="36">
        <v>29</v>
      </c>
      <c r="O135" s="36">
        <v>1</v>
      </c>
      <c r="P135" s="36">
        <v>1</v>
      </c>
      <c r="Q135" s="36">
        <v>1</v>
      </c>
      <c r="R135" s="36">
        <v>2</v>
      </c>
      <c r="S135" s="36">
        <f t="shared" ref="S135:S190" si="30">SUM(N135:R135)</f>
        <v>34</v>
      </c>
      <c r="T135" s="36">
        <f t="shared" ref="T135:T190" si="31">60*S135/G135</f>
        <v>9.2727272727272734</v>
      </c>
      <c r="U135" s="36">
        <v>8</v>
      </c>
      <c r="V135" s="36">
        <v>1</v>
      </c>
      <c r="W135" s="36">
        <v>1</v>
      </c>
      <c r="X135" s="36">
        <f t="shared" ref="X135:X190" si="32">SUM(U135:W135)</f>
        <v>10</v>
      </c>
      <c r="Y135" s="36">
        <f t="shared" ref="Y135:Y190" si="33">60*X135/G135</f>
        <v>2.7272727272727271</v>
      </c>
      <c r="Z135" s="36">
        <v>21</v>
      </c>
      <c r="AA135" s="36">
        <v>1</v>
      </c>
      <c r="AB135" s="36">
        <v>1</v>
      </c>
      <c r="AC135" s="36">
        <v>1</v>
      </c>
      <c r="AD135" s="36">
        <f t="shared" ref="AD135:AD190" si="34">SUM(Z135:AC135)</f>
        <v>24</v>
      </c>
      <c r="AE135" s="36">
        <f t="shared" ref="AE135:AE190" si="35">60*AD135/G135</f>
        <v>6.5454545454545459</v>
      </c>
      <c r="AF135" s="36">
        <f t="shared" si="16"/>
        <v>68</v>
      </c>
      <c r="AG135" s="36">
        <f t="shared" si="16"/>
        <v>18.545454545454547</v>
      </c>
      <c r="AH135" s="36">
        <f t="shared" si="17"/>
        <v>98</v>
      </c>
      <c r="AI135" s="36">
        <f t="shared" si="17"/>
        <v>26.727272727272727</v>
      </c>
    </row>
    <row r="136" spans="1:35">
      <c r="A136" s="33" t="s">
        <v>308</v>
      </c>
      <c r="B136" s="33" t="s">
        <v>321</v>
      </c>
      <c r="C136" s="34" t="s">
        <v>181</v>
      </c>
      <c r="D136" s="34" t="str">
        <f t="shared" si="27"/>
        <v>M27USSS22AFH.27D3682(D901)</v>
      </c>
      <c r="E136" s="33" t="s">
        <v>7</v>
      </c>
      <c r="F136" s="33" t="s">
        <v>7</v>
      </c>
      <c r="G136" s="48">
        <v>220</v>
      </c>
      <c r="H136" s="35">
        <v>25</v>
      </c>
      <c r="I136" s="36">
        <v>1</v>
      </c>
      <c r="J136" s="36">
        <v>1</v>
      </c>
      <c r="K136" s="36">
        <v>3</v>
      </c>
      <c r="L136" s="36">
        <f t="shared" si="28"/>
        <v>30</v>
      </c>
      <c r="M136" s="36">
        <f t="shared" si="29"/>
        <v>8.1818181818181817</v>
      </c>
      <c r="N136" s="36">
        <v>29</v>
      </c>
      <c r="O136" s="36">
        <v>1</v>
      </c>
      <c r="P136" s="36">
        <v>1</v>
      </c>
      <c r="Q136" s="36">
        <v>1</v>
      </c>
      <c r="R136" s="36">
        <v>2</v>
      </c>
      <c r="S136" s="36">
        <f t="shared" si="30"/>
        <v>34</v>
      </c>
      <c r="T136" s="36">
        <f t="shared" si="31"/>
        <v>9.2727272727272734</v>
      </c>
      <c r="U136" s="36">
        <v>8</v>
      </c>
      <c r="V136" s="36">
        <v>1</v>
      </c>
      <c r="W136" s="36">
        <v>1</v>
      </c>
      <c r="X136" s="36">
        <f t="shared" si="32"/>
        <v>10</v>
      </c>
      <c r="Y136" s="36">
        <f t="shared" si="33"/>
        <v>2.7272727272727271</v>
      </c>
      <c r="Z136" s="36">
        <v>21</v>
      </c>
      <c r="AA136" s="36">
        <v>1</v>
      </c>
      <c r="AB136" s="36">
        <v>1</v>
      </c>
      <c r="AC136" s="36">
        <v>1</v>
      </c>
      <c r="AD136" s="36">
        <f t="shared" si="34"/>
        <v>24</v>
      </c>
      <c r="AE136" s="36">
        <f t="shared" si="35"/>
        <v>6.5454545454545459</v>
      </c>
      <c r="AF136" s="36">
        <f t="shared" si="16"/>
        <v>68</v>
      </c>
      <c r="AG136" s="36">
        <f t="shared" si="16"/>
        <v>18.545454545454547</v>
      </c>
      <c r="AH136" s="36">
        <f t="shared" si="17"/>
        <v>98</v>
      </c>
      <c r="AI136" s="36">
        <f t="shared" si="17"/>
        <v>26.727272727272727</v>
      </c>
    </row>
    <row r="137" spans="1:35">
      <c r="A137" s="33" t="s">
        <v>317</v>
      </c>
      <c r="B137" s="33" t="s">
        <v>321</v>
      </c>
      <c r="C137" s="34" t="s">
        <v>333</v>
      </c>
      <c r="D137" s="34" t="str">
        <f t="shared" si="27"/>
        <v>M27USSS22AFH.27D36C2(D901)</v>
      </c>
      <c r="E137" s="33" t="s">
        <v>7</v>
      </c>
      <c r="F137" s="33" t="s">
        <v>7</v>
      </c>
      <c r="G137" s="48">
        <v>220</v>
      </c>
      <c r="H137" s="35">
        <v>25</v>
      </c>
      <c r="I137" s="36">
        <v>1</v>
      </c>
      <c r="J137" s="36">
        <v>1</v>
      </c>
      <c r="K137" s="36">
        <v>3</v>
      </c>
      <c r="L137" s="36">
        <f t="shared" si="28"/>
        <v>30</v>
      </c>
      <c r="M137" s="36">
        <f t="shared" si="29"/>
        <v>8.1818181818181817</v>
      </c>
      <c r="N137" s="36">
        <v>29</v>
      </c>
      <c r="O137" s="36">
        <v>1</v>
      </c>
      <c r="P137" s="36">
        <v>1</v>
      </c>
      <c r="Q137" s="36">
        <v>1</v>
      </c>
      <c r="R137" s="36">
        <v>2</v>
      </c>
      <c r="S137" s="36">
        <f t="shared" si="30"/>
        <v>34</v>
      </c>
      <c r="T137" s="36">
        <f t="shared" si="31"/>
        <v>9.2727272727272734</v>
      </c>
      <c r="U137" s="36">
        <v>8</v>
      </c>
      <c r="V137" s="36">
        <v>1</v>
      </c>
      <c r="W137" s="36">
        <v>1</v>
      </c>
      <c r="X137" s="36">
        <f t="shared" si="32"/>
        <v>10</v>
      </c>
      <c r="Y137" s="36">
        <f t="shared" si="33"/>
        <v>2.7272727272727271</v>
      </c>
      <c r="Z137" s="36">
        <v>21</v>
      </c>
      <c r="AA137" s="36">
        <v>1</v>
      </c>
      <c r="AB137" s="36">
        <v>1</v>
      </c>
      <c r="AC137" s="36">
        <v>1</v>
      </c>
      <c r="AD137" s="36">
        <f t="shared" si="34"/>
        <v>24</v>
      </c>
      <c r="AE137" s="36">
        <f t="shared" si="35"/>
        <v>6.5454545454545459</v>
      </c>
      <c r="AF137" s="36">
        <f t="shared" si="16"/>
        <v>68</v>
      </c>
      <c r="AG137" s="36">
        <f t="shared" si="16"/>
        <v>18.545454545454547</v>
      </c>
      <c r="AH137" s="36">
        <f t="shared" si="17"/>
        <v>98</v>
      </c>
      <c r="AI137" s="36">
        <f t="shared" si="17"/>
        <v>26.727272727272727</v>
      </c>
    </row>
    <row r="138" spans="1:35">
      <c r="A138" s="33" t="s">
        <v>308</v>
      </c>
      <c r="B138" s="33" t="s">
        <v>321</v>
      </c>
      <c r="C138" s="34" t="s">
        <v>180</v>
      </c>
      <c r="D138" s="34" t="str">
        <f t="shared" si="27"/>
        <v>M27USSS22AFH.27D36D2(D901)</v>
      </c>
      <c r="E138" s="33" t="s">
        <v>7</v>
      </c>
      <c r="F138" s="33" t="s">
        <v>7</v>
      </c>
      <c r="G138" s="48">
        <v>220</v>
      </c>
      <c r="H138" s="35">
        <v>25</v>
      </c>
      <c r="I138" s="36">
        <v>1</v>
      </c>
      <c r="J138" s="36">
        <v>1</v>
      </c>
      <c r="K138" s="36">
        <v>3</v>
      </c>
      <c r="L138" s="36">
        <f t="shared" si="28"/>
        <v>30</v>
      </c>
      <c r="M138" s="36">
        <f t="shared" si="29"/>
        <v>8.1818181818181817</v>
      </c>
      <c r="N138" s="36">
        <v>29</v>
      </c>
      <c r="O138" s="36">
        <v>1</v>
      </c>
      <c r="P138" s="36">
        <v>1</v>
      </c>
      <c r="Q138" s="36">
        <v>1</v>
      </c>
      <c r="R138" s="36">
        <v>2</v>
      </c>
      <c r="S138" s="36">
        <f t="shared" si="30"/>
        <v>34</v>
      </c>
      <c r="T138" s="36">
        <f t="shared" si="31"/>
        <v>9.2727272727272734</v>
      </c>
      <c r="U138" s="36">
        <v>8</v>
      </c>
      <c r="V138" s="36">
        <v>1</v>
      </c>
      <c r="W138" s="36">
        <v>1</v>
      </c>
      <c r="X138" s="36">
        <f t="shared" si="32"/>
        <v>10</v>
      </c>
      <c r="Y138" s="36">
        <f t="shared" si="33"/>
        <v>2.7272727272727271</v>
      </c>
      <c r="Z138" s="36">
        <v>21</v>
      </c>
      <c r="AA138" s="36">
        <v>1</v>
      </c>
      <c r="AB138" s="36">
        <v>1</v>
      </c>
      <c r="AC138" s="36">
        <v>1</v>
      </c>
      <c r="AD138" s="36">
        <f t="shared" si="34"/>
        <v>24</v>
      </c>
      <c r="AE138" s="36">
        <f t="shared" si="35"/>
        <v>6.5454545454545459</v>
      </c>
      <c r="AF138" s="36">
        <f t="shared" si="16"/>
        <v>68</v>
      </c>
      <c r="AG138" s="36">
        <f t="shared" si="16"/>
        <v>18.545454545454547</v>
      </c>
      <c r="AH138" s="36">
        <f t="shared" si="17"/>
        <v>98</v>
      </c>
      <c r="AI138" s="36">
        <f t="shared" si="17"/>
        <v>26.727272727272727</v>
      </c>
    </row>
    <row r="139" spans="1:35">
      <c r="A139" s="33" t="s">
        <v>317</v>
      </c>
      <c r="B139" s="33" t="s">
        <v>321</v>
      </c>
      <c r="C139" s="34" t="s">
        <v>334</v>
      </c>
      <c r="D139" s="34" t="str">
        <f t="shared" si="27"/>
        <v>M27AESS22AFH.27D3621(D901)</v>
      </c>
      <c r="E139" s="33" t="s">
        <v>7</v>
      </c>
      <c r="F139" s="33" t="s">
        <v>7</v>
      </c>
      <c r="G139" s="48">
        <v>220</v>
      </c>
      <c r="H139" s="35">
        <v>25</v>
      </c>
      <c r="I139" s="36">
        <v>1</v>
      </c>
      <c r="J139" s="36">
        <v>1</v>
      </c>
      <c r="K139" s="36">
        <v>3</v>
      </c>
      <c r="L139" s="36">
        <f t="shared" si="28"/>
        <v>30</v>
      </c>
      <c r="M139" s="36">
        <f t="shared" si="29"/>
        <v>8.1818181818181817</v>
      </c>
      <c r="N139" s="36">
        <v>29</v>
      </c>
      <c r="O139" s="36">
        <v>1</v>
      </c>
      <c r="P139" s="36">
        <v>1</v>
      </c>
      <c r="Q139" s="36">
        <v>1</v>
      </c>
      <c r="R139" s="36">
        <v>2</v>
      </c>
      <c r="S139" s="36">
        <f t="shared" si="30"/>
        <v>34</v>
      </c>
      <c r="T139" s="36">
        <f t="shared" si="31"/>
        <v>9.2727272727272734</v>
      </c>
      <c r="U139" s="36">
        <v>8</v>
      </c>
      <c r="V139" s="36">
        <v>1</v>
      </c>
      <c r="W139" s="36">
        <v>1</v>
      </c>
      <c r="X139" s="36">
        <f t="shared" si="32"/>
        <v>10</v>
      </c>
      <c r="Y139" s="36">
        <f t="shared" si="33"/>
        <v>2.7272727272727271</v>
      </c>
      <c r="Z139" s="36">
        <v>21</v>
      </c>
      <c r="AA139" s="36">
        <v>1</v>
      </c>
      <c r="AB139" s="36">
        <v>1</v>
      </c>
      <c r="AC139" s="36">
        <v>1</v>
      </c>
      <c r="AD139" s="36">
        <f t="shared" si="34"/>
        <v>24</v>
      </c>
      <c r="AE139" s="36">
        <f t="shared" si="35"/>
        <v>6.5454545454545459</v>
      </c>
      <c r="AF139" s="36">
        <f t="shared" si="16"/>
        <v>68</v>
      </c>
      <c r="AG139" s="36">
        <f t="shared" si="16"/>
        <v>18.545454545454547</v>
      </c>
      <c r="AH139" s="36">
        <f t="shared" si="17"/>
        <v>98</v>
      </c>
      <c r="AI139" s="36">
        <f t="shared" si="17"/>
        <v>26.727272727272727</v>
      </c>
    </row>
    <row r="140" spans="1:35">
      <c r="A140" s="33" t="s">
        <v>308</v>
      </c>
      <c r="B140" s="33" t="s">
        <v>321</v>
      </c>
      <c r="C140" s="34" t="s">
        <v>127</v>
      </c>
      <c r="D140" s="34" t="str">
        <f t="shared" si="27"/>
        <v>M27AESS22AFH.27D3622(D901)</v>
      </c>
      <c r="E140" s="33" t="s">
        <v>7</v>
      </c>
      <c r="F140" s="33" t="s">
        <v>7</v>
      </c>
      <c r="G140" s="48">
        <v>220</v>
      </c>
      <c r="H140" s="35">
        <v>25</v>
      </c>
      <c r="I140" s="36">
        <v>1</v>
      </c>
      <c r="J140" s="36">
        <v>1</v>
      </c>
      <c r="K140" s="36">
        <v>3</v>
      </c>
      <c r="L140" s="36">
        <f t="shared" si="28"/>
        <v>30</v>
      </c>
      <c r="M140" s="36">
        <f t="shared" si="29"/>
        <v>8.1818181818181817</v>
      </c>
      <c r="N140" s="36">
        <v>29</v>
      </c>
      <c r="O140" s="36">
        <v>1</v>
      </c>
      <c r="P140" s="36">
        <v>1</v>
      </c>
      <c r="Q140" s="36">
        <v>1</v>
      </c>
      <c r="R140" s="36">
        <v>2</v>
      </c>
      <c r="S140" s="36">
        <f t="shared" si="30"/>
        <v>34</v>
      </c>
      <c r="T140" s="36">
        <f t="shared" si="31"/>
        <v>9.2727272727272734</v>
      </c>
      <c r="U140" s="36">
        <v>8</v>
      </c>
      <c r="V140" s="36">
        <v>1</v>
      </c>
      <c r="W140" s="36">
        <v>1</v>
      </c>
      <c r="X140" s="36">
        <f t="shared" si="32"/>
        <v>10</v>
      </c>
      <c r="Y140" s="36">
        <f t="shared" si="33"/>
        <v>2.7272727272727271</v>
      </c>
      <c r="Z140" s="36">
        <v>21</v>
      </c>
      <c r="AA140" s="36">
        <v>1</v>
      </c>
      <c r="AB140" s="36">
        <v>1</v>
      </c>
      <c r="AC140" s="36">
        <v>1</v>
      </c>
      <c r="AD140" s="36">
        <f t="shared" si="34"/>
        <v>24</v>
      </c>
      <c r="AE140" s="36">
        <f t="shared" si="35"/>
        <v>6.5454545454545459</v>
      </c>
      <c r="AF140" s="36">
        <f t="shared" si="16"/>
        <v>68</v>
      </c>
      <c r="AG140" s="36">
        <f t="shared" si="16"/>
        <v>18.545454545454547</v>
      </c>
      <c r="AH140" s="36">
        <f t="shared" si="17"/>
        <v>98</v>
      </c>
      <c r="AI140" s="36">
        <f t="shared" si="17"/>
        <v>26.727272727272727</v>
      </c>
    </row>
    <row r="141" spans="1:35">
      <c r="A141" s="33" t="s">
        <v>308</v>
      </c>
      <c r="B141" s="33" t="s">
        <v>321</v>
      </c>
      <c r="C141" s="34" t="s">
        <v>91</v>
      </c>
      <c r="D141" s="34" t="str">
        <f t="shared" si="27"/>
        <v>M27SGSS22AF-.27D3602(D901)</v>
      </c>
      <c r="E141" s="33" t="s">
        <v>7</v>
      </c>
      <c r="F141" s="33" t="s">
        <v>7</v>
      </c>
      <c r="G141" s="48">
        <v>220</v>
      </c>
      <c r="H141" s="35">
        <v>25</v>
      </c>
      <c r="I141" s="36">
        <v>1</v>
      </c>
      <c r="J141" s="36">
        <v>1</v>
      </c>
      <c r="K141" s="36">
        <v>3</v>
      </c>
      <c r="L141" s="36">
        <f t="shared" si="28"/>
        <v>30</v>
      </c>
      <c r="M141" s="36">
        <f t="shared" si="29"/>
        <v>8.1818181818181817</v>
      </c>
      <c r="N141" s="36">
        <v>29</v>
      </c>
      <c r="O141" s="36">
        <v>1</v>
      </c>
      <c r="P141" s="36">
        <v>1</v>
      </c>
      <c r="Q141" s="36">
        <v>1</v>
      </c>
      <c r="R141" s="36">
        <v>2</v>
      </c>
      <c r="S141" s="36">
        <f t="shared" si="30"/>
        <v>34</v>
      </c>
      <c r="T141" s="36">
        <f t="shared" si="31"/>
        <v>9.2727272727272734</v>
      </c>
      <c r="U141" s="36">
        <v>8</v>
      </c>
      <c r="V141" s="36">
        <v>1</v>
      </c>
      <c r="W141" s="36">
        <v>1</v>
      </c>
      <c r="X141" s="36">
        <f t="shared" si="32"/>
        <v>10</v>
      </c>
      <c r="Y141" s="36">
        <f t="shared" si="33"/>
        <v>2.7272727272727271</v>
      </c>
      <c r="Z141" s="36">
        <v>21</v>
      </c>
      <c r="AA141" s="36">
        <v>1</v>
      </c>
      <c r="AB141" s="36">
        <v>1</v>
      </c>
      <c r="AC141" s="36">
        <v>1</v>
      </c>
      <c r="AD141" s="36">
        <f t="shared" si="34"/>
        <v>24</v>
      </c>
      <c r="AE141" s="36">
        <f t="shared" si="35"/>
        <v>6.5454545454545459</v>
      </c>
      <c r="AF141" s="36">
        <f t="shared" si="16"/>
        <v>68</v>
      </c>
      <c r="AG141" s="36">
        <f t="shared" si="16"/>
        <v>18.545454545454547</v>
      </c>
      <c r="AH141" s="36">
        <f t="shared" si="17"/>
        <v>98</v>
      </c>
      <c r="AI141" s="36">
        <f t="shared" si="17"/>
        <v>26.727272727272727</v>
      </c>
    </row>
    <row r="142" spans="1:35">
      <c r="A142" s="33" t="s">
        <v>317</v>
      </c>
      <c r="B142" s="33" t="s">
        <v>321</v>
      </c>
      <c r="C142" s="34" t="s">
        <v>53</v>
      </c>
      <c r="D142" s="34" t="str">
        <f t="shared" si="27"/>
        <v>M27SGSS22AFH.27D3602(D901)</v>
      </c>
      <c r="E142" s="33" t="s">
        <v>7</v>
      </c>
      <c r="F142" s="33" t="s">
        <v>7</v>
      </c>
      <c r="G142" s="48">
        <v>220</v>
      </c>
      <c r="H142" s="35">
        <v>25</v>
      </c>
      <c r="I142" s="36">
        <v>1</v>
      </c>
      <c r="J142" s="36">
        <v>1</v>
      </c>
      <c r="K142" s="36">
        <v>3</v>
      </c>
      <c r="L142" s="36">
        <f t="shared" si="28"/>
        <v>30</v>
      </c>
      <c r="M142" s="36">
        <f t="shared" si="29"/>
        <v>8.1818181818181817</v>
      </c>
      <c r="N142" s="36">
        <v>29</v>
      </c>
      <c r="O142" s="36">
        <v>1</v>
      </c>
      <c r="P142" s="36">
        <v>1</v>
      </c>
      <c r="Q142" s="36">
        <v>1</v>
      </c>
      <c r="R142" s="36">
        <v>2</v>
      </c>
      <c r="S142" s="36">
        <f t="shared" si="30"/>
        <v>34</v>
      </c>
      <c r="T142" s="36">
        <f t="shared" si="31"/>
        <v>9.2727272727272734</v>
      </c>
      <c r="U142" s="36">
        <v>8</v>
      </c>
      <c r="V142" s="36">
        <v>1</v>
      </c>
      <c r="W142" s="36">
        <v>1</v>
      </c>
      <c r="X142" s="36">
        <f t="shared" si="32"/>
        <v>10</v>
      </c>
      <c r="Y142" s="36">
        <f t="shared" si="33"/>
        <v>2.7272727272727271</v>
      </c>
      <c r="Z142" s="36">
        <v>21</v>
      </c>
      <c r="AA142" s="36">
        <v>1</v>
      </c>
      <c r="AB142" s="36">
        <v>1</v>
      </c>
      <c r="AC142" s="36">
        <v>1</v>
      </c>
      <c r="AD142" s="36">
        <f t="shared" si="34"/>
        <v>24</v>
      </c>
      <c r="AE142" s="36">
        <f t="shared" si="35"/>
        <v>6.5454545454545459</v>
      </c>
      <c r="AF142" s="36">
        <f t="shared" si="16"/>
        <v>68</v>
      </c>
      <c r="AG142" s="36">
        <f t="shared" si="16"/>
        <v>18.545454545454547</v>
      </c>
      <c r="AH142" s="36">
        <f t="shared" si="17"/>
        <v>98</v>
      </c>
      <c r="AI142" s="36">
        <f t="shared" si="17"/>
        <v>26.727272727272727</v>
      </c>
    </row>
    <row r="143" spans="1:35">
      <c r="A143" s="33" t="s">
        <v>317</v>
      </c>
      <c r="B143" s="33" t="s">
        <v>321</v>
      </c>
      <c r="C143" s="34" t="s">
        <v>96</v>
      </c>
      <c r="D143" s="34" t="str">
        <f t="shared" si="27"/>
        <v>M27MXSS22AF-.27D3602(D901)</v>
      </c>
      <c r="E143" s="33" t="s">
        <v>7</v>
      </c>
      <c r="F143" s="33" t="s">
        <v>7</v>
      </c>
      <c r="G143" s="48">
        <v>220</v>
      </c>
      <c r="H143" s="35">
        <v>25</v>
      </c>
      <c r="I143" s="36">
        <v>1</v>
      </c>
      <c r="J143" s="36">
        <v>1</v>
      </c>
      <c r="K143" s="36">
        <v>3</v>
      </c>
      <c r="L143" s="36">
        <f t="shared" si="28"/>
        <v>30</v>
      </c>
      <c r="M143" s="36">
        <f t="shared" si="29"/>
        <v>8.1818181818181817</v>
      </c>
      <c r="N143" s="36">
        <v>29</v>
      </c>
      <c r="O143" s="36">
        <v>1</v>
      </c>
      <c r="P143" s="36">
        <v>1</v>
      </c>
      <c r="Q143" s="36">
        <v>1</v>
      </c>
      <c r="R143" s="36">
        <v>2</v>
      </c>
      <c r="S143" s="36">
        <f t="shared" si="30"/>
        <v>34</v>
      </c>
      <c r="T143" s="36">
        <f t="shared" si="31"/>
        <v>9.2727272727272734</v>
      </c>
      <c r="U143" s="36">
        <v>8</v>
      </c>
      <c r="V143" s="36">
        <v>1</v>
      </c>
      <c r="W143" s="36">
        <v>1</v>
      </c>
      <c r="X143" s="36">
        <f t="shared" si="32"/>
        <v>10</v>
      </c>
      <c r="Y143" s="36">
        <f t="shared" si="33"/>
        <v>2.7272727272727271</v>
      </c>
      <c r="Z143" s="36">
        <v>21</v>
      </c>
      <c r="AA143" s="36">
        <v>1</v>
      </c>
      <c r="AB143" s="36">
        <v>1</v>
      </c>
      <c r="AC143" s="36">
        <v>1</v>
      </c>
      <c r="AD143" s="36">
        <f t="shared" si="34"/>
        <v>24</v>
      </c>
      <c r="AE143" s="36">
        <f t="shared" si="35"/>
        <v>6.5454545454545459</v>
      </c>
      <c r="AF143" s="36">
        <f t="shared" si="16"/>
        <v>68</v>
      </c>
      <c r="AG143" s="36">
        <f t="shared" si="16"/>
        <v>18.545454545454547</v>
      </c>
      <c r="AH143" s="36">
        <f t="shared" si="17"/>
        <v>98</v>
      </c>
      <c r="AI143" s="36">
        <f t="shared" si="17"/>
        <v>26.727272727272727</v>
      </c>
    </row>
    <row r="144" spans="1:35">
      <c r="A144" s="33" t="s">
        <v>317</v>
      </c>
      <c r="B144" s="33" t="s">
        <v>321</v>
      </c>
      <c r="C144" s="34" t="s">
        <v>54</v>
      </c>
      <c r="D144" s="34" t="str">
        <f t="shared" si="27"/>
        <v>M27MXSS22AFH.27D3602(D901)</v>
      </c>
      <c r="E144" s="33" t="s">
        <v>7</v>
      </c>
      <c r="F144" s="33" t="s">
        <v>7</v>
      </c>
      <c r="G144" s="48">
        <v>220</v>
      </c>
      <c r="H144" s="35">
        <v>25</v>
      </c>
      <c r="I144" s="36">
        <v>1</v>
      </c>
      <c r="J144" s="36">
        <v>1</v>
      </c>
      <c r="K144" s="36">
        <v>3</v>
      </c>
      <c r="L144" s="36">
        <f t="shared" si="28"/>
        <v>30</v>
      </c>
      <c r="M144" s="36">
        <f t="shared" si="29"/>
        <v>8.1818181818181817</v>
      </c>
      <c r="N144" s="36">
        <v>29</v>
      </c>
      <c r="O144" s="36">
        <v>1</v>
      </c>
      <c r="P144" s="36">
        <v>1</v>
      </c>
      <c r="Q144" s="36">
        <v>1</v>
      </c>
      <c r="R144" s="36">
        <v>2</v>
      </c>
      <c r="S144" s="36">
        <f t="shared" si="30"/>
        <v>34</v>
      </c>
      <c r="T144" s="36">
        <f t="shared" si="31"/>
        <v>9.2727272727272734</v>
      </c>
      <c r="U144" s="36">
        <v>8</v>
      </c>
      <c r="V144" s="36">
        <v>1</v>
      </c>
      <c r="W144" s="36">
        <v>1</v>
      </c>
      <c r="X144" s="36">
        <f t="shared" si="32"/>
        <v>10</v>
      </c>
      <c r="Y144" s="36">
        <f t="shared" si="33"/>
        <v>2.7272727272727271</v>
      </c>
      <c r="Z144" s="36">
        <v>21</v>
      </c>
      <c r="AA144" s="36">
        <v>1</v>
      </c>
      <c r="AB144" s="36">
        <v>1</v>
      </c>
      <c r="AC144" s="36">
        <v>1</v>
      </c>
      <c r="AD144" s="36">
        <f t="shared" si="34"/>
        <v>24</v>
      </c>
      <c r="AE144" s="36">
        <f t="shared" si="35"/>
        <v>6.5454545454545459</v>
      </c>
      <c r="AF144" s="36">
        <f t="shared" si="16"/>
        <v>68</v>
      </c>
      <c r="AG144" s="36">
        <f t="shared" si="16"/>
        <v>18.545454545454547</v>
      </c>
      <c r="AH144" s="36">
        <f t="shared" si="17"/>
        <v>98</v>
      </c>
      <c r="AI144" s="36">
        <f t="shared" si="17"/>
        <v>26.727272727272727</v>
      </c>
    </row>
    <row r="145" spans="1:35">
      <c r="A145" s="33" t="s">
        <v>308</v>
      </c>
      <c r="B145" s="33" t="s">
        <v>321</v>
      </c>
      <c r="C145" s="34" t="s">
        <v>73</v>
      </c>
      <c r="D145" s="34" t="str">
        <f t="shared" si="27"/>
        <v>M27TRSS22AF-.27D3662(D901)</v>
      </c>
      <c r="E145" s="33" t="s">
        <v>7</v>
      </c>
      <c r="F145" s="33" t="s">
        <v>7</v>
      </c>
      <c r="G145" s="48">
        <v>220</v>
      </c>
      <c r="H145" s="35">
        <v>25</v>
      </c>
      <c r="I145" s="36">
        <v>1</v>
      </c>
      <c r="J145" s="36">
        <v>1</v>
      </c>
      <c r="K145" s="36">
        <v>3</v>
      </c>
      <c r="L145" s="36">
        <f t="shared" si="28"/>
        <v>30</v>
      </c>
      <c r="M145" s="36">
        <f t="shared" si="29"/>
        <v>8.1818181818181817</v>
      </c>
      <c r="N145" s="36">
        <v>29</v>
      </c>
      <c r="O145" s="36">
        <v>1</v>
      </c>
      <c r="P145" s="36">
        <v>1</v>
      </c>
      <c r="Q145" s="36">
        <v>1</v>
      </c>
      <c r="R145" s="36">
        <v>2</v>
      </c>
      <c r="S145" s="36">
        <f t="shared" si="30"/>
        <v>34</v>
      </c>
      <c r="T145" s="36">
        <f t="shared" si="31"/>
        <v>9.2727272727272734</v>
      </c>
      <c r="U145" s="36">
        <v>8</v>
      </c>
      <c r="V145" s="36">
        <v>1</v>
      </c>
      <c r="W145" s="36">
        <v>1</v>
      </c>
      <c r="X145" s="36">
        <f t="shared" si="32"/>
        <v>10</v>
      </c>
      <c r="Y145" s="36">
        <f t="shared" si="33"/>
        <v>2.7272727272727271</v>
      </c>
      <c r="Z145" s="36">
        <v>21</v>
      </c>
      <c r="AA145" s="36">
        <v>1</v>
      </c>
      <c r="AB145" s="36">
        <v>1</v>
      </c>
      <c r="AC145" s="36">
        <v>1</v>
      </c>
      <c r="AD145" s="36">
        <f t="shared" si="34"/>
        <v>24</v>
      </c>
      <c r="AE145" s="36">
        <f t="shared" si="35"/>
        <v>6.5454545454545459</v>
      </c>
      <c r="AF145" s="36">
        <f t="shared" si="16"/>
        <v>68</v>
      </c>
      <c r="AG145" s="36">
        <f t="shared" si="16"/>
        <v>18.545454545454547</v>
      </c>
      <c r="AH145" s="36">
        <f t="shared" si="17"/>
        <v>98</v>
      </c>
      <c r="AI145" s="36">
        <f t="shared" si="17"/>
        <v>26.727272727272727</v>
      </c>
    </row>
    <row r="146" spans="1:35">
      <c r="A146" s="33" t="s">
        <v>308</v>
      </c>
      <c r="B146" s="33" t="s">
        <v>321</v>
      </c>
      <c r="C146" s="34" t="s">
        <v>57</v>
      </c>
      <c r="D146" s="34" t="str">
        <f t="shared" si="27"/>
        <v>M27TRSS22AFH.27D3662(D901)</v>
      </c>
      <c r="E146" s="33" t="s">
        <v>7</v>
      </c>
      <c r="F146" s="33" t="s">
        <v>7</v>
      </c>
      <c r="G146" s="48">
        <v>220</v>
      </c>
      <c r="H146" s="35">
        <v>25</v>
      </c>
      <c r="I146" s="36">
        <v>1</v>
      </c>
      <c r="J146" s="36">
        <v>1</v>
      </c>
      <c r="K146" s="36">
        <v>3</v>
      </c>
      <c r="L146" s="36">
        <f t="shared" si="28"/>
        <v>30</v>
      </c>
      <c r="M146" s="36">
        <f t="shared" si="29"/>
        <v>8.1818181818181817</v>
      </c>
      <c r="N146" s="36">
        <v>29</v>
      </c>
      <c r="O146" s="36">
        <v>1</v>
      </c>
      <c r="P146" s="36">
        <v>1</v>
      </c>
      <c r="Q146" s="36">
        <v>1</v>
      </c>
      <c r="R146" s="36">
        <v>2</v>
      </c>
      <c r="S146" s="36">
        <f t="shared" si="30"/>
        <v>34</v>
      </c>
      <c r="T146" s="36">
        <f t="shared" si="31"/>
        <v>9.2727272727272734</v>
      </c>
      <c r="U146" s="36">
        <v>8</v>
      </c>
      <c r="V146" s="36">
        <v>1</v>
      </c>
      <c r="W146" s="36">
        <v>1</v>
      </c>
      <c r="X146" s="36">
        <f t="shared" si="32"/>
        <v>10</v>
      </c>
      <c r="Y146" s="36">
        <f t="shared" si="33"/>
        <v>2.7272727272727271</v>
      </c>
      <c r="Z146" s="36">
        <v>21</v>
      </c>
      <c r="AA146" s="36">
        <v>1</v>
      </c>
      <c r="AB146" s="36">
        <v>1</v>
      </c>
      <c r="AC146" s="36">
        <v>1</v>
      </c>
      <c r="AD146" s="36">
        <f t="shared" si="34"/>
        <v>24</v>
      </c>
      <c r="AE146" s="36">
        <f t="shared" si="35"/>
        <v>6.5454545454545459</v>
      </c>
      <c r="AF146" s="36">
        <f t="shared" si="16"/>
        <v>68</v>
      </c>
      <c r="AG146" s="36">
        <f t="shared" si="16"/>
        <v>18.545454545454547</v>
      </c>
      <c r="AH146" s="36">
        <f t="shared" si="17"/>
        <v>98</v>
      </c>
      <c r="AI146" s="36">
        <f t="shared" si="17"/>
        <v>26.727272727272727</v>
      </c>
    </row>
    <row r="147" spans="1:35">
      <c r="A147" s="33" t="s">
        <v>308</v>
      </c>
      <c r="B147" s="33" t="s">
        <v>321</v>
      </c>
      <c r="C147" s="34" t="s">
        <v>61</v>
      </c>
      <c r="D147" s="34" t="str">
        <f t="shared" si="27"/>
        <v>M27GBSS22AFH.27D3602(D901)</v>
      </c>
      <c r="E147" s="33" t="s">
        <v>7</v>
      </c>
      <c r="F147" s="33" t="s">
        <v>7</v>
      </c>
      <c r="G147" s="48">
        <v>220</v>
      </c>
      <c r="H147" s="35">
        <v>25</v>
      </c>
      <c r="I147" s="36">
        <v>1</v>
      </c>
      <c r="J147" s="36">
        <v>1</v>
      </c>
      <c r="K147" s="36">
        <v>3</v>
      </c>
      <c r="L147" s="36">
        <f t="shared" si="28"/>
        <v>30</v>
      </c>
      <c r="M147" s="36">
        <f t="shared" si="29"/>
        <v>8.1818181818181817</v>
      </c>
      <c r="N147" s="36">
        <v>29</v>
      </c>
      <c r="O147" s="36">
        <v>1</v>
      </c>
      <c r="P147" s="36">
        <v>1</v>
      </c>
      <c r="Q147" s="36">
        <v>1</v>
      </c>
      <c r="R147" s="36">
        <v>2</v>
      </c>
      <c r="S147" s="36">
        <f t="shared" si="30"/>
        <v>34</v>
      </c>
      <c r="T147" s="36">
        <f t="shared" si="31"/>
        <v>9.2727272727272734</v>
      </c>
      <c r="U147" s="36">
        <v>8</v>
      </c>
      <c r="V147" s="36">
        <v>1</v>
      </c>
      <c r="W147" s="36">
        <v>1</v>
      </c>
      <c r="X147" s="36">
        <f t="shared" si="32"/>
        <v>10</v>
      </c>
      <c r="Y147" s="36">
        <f t="shared" si="33"/>
        <v>2.7272727272727271</v>
      </c>
      <c r="Z147" s="36">
        <v>21</v>
      </c>
      <c r="AA147" s="36">
        <v>1</v>
      </c>
      <c r="AB147" s="36">
        <v>1</v>
      </c>
      <c r="AC147" s="36">
        <v>1</v>
      </c>
      <c r="AD147" s="36">
        <f t="shared" si="34"/>
        <v>24</v>
      </c>
      <c r="AE147" s="36">
        <f t="shared" si="35"/>
        <v>6.5454545454545459</v>
      </c>
      <c r="AF147" s="36">
        <f t="shared" si="16"/>
        <v>68</v>
      </c>
      <c r="AG147" s="36">
        <f t="shared" si="16"/>
        <v>18.545454545454547</v>
      </c>
      <c r="AH147" s="36">
        <f t="shared" si="17"/>
        <v>98</v>
      </c>
      <c r="AI147" s="36">
        <f t="shared" si="17"/>
        <v>26.727272727272727</v>
      </c>
    </row>
    <row r="148" spans="1:35">
      <c r="A148" s="33" t="s">
        <v>308</v>
      </c>
      <c r="B148" s="33" t="s">
        <v>321</v>
      </c>
      <c r="C148" s="34" t="s">
        <v>62</v>
      </c>
      <c r="D148" s="34" t="str">
        <f t="shared" si="27"/>
        <v>M27GBSS22AFH.27D3622(D901)</v>
      </c>
      <c r="E148" s="33" t="s">
        <v>7</v>
      </c>
      <c r="F148" s="33" t="s">
        <v>7</v>
      </c>
      <c r="G148" s="48">
        <v>220</v>
      </c>
      <c r="H148" s="35">
        <v>25</v>
      </c>
      <c r="I148" s="36">
        <v>1</v>
      </c>
      <c r="J148" s="36">
        <v>1</v>
      </c>
      <c r="K148" s="36">
        <v>3</v>
      </c>
      <c r="L148" s="36">
        <f t="shared" si="28"/>
        <v>30</v>
      </c>
      <c r="M148" s="36">
        <f t="shared" si="29"/>
        <v>8.1818181818181817</v>
      </c>
      <c r="N148" s="36">
        <v>29</v>
      </c>
      <c r="O148" s="36">
        <v>1</v>
      </c>
      <c r="P148" s="36">
        <v>1</v>
      </c>
      <c r="Q148" s="36">
        <v>1</v>
      </c>
      <c r="R148" s="36">
        <v>2</v>
      </c>
      <c r="S148" s="36">
        <f t="shared" si="30"/>
        <v>34</v>
      </c>
      <c r="T148" s="36">
        <f t="shared" si="31"/>
        <v>9.2727272727272734</v>
      </c>
      <c r="U148" s="36">
        <v>8</v>
      </c>
      <c r="V148" s="36">
        <v>1</v>
      </c>
      <c r="W148" s="36">
        <v>1</v>
      </c>
      <c r="X148" s="36">
        <f t="shared" si="32"/>
        <v>10</v>
      </c>
      <c r="Y148" s="36">
        <f t="shared" si="33"/>
        <v>2.7272727272727271</v>
      </c>
      <c r="Z148" s="36">
        <v>21</v>
      </c>
      <c r="AA148" s="36">
        <v>1</v>
      </c>
      <c r="AB148" s="36">
        <v>1</v>
      </c>
      <c r="AC148" s="36">
        <v>1</v>
      </c>
      <c r="AD148" s="36">
        <f t="shared" si="34"/>
        <v>24</v>
      </c>
      <c r="AE148" s="36">
        <f t="shared" si="35"/>
        <v>6.5454545454545459</v>
      </c>
      <c r="AF148" s="36">
        <f t="shared" si="16"/>
        <v>68</v>
      </c>
      <c r="AG148" s="36">
        <f t="shared" si="16"/>
        <v>18.545454545454547</v>
      </c>
      <c r="AH148" s="36">
        <f t="shared" si="17"/>
        <v>98</v>
      </c>
      <c r="AI148" s="36">
        <f t="shared" si="17"/>
        <v>26.727272727272727</v>
      </c>
    </row>
    <row r="149" spans="1:35">
      <c r="A149" s="33" t="s">
        <v>308</v>
      </c>
      <c r="B149" s="33" t="s">
        <v>321</v>
      </c>
      <c r="C149" s="34" t="s">
        <v>63</v>
      </c>
      <c r="D149" s="34" t="str">
        <f t="shared" si="27"/>
        <v>M27GBSS22AFH.27D3662(D901)</v>
      </c>
      <c r="E149" s="33" t="s">
        <v>7</v>
      </c>
      <c r="F149" s="33" t="s">
        <v>7</v>
      </c>
      <c r="G149" s="48">
        <v>220</v>
      </c>
      <c r="H149" s="35">
        <v>25</v>
      </c>
      <c r="I149" s="36">
        <v>1</v>
      </c>
      <c r="J149" s="36">
        <v>1</v>
      </c>
      <c r="K149" s="36">
        <v>3</v>
      </c>
      <c r="L149" s="36">
        <f t="shared" si="28"/>
        <v>30</v>
      </c>
      <c r="M149" s="36">
        <f t="shared" si="29"/>
        <v>8.1818181818181817</v>
      </c>
      <c r="N149" s="36">
        <v>29</v>
      </c>
      <c r="O149" s="36">
        <v>1</v>
      </c>
      <c r="P149" s="36">
        <v>1</v>
      </c>
      <c r="Q149" s="36">
        <v>1</v>
      </c>
      <c r="R149" s="36">
        <v>2</v>
      </c>
      <c r="S149" s="36">
        <f t="shared" si="30"/>
        <v>34</v>
      </c>
      <c r="T149" s="36">
        <f t="shared" si="31"/>
        <v>9.2727272727272734</v>
      </c>
      <c r="U149" s="36">
        <v>8</v>
      </c>
      <c r="V149" s="36">
        <v>1</v>
      </c>
      <c r="W149" s="36">
        <v>1</v>
      </c>
      <c r="X149" s="36">
        <f t="shared" si="32"/>
        <v>10</v>
      </c>
      <c r="Y149" s="36">
        <f t="shared" si="33"/>
        <v>2.7272727272727271</v>
      </c>
      <c r="Z149" s="36">
        <v>21</v>
      </c>
      <c r="AA149" s="36">
        <v>1</v>
      </c>
      <c r="AB149" s="36">
        <v>1</v>
      </c>
      <c r="AC149" s="36">
        <v>1</v>
      </c>
      <c r="AD149" s="36">
        <f t="shared" si="34"/>
        <v>24</v>
      </c>
      <c r="AE149" s="36">
        <f t="shared" si="35"/>
        <v>6.5454545454545459</v>
      </c>
      <c r="AF149" s="36">
        <f t="shared" si="16"/>
        <v>68</v>
      </c>
      <c r="AG149" s="36">
        <f t="shared" si="16"/>
        <v>18.545454545454547</v>
      </c>
      <c r="AH149" s="36">
        <f t="shared" si="17"/>
        <v>98</v>
      </c>
      <c r="AI149" s="36">
        <f t="shared" si="17"/>
        <v>26.727272727272727</v>
      </c>
    </row>
    <row r="150" spans="1:35">
      <c r="A150" s="33" t="s">
        <v>308</v>
      </c>
      <c r="B150" s="33" t="s">
        <v>321</v>
      </c>
      <c r="C150" s="34" t="s">
        <v>57</v>
      </c>
      <c r="D150" s="34" t="str">
        <f t="shared" si="27"/>
        <v>M27TRSS22AFH.27D3662(D901)</v>
      </c>
      <c r="E150" s="33" t="s">
        <v>7</v>
      </c>
      <c r="F150" s="33" t="s">
        <v>7</v>
      </c>
      <c r="G150" s="48">
        <v>220</v>
      </c>
      <c r="H150" s="35">
        <v>25</v>
      </c>
      <c r="I150" s="36">
        <v>1</v>
      </c>
      <c r="J150" s="36">
        <v>1</v>
      </c>
      <c r="K150" s="36">
        <v>3</v>
      </c>
      <c r="L150" s="36">
        <f t="shared" si="28"/>
        <v>30</v>
      </c>
      <c r="M150" s="36">
        <f t="shared" si="29"/>
        <v>8.1818181818181817</v>
      </c>
      <c r="N150" s="36">
        <v>29</v>
      </c>
      <c r="O150" s="36">
        <v>1</v>
      </c>
      <c r="P150" s="36">
        <v>1</v>
      </c>
      <c r="Q150" s="36">
        <v>1</v>
      </c>
      <c r="R150" s="36">
        <v>2</v>
      </c>
      <c r="S150" s="36">
        <f t="shared" si="30"/>
        <v>34</v>
      </c>
      <c r="T150" s="36">
        <f t="shared" si="31"/>
        <v>9.2727272727272734</v>
      </c>
      <c r="U150" s="36">
        <v>8</v>
      </c>
      <c r="V150" s="36">
        <v>1</v>
      </c>
      <c r="W150" s="36">
        <v>1</v>
      </c>
      <c r="X150" s="36">
        <f t="shared" si="32"/>
        <v>10</v>
      </c>
      <c r="Y150" s="36">
        <f t="shared" si="33"/>
        <v>2.7272727272727271</v>
      </c>
      <c r="Z150" s="36">
        <v>21</v>
      </c>
      <c r="AA150" s="36">
        <v>1</v>
      </c>
      <c r="AB150" s="36">
        <v>1</v>
      </c>
      <c r="AC150" s="36">
        <v>1</v>
      </c>
      <c r="AD150" s="36">
        <f t="shared" si="34"/>
        <v>24</v>
      </c>
      <c r="AE150" s="36">
        <f t="shared" si="35"/>
        <v>6.5454545454545459</v>
      </c>
      <c r="AF150" s="36">
        <f t="shared" si="16"/>
        <v>68</v>
      </c>
      <c r="AG150" s="36">
        <f t="shared" si="16"/>
        <v>18.545454545454547</v>
      </c>
      <c r="AH150" s="36">
        <f t="shared" si="17"/>
        <v>98</v>
      </c>
      <c r="AI150" s="36">
        <f t="shared" si="17"/>
        <v>26.727272727272727</v>
      </c>
    </row>
    <row r="151" spans="1:35">
      <c r="A151" s="33" t="s">
        <v>308</v>
      </c>
      <c r="B151" s="33" t="s">
        <v>321</v>
      </c>
      <c r="C151" s="34" t="s">
        <v>75</v>
      </c>
      <c r="D151" s="34" t="str">
        <f t="shared" si="27"/>
        <v>M27ILSS22AFH.27D3622(D901)</v>
      </c>
      <c r="E151" s="33" t="s">
        <v>7</v>
      </c>
      <c r="F151" s="33" t="s">
        <v>7</v>
      </c>
      <c r="G151" s="48">
        <v>220</v>
      </c>
      <c r="H151" s="35">
        <v>25</v>
      </c>
      <c r="I151" s="36">
        <v>1</v>
      </c>
      <c r="J151" s="36">
        <v>1</v>
      </c>
      <c r="K151" s="36">
        <v>3</v>
      </c>
      <c r="L151" s="36">
        <f t="shared" si="28"/>
        <v>30</v>
      </c>
      <c r="M151" s="36">
        <f t="shared" si="29"/>
        <v>8.1818181818181817</v>
      </c>
      <c r="N151" s="36">
        <v>29</v>
      </c>
      <c r="O151" s="36">
        <v>1</v>
      </c>
      <c r="P151" s="36">
        <v>1</v>
      </c>
      <c r="Q151" s="36">
        <v>1</v>
      </c>
      <c r="R151" s="36">
        <v>2</v>
      </c>
      <c r="S151" s="36">
        <f t="shared" si="30"/>
        <v>34</v>
      </c>
      <c r="T151" s="36">
        <f t="shared" si="31"/>
        <v>9.2727272727272734</v>
      </c>
      <c r="U151" s="36">
        <v>8</v>
      </c>
      <c r="V151" s="36">
        <v>1</v>
      </c>
      <c r="W151" s="36">
        <v>1</v>
      </c>
      <c r="X151" s="36">
        <f t="shared" si="32"/>
        <v>10</v>
      </c>
      <c r="Y151" s="36">
        <f t="shared" si="33"/>
        <v>2.7272727272727271</v>
      </c>
      <c r="Z151" s="36">
        <v>21</v>
      </c>
      <c r="AA151" s="36">
        <v>1</v>
      </c>
      <c r="AB151" s="36">
        <v>1</v>
      </c>
      <c r="AC151" s="36">
        <v>1</v>
      </c>
      <c r="AD151" s="36">
        <f t="shared" si="34"/>
        <v>24</v>
      </c>
      <c r="AE151" s="36">
        <f t="shared" si="35"/>
        <v>6.5454545454545459</v>
      </c>
      <c r="AF151" s="36">
        <f t="shared" si="16"/>
        <v>68</v>
      </c>
      <c r="AG151" s="36">
        <f t="shared" si="16"/>
        <v>18.545454545454547</v>
      </c>
      <c r="AH151" s="36">
        <f t="shared" si="17"/>
        <v>98</v>
      </c>
      <c r="AI151" s="36">
        <f t="shared" si="17"/>
        <v>26.727272727272727</v>
      </c>
    </row>
    <row r="152" spans="1:35">
      <c r="A152" s="33" t="s">
        <v>308</v>
      </c>
      <c r="B152" s="33" t="s">
        <v>321</v>
      </c>
      <c r="C152" s="34" t="s">
        <v>89</v>
      </c>
      <c r="D152" s="34" t="str">
        <f t="shared" si="27"/>
        <v>M27ARSS22AFH.27D3662(D901)</v>
      </c>
      <c r="E152" s="33" t="s">
        <v>7</v>
      </c>
      <c r="F152" s="33" t="s">
        <v>7</v>
      </c>
      <c r="G152" s="48">
        <v>220</v>
      </c>
      <c r="H152" s="35">
        <v>25</v>
      </c>
      <c r="I152" s="36">
        <v>1</v>
      </c>
      <c r="J152" s="36">
        <v>1</v>
      </c>
      <c r="K152" s="36">
        <v>3</v>
      </c>
      <c r="L152" s="36">
        <f t="shared" si="28"/>
        <v>30</v>
      </c>
      <c r="M152" s="36">
        <f t="shared" si="29"/>
        <v>8.1818181818181817</v>
      </c>
      <c r="N152" s="36">
        <v>29</v>
      </c>
      <c r="O152" s="36">
        <v>1</v>
      </c>
      <c r="P152" s="36">
        <v>1</v>
      </c>
      <c r="Q152" s="36">
        <v>1</v>
      </c>
      <c r="R152" s="36">
        <v>2</v>
      </c>
      <c r="S152" s="36">
        <f t="shared" si="30"/>
        <v>34</v>
      </c>
      <c r="T152" s="36">
        <f t="shared" si="31"/>
        <v>9.2727272727272734</v>
      </c>
      <c r="U152" s="36">
        <v>8</v>
      </c>
      <c r="V152" s="36">
        <v>1</v>
      </c>
      <c r="W152" s="36">
        <v>1</v>
      </c>
      <c r="X152" s="36">
        <f t="shared" si="32"/>
        <v>10</v>
      </c>
      <c r="Y152" s="36">
        <f t="shared" si="33"/>
        <v>2.7272727272727271</v>
      </c>
      <c r="Z152" s="36">
        <v>21</v>
      </c>
      <c r="AA152" s="36">
        <v>1</v>
      </c>
      <c r="AB152" s="36">
        <v>1</v>
      </c>
      <c r="AC152" s="36">
        <v>1</v>
      </c>
      <c r="AD152" s="36">
        <f t="shared" si="34"/>
        <v>24</v>
      </c>
      <c r="AE152" s="36">
        <f t="shared" si="35"/>
        <v>6.5454545454545459</v>
      </c>
      <c r="AF152" s="36">
        <f t="shared" si="16"/>
        <v>68</v>
      </c>
      <c r="AG152" s="36">
        <f t="shared" si="16"/>
        <v>18.545454545454547</v>
      </c>
      <c r="AH152" s="36">
        <f t="shared" si="17"/>
        <v>98</v>
      </c>
      <c r="AI152" s="36">
        <f t="shared" si="17"/>
        <v>26.727272727272727</v>
      </c>
    </row>
    <row r="153" spans="1:35">
      <c r="A153" s="33" t="s">
        <v>318</v>
      </c>
      <c r="B153" s="33" t="s">
        <v>321</v>
      </c>
      <c r="C153" s="34" t="s">
        <v>148</v>
      </c>
      <c r="D153" s="34" t="str">
        <f t="shared" si="27"/>
        <v>M27NLSS22EFH.27D3621(D901)</v>
      </c>
      <c r="E153" s="33" t="s">
        <v>7</v>
      </c>
      <c r="F153" s="33" t="s">
        <v>7</v>
      </c>
      <c r="G153" s="48">
        <v>220</v>
      </c>
      <c r="H153" s="35">
        <v>25</v>
      </c>
      <c r="I153" s="36">
        <v>1</v>
      </c>
      <c r="J153" s="36">
        <v>1</v>
      </c>
      <c r="K153" s="36">
        <v>3</v>
      </c>
      <c r="L153" s="36">
        <f t="shared" si="28"/>
        <v>30</v>
      </c>
      <c r="M153" s="36">
        <f t="shared" si="29"/>
        <v>8.1818181818181817</v>
      </c>
      <c r="N153" s="36">
        <v>29</v>
      </c>
      <c r="O153" s="36">
        <v>1</v>
      </c>
      <c r="P153" s="36">
        <v>1</v>
      </c>
      <c r="Q153" s="36">
        <v>1</v>
      </c>
      <c r="R153" s="36">
        <v>2</v>
      </c>
      <c r="S153" s="36">
        <f t="shared" si="30"/>
        <v>34</v>
      </c>
      <c r="T153" s="36">
        <f t="shared" si="31"/>
        <v>9.2727272727272734</v>
      </c>
      <c r="U153" s="36">
        <v>8</v>
      </c>
      <c r="V153" s="36">
        <v>1</v>
      </c>
      <c r="W153" s="36">
        <v>1</v>
      </c>
      <c r="X153" s="36">
        <f t="shared" si="32"/>
        <v>10</v>
      </c>
      <c r="Y153" s="36">
        <f t="shared" si="33"/>
        <v>2.7272727272727271</v>
      </c>
      <c r="Z153" s="36">
        <v>21</v>
      </c>
      <c r="AA153" s="36">
        <v>1</v>
      </c>
      <c r="AB153" s="36">
        <v>1</v>
      </c>
      <c r="AC153" s="36">
        <v>1</v>
      </c>
      <c r="AD153" s="36">
        <f t="shared" si="34"/>
        <v>24</v>
      </c>
      <c r="AE153" s="36">
        <f t="shared" si="35"/>
        <v>6.5454545454545459</v>
      </c>
      <c r="AF153" s="36">
        <f t="shared" si="16"/>
        <v>68</v>
      </c>
      <c r="AG153" s="36">
        <f t="shared" si="16"/>
        <v>18.545454545454547</v>
      </c>
      <c r="AH153" s="36">
        <f t="shared" si="17"/>
        <v>98</v>
      </c>
      <c r="AI153" s="36">
        <f t="shared" si="17"/>
        <v>26.727272727272727</v>
      </c>
    </row>
    <row r="154" spans="1:35">
      <c r="A154" s="33" t="s">
        <v>308</v>
      </c>
      <c r="B154" s="33" t="s">
        <v>321</v>
      </c>
      <c r="C154" s="34" t="s">
        <v>101</v>
      </c>
      <c r="D154" s="34" t="str">
        <f t="shared" si="27"/>
        <v>M27NLSS22EFH.27D3661(D901)</v>
      </c>
      <c r="E154" s="33" t="s">
        <v>7</v>
      </c>
      <c r="F154" s="33" t="s">
        <v>7</v>
      </c>
      <c r="G154" s="48">
        <v>220</v>
      </c>
      <c r="H154" s="35">
        <v>25</v>
      </c>
      <c r="I154" s="36">
        <v>1</v>
      </c>
      <c r="J154" s="36">
        <v>1</v>
      </c>
      <c r="K154" s="36">
        <v>3</v>
      </c>
      <c r="L154" s="36">
        <f t="shared" si="28"/>
        <v>30</v>
      </c>
      <c r="M154" s="36">
        <f t="shared" si="29"/>
        <v>8.1818181818181817</v>
      </c>
      <c r="N154" s="36">
        <v>29</v>
      </c>
      <c r="O154" s="36">
        <v>1</v>
      </c>
      <c r="P154" s="36">
        <v>1</v>
      </c>
      <c r="Q154" s="36">
        <v>1</v>
      </c>
      <c r="R154" s="36">
        <v>2</v>
      </c>
      <c r="S154" s="36">
        <f t="shared" si="30"/>
        <v>34</v>
      </c>
      <c r="T154" s="36">
        <f t="shared" si="31"/>
        <v>9.2727272727272734</v>
      </c>
      <c r="U154" s="36">
        <v>8</v>
      </c>
      <c r="V154" s="36">
        <v>1</v>
      </c>
      <c r="W154" s="36">
        <v>1</v>
      </c>
      <c r="X154" s="36">
        <f t="shared" si="32"/>
        <v>10</v>
      </c>
      <c r="Y154" s="36">
        <f t="shared" si="33"/>
        <v>2.7272727272727271</v>
      </c>
      <c r="Z154" s="36">
        <v>21</v>
      </c>
      <c r="AA154" s="36">
        <v>1</v>
      </c>
      <c r="AB154" s="36">
        <v>1</v>
      </c>
      <c r="AC154" s="36">
        <v>1</v>
      </c>
      <c r="AD154" s="36">
        <f t="shared" si="34"/>
        <v>24</v>
      </c>
      <c r="AE154" s="36">
        <f t="shared" si="35"/>
        <v>6.5454545454545459</v>
      </c>
      <c r="AF154" s="36">
        <f t="shared" si="16"/>
        <v>68</v>
      </c>
      <c r="AG154" s="36">
        <f t="shared" si="16"/>
        <v>18.545454545454547</v>
      </c>
      <c r="AH154" s="36">
        <f t="shared" si="17"/>
        <v>98</v>
      </c>
      <c r="AI154" s="36">
        <f t="shared" si="17"/>
        <v>26.727272727272727</v>
      </c>
    </row>
    <row r="155" spans="1:35">
      <c r="A155" s="33" t="s">
        <v>317</v>
      </c>
      <c r="B155" s="33" t="s">
        <v>321</v>
      </c>
      <c r="C155" s="34" t="s">
        <v>83</v>
      </c>
      <c r="D155" s="34" t="str">
        <f t="shared" si="27"/>
        <v>M27AUSS22EFH.27D3661(D901)</v>
      </c>
      <c r="E155" s="33" t="s">
        <v>7</v>
      </c>
      <c r="F155" s="33" t="s">
        <v>7</v>
      </c>
      <c r="G155" s="48">
        <v>220</v>
      </c>
      <c r="H155" s="35">
        <v>25</v>
      </c>
      <c r="I155" s="36">
        <v>1</v>
      </c>
      <c r="J155" s="36">
        <v>1</v>
      </c>
      <c r="K155" s="36">
        <v>3</v>
      </c>
      <c r="L155" s="36">
        <f t="shared" si="28"/>
        <v>30</v>
      </c>
      <c r="M155" s="36">
        <f t="shared" si="29"/>
        <v>8.1818181818181817</v>
      </c>
      <c r="N155" s="36">
        <v>29</v>
      </c>
      <c r="O155" s="36">
        <v>1</v>
      </c>
      <c r="P155" s="36">
        <v>1</v>
      </c>
      <c r="Q155" s="36">
        <v>1</v>
      </c>
      <c r="R155" s="36">
        <v>2</v>
      </c>
      <c r="S155" s="36">
        <f t="shared" si="30"/>
        <v>34</v>
      </c>
      <c r="T155" s="36">
        <f t="shared" si="31"/>
        <v>9.2727272727272734</v>
      </c>
      <c r="U155" s="36">
        <v>8</v>
      </c>
      <c r="V155" s="36">
        <v>1</v>
      </c>
      <c r="W155" s="36">
        <v>1</v>
      </c>
      <c r="X155" s="36">
        <f t="shared" si="32"/>
        <v>10</v>
      </c>
      <c r="Y155" s="36">
        <f t="shared" si="33"/>
        <v>2.7272727272727271</v>
      </c>
      <c r="Z155" s="36">
        <v>21</v>
      </c>
      <c r="AA155" s="36">
        <v>1</v>
      </c>
      <c r="AB155" s="36">
        <v>1</v>
      </c>
      <c r="AC155" s="36">
        <v>1</v>
      </c>
      <c r="AD155" s="36">
        <f t="shared" si="34"/>
        <v>24</v>
      </c>
      <c r="AE155" s="36">
        <f t="shared" si="35"/>
        <v>6.5454545454545459</v>
      </c>
      <c r="AF155" s="36">
        <f t="shared" si="16"/>
        <v>68</v>
      </c>
      <c r="AG155" s="36">
        <f t="shared" si="16"/>
        <v>18.545454545454547</v>
      </c>
      <c r="AH155" s="36">
        <f t="shared" si="17"/>
        <v>98</v>
      </c>
      <c r="AI155" s="36">
        <f t="shared" si="17"/>
        <v>26.727272727272727</v>
      </c>
    </row>
    <row r="156" spans="1:35">
      <c r="A156" s="33" t="s">
        <v>308</v>
      </c>
      <c r="B156" s="33" t="s">
        <v>321</v>
      </c>
      <c r="C156" s="34" t="s">
        <v>147</v>
      </c>
      <c r="D156" s="34" t="str">
        <f t="shared" si="27"/>
        <v>M27TRSS22EFH.27D3661(D901)</v>
      </c>
      <c r="E156" s="33" t="s">
        <v>7</v>
      </c>
      <c r="F156" s="33" t="s">
        <v>7</v>
      </c>
      <c r="G156" s="48">
        <v>220</v>
      </c>
      <c r="H156" s="35">
        <v>25</v>
      </c>
      <c r="I156" s="36">
        <v>1</v>
      </c>
      <c r="J156" s="36">
        <v>1</v>
      </c>
      <c r="K156" s="36">
        <v>3</v>
      </c>
      <c r="L156" s="36">
        <f t="shared" si="28"/>
        <v>30</v>
      </c>
      <c r="M156" s="36">
        <f t="shared" si="29"/>
        <v>8.1818181818181817</v>
      </c>
      <c r="N156" s="36">
        <v>29</v>
      </c>
      <c r="O156" s="36">
        <v>1</v>
      </c>
      <c r="P156" s="36">
        <v>1</v>
      </c>
      <c r="Q156" s="36">
        <v>1</v>
      </c>
      <c r="R156" s="36">
        <v>2</v>
      </c>
      <c r="S156" s="36">
        <f t="shared" si="30"/>
        <v>34</v>
      </c>
      <c r="T156" s="36">
        <f t="shared" si="31"/>
        <v>9.2727272727272734</v>
      </c>
      <c r="U156" s="36">
        <v>8</v>
      </c>
      <c r="V156" s="36">
        <v>1</v>
      </c>
      <c r="W156" s="36">
        <v>1</v>
      </c>
      <c r="X156" s="36">
        <f t="shared" si="32"/>
        <v>10</v>
      </c>
      <c r="Y156" s="36">
        <f t="shared" si="33"/>
        <v>2.7272727272727271</v>
      </c>
      <c r="Z156" s="36">
        <v>21</v>
      </c>
      <c r="AA156" s="36">
        <v>1</v>
      </c>
      <c r="AB156" s="36">
        <v>1</v>
      </c>
      <c r="AC156" s="36">
        <v>1</v>
      </c>
      <c r="AD156" s="36">
        <f t="shared" si="34"/>
        <v>24</v>
      </c>
      <c r="AE156" s="36">
        <f t="shared" si="35"/>
        <v>6.5454545454545459</v>
      </c>
      <c r="AF156" s="36">
        <f t="shared" si="16"/>
        <v>68</v>
      </c>
      <c r="AG156" s="36">
        <f t="shared" si="16"/>
        <v>18.545454545454547</v>
      </c>
      <c r="AH156" s="36">
        <f t="shared" si="17"/>
        <v>98</v>
      </c>
      <c r="AI156" s="36">
        <f t="shared" si="17"/>
        <v>26.727272727272727</v>
      </c>
    </row>
    <row r="157" spans="1:35">
      <c r="A157" s="42" t="s">
        <v>335</v>
      </c>
      <c r="B157" s="38" t="s">
        <v>321</v>
      </c>
      <c r="C157" s="39" t="s">
        <v>322</v>
      </c>
      <c r="D157" s="43" t="str">
        <f t="shared" si="27"/>
        <v>M27NLSS22AFH.27D3601(D905)</v>
      </c>
      <c r="E157" s="42" t="s">
        <v>21</v>
      </c>
      <c r="F157" s="42" t="s">
        <v>21</v>
      </c>
      <c r="G157" s="44">
        <v>300</v>
      </c>
      <c r="H157" s="44">
        <v>27</v>
      </c>
      <c r="I157" s="45">
        <v>1</v>
      </c>
      <c r="J157" s="45">
        <v>1</v>
      </c>
      <c r="K157" s="45">
        <v>3</v>
      </c>
      <c r="L157" s="41">
        <f t="shared" si="28"/>
        <v>32</v>
      </c>
      <c r="M157" s="41">
        <f t="shared" si="29"/>
        <v>6.4</v>
      </c>
      <c r="N157" s="45">
        <v>29</v>
      </c>
      <c r="O157" s="45">
        <v>1</v>
      </c>
      <c r="P157" s="45">
        <v>1</v>
      </c>
      <c r="Q157" s="45">
        <v>1</v>
      </c>
      <c r="R157" s="45">
        <v>2</v>
      </c>
      <c r="S157" s="41">
        <f t="shared" si="30"/>
        <v>34</v>
      </c>
      <c r="T157" s="41">
        <f t="shared" si="31"/>
        <v>6.8</v>
      </c>
      <c r="U157" s="45">
        <v>4</v>
      </c>
      <c r="V157" s="45">
        <v>1</v>
      </c>
      <c r="W157" s="45">
        <v>1</v>
      </c>
      <c r="X157" s="41">
        <f t="shared" si="32"/>
        <v>6</v>
      </c>
      <c r="Y157" s="41">
        <f t="shared" si="33"/>
        <v>1.2</v>
      </c>
      <c r="Z157" s="45">
        <v>23</v>
      </c>
      <c r="AA157" s="45">
        <v>2</v>
      </c>
      <c r="AB157" s="45">
        <v>1</v>
      </c>
      <c r="AC157" s="45">
        <v>1</v>
      </c>
      <c r="AD157" s="41">
        <f t="shared" si="34"/>
        <v>27</v>
      </c>
      <c r="AE157" s="41">
        <f t="shared" si="35"/>
        <v>5.4</v>
      </c>
      <c r="AF157" s="41">
        <f t="shared" si="16"/>
        <v>67</v>
      </c>
      <c r="AG157" s="41">
        <f t="shared" si="16"/>
        <v>13.4</v>
      </c>
      <c r="AH157" s="41">
        <f t="shared" si="17"/>
        <v>99</v>
      </c>
      <c r="AI157" s="41">
        <f t="shared" si="17"/>
        <v>19.8</v>
      </c>
    </row>
    <row r="158" spans="1:35">
      <c r="A158" s="42" t="s">
        <v>335</v>
      </c>
      <c r="B158" s="38" t="s">
        <v>321</v>
      </c>
      <c r="C158" s="39" t="s">
        <v>65</v>
      </c>
      <c r="D158" s="43" t="str">
        <f t="shared" si="27"/>
        <v>M27NLSS22AFH.27D3602(D905)</v>
      </c>
      <c r="E158" s="42" t="s">
        <v>21</v>
      </c>
      <c r="F158" s="42" t="s">
        <v>21</v>
      </c>
      <c r="G158" s="44">
        <v>300</v>
      </c>
      <c r="H158" s="44">
        <v>27</v>
      </c>
      <c r="I158" s="45">
        <v>1</v>
      </c>
      <c r="J158" s="45">
        <v>1</v>
      </c>
      <c r="K158" s="45">
        <v>3</v>
      </c>
      <c r="L158" s="41">
        <f t="shared" si="28"/>
        <v>32</v>
      </c>
      <c r="M158" s="41">
        <f t="shared" si="29"/>
        <v>6.4</v>
      </c>
      <c r="N158" s="45">
        <v>29</v>
      </c>
      <c r="O158" s="45">
        <v>1</v>
      </c>
      <c r="P158" s="45">
        <v>1</v>
      </c>
      <c r="Q158" s="45">
        <v>1</v>
      </c>
      <c r="R158" s="45">
        <v>2</v>
      </c>
      <c r="S158" s="41">
        <f t="shared" si="30"/>
        <v>34</v>
      </c>
      <c r="T158" s="41">
        <f t="shared" si="31"/>
        <v>6.8</v>
      </c>
      <c r="U158" s="45">
        <v>4</v>
      </c>
      <c r="V158" s="45">
        <v>1</v>
      </c>
      <c r="W158" s="45">
        <v>1</v>
      </c>
      <c r="X158" s="41">
        <f t="shared" si="32"/>
        <v>6</v>
      </c>
      <c r="Y158" s="41">
        <f t="shared" si="33"/>
        <v>1.2</v>
      </c>
      <c r="Z158" s="45">
        <v>23</v>
      </c>
      <c r="AA158" s="45">
        <v>2</v>
      </c>
      <c r="AB158" s="45">
        <v>1</v>
      </c>
      <c r="AC158" s="45">
        <v>1</v>
      </c>
      <c r="AD158" s="41">
        <f t="shared" si="34"/>
        <v>27</v>
      </c>
      <c r="AE158" s="41">
        <f t="shared" si="35"/>
        <v>5.4</v>
      </c>
      <c r="AF158" s="41">
        <f t="shared" si="16"/>
        <v>67</v>
      </c>
      <c r="AG158" s="41">
        <f t="shared" si="16"/>
        <v>13.4</v>
      </c>
      <c r="AH158" s="41">
        <f t="shared" si="17"/>
        <v>99</v>
      </c>
      <c r="AI158" s="41">
        <f t="shared" si="17"/>
        <v>19.8</v>
      </c>
    </row>
    <row r="159" spans="1:35">
      <c r="A159" s="42" t="s">
        <v>335</v>
      </c>
      <c r="B159" s="38" t="s">
        <v>321</v>
      </c>
      <c r="C159" s="39" t="s">
        <v>145</v>
      </c>
      <c r="D159" s="43" t="str">
        <f t="shared" si="27"/>
        <v>M27NLSS22AF-.27D3602(D905)</v>
      </c>
      <c r="E159" s="42" t="s">
        <v>21</v>
      </c>
      <c r="F159" s="42" t="s">
        <v>21</v>
      </c>
      <c r="G159" s="44">
        <v>300</v>
      </c>
      <c r="H159" s="44">
        <v>27</v>
      </c>
      <c r="I159" s="45">
        <v>1</v>
      </c>
      <c r="J159" s="45">
        <v>1</v>
      </c>
      <c r="K159" s="45">
        <v>3</v>
      </c>
      <c r="L159" s="41">
        <f t="shared" si="28"/>
        <v>32</v>
      </c>
      <c r="M159" s="41">
        <f t="shared" si="29"/>
        <v>6.4</v>
      </c>
      <c r="N159" s="45">
        <v>29</v>
      </c>
      <c r="O159" s="45">
        <v>1</v>
      </c>
      <c r="P159" s="45">
        <v>1</v>
      </c>
      <c r="Q159" s="45">
        <v>1</v>
      </c>
      <c r="R159" s="45">
        <v>2</v>
      </c>
      <c r="S159" s="41">
        <f t="shared" si="30"/>
        <v>34</v>
      </c>
      <c r="T159" s="41">
        <f t="shared" si="31"/>
        <v>6.8</v>
      </c>
      <c r="U159" s="45">
        <v>4</v>
      </c>
      <c r="V159" s="45">
        <v>1</v>
      </c>
      <c r="W159" s="45">
        <v>1</v>
      </c>
      <c r="X159" s="41">
        <f t="shared" si="32"/>
        <v>6</v>
      </c>
      <c r="Y159" s="41">
        <f t="shared" si="33"/>
        <v>1.2</v>
      </c>
      <c r="Z159" s="45">
        <v>23</v>
      </c>
      <c r="AA159" s="45">
        <v>2</v>
      </c>
      <c r="AB159" s="45">
        <v>1</v>
      </c>
      <c r="AC159" s="45">
        <v>1</v>
      </c>
      <c r="AD159" s="41">
        <f t="shared" si="34"/>
        <v>27</v>
      </c>
      <c r="AE159" s="41">
        <f t="shared" si="35"/>
        <v>5.4</v>
      </c>
      <c r="AF159" s="41">
        <f t="shared" si="16"/>
        <v>67</v>
      </c>
      <c r="AG159" s="41">
        <f t="shared" si="16"/>
        <v>13.4</v>
      </c>
      <c r="AH159" s="41">
        <f t="shared" si="17"/>
        <v>99</v>
      </c>
      <c r="AI159" s="41">
        <f t="shared" si="17"/>
        <v>19.8</v>
      </c>
    </row>
    <row r="160" spans="1:35">
      <c r="A160" s="42" t="s">
        <v>335</v>
      </c>
      <c r="B160" s="38" t="s">
        <v>321</v>
      </c>
      <c r="C160" s="39" t="s">
        <v>323</v>
      </c>
      <c r="D160" s="43" t="str">
        <f t="shared" si="27"/>
        <v>M27NLSS22AFH.27D3621(D905)</v>
      </c>
      <c r="E160" s="42" t="s">
        <v>21</v>
      </c>
      <c r="F160" s="42" t="s">
        <v>21</v>
      </c>
      <c r="G160" s="44">
        <v>300</v>
      </c>
      <c r="H160" s="44">
        <v>27</v>
      </c>
      <c r="I160" s="45">
        <v>1</v>
      </c>
      <c r="J160" s="45">
        <v>1</v>
      </c>
      <c r="K160" s="45">
        <v>3</v>
      </c>
      <c r="L160" s="41">
        <f t="shared" si="28"/>
        <v>32</v>
      </c>
      <c r="M160" s="41">
        <f t="shared" si="29"/>
        <v>6.4</v>
      </c>
      <c r="N160" s="45">
        <v>29</v>
      </c>
      <c r="O160" s="45">
        <v>1</v>
      </c>
      <c r="P160" s="45">
        <v>1</v>
      </c>
      <c r="Q160" s="45">
        <v>1</v>
      </c>
      <c r="R160" s="45">
        <v>2</v>
      </c>
      <c r="S160" s="41">
        <f t="shared" si="30"/>
        <v>34</v>
      </c>
      <c r="T160" s="41">
        <f t="shared" si="31"/>
        <v>6.8</v>
      </c>
      <c r="U160" s="45">
        <v>4</v>
      </c>
      <c r="V160" s="45">
        <v>1</v>
      </c>
      <c r="W160" s="45">
        <v>1</v>
      </c>
      <c r="X160" s="41">
        <f t="shared" si="32"/>
        <v>6</v>
      </c>
      <c r="Y160" s="41">
        <f t="shared" si="33"/>
        <v>1.2</v>
      </c>
      <c r="Z160" s="45">
        <v>23</v>
      </c>
      <c r="AA160" s="45">
        <v>2</v>
      </c>
      <c r="AB160" s="45">
        <v>1</v>
      </c>
      <c r="AC160" s="45">
        <v>1</v>
      </c>
      <c r="AD160" s="41">
        <f t="shared" si="34"/>
        <v>27</v>
      </c>
      <c r="AE160" s="41">
        <f t="shared" si="35"/>
        <v>5.4</v>
      </c>
      <c r="AF160" s="41">
        <f t="shared" si="16"/>
        <v>67</v>
      </c>
      <c r="AG160" s="41">
        <f t="shared" si="16"/>
        <v>13.4</v>
      </c>
      <c r="AH160" s="41">
        <f t="shared" si="17"/>
        <v>99</v>
      </c>
      <c r="AI160" s="41">
        <f t="shared" si="17"/>
        <v>19.8</v>
      </c>
    </row>
    <row r="161" spans="1:35">
      <c r="A161" s="42" t="s">
        <v>335</v>
      </c>
      <c r="B161" s="38" t="s">
        <v>321</v>
      </c>
      <c r="C161" s="39" t="s">
        <v>70</v>
      </c>
      <c r="D161" s="43" t="str">
        <f t="shared" si="27"/>
        <v>M27NLSS22AFH.27D3622(D905)</v>
      </c>
      <c r="E161" s="42" t="s">
        <v>21</v>
      </c>
      <c r="F161" s="42" t="s">
        <v>21</v>
      </c>
      <c r="G161" s="44">
        <v>300</v>
      </c>
      <c r="H161" s="44">
        <v>27</v>
      </c>
      <c r="I161" s="45">
        <v>1</v>
      </c>
      <c r="J161" s="45">
        <v>1</v>
      </c>
      <c r="K161" s="45">
        <v>3</v>
      </c>
      <c r="L161" s="41">
        <f t="shared" si="28"/>
        <v>32</v>
      </c>
      <c r="M161" s="41">
        <f t="shared" si="29"/>
        <v>6.4</v>
      </c>
      <c r="N161" s="45">
        <v>29</v>
      </c>
      <c r="O161" s="45">
        <v>1</v>
      </c>
      <c r="P161" s="45">
        <v>1</v>
      </c>
      <c r="Q161" s="45">
        <v>1</v>
      </c>
      <c r="R161" s="45">
        <v>2</v>
      </c>
      <c r="S161" s="41">
        <f t="shared" si="30"/>
        <v>34</v>
      </c>
      <c r="T161" s="41">
        <f t="shared" si="31"/>
        <v>6.8</v>
      </c>
      <c r="U161" s="45">
        <v>4</v>
      </c>
      <c r="V161" s="45">
        <v>1</v>
      </c>
      <c r="W161" s="45">
        <v>1</v>
      </c>
      <c r="X161" s="41">
        <f t="shared" si="32"/>
        <v>6</v>
      </c>
      <c r="Y161" s="41">
        <f t="shared" si="33"/>
        <v>1.2</v>
      </c>
      <c r="Z161" s="45">
        <v>23</v>
      </c>
      <c r="AA161" s="45">
        <v>2</v>
      </c>
      <c r="AB161" s="45">
        <v>1</v>
      </c>
      <c r="AC161" s="45">
        <v>1</v>
      </c>
      <c r="AD161" s="41">
        <f t="shared" si="34"/>
        <v>27</v>
      </c>
      <c r="AE161" s="41">
        <f t="shared" si="35"/>
        <v>5.4</v>
      </c>
      <c r="AF161" s="41">
        <f t="shared" si="16"/>
        <v>67</v>
      </c>
      <c r="AG161" s="41">
        <f t="shared" si="16"/>
        <v>13.4</v>
      </c>
      <c r="AH161" s="41">
        <f t="shared" si="17"/>
        <v>99</v>
      </c>
      <c r="AI161" s="41">
        <f t="shared" si="17"/>
        <v>19.8</v>
      </c>
    </row>
    <row r="162" spans="1:35">
      <c r="A162" s="42" t="s">
        <v>335</v>
      </c>
      <c r="B162" s="38" t="s">
        <v>321</v>
      </c>
      <c r="C162" s="39" t="s">
        <v>324</v>
      </c>
      <c r="D162" s="43" t="str">
        <f t="shared" si="27"/>
        <v>M27NLSS22AFH.27D3641(D905)</v>
      </c>
      <c r="E162" s="42" t="s">
        <v>21</v>
      </c>
      <c r="F162" s="42" t="s">
        <v>21</v>
      </c>
      <c r="G162" s="44">
        <v>300</v>
      </c>
      <c r="H162" s="44">
        <v>27</v>
      </c>
      <c r="I162" s="45">
        <v>1</v>
      </c>
      <c r="J162" s="45">
        <v>1</v>
      </c>
      <c r="K162" s="45">
        <v>3</v>
      </c>
      <c r="L162" s="41">
        <f t="shared" si="28"/>
        <v>32</v>
      </c>
      <c r="M162" s="41">
        <f t="shared" si="29"/>
        <v>6.4</v>
      </c>
      <c r="N162" s="45">
        <v>29</v>
      </c>
      <c r="O162" s="45">
        <v>1</v>
      </c>
      <c r="P162" s="45">
        <v>1</v>
      </c>
      <c r="Q162" s="45">
        <v>1</v>
      </c>
      <c r="R162" s="45">
        <v>2</v>
      </c>
      <c r="S162" s="41">
        <f t="shared" si="30"/>
        <v>34</v>
      </c>
      <c r="T162" s="41">
        <f t="shared" si="31"/>
        <v>6.8</v>
      </c>
      <c r="U162" s="45">
        <v>4</v>
      </c>
      <c r="V162" s="45">
        <v>1</v>
      </c>
      <c r="W162" s="45">
        <v>1</v>
      </c>
      <c r="X162" s="41">
        <f t="shared" si="32"/>
        <v>6</v>
      </c>
      <c r="Y162" s="41">
        <f t="shared" si="33"/>
        <v>1.2</v>
      </c>
      <c r="Z162" s="45">
        <v>23</v>
      </c>
      <c r="AA162" s="45">
        <v>2</v>
      </c>
      <c r="AB162" s="45">
        <v>1</v>
      </c>
      <c r="AC162" s="45">
        <v>1</v>
      </c>
      <c r="AD162" s="41">
        <f t="shared" si="34"/>
        <v>27</v>
      </c>
      <c r="AE162" s="41">
        <f t="shared" si="35"/>
        <v>5.4</v>
      </c>
      <c r="AF162" s="41">
        <f t="shared" si="16"/>
        <v>67</v>
      </c>
      <c r="AG162" s="41">
        <f t="shared" si="16"/>
        <v>13.4</v>
      </c>
      <c r="AH162" s="41">
        <f t="shared" si="17"/>
        <v>99</v>
      </c>
      <c r="AI162" s="41">
        <f t="shared" si="17"/>
        <v>19.8</v>
      </c>
    </row>
    <row r="163" spans="1:35">
      <c r="A163" s="42" t="s">
        <v>335</v>
      </c>
      <c r="B163" s="38" t="s">
        <v>321</v>
      </c>
      <c r="C163" s="39" t="s">
        <v>67</v>
      </c>
      <c r="D163" s="43" t="str">
        <f t="shared" si="27"/>
        <v>M27NLSS22AFH.27D3642(D905)</v>
      </c>
      <c r="E163" s="42" t="s">
        <v>21</v>
      </c>
      <c r="F163" s="42" t="s">
        <v>21</v>
      </c>
      <c r="G163" s="44">
        <v>300</v>
      </c>
      <c r="H163" s="44">
        <v>27</v>
      </c>
      <c r="I163" s="45">
        <v>1</v>
      </c>
      <c r="J163" s="45">
        <v>1</v>
      </c>
      <c r="K163" s="45">
        <v>3</v>
      </c>
      <c r="L163" s="41">
        <f t="shared" si="28"/>
        <v>32</v>
      </c>
      <c r="M163" s="41">
        <f t="shared" si="29"/>
        <v>6.4</v>
      </c>
      <c r="N163" s="45">
        <v>29</v>
      </c>
      <c r="O163" s="45">
        <v>1</v>
      </c>
      <c r="P163" s="45">
        <v>1</v>
      </c>
      <c r="Q163" s="45">
        <v>1</v>
      </c>
      <c r="R163" s="45">
        <v>2</v>
      </c>
      <c r="S163" s="41">
        <f t="shared" si="30"/>
        <v>34</v>
      </c>
      <c r="T163" s="41">
        <f t="shared" si="31"/>
        <v>6.8</v>
      </c>
      <c r="U163" s="45">
        <v>4</v>
      </c>
      <c r="V163" s="45">
        <v>1</v>
      </c>
      <c r="W163" s="45">
        <v>1</v>
      </c>
      <c r="X163" s="41">
        <f t="shared" si="32"/>
        <v>6</v>
      </c>
      <c r="Y163" s="41">
        <f t="shared" si="33"/>
        <v>1.2</v>
      </c>
      <c r="Z163" s="45">
        <v>23</v>
      </c>
      <c r="AA163" s="45">
        <v>2</v>
      </c>
      <c r="AB163" s="45">
        <v>1</v>
      </c>
      <c r="AC163" s="45">
        <v>1</v>
      </c>
      <c r="AD163" s="41">
        <f t="shared" si="34"/>
        <v>27</v>
      </c>
      <c r="AE163" s="41">
        <f t="shared" si="35"/>
        <v>5.4</v>
      </c>
      <c r="AF163" s="41">
        <f t="shared" si="16"/>
        <v>67</v>
      </c>
      <c r="AG163" s="41">
        <f t="shared" si="16"/>
        <v>13.4</v>
      </c>
      <c r="AH163" s="41">
        <f t="shared" si="17"/>
        <v>99</v>
      </c>
      <c r="AI163" s="41">
        <f t="shared" si="17"/>
        <v>19.8</v>
      </c>
    </row>
    <row r="164" spans="1:35">
      <c r="A164" s="42" t="s">
        <v>335</v>
      </c>
      <c r="B164" s="38" t="s">
        <v>321</v>
      </c>
      <c r="C164" s="43" t="s">
        <v>325</v>
      </c>
      <c r="D164" s="43" t="str">
        <f t="shared" si="27"/>
        <v>M27NLSS22AFH.27D3661(D905)</v>
      </c>
      <c r="E164" s="42" t="s">
        <v>21</v>
      </c>
      <c r="F164" s="42" t="s">
        <v>21</v>
      </c>
      <c r="G164" s="44">
        <v>300</v>
      </c>
      <c r="H164" s="44">
        <v>27</v>
      </c>
      <c r="I164" s="45">
        <v>1</v>
      </c>
      <c r="J164" s="45">
        <v>1</v>
      </c>
      <c r="K164" s="45">
        <v>3</v>
      </c>
      <c r="L164" s="41">
        <f t="shared" si="28"/>
        <v>32</v>
      </c>
      <c r="M164" s="41">
        <f t="shared" si="29"/>
        <v>6.4</v>
      </c>
      <c r="N164" s="45">
        <v>29</v>
      </c>
      <c r="O164" s="45">
        <v>1</v>
      </c>
      <c r="P164" s="45">
        <v>1</v>
      </c>
      <c r="Q164" s="45">
        <v>1</v>
      </c>
      <c r="R164" s="45">
        <v>2</v>
      </c>
      <c r="S164" s="41">
        <f t="shared" si="30"/>
        <v>34</v>
      </c>
      <c r="T164" s="41">
        <f t="shared" si="31"/>
        <v>6.8</v>
      </c>
      <c r="U164" s="45">
        <v>4</v>
      </c>
      <c r="V164" s="45">
        <v>1</v>
      </c>
      <c r="W164" s="45">
        <v>1</v>
      </c>
      <c r="X164" s="41">
        <f t="shared" si="32"/>
        <v>6</v>
      </c>
      <c r="Y164" s="41">
        <f t="shared" si="33"/>
        <v>1.2</v>
      </c>
      <c r="Z164" s="45">
        <v>23</v>
      </c>
      <c r="AA164" s="45">
        <v>2</v>
      </c>
      <c r="AB164" s="45">
        <v>1</v>
      </c>
      <c r="AC164" s="45">
        <v>1</v>
      </c>
      <c r="AD164" s="41">
        <f t="shared" si="34"/>
        <v>27</v>
      </c>
      <c r="AE164" s="41">
        <f t="shared" si="35"/>
        <v>5.4</v>
      </c>
      <c r="AF164" s="41">
        <f t="shared" si="16"/>
        <v>67</v>
      </c>
      <c r="AG164" s="41">
        <f t="shared" si="16"/>
        <v>13.4</v>
      </c>
      <c r="AH164" s="41">
        <f t="shared" si="17"/>
        <v>99</v>
      </c>
      <c r="AI164" s="41">
        <f t="shared" si="17"/>
        <v>19.8</v>
      </c>
    </row>
    <row r="165" spans="1:35">
      <c r="A165" s="42" t="s">
        <v>335</v>
      </c>
      <c r="B165" s="38" t="s">
        <v>321</v>
      </c>
      <c r="C165" s="39" t="s">
        <v>64</v>
      </c>
      <c r="D165" s="43" t="str">
        <f t="shared" si="27"/>
        <v>M27NLSS22AFH.27D3662(D905)</v>
      </c>
      <c r="E165" s="42" t="s">
        <v>21</v>
      </c>
      <c r="F165" s="42" t="s">
        <v>21</v>
      </c>
      <c r="G165" s="44">
        <v>300</v>
      </c>
      <c r="H165" s="44">
        <v>27</v>
      </c>
      <c r="I165" s="45">
        <v>1</v>
      </c>
      <c r="J165" s="45">
        <v>1</v>
      </c>
      <c r="K165" s="45">
        <v>3</v>
      </c>
      <c r="L165" s="41">
        <f t="shared" si="28"/>
        <v>32</v>
      </c>
      <c r="M165" s="41">
        <f t="shared" si="29"/>
        <v>6.4</v>
      </c>
      <c r="N165" s="45">
        <v>29</v>
      </c>
      <c r="O165" s="45">
        <v>1</v>
      </c>
      <c r="P165" s="45">
        <v>1</v>
      </c>
      <c r="Q165" s="45">
        <v>1</v>
      </c>
      <c r="R165" s="45">
        <v>2</v>
      </c>
      <c r="S165" s="41">
        <f t="shared" si="30"/>
        <v>34</v>
      </c>
      <c r="T165" s="41">
        <f t="shared" si="31"/>
        <v>6.8</v>
      </c>
      <c r="U165" s="45">
        <v>4</v>
      </c>
      <c r="V165" s="45">
        <v>1</v>
      </c>
      <c r="W165" s="45">
        <v>1</v>
      </c>
      <c r="X165" s="41">
        <f t="shared" si="32"/>
        <v>6</v>
      </c>
      <c r="Y165" s="41">
        <f t="shared" si="33"/>
        <v>1.2</v>
      </c>
      <c r="Z165" s="45">
        <v>23</v>
      </c>
      <c r="AA165" s="45">
        <v>2</v>
      </c>
      <c r="AB165" s="45">
        <v>1</v>
      </c>
      <c r="AC165" s="45">
        <v>1</v>
      </c>
      <c r="AD165" s="41">
        <f t="shared" si="34"/>
        <v>27</v>
      </c>
      <c r="AE165" s="41">
        <f t="shared" si="35"/>
        <v>5.4</v>
      </c>
      <c r="AF165" s="41">
        <f t="shared" si="16"/>
        <v>67</v>
      </c>
      <c r="AG165" s="41">
        <f t="shared" si="16"/>
        <v>13.4</v>
      </c>
      <c r="AH165" s="41">
        <f t="shared" si="17"/>
        <v>99</v>
      </c>
      <c r="AI165" s="41">
        <f t="shared" si="17"/>
        <v>19.8</v>
      </c>
    </row>
    <row r="166" spans="1:35">
      <c r="A166" s="42" t="s">
        <v>335</v>
      </c>
      <c r="B166" s="38" t="s">
        <v>321</v>
      </c>
      <c r="C166" s="39" t="s">
        <v>326</v>
      </c>
      <c r="D166" s="43" t="str">
        <f t="shared" si="27"/>
        <v>M27VNSS22AFH.27D3661(D905)</v>
      </c>
      <c r="E166" s="42" t="s">
        <v>21</v>
      </c>
      <c r="F166" s="42" t="s">
        <v>21</v>
      </c>
      <c r="G166" s="44">
        <v>300</v>
      </c>
      <c r="H166" s="44">
        <v>27</v>
      </c>
      <c r="I166" s="45">
        <v>1</v>
      </c>
      <c r="J166" s="45">
        <v>1</v>
      </c>
      <c r="K166" s="45">
        <v>3</v>
      </c>
      <c r="L166" s="41">
        <f t="shared" si="28"/>
        <v>32</v>
      </c>
      <c r="M166" s="41">
        <f t="shared" si="29"/>
        <v>6.4</v>
      </c>
      <c r="N166" s="45">
        <v>29</v>
      </c>
      <c r="O166" s="45">
        <v>1</v>
      </c>
      <c r="P166" s="45">
        <v>1</v>
      </c>
      <c r="Q166" s="45">
        <v>1</v>
      </c>
      <c r="R166" s="45">
        <v>2</v>
      </c>
      <c r="S166" s="41">
        <f t="shared" si="30"/>
        <v>34</v>
      </c>
      <c r="T166" s="41">
        <f t="shared" si="31"/>
        <v>6.8</v>
      </c>
      <c r="U166" s="45">
        <v>4</v>
      </c>
      <c r="V166" s="45">
        <v>1</v>
      </c>
      <c r="W166" s="45">
        <v>1</v>
      </c>
      <c r="X166" s="41">
        <f t="shared" si="32"/>
        <v>6</v>
      </c>
      <c r="Y166" s="41">
        <f t="shared" si="33"/>
        <v>1.2</v>
      </c>
      <c r="Z166" s="45">
        <v>23</v>
      </c>
      <c r="AA166" s="45">
        <v>2</v>
      </c>
      <c r="AB166" s="45">
        <v>1</v>
      </c>
      <c r="AC166" s="45">
        <v>1</v>
      </c>
      <c r="AD166" s="41">
        <f t="shared" si="34"/>
        <v>27</v>
      </c>
      <c r="AE166" s="41">
        <f t="shared" si="35"/>
        <v>5.4</v>
      </c>
      <c r="AF166" s="41">
        <f t="shared" si="16"/>
        <v>67</v>
      </c>
      <c r="AG166" s="41">
        <f t="shared" si="16"/>
        <v>13.4</v>
      </c>
      <c r="AH166" s="41">
        <f t="shared" si="17"/>
        <v>99</v>
      </c>
      <c r="AI166" s="41">
        <f t="shared" si="17"/>
        <v>19.8</v>
      </c>
    </row>
    <row r="167" spans="1:35">
      <c r="A167" s="42" t="s">
        <v>335</v>
      </c>
      <c r="B167" s="38" t="s">
        <v>321</v>
      </c>
      <c r="C167" s="39" t="s">
        <v>71</v>
      </c>
      <c r="D167" s="43" t="str">
        <f t="shared" si="27"/>
        <v>M27VNSS22AFH.27D3662(D905)</v>
      </c>
      <c r="E167" s="42" t="s">
        <v>21</v>
      </c>
      <c r="F167" s="42" t="s">
        <v>21</v>
      </c>
      <c r="G167" s="44">
        <v>300</v>
      </c>
      <c r="H167" s="44">
        <v>27</v>
      </c>
      <c r="I167" s="45">
        <v>1</v>
      </c>
      <c r="J167" s="45">
        <v>1</v>
      </c>
      <c r="K167" s="45">
        <v>3</v>
      </c>
      <c r="L167" s="41">
        <f t="shared" si="28"/>
        <v>32</v>
      </c>
      <c r="M167" s="41">
        <f t="shared" si="29"/>
        <v>6.4</v>
      </c>
      <c r="N167" s="45">
        <v>29</v>
      </c>
      <c r="O167" s="45">
        <v>1</v>
      </c>
      <c r="P167" s="45">
        <v>1</v>
      </c>
      <c r="Q167" s="45">
        <v>1</v>
      </c>
      <c r="R167" s="45">
        <v>2</v>
      </c>
      <c r="S167" s="41">
        <f t="shared" si="30"/>
        <v>34</v>
      </c>
      <c r="T167" s="41">
        <f t="shared" si="31"/>
        <v>6.8</v>
      </c>
      <c r="U167" s="45">
        <v>4</v>
      </c>
      <c r="V167" s="45">
        <v>1</v>
      </c>
      <c r="W167" s="45">
        <v>1</v>
      </c>
      <c r="X167" s="41">
        <f t="shared" si="32"/>
        <v>6</v>
      </c>
      <c r="Y167" s="41">
        <f t="shared" si="33"/>
        <v>1.2</v>
      </c>
      <c r="Z167" s="45">
        <v>23</v>
      </c>
      <c r="AA167" s="45">
        <v>2</v>
      </c>
      <c r="AB167" s="45">
        <v>1</v>
      </c>
      <c r="AC167" s="45">
        <v>1</v>
      </c>
      <c r="AD167" s="41">
        <f t="shared" si="34"/>
        <v>27</v>
      </c>
      <c r="AE167" s="41">
        <f t="shared" si="35"/>
        <v>5.4</v>
      </c>
      <c r="AF167" s="41">
        <f t="shared" si="16"/>
        <v>67</v>
      </c>
      <c r="AG167" s="41">
        <f t="shared" si="16"/>
        <v>13.4</v>
      </c>
      <c r="AH167" s="41">
        <f t="shared" si="17"/>
        <v>99</v>
      </c>
      <c r="AI167" s="41">
        <f t="shared" si="17"/>
        <v>19.8</v>
      </c>
    </row>
    <row r="168" spans="1:35">
      <c r="A168" s="42" t="s">
        <v>335</v>
      </c>
      <c r="B168" s="38" t="s">
        <v>321</v>
      </c>
      <c r="C168" s="39" t="s">
        <v>327</v>
      </c>
      <c r="D168" s="43" t="str">
        <f t="shared" si="27"/>
        <v>M27AUSS22AFH.27D3601(D905)</v>
      </c>
      <c r="E168" s="42" t="s">
        <v>21</v>
      </c>
      <c r="F168" s="42" t="s">
        <v>21</v>
      </c>
      <c r="G168" s="44">
        <v>300</v>
      </c>
      <c r="H168" s="44">
        <v>27</v>
      </c>
      <c r="I168" s="45">
        <v>1</v>
      </c>
      <c r="J168" s="45">
        <v>1</v>
      </c>
      <c r="K168" s="45">
        <v>3</v>
      </c>
      <c r="L168" s="41">
        <f t="shared" si="28"/>
        <v>32</v>
      </c>
      <c r="M168" s="41">
        <f t="shared" si="29"/>
        <v>6.4</v>
      </c>
      <c r="N168" s="45">
        <v>29</v>
      </c>
      <c r="O168" s="45">
        <v>1</v>
      </c>
      <c r="P168" s="45">
        <v>1</v>
      </c>
      <c r="Q168" s="45">
        <v>1</v>
      </c>
      <c r="R168" s="45">
        <v>2</v>
      </c>
      <c r="S168" s="41">
        <f t="shared" si="30"/>
        <v>34</v>
      </c>
      <c r="T168" s="41">
        <f t="shared" si="31"/>
        <v>6.8</v>
      </c>
      <c r="U168" s="45">
        <v>4</v>
      </c>
      <c r="V168" s="45">
        <v>1</v>
      </c>
      <c r="W168" s="45">
        <v>1</v>
      </c>
      <c r="X168" s="41">
        <f t="shared" si="32"/>
        <v>6</v>
      </c>
      <c r="Y168" s="41">
        <f t="shared" si="33"/>
        <v>1.2</v>
      </c>
      <c r="Z168" s="45">
        <v>23</v>
      </c>
      <c r="AA168" s="45">
        <v>2</v>
      </c>
      <c r="AB168" s="45">
        <v>1</v>
      </c>
      <c r="AC168" s="45">
        <v>1</v>
      </c>
      <c r="AD168" s="41">
        <f t="shared" si="34"/>
        <v>27</v>
      </c>
      <c r="AE168" s="41">
        <f t="shared" si="35"/>
        <v>5.4</v>
      </c>
      <c r="AF168" s="41">
        <f t="shared" si="16"/>
        <v>67</v>
      </c>
      <c r="AG168" s="41">
        <f t="shared" si="16"/>
        <v>13.4</v>
      </c>
      <c r="AH168" s="41">
        <f t="shared" si="17"/>
        <v>99</v>
      </c>
      <c r="AI168" s="41">
        <f t="shared" si="17"/>
        <v>19.8</v>
      </c>
    </row>
    <row r="169" spans="1:35">
      <c r="A169" s="42" t="s">
        <v>335</v>
      </c>
      <c r="B169" s="38" t="s">
        <v>321</v>
      </c>
      <c r="C169" s="39" t="s">
        <v>87</v>
      </c>
      <c r="D169" s="43" t="str">
        <f t="shared" si="27"/>
        <v>M27AUSS22AF-.27D3602(D905)</v>
      </c>
      <c r="E169" s="42" t="s">
        <v>21</v>
      </c>
      <c r="F169" s="42" t="s">
        <v>21</v>
      </c>
      <c r="G169" s="44">
        <v>300</v>
      </c>
      <c r="H169" s="44">
        <v>27</v>
      </c>
      <c r="I169" s="45">
        <v>1</v>
      </c>
      <c r="J169" s="45">
        <v>1</v>
      </c>
      <c r="K169" s="45">
        <v>3</v>
      </c>
      <c r="L169" s="41">
        <f t="shared" si="28"/>
        <v>32</v>
      </c>
      <c r="M169" s="41">
        <f t="shared" si="29"/>
        <v>6.4</v>
      </c>
      <c r="N169" s="45">
        <v>29</v>
      </c>
      <c r="O169" s="45">
        <v>1</v>
      </c>
      <c r="P169" s="45">
        <v>1</v>
      </c>
      <c r="Q169" s="45">
        <v>1</v>
      </c>
      <c r="R169" s="45">
        <v>2</v>
      </c>
      <c r="S169" s="41">
        <f t="shared" si="30"/>
        <v>34</v>
      </c>
      <c r="T169" s="41">
        <f t="shared" si="31"/>
        <v>6.8</v>
      </c>
      <c r="U169" s="45">
        <v>4</v>
      </c>
      <c r="V169" s="45">
        <v>1</v>
      </c>
      <c r="W169" s="45">
        <v>1</v>
      </c>
      <c r="X169" s="41">
        <f t="shared" si="32"/>
        <v>6</v>
      </c>
      <c r="Y169" s="41">
        <f t="shared" si="33"/>
        <v>1.2</v>
      </c>
      <c r="Z169" s="45">
        <v>23</v>
      </c>
      <c r="AA169" s="45">
        <v>2</v>
      </c>
      <c r="AB169" s="45">
        <v>1</v>
      </c>
      <c r="AC169" s="45">
        <v>1</v>
      </c>
      <c r="AD169" s="41">
        <f t="shared" si="34"/>
        <v>27</v>
      </c>
      <c r="AE169" s="41">
        <f t="shared" si="35"/>
        <v>5.4</v>
      </c>
      <c r="AF169" s="41">
        <f t="shared" si="16"/>
        <v>67</v>
      </c>
      <c r="AG169" s="41">
        <f t="shared" si="16"/>
        <v>13.4</v>
      </c>
      <c r="AH169" s="41">
        <f t="shared" si="17"/>
        <v>99</v>
      </c>
      <c r="AI169" s="41">
        <f t="shared" si="17"/>
        <v>19.8</v>
      </c>
    </row>
    <row r="170" spans="1:35">
      <c r="A170" s="42" t="s">
        <v>335</v>
      </c>
      <c r="B170" s="38" t="s">
        <v>321</v>
      </c>
      <c r="C170" s="39" t="s">
        <v>66</v>
      </c>
      <c r="D170" s="43" t="str">
        <f t="shared" si="27"/>
        <v>M27AUSS22AFH.27D3602(D905)</v>
      </c>
      <c r="E170" s="42" t="s">
        <v>21</v>
      </c>
      <c r="F170" s="42" t="s">
        <v>21</v>
      </c>
      <c r="G170" s="44">
        <v>300</v>
      </c>
      <c r="H170" s="44">
        <v>27</v>
      </c>
      <c r="I170" s="45">
        <v>1</v>
      </c>
      <c r="J170" s="45">
        <v>1</v>
      </c>
      <c r="K170" s="45">
        <v>3</v>
      </c>
      <c r="L170" s="41">
        <f t="shared" si="28"/>
        <v>32</v>
      </c>
      <c r="M170" s="41">
        <f t="shared" si="29"/>
        <v>6.4</v>
      </c>
      <c r="N170" s="45">
        <v>29</v>
      </c>
      <c r="O170" s="45">
        <v>1</v>
      </c>
      <c r="P170" s="45">
        <v>1</v>
      </c>
      <c r="Q170" s="45">
        <v>1</v>
      </c>
      <c r="R170" s="45">
        <v>2</v>
      </c>
      <c r="S170" s="41">
        <f t="shared" si="30"/>
        <v>34</v>
      </c>
      <c r="T170" s="41">
        <f t="shared" si="31"/>
        <v>6.8</v>
      </c>
      <c r="U170" s="45">
        <v>4</v>
      </c>
      <c r="V170" s="45">
        <v>1</v>
      </c>
      <c r="W170" s="45">
        <v>1</v>
      </c>
      <c r="X170" s="41">
        <f t="shared" si="32"/>
        <v>6</v>
      </c>
      <c r="Y170" s="41">
        <f t="shared" si="33"/>
        <v>1.2</v>
      </c>
      <c r="Z170" s="45">
        <v>23</v>
      </c>
      <c r="AA170" s="45">
        <v>2</v>
      </c>
      <c r="AB170" s="45">
        <v>1</v>
      </c>
      <c r="AC170" s="45">
        <v>1</v>
      </c>
      <c r="AD170" s="41">
        <f t="shared" si="34"/>
        <v>27</v>
      </c>
      <c r="AE170" s="41">
        <f t="shared" si="35"/>
        <v>5.4</v>
      </c>
      <c r="AF170" s="41">
        <f t="shared" si="16"/>
        <v>67</v>
      </c>
      <c r="AG170" s="41">
        <f t="shared" si="16"/>
        <v>13.4</v>
      </c>
      <c r="AH170" s="41">
        <f t="shared" si="17"/>
        <v>99</v>
      </c>
      <c r="AI170" s="41">
        <f t="shared" si="17"/>
        <v>19.8</v>
      </c>
    </row>
    <row r="171" spans="1:35">
      <c r="A171" s="42" t="s">
        <v>335</v>
      </c>
      <c r="B171" s="38" t="s">
        <v>321</v>
      </c>
      <c r="C171" s="39" t="s">
        <v>55</v>
      </c>
      <c r="D171" s="43" t="str">
        <f t="shared" si="27"/>
        <v>M27AUSS22AFH.27D3662(D905)</v>
      </c>
      <c r="E171" s="42" t="s">
        <v>21</v>
      </c>
      <c r="F171" s="42" t="s">
        <v>21</v>
      </c>
      <c r="G171" s="44">
        <v>300</v>
      </c>
      <c r="H171" s="44">
        <v>27</v>
      </c>
      <c r="I171" s="45">
        <v>1</v>
      </c>
      <c r="J171" s="45">
        <v>1</v>
      </c>
      <c r="K171" s="45">
        <v>3</v>
      </c>
      <c r="L171" s="41">
        <f t="shared" si="28"/>
        <v>32</v>
      </c>
      <c r="M171" s="41">
        <f t="shared" si="29"/>
        <v>6.4</v>
      </c>
      <c r="N171" s="45">
        <v>29</v>
      </c>
      <c r="O171" s="45">
        <v>1</v>
      </c>
      <c r="P171" s="45">
        <v>1</v>
      </c>
      <c r="Q171" s="45">
        <v>1</v>
      </c>
      <c r="R171" s="45">
        <v>2</v>
      </c>
      <c r="S171" s="41">
        <f t="shared" si="30"/>
        <v>34</v>
      </c>
      <c r="T171" s="41">
        <f t="shared" si="31"/>
        <v>6.8</v>
      </c>
      <c r="U171" s="45">
        <v>4</v>
      </c>
      <c r="V171" s="45">
        <v>1</v>
      </c>
      <c r="W171" s="45">
        <v>1</v>
      </c>
      <c r="X171" s="41">
        <f t="shared" si="32"/>
        <v>6</v>
      </c>
      <c r="Y171" s="41">
        <f t="shared" si="33"/>
        <v>1.2</v>
      </c>
      <c r="Z171" s="45">
        <v>23</v>
      </c>
      <c r="AA171" s="45">
        <v>2</v>
      </c>
      <c r="AB171" s="45">
        <v>1</v>
      </c>
      <c r="AC171" s="45">
        <v>1</v>
      </c>
      <c r="AD171" s="41">
        <f t="shared" si="34"/>
        <v>27</v>
      </c>
      <c r="AE171" s="41">
        <f t="shared" si="35"/>
        <v>5.4</v>
      </c>
      <c r="AF171" s="41">
        <f t="shared" si="16"/>
        <v>67</v>
      </c>
      <c r="AG171" s="41">
        <f t="shared" si="16"/>
        <v>13.4</v>
      </c>
      <c r="AH171" s="41">
        <f t="shared" si="17"/>
        <v>99</v>
      </c>
      <c r="AI171" s="41">
        <f t="shared" si="17"/>
        <v>19.8</v>
      </c>
    </row>
    <row r="172" spans="1:35">
      <c r="A172" s="42" t="s">
        <v>335</v>
      </c>
      <c r="B172" s="38" t="s">
        <v>321</v>
      </c>
      <c r="C172" s="39" t="s">
        <v>328</v>
      </c>
      <c r="D172" s="43" t="str">
        <f t="shared" si="27"/>
        <v>M27CLSS22AFH.27D3601(D905)</v>
      </c>
      <c r="E172" s="42" t="s">
        <v>21</v>
      </c>
      <c r="F172" s="42" t="s">
        <v>21</v>
      </c>
      <c r="G172" s="44">
        <v>300</v>
      </c>
      <c r="H172" s="44">
        <v>27</v>
      </c>
      <c r="I172" s="45">
        <v>1</v>
      </c>
      <c r="J172" s="45">
        <v>1</v>
      </c>
      <c r="K172" s="45">
        <v>3</v>
      </c>
      <c r="L172" s="41">
        <f t="shared" si="28"/>
        <v>32</v>
      </c>
      <c r="M172" s="41">
        <f t="shared" si="29"/>
        <v>6.4</v>
      </c>
      <c r="N172" s="45">
        <v>29</v>
      </c>
      <c r="O172" s="45">
        <v>1</v>
      </c>
      <c r="P172" s="45">
        <v>1</v>
      </c>
      <c r="Q172" s="45">
        <v>1</v>
      </c>
      <c r="R172" s="45">
        <v>2</v>
      </c>
      <c r="S172" s="41">
        <f t="shared" si="30"/>
        <v>34</v>
      </c>
      <c r="T172" s="41">
        <f t="shared" si="31"/>
        <v>6.8</v>
      </c>
      <c r="U172" s="45">
        <v>4</v>
      </c>
      <c r="V172" s="45">
        <v>1</v>
      </c>
      <c r="W172" s="45">
        <v>1</v>
      </c>
      <c r="X172" s="41">
        <f t="shared" si="32"/>
        <v>6</v>
      </c>
      <c r="Y172" s="41">
        <f t="shared" si="33"/>
        <v>1.2</v>
      </c>
      <c r="Z172" s="45">
        <v>23</v>
      </c>
      <c r="AA172" s="45">
        <v>2</v>
      </c>
      <c r="AB172" s="45">
        <v>1</v>
      </c>
      <c r="AC172" s="45">
        <v>1</v>
      </c>
      <c r="AD172" s="41">
        <f t="shared" si="34"/>
        <v>27</v>
      </c>
      <c r="AE172" s="41">
        <f t="shared" si="35"/>
        <v>5.4</v>
      </c>
      <c r="AF172" s="41">
        <f t="shared" si="16"/>
        <v>67</v>
      </c>
      <c r="AG172" s="41">
        <f t="shared" si="16"/>
        <v>13.4</v>
      </c>
      <c r="AH172" s="41">
        <f t="shared" si="17"/>
        <v>99</v>
      </c>
      <c r="AI172" s="41">
        <f t="shared" si="17"/>
        <v>19.8</v>
      </c>
    </row>
    <row r="173" spans="1:35">
      <c r="A173" s="42" t="s">
        <v>335</v>
      </c>
      <c r="B173" s="38" t="s">
        <v>321</v>
      </c>
      <c r="C173" s="39" t="s">
        <v>69</v>
      </c>
      <c r="D173" s="43" t="str">
        <f t="shared" si="27"/>
        <v>M27CLSS22AFH.27D3602(D905)</v>
      </c>
      <c r="E173" s="42" t="s">
        <v>21</v>
      </c>
      <c r="F173" s="42" t="s">
        <v>21</v>
      </c>
      <c r="G173" s="44">
        <v>300</v>
      </c>
      <c r="H173" s="44">
        <v>27</v>
      </c>
      <c r="I173" s="45">
        <v>1</v>
      </c>
      <c r="J173" s="45">
        <v>1</v>
      </c>
      <c r="K173" s="45">
        <v>3</v>
      </c>
      <c r="L173" s="41">
        <f t="shared" si="28"/>
        <v>32</v>
      </c>
      <c r="M173" s="41">
        <f t="shared" si="29"/>
        <v>6.4</v>
      </c>
      <c r="N173" s="45">
        <v>29</v>
      </c>
      <c r="O173" s="45">
        <v>1</v>
      </c>
      <c r="P173" s="45">
        <v>1</v>
      </c>
      <c r="Q173" s="45">
        <v>1</v>
      </c>
      <c r="R173" s="45">
        <v>2</v>
      </c>
      <c r="S173" s="41">
        <f t="shared" si="30"/>
        <v>34</v>
      </c>
      <c r="T173" s="41">
        <f t="shared" si="31"/>
        <v>6.8</v>
      </c>
      <c r="U173" s="45">
        <v>4</v>
      </c>
      <c r="V173" s="45">
        <v>1</v>
      </c>
      <c r="W173" s="45">
        <v>1</v>
      </c>
      <c r="X173" s="41">
        <f t="shared" si="32"/>
        <v>6</v>
      </c>
      <c r="Y173" s="41">
        <f t="shared" si="33"/>
        <v>1.2</v>
      </c>
      <c r="Z173" s="45">
        <v>23</v>
      </c>
      <c r="AA173" s="45">
        <v>2</v>
      </c>
      <c r="AB173" s="45">
        <v>1</v>
      </c>
      <c r="AC173" s="45">
        <v>1</v>
      </c>
      <c r="AD173" s="41">
        <f t="shared" si="34"/>
        <v>27</v>
      </c>
      <c r="AE173" s="41">
        <f t="shared" si="35"/>
        <v>5.4</v>
      </c>
      <c r="AF173" s="41">
        <f t="shared" si="16"/>
        <v>67</v>
      </c>
      <c r="AG173" s="41">
        <f t="shared" si="16"/>
        <v>13.4</v>
      </c>
      <c r="AH173" s="41">
        <f t="shared" si="17"/>
        <v>99</v>
      </c>
      <c r="AI173" s="41">
        <f t="shared" si="17"/>
        <v>19.8</v>
      </c>
    </row>
    <row r="174" spans="1:35">
      <c r="A174" s="42" t="s">
        <v>335</v>
      </c>
      <c r="B174" s="38" t="s">
        <v>321</v>
      </c>
      <c r="C174" s="39" t="s">
        <v>56</v>
      </c>
      <c r="D174" s="43" t="str">
        <f t="shared" si="27"/>
        <v>M27CLSS22AFH.27D3662(D905)</v>
      </c>
      <c r="E174" s="42" t="s">
        <v>21</v>
      </c>
      <c r="F174" s="42" t="s">
        <v>21</v>
      </c>
      <c r="G174" s="44">
        <v>300</v>
      </c>
      <c r="H174" s="44">
        <v>27</v>
      </c>
      <c r="I174" s="45">
        <v>1</v>
      </c>
      <c r="J174" s="45">
        <v>1</v>
      </c>
      <c r="K174" s="45">
        <v>3</v>
      </c>
      <c r="L174" s="41">
        <f t="shared" si="28"/>
        <v>32</v>
      </c>
      <c r="M174" s="41">
        <f>60*L174/G174</f>
        <v>6.4</v>
      </c>
      <c r="N174" s="45">
        <v>29</v>
      </c>
      <c r="O174" s="45">
        <v>1</v>
      </c>
      <c r="P174" s="45">
        <v>1</v>
      </c>
      <c r="Q174" s="45">
        <v>1</v>
      </c>
      <c r="R174" s="45">
        <v>2</v>
      </c>
      <c r="S174" s="41">
        <f>SUM(N174:R174)</f>
        <v>34</v>
      </c>
      <c r="T174" s="41">
        <f t="shared" si="31"/>
        <v>6.8</v>
      </c>
      <c r="U174" s="45">
        <v>4</v>
      </c>
      <c r="V174" s="45">
        <v>1</v>
      </c>
      <c r="W174" s="45">
        <v>1</v>
      </c>
      <c r="X174" s="41">
        <f t="shared" si="32"/>
        <v>6</v>
      </c>
      <c r="Y174" s="41">
        <f t="shared" si="33"/>
        <v>1.2</v>
      </c>
      <c r="Z174" s="45">
        <v>23</v>
      </c>
      <c r="AA174" s="45">
        <v>2</v>
      </c>
      <c r="AB174" s="45">
        <v>1</v>
      </c>
      <c r="AC174" s="45">
        <v>1</v>
      </c>
      <c r="AD174" s="41">
        <f t="shared" si="34"/>
        <v>27</v>
      </c>
      <c r="AE174" s="41">
        <f t="shared" si="35"/>
        <v>5.4</v>
      </c>
      <c r="AF174" s="41">
        <f t="shared" si="16"/>
        <v>67</v>
      </c>
      <c r="AG174" s="41">
        <f t="shared" si="16"/>
        <v>13.4</v>
      </c>
      <c r="AH174" s="41">
        <f t="shared" si="17"/>
        <v>99</v>
      </c>
      <c r="AI174" s="41">
        <f t="shared" si="17"/>
        <v>19.8</v>
      </c>
    </row>
    <row r="175" spans="1:35">
      <c r="A175" s="42" t="s">
        <v>335</v>
      </c>
      <c r="B175" s="38" t="s">
        <v>321</v>
      </c>
      <c r="C175" s="39" t="s">
        <v>329</v>
      </c>
      <c r="D175" s="43" t="str">
        <f t="shared" si="27"/>
        <v>M27USSS22AFH.27D3601(D905)</v>
      </c>
      <c r="E175" s="42" t="s">
        <v>21</v>
      </c>
      <c r="F175" s="42" t="s">
        <v>21</v>
      </c>
      <c r="G175" s="44">
        <v>300</v>
      </c>
      <c r="H175" s="44">
        <v>27</v>
      </c>
      <c r="I175" s="45">
        <v>1</v>
      </c>
      <c r="J175" s="45">
        <v>1</v>
      </c>
      <c r="K175" s="45">
        <v>3</v>
      </c>
      <c r="L175" s="41">
        <f t="shared" si="28"/>
        <v>32</v>
      </c>
      <c r="M175" s="41">
        <f t="shared" si="29"/>
        <v>6.4</v>
      </c>
      <c r="N175" s="45">
        <v>29</v>
      </c>
      <c r="O175" s="45">
        <v>1</v>
      </c>
      <c r="P175" s="45">
        <v>1</v>
      </c>
      <c r="Q175" s="45">
        <v>1</v>
      </c>
      <c r="R175" s="45">
        <v>2</v>
      </c>
      <c r="S175" s="41">
        <f t="shared" si="30"/>
        <v>34</v>
      </c>
      <c r="T175" s="41">
        <f t="shared" si="31"/>
        <v>6.8</v>
      </c>
      <c r="U175" s="45">
        <v>4</v>
      </c>
      <c r="V175" s="45">
        <v>1</v>
      </c>
      <c r="W175" s="45">
        <v>1</v>
      </c>
      <c r="X175" s="41">
        <f t="shared" si="32"/>
        <v>6</v>
      </c>
      <c r="Y175" s="41">
        <f t="shared" si="33"/>
        <v>1.2</v>
      </c>
      <c r="Z175" s="45">
        <v>23</v>
      </c>
      <c r="AA175" s="45">
        <v>2</v>
      </c>
      <c r="AB175" s="45">
        <v>1</v>
      </c>
      <c r="AC175" s="45">
        <v>1</v>
      </c>
      <c r="AD175" s="41">
        <f t="shared" si="34"/>
        <v>27</v>
      </c>
      <c r="AE175" s="41">
        <f t="shared" si="35"/>
        <v>5.4</v>
      </c>
      <c r="AF175" s="41">
        <f t="shared" si="16"/>
        <v>67</v>
      </c>
      <c r="AG175" s="41">
        <f t="shared" si="16"/>
        <v>13.4</v>
      </c>
      <c r="AH175" s="41">
        <f t="shared" si="17"/>
        <v>99</v>
      </c>
      <c r="AI175" s="41">
        <f t="shared" si="17"/>
        <v>19.8</v>
      </c>
    </row>
    <row r="176" spans="1:35">
      <c r="A176" s="42" t="s">
        <v>335</v>
      </c>
      <c r="B176" s="38" t="s">
        <v>321</v>
      </c>
      <c r="C176" s="39" t="s">
        <v>330</v>
      </c>
      <c r="D176" s="43" t="str">
        <f t="shared" si="27"/>
        <v>M27USSS22AFH.27D3602(D905)</v>
      </c>
      <c r="E176" s="42" t="s">
        <v>21</v>
      </c>
      <c r="F176" s="42" t="s">
        <v>21</v>
      </c>
      <c r="G176" s="44">
        <v>300</v>
      </c>
      <c r="H176" s="44">
        <v>27</v>
      </c>
      <c r="I176" s="45">
        <v>1</v>
      </c>
      <c r="J176" s="45">
        <v>1</v>
      </c>
      <c r="K176" s="45">
        <v>3</v>
      </c>
      <c r="L176" s="41">
        <f t="shared" si="28"/>
        <v>32</v>
      </c>
      <c r="M176" s="41">
        <f t="shared" si="29"/>
        <v>6.4</v>
      </c>
      <c r="N176" s="45">
        <v>29</v>
      </c>
      <c r="O176" s="45">
        <v>1</v>
      </c>
      <c r="P176" s="45">
        <v>1</v>
      </c>
      <c r="Q176" s="45">
        <v>1</v>
      </c>
      <c r="R176" s="45">
        <v>2</v>
      </c>
      <c r="S176" s="41">
        <f t="shared" si="30"/>
        <v>34</v>
      </c>
      <c r="T176" s="41">
        <f t="shared" si="31"/>
        <v>6.8</v>
      </c>
      <c r="U176" s="45">
        <v>4</v>
      </c>
      <c r="V176" s="45">
        <v>1</v>
      </c>
      <c r="W176" s="45">
        <v>1</v>
      </c>
      <c r="X176" s="41">
        <f t="shared" si="32"/>
        <v>6</v>
      </c>
      <c r="Y176" s="41">
        <f t="shared" si="33"/>
        <v>1.2</v>
      </c>
      <c r="Z176" s="45">
        <v>23</v>
      </c>
      <c r="AA176" s="45">
        <v>2</v>
      </c>
      <c r="AB176" s="45">
        <v>1</v>
      </c>
      <c r="AC176" s="45">
        <v>1</v>
      </c>
      <c r="AD176" s="41">
        <f t="shared" si="34"/>
        <v>27</v>
      </c>
      <c r="AE176" s="41">
        <f t="shared" si="35"/>
        <v>5.4</v>
      </c>
      <c r="AF176" s="41">
        <f t="shared" si="16"/>
        <v>67</v>
      </c>
      <c r="AG176" s="41">
        <f t="shared" si="16"/>
        <v>13.4</v>
      </c>
      <c r="AH176" s="41">
        <f t="shared" si="17"/>
        <v>99</v>
      </c>
      <c r="AI176" s="41">
        <f t="shared" si="17"/>
        <v>19.8</v>
      </c>
    </row>
    <row r="177" spans="1:35">
      <c r="A177" s="42" t="s">
        <v>335</v>
      </c>
      <c r="B177" s="38" t="s">
        <v>321</v>
      </c>
      <c r="C177" s="39" t="s">
        <v>331</v>
      </c>
      <c r="D177" s="43" t="str">
        <f t="shared" si="27"/>
        <v>M27USSS22AFH.27D3622(D905)</v>
      </c>
      <c r="E177" s="42" t="s">
        <v>21</v>
      </c>
      <c r="F177" s="42" t="s">
        <v>21</v>
      </c>
      <c r="G177" s="44">
        <v>300</v>
      </c>
      <c r="H177" s="44">
        <v>27</v>
      </c>
      <c r="I177" s="45">
        <v>1</v>
      </c>
      <c r="J177" s="45">
        <v>1</v>
      </c>
      <c r="K177" s="45">
        <v>3</v>
      </c>
      <c r="L177" s="41">
        <f t="shared" si="28"/>
        <v>32</v>
      </c>
      <c r="M177" s="41">
        <f t="shared" si="29"/>
        <v>6.4</v>
      </c>
      <c r="N177" s="45">
        <v>29</v>
      </c>
      <c r="O177" s="45">
        <v>1</v>
      </c>
      <c r="P177" s="45">
        <v>1</v>
      </c>
      <c r="Q177" s="45">
        <v>1</v>
      </c>
      <c r="R177" s="45">
        <v>2</v>
      </c>
      <c r="S177" s="41">
        <f t="shared" si="30"/>
        <v>34</v>
      </c>
      <c r="T177" s="41">
        <f t="shared" si="31"/>
        <v>6.8</v>
      </c>
      <c r="U177" s="45">
        <v>4</v>
      </c>
      <c r="V177" s="45">
        <v>1</v>
      </c>
      <c r="W177" s="45">
        <v>1</v>
      </c>
      <c r="X177" s="41">
        <f t="shared" si="32"/>
        <v>6</v>
      </c>
      <c r="Y177" s="41">
        <f t="shared" si="33"/>
        <v>1.2</v>
      </c>
      <c r="Z177" s="45">
        <v>23</v>
      </c>
      <c r="AA177" s="45">
        <v>2</v>
      </c>
      <c r="AB177" s="45">
        <v>1</v>
      </c>
      <c r="AC177" s="45">
        <v>1</v>
      </c>
      <c r="AD177" s="41">
        <f t="shared" si="34"/>
        <v>27</v>
      </c>
      <c r="AE177" s="41">
        <f t="shared" si="35"/>
        <v>5.4</v>
      </c>
      <c r="AF177" s="41">
        <f t="shared" si="16"/>
        <v>67</v>
      </c>
      <c r="AG177" s="41">
        <f t="shared" si="16"/>
        <v>13.4</v>
      </c>
      <c r="AH177" s="41">
        <f t="shared" si="17"/>
        <v>99</v>
      </c>
      <c r="AI177" s="41">
        <f t="shared" si="17"/>
        <v>19.8</v>
      </c>
    </row>
    <row r="178" spans="1:35">
      <c r="A178" s="42" t="s">
        <v>335</v>
      </c>
      <c r="B178" s="38" t="s">
        <v>321</v>
      </c>
      <c r="C178" s="39" t="s">
        <v>332</v>
      </c>
      <c r="D178" s="43" t="str">
        <f t="shared" ref="D178:D190" si="36">C178&amp;"("&amp;F178&amp;")"</f>
        <v>M27USSS22AFH.27D3661(D905)</v>
      </c>
      <c r="E178" s="42" t="s">
        <v>21</v>
      </c>
      <c r="F178" s="42" t="s">
        <v>21</v>
      </c>
      <c r="G178" s="44">
        <v>300</v>
      </c>
      <c r="H178" s="44">
        <v>27</v>
      </c>
      <c r="I178" s="45">
        <v>1</v>
      </c>
      <c r="J178" s="45">
        <v>1</v>
      </c>
      <c r="K178" s="45">
        <v>3</v>
      </c>
      <c r="L178" s="41">
        <f t="shared" si="28"/>
        <v>32</v>
      </c>
      <c r="M178" s="41">
        <f t="shared" si="29"/>
        <v>6.4</v>
      </c>
      <c r="N178" s="45">
        <v>29</v>
      </c>
      <c r="O178" s="45">
        <v>1</v>
      </c>
      <c r="P178" s="45">
        <v>1</v>
      </c>
      <c r="Q178" s="45">
        <v>1</v>
      </c>
      <c r="R178" s="45">
        <v>2</v>
      </c>
      <c r="S178" s="41">
        <f t="shared" si="30"/>
        <v>34</v>
      </c>
      <c r="T178" s="41">
        <f t="shared" si="31"/>
        <v>6.8</v>
      </c>
      <c r="U178" s="45">
        <v>4</v>
      </c>
      <c r="V178" s="45">
        <v>1</v>
      </c>
      <c r="W178" s="45">
        <v>1</v>
      </c>
      <c r="X178" s="41">
        <f t="shared" si="32"/>
        <v>6</v>
      </c>
      <c r="Y178" s="41">
        <f t="shared" si="33"/>
        <v>1.2</v>
      </c>
      <c r="Z178" s="45">
        <v>23</v>
      </c>
      <c r="AA178" s="45">
        <v>2</v>
      </c>
      <c r="AB178" s="45">
        <v>1</v>
      </c>
      <c r="AC178" s="45">
        <v>1</v>
      </c>
      <c r="AD178" s="41">
        <f t="shared" si="34"/>
        <v>27</v>
      </c>
      <c r="AE178" s="41">
        <f t="shared" si="35"/>
        <v>5.4</v>
      </c>
      <c r="AF178" s="41">
        <f t="shared" si="16"/>
        <v>67</v>
      </c>
      <c r="AG178" s="41">
        <f t="shared" si="16"/>
        <v>13.4</v>
      </c>
      <c r="AH178" s="41">
        <f t="shared" si="17"/>
        <v>99</v>
      </c>
      <c r="AI178" s="41">
        <f t="shared" si="17"/>
        <v>19.8</v>
      </c>
    </row>
    <row r="179" spans="1:35">
      <c r="A179" s="42" t="s">
        <v>335</v>
      </c>
      <c r="B179" s="38" t="s">
        <v>321</v>
      </c>
      <c r="C179" s="39" t="s">
        <v>68</v>
      </c>
      <c r="D179" s="43" t="str">
        <f t="shared" si="36"/>
        <v>M27USSS22AFH.27D3662(D905)</v>
      </c>
      <c r="E179" s="42" t="s">
        <v>21</v>
      </c>
      <c r="F179" s="42" t="s">
        <v>21</v>
      </c>
      <c r="G179" s="44">
        <v>300</v>
      </c>
      <c r="H179" s="44">
        <v>27</v>
      </c>
      <c r="I179" s="45">
        <v>1</v>
      </c>
      <c r="J179" s="45">
        <v>1</v>
      </c>
      <c r="K179" s="45">
        <v>3</v>
      </c>
      <c r="L179" s="41">
        <f t="shared" si="28"/>
        <v>32</v>
      </c>
      <c r="M179" s="41">
        <f t="shared" si="29"/>
        <v>6.4</v>
      </c>
      <c r="N179" s="45">
        <v>29</v>
      </c>
      <c r="O179" s="45">
        <v>1</v>
      </c>
      <c r="P179" s="45">
        <v>1</v>
      </c>
      <c r="Q179" s="45">
        <v>1</v>
      </c>
      <c r="R179" s="45">
        <v>2</v>
      </c>
      <c r="S179" s="41">
        <f t="shared" si="30"/>
        <v>34</v>
      </c>
      <c r="T179" s="41">
        <f t="shared" si="31"/>
        <v>6.8</v>
      </c>
      <c r="U179" s="45">
        <v>4</v>
      </c>
      <c r="V179" s="45">
        <v>1</v>
      </c>
      <c r="W179" s="45">
        <v>1</v>
      </c>
      <c r="X179" s="41">
        <f t="shared" si="32"/>
        <v>6</v>
      </c>
      <c r="Y179" s="41">
        <f t="shared" si="33"/>
        <v>1.2</v>
      </c>
      <c r="Z179" s="45">
        <v>23</v>
      </c>
      <c r="AA179" s="45">
        <v>2</v>
      </c>
      <c r="AB179" s="45">
        <v>1</v>
      </c>
      <c r="AC179" s="45">
        <v>1</v>
      </c>
      <c r="AD179" s="41">
        <f t="shared" si="34"/>
        <v>27</v>
      </c>
      <c r="AE179" s="41">
        <f t="shared" si="35"/>
        <v>5.4</v>
      </c>
      <c r="AF179" s="41">
        <f t="shared" si="16"/>
        <v>67</v>
      </c>
      <c r="AG179" s="41">
        <f t="shared" si="16"/>
        <v>13.4</v>
      </c>
      <c r="AH179" s="41">
        <f t="shared" si="17"/>
        <v>99</v>
      </c>
      <c r="AI179" s="41">
        <f t="shared" si="17"/>
        <v>19.8</v>
      </c>
    </row>
    <row r="180" spans="1:35">
      <c r="A180" s="42" t="s">
        <v>335</v>
      </c>
      <c r="B180" s="38" t="s">
        <v>321</v>
      </c>
      <c r="C180" s="39" t="s">
        <v>181</v>
      </c>
      <c r="D180" s="43" t="str">
        <f t="shared" si="36"/>
        <v>M27USSS22AFH.27D3682(D905)</v>
      </c>
      <c r="E180" s="42" t="s">
        <v>21</v>
      </c>
      <c r="F180" s="42" t="s">
        <v>21</v>
      </c>
      <c r="G180" s="44">
        <v>300</v>
      </c>
      <c r="H180" s="44">
        <v>27</v>
      </c>
      <c r="I180" s="45">
        <v>1</v>
      </c>
      <c r="J180" s="45">
        <v>1</v>
      </c>
      <c r="K180" s="45">
        <v>3</v>
      </c>
      <c r="L180" s="41">
        <f t="shared" si="28"/>
        <v>32</v>
      </c>
      <c r="M180" s="41">
        <f t="shared" si="29"/>
        <v>6.4</v>
      </c>
      <c r="N180" s="45">
        <v>29</v>
      </c>
      <c r="O180" s="45">
        <v>1</v>
      </c>
      <c r="P180" s="45">
        <v>1</v>
      </c>
      <c r="Q180" s="45">
        <v>1</v>
      </c>
      <c r="R180" s="45">
        <v>2</v>
      </c>
      <c r="S180" s="41">
        <f t="shared" si="30"/>
        <v>34</v>
      </c>
      <c r="T180" s="41">
        <f t="shared" si="31"/>
        <v>6.8</v>
      </c>
      <c r="U180" s="45">
        <v>4</v>
      </c>
      <c r="V180" s="45">
        <v>1</v>
      </c>
      <c r="W180" s="45">
        <v>1</v>
      </c>
      <c r="X180" s="41">
        <f t="shared" si="32"/>
        <v>6</v>
      </c>
      <c r="Y180" s="41">
        <f t="shared" si="33"/>
        <v>1.2</v>
      </c>
      <c r="Z180" s="45">
        <v>23</v>
      </c>
      <c r="AA180" s="45">
        <v>2</v>
      </c>
      <c r="AB180" s="45">
        <v>1</v>
      </c>
      <c r="AC180" s="45">
        <v>1</v>
      </c>
      <c r="AD180" s="41">
        <f t="shared" si="34"/>
        <v>27</v>
      </c>
      <c r="AE180" s="41">
        <f t="shared" si="35"/>
        <v>5.4</v>
      </c>
      <c r="AF180" s="41">
        <f t="shared" si="16"/>
        <v>67</v>
      </c>
      <c r="AG180" s="41">
        <f t="shared" si="16"/>
        <v>13.4</v>
      </c>
      <c r="AH180" s="41">
        <f t="shared" si="17"/>
        <v>99</v>
      </c>
      <c r="AI180" s="41">
        <f t="shared" si="17"/>
        <v>19.8</v>
      </c>
    </row>
    <row r="181" spans="1:35">
      <c r="A181" s="42" t="s">
        <v>335</v>
      </c>
      <c r="B181" s="38" t="s">
        <v>321</v>
      </c>
      <c r="C181" s="39" t="s">
        <v>333</v>
      </c>
      <c r="D181" s="43" t="str">
        <f t="shared" si="36"/>
        <v>M27USSS22AFH.27D36C2(D905)</v>
      </c>
      <c r="E181" s="42" t="s">
        <v>21</v>
      </c>
      <c r="F181" s="42" t="s">
        <v>21</v>
      </c>
      <c r="G181" s="44">
        <v>300</v>
      </c>
      <c r="H181" s="44">
        <v>27</v>
      </c>
      <c r="I181" s="45">
        <v>1</v>
      </c>
      <c r="J181" s="45">
        <v>1</v>
      </c>
      <c r="K181" s="45">
        <v>3</v>
      </c>
      <c r="L181" s="41">
        <f t="shared" si="28"/>
        <v>32</v>
      </c>
      <c r="M181" s="41">
        <f t="shared" si="29"/>
        <v>6.4</v>
      </c>
      <c r="N181" s="45">
        <v>29</v>
      </c>
      <c r="O181" s="45">
        <v>1</v>
      </c>
      <c r="P181" s="45">
        <v>1</v>
      </c>
      <c r="Q181" s="45">
        <v>1</v>
      </c>
      <c r="R181" s="45">
        <v>2</v>
      </c>
      <c r="S181" s="41">
        <f t="shared" si="30"/>
        <v>34</v>
      </c>
      <c r="T181" s="41">
        <f t="shared" si="31"/>
        <v>6.8</v>
      </c>
      <c r="U181" s="45">
        <v>4</v>
      </c>
      <c r="V181" s="45">
        <v>1</v>
      </c>
      <c r="W181" s="45">
        <v>1</v>
      </c>
      <c r="X181" s="41">
        <f t="shared" si="32"/>
        <v>6</v>
      </c>
      <c r="Y181" s="41">
        <f t="shared" si="33"/>
        <v>1.2</v>
      </c>
      <c r="Z181" s="45">
        <v>23</v>
      </c>
      <c r="AA181" s="45">
        <v>2</v>
      </c>
      <c r="AB181" s="45">
        <v>1</v>
      </c>
      <c r="AC181" s="45">
        <v>1</v>
      </c>
      <c r="AD181" s="41">
        <f t="shared" si="34"/>
        <v>27</v>
      </c>
      <c r="AE181" s="41">
        <f t="shared" si="35"/>
        <v>5.4</v>
      </c>
      <c r="AF181" s="41">
        <f t="shared" si="16"/>
        <v>67</v>
      </c>
      <c r="AG181" s="41">
        <f t="shared" si="16"/>
        <v>13.4</v>
      </c>
      <c r="AH181" s="41">
        <f t="shared" si="17"/>
        <v>99</v>
      </c>
      <c r="AI181" s="41">
        <f t="shared" si="17"/>
        <v>19.8</v>
      </c>
    </row>
    <row r="182" spans="1:35">
      <c r="A182" s="42" t="s">
        <v>335</v>
      </c>
      <c r="B182" s="38" t="s">
        <v>321</v>
      </c>
      <c r="C182" s="39" t="s">
        <v>180</v>
      </c>
      <c r="D182" s="43" t="str">
        <f t="shared" si="36"/>
        <v>M27USSS22AFH.27D36D2(D905)</v>
      </c>
      <c r="E182" s="42" t="s">
        <v>21</v>
      </c>
      <c r="F182" s="42" t="s">
        <v>21</v>
      </c>
      <c r="G182" s="44">
        <v>300</v>
      </c>
      <c r="H182" s="44">
        <v>27</v>
      </c>
      <c r="I182" s="45">
        <v>1</v>
      </c>
      <c r="J182" s="45">
        <v>1</v>
      </c>
      <c r="K182" s="45">
        <v>3</v>
      </c>
      <c r="L182" s="41">
        <f t="shared" si="28"/>
        <v>32</v>
      </c>
      <c r="M182" s="41">
        <f t="shared" si="29"/>
        <v>6.4</v>
      </c>
      <c r="N182" s="45">
        <v>29</v>
      </c>
      <c r="O182" s="45">
        <v>1</v>
      </c>
      <c r="P182" s="45">
        <v>1</v>
      </c>
      <c r="Q182" s="45">
        <v>1</v>
      </c>
      <c r="R182" s="45">
        <v>2</v>
      </c>
      <c r="S182" s="41">
        <f t="shared" si="30"/>
        <v>34</v>
      </c>
      <c r="T182" s="41">
        <f t="shared" si="31"/>
        <v>6.8</v>
      </c>
      <c r="U182" s="45">
        <v>4</v>
      </c>
      <c r="V182" s="45">
        <v>1</v>
      </c>
      <c r="W182" s="45">
        <v>1</v>
      </c>
      <c r="X182" s="41">
        <f t="shared" si="32"/>
        <v>6</v>
      </c>
      <c r="Y182" s="41">
        <f t="shared" si="33"/>
        <v>1.2</v>
      </c>
      <c r="Z182" s="45">
        <v>23</v>
      </c>
      <c r="AA182" s="45">
        <v>2</v>
      </c>
      <c r="AB182" s="45">
        <v>1</v>
      </c>
      <c r="AC182" s="45">
        <v>1</v>
      </c>
      <c r="AD182" s="41">
        <f t="shared" si="34"/>
        <v>27</v>
      </c>
      <c r="AE182" s="41">
        <f t="shared" si="35"/>
        <v>5.4</v>
      </c>
      <c r="AF182" s="41">
        <f t="shared" si="16"/>
        <v>67</v>
      </c>
      <c r="AG182" s="41">
        <f t="shared" si="16"/>
        <v>13.4</v>
      </c>
      <c r="AH182" s="41">
        <f t="shared" si="17"/>
        <v>99</v>
      </c>
      <c r="AI182" s="41">
        <f t="shared" si="17"/>
        <v>19.8</v>
      </c>
    </row>
    <row r="183" spans="1:35">
      <c r="A183" s="42" t="s">
        <v>335</v>
      </c>
      <c r="B183" s="38" t="s">
        <v>321</v>
      </c>
      <c r="C183" s="39" t="s">
        <v>334</v>
      </c>
      <c r="D183" s="43" t="str">
        <f t="shared" si="36"/>
        <v>M27AESS22AFH.27D3621(D905)</v>
      </c>
      <c r="E183" s="42" t="s">
        <v>21</v>
      </c>
      <c r="F183" s="42" t="s">
        <v>21</v>
      </c>
      <c r="G183" s="44">
        <v>300</v>
      </c>
      <c r="H183" s="44">
        <v>27</v>
      </c>
      <c r="I183" s="45">
        <v>1</v>
      </c>
      <c r="J183" s="45">
        <v>1</v>
      </c>
      <c r="K183" s="45">
        <v>3</v>
      </c>
      <c r="L183" s="41">
        <f t="shared" si="28"/>
        <v>32</v>
      </c>
      <c r="M183" s="41">
        <f t="shared" si="29"/>
        <v>6.4</v>
      </c>
      <c r="N183" s="45">
        <v>29</v>
      </c>
      <c r="O183" s="45">
        <v>1</v>
      </c>
      <c r="P183" s="45">
        <v>1</v>
      </c>
      <c r="Q183" s="45">
        <v>1</v>
      </c>
      <c r="R183" s="45">
        <v>2</v>
      </c>
      <c r="S183" s="41">
        <f t="shared" si="30"/>
        <v>34</v>
      </c>
      <c r="T183" s="41">
        <f t="shared" si="31"/>
        <v>6.8</v>
      </c>
      <c r="U183" s="45">
        <v>4</v>
      </c>
      <c r="V183" s="45">
        <v>1</v>
      </c>
      <c r="W183" s="45">
        <v>1</v>
      </c>
      <c r="X183" s="41">
        <f t="shared" si="32"/>
        <v>6</v>
      </c>
      <c r="Y183" s="41">
        <f t="shared" si="33"/>
        <v>1.2</v>
      </c>
      <c r="Z183" s="45">
        <v>23</v>
      </c>
      <c r="AA183" s="45">
        <v>2</v>
      </c>
      <c r="AB183" s="45">
        <v>1</v>
      </c>
      <c r="AC183" s="45">
        <v>1</v>
      </c>
      <c r="AD183" s="41">
        <f t="shared" si="34"/>
        <v>27</v>
      </c>
      <c r="AE183" s="41">
        <f t="shared" si="35"/>
        <v>5.4</v>
      </c>
      <c r="AF183" s="41">
        <f t="shared" si="16"/>
        <v>67</v>
      </c>
      <c r="AG183" s="41">
        <f t="shared" si="16"/>
        <v>13.4</v>
      </c>
      <c r="AH183" s="41">
        <f t="shared" si="17"/>
        <v>99</v>
      </c>
      <c r="AI183" s="41">
        <f t="shared" si="17"/>
        <v>19.8</v>
      </c>
    </row>
    <row r="184" spans="1:35">
      <c r="A184" s="42" t="s">
        <v>335</v>
      </c>
      <c r="B184" s="38" t="s">
        <v>321</v>
      </c>
      <c r="C184" s="39" t="s">
        <v>127</v>
      </c>
      <c r="D184" s="43" t="str">
        <f t="shared" si="36"/>
        <v>M27AESS22AFH.27D3622(D905)</v>
      </c>
      <c r="E184" s="42" t="s">
        <v>21</v>
      </c>
      <c r="F184" s="42" t="s">
        <v>21</v>
      </c>
      <c r="G184" s="44">
        <v>300</v>
      </c>
      <c r="H184" s="44">
        <v>27</v>
      </c>
      <c r="I184" s="45">
        <v>1</v>
      </c>
      <c r="J184" s="45">
        <v>1</v>
      </c>
      <c r="K184" s="45">
        <v>3</v>
      </c>
      <c r="L184" s="41">
        <f t="shared" si="28"/>
        <v>32</v>
      </c>
      <c r="M184" s="41">
        <f t="shared" si="29"/>
        <v>6.4</v>
      </c>
      <c r="N184" s="45">
        <v>29</v>
      </c>
      <c r="O184" s="45">
        <v>1</v>
      </c>
      <c r="P184" s="45">
        <v>1</v>
      </c>
      <c r="Q184" s="45">
        <v>1</v>
      </c>
      <c r="R184" s="45">
        <v>2</v>
      </c>
      <c r="S184" s="41">
        <f t="shared" si="30"/>
        <v>34</v>
      </c>
      <c r="T184" s="41">
        <f t="shared" si="31"/>
        <v>6.8</v>
      </c>
      <c r="U184" s="45">
        <v>4</v>
      </c>
      <c r="V184" s="45">
        <v>1</v>
      </c>
      <c r="W184" s="45">
        <v>1</v>
      </c>
      <c r="X184" s="41">
        <f t="shared" si="32"/>
        <v>6</v>
      </c>
      <c r="Y184" s="41">
        <f t="shared" si="33"/>
        <v>1.2</v>
      </c>
      <c r="Z184" s="45">
        <v>23</v>
      </c>
      <c r="AA184" s="45">
        <v>2</v>
      </c>
      <c r="AB184" s="45">
        <v>1</v>
      </c>
      <c r="AC184" s="45">
        <v>1</v>
      </c>
      <c r="AD184" s="41">
        <f t="shared" si="34"/>
        <v>27</v>
      </c>
      <c r="AE184" s="41">
        <f t="shared" si="35"/>
        <v>5.4</v>
      </c>
      <c r="AF184" s="41">
        <f t="shared" si="16"/>
        <v>67</v>
      </c>
      <c r="AG184" s="41">
        <f t="shared" si="16"/>
        <v>13.4</v>
      </c>
      <c r="AH184" s="41">
        <f t="shared" si="17"/>
        <v>99</v>
      </c>
      <c r="AI184" s="41">
        <f t="shared" si="17"/>
        <v>19.8</v>
      </c>
    </row>
    <row r="185" spans="1:35">
      <c r="A185" s="42" t="s">
        <v>335</v>
      </c>
      <c r="B185" s="38" t="s">
        <v>321</v>
      </c>
      <c r="C185" s="39" t="s">
        <v>91</v>
      </c>
      <c r="D185" s="43" t="str">
        <f t="shared" si="36"/>
        <v>M27SGSS22AF-.27D3602(D905)</v>
      </c>
      <c r="E185" s="42" t="s">
        <v>21</v>
      </c>
      <c r="F185" s="42" t="s">
        <v>21</v>
      </c>
      <c r="G185" s="44">
        <v>300</v>
      </c>
      <c r="H185" s="44">
        <v>27</v>
      </c>
      <c r="I185" s="45">
        <v>1</v>
      </c>
      <c r="J185" s="45">
        <v>1</v>
      </c>
      <c r="K185" s="45">
        <v>3</v>
      </c>
      <c r="L185" s="41">
        <f t="shared" si="28"/>
        <v>32</v>
      </c>
      <c r="M185" s="41">
        <f t="shared" si="29"/>
        <v>6.4</v>
      </c>
      <c r="N185" s="45">
        <v>29</v>
      </c>
      <c r="O185" s="45">
        <v>1</v>
      </c>
      <c r="P185" s="45">
        <v>1</v>
      </c>
      <c r="Q185" s="45">
        <v>1</v>
      </c>
      <c r="R185" s="45">
        <v>2</v>
      </c>
      <c r="S185" s="41">
        <f t="shared" si="30"/>
        <v>34</v>
      </c>
      <c r="T185" s="41">
        <f t="shared" si="31"/>
        <v>6.8</v>
      </c>
      <c r="U185" s="45">
        <v>4</v>
      </c>
      <c r="V185" s="45">
        <v>1</v>
      </c>
      <c r="W185" s="45">
        <v>1</v>
      </c>
      <c r="X185" s="41">
        <f t="shared" si="32"/>
        <v>6</v>
      </c>
      <c r="Y185" s="41">
        <f t="shared" si="33"/>
        <v>1.2</v>
      </c>
      <c r="Z185" s="45">
        <v>23</v>
      </c>
      <c r="AA185" s="45">
        <v>2</v>
      </c>
      <c r="AB185" s="45">
        <v>1</v>
      </c>
      <c r="AC185" s="45">
        <v>1</v>
      </c>
      <c r="AD185" s="41">
        <f t="shared" si="34"/>
        <v>27</v>
      </c>
      <c r="AE185" s="41">
        <f t="shared" si="35"/>
        <v>5.4</v>
      </c>
      <c r="AF185" s="41">
        <f t="shared" si="16"/>
        <v>67</v>
      </c>
      <c r="AG185" s="41">
        <f t="shared" si="16"/>
        <v>13.4</v>
      </c>
      <c r="AH185" s="41">
        <f t="shared" si="17"/>
        <v>99</v>
      </c>
      <c r="AI185" s="41">
        <f t="shared" si="17"/>
        <v>19.8</v>
      </c>
    </row>
    <row r="186" spans="1:35">
      <c r="A186" s="42" t="s">
        <v>335</v>
      </c>
      <c r="B186" s="38" t="s">
        <v>321</v>
      </c>
      <c r="C186" s="39" t="s">
        <v>53</v>
      </c>
      <c r="D186" s="43" t="str">
        <f t="shared" si="36"/>
        <v>M27SGSS22AFH.27D3602(D905)</v>
      </c>
      <c r="E186" s="42" t="s">
        <v>21</v>
      </c>
      <c r="F186" s="42" t="s">
        <v>21</v>
      </c>
      <c r="G186" s="44">
        <v>300</v>
      </c>
      <c r="H186" s="44">
        <v>27</v>
      </c>
      <c r="I186" s="45">
        <v>1</v>
      </c>
      <c r="J186" s="45">
        <v>1</v>
      </c>
      <c r="K186" s="45">
        <v>3</v>
      </c>
      <c r="L186" s="41">
        <f t="shared" si="28"/>
        <v>32</v>
      </c>
      <c r="M186" s="41">
        <f t="shared" si="29"/>
        <v>6.4</v>
      </c>
      <c r="N186" s="45">
        <v>29</v>
      </c>
      <c r="O186" s="45">
        <v>1</v>
      </c>
      <c r="P186" s="45">
        <v>1</v>
      </c>
      <c r="Q186" s="45">
        <v>1</v>
      </c>
      <c r="R186" s="45">
        <v>2</v>
      </c>
      <c r="S186" s="41">
        <f t="shared" si="30"/>
        <v>34</v>
      </c>
      <c r="T186" s="41">
        <f t="shared" si="31"/>
        <v>6.8</v>
      </c>
      <c r="U186" s="45">
        <v>4</v>
      </c>
      <c r="V186" s="45">
        <v>1</v>
      </c>
      <c r="W186" s="45">
        <v>1</v>
      </c>
      <c r="X186" s="41">
        <f t="shared" si="32"/>
        <v>6</v>
      </c>
      <c r="Y186" s="41">
        <f t="shared" si="33"/>
        <v>1.2</v>
      </c>
      <c r="Z186" s="45">
        <v>23</v>
      </c>
      <c r="AA186" s="45">
        <v>2</v>
      </c>
      <c r="AB186" s="45">
        <v>1</v>
      </c>
      <c r="AC186" s="45">
        <v>1</v>
      </c>
      <c r="AD186" s="41">
        <f t="shared" si="34"/>
        <v>27</v>
      </c>
      <c r="AE186" s="41">
        <f t="shared" si="35"/>
        <v>5.4</v>
      </c>
      <c r="AF186" s="41">
        <f t="shared" si="16"/>
        <v>67</v>
      </c>
      <c r="AG186" s="41">
        <f t="shared" si="16"/>
        <v>13.4</v>
      </c>
      <c r="AH186" s="41">
        <f t="shared" si="17"/>
        <v>99</v>
      </c>
      <c r="AI186" s="41">
        <f t="shared" si="17"/>
        <v>19.8</v>
      </c>
    </row>
    <row r="187" spans="1:35">
      <c r="A187" s="42" t="s">
        <v>335</v>
      </c>
      <c r="B187" s="38" t="s">
        <v>321</v>
      </c>
      <c r="C187" s="39" t="s">
        <v>54</v>
      </c>
      <c r="D187" s="43" t="str">
        <f t="shared" si="36"/>
        <v>M27MXSS22AFH.27D3602(D905)</v>
      </c>
      <c r="E187" s="42" t="s">
        <v>21</v>
      </c>
      <c r="F187" s="42" t="s">
        <v>21</v>
      </c>
      <c r="G187" s="44">
        <v>300</v>
      </c>
      <c r="H187" s="44">
        <v>27</v>
      </c>
      <c r="I187" s="45">
        <v>1</v>
      </c>
      <c r="J187" s="45">
        <v>1</v>
      </c>
      <c r="K187" s="45">
        <v>3</v>
      </c>
      <c r="L187" s="41">
        <f t="shared" si="28"/>
        <v>32</v>
      </c>
      <c r="M187" s="41">
        <f t="shared" si="29"/>
        <v>6.4</v>
      </c>
      <c r="N187" s="45">
        <v>29</v>
      </c>
      <c r="O187" s="45">
        <v>1</v>
      </c>
      <c r="P187" s="45">
        <v>1</v>
      </c>
      <c r="Q187" s="45">
        <v>1</v>
      </c>
      <c r="R187" s="45">
        <v>2</v>
      </c>
      <c r="S187" s="41">
        <f t="shared" si="30"/>
        <v>34</v>
      </c>
      <c r="T187" s="41">
        <f t="shared" si="31"/>
        <v>6.8</v>
      </c>
      <c r="U187" s="45">
        <v>4</v>
      </c>
      <c r="V187" s="45">
        <v>1</v>
      </c>
      <c r="W187" s="45">
        <v>1</v>
      </c>
      <c r="X187" s="41">
        <f t="shared" si="32"/>
        <v>6</v>
      </c>
      <c r="Y187" s="41">
        <f t="shared" si="33"/>
        <v>1.2</v>
      </c>
      <c r="Z187" s="45">
        <v>23</v>
      </c>
      <c r="AA187" s="45">
        <v>2</v>
      </c>
      <c r="AB187" s="45">
        <v>1</v>
      </c>
      <c r="AC187" s="45">
        <v>1</v>
      </c>
      <c r="AD187" s="41">
        <f t="shared" si="34"/>
        <v>27</v>
      </c>
      <c r="AE187" s="41">
        <f t="shared" si="35"/>
        <v>5.4</v>
      </c>
      <c r="AF187" s="41">
        <f t="shared" si="16"/>
        <v>67</v>
      </c>
      <c r="AG187" s="41">
        <f t="shared" si="16"/>
        <v>13.4</v>
      </c>
      <c r="AH187" s="41">
        <f t="shared" si="17"/>
        <v>99</v>
      </c>
      <c r="AI187" s="41">
        <f t="shared" si="17"/>
        <v>19.8</v>
      </c>
    </row>
    <row r="188" spans="1:35">
      <c r="A188" s="42" t="s">
        <v>335</v>
      </c>
      <c r="B188" s="38" t="s">
        <v>321</v>
      </c>
      <c r="C188" s="39" t="s">
        <v>96</v>
      </c>
      <c r="D188" s="43" t="str">
        <f t="shared" si="36"/>
        <v>M27MXSS22AF-.27D3602(D905)</v>
      </c>
      <c r="E188" s="42" t="s">
        <v>21</v>
      </c>
      <c r="F188" s="42" t="s">
        <v>21</v>
      </c>
      <c r="G188" s="44">
        <v>300</v>
      </c>
      <c r="H188" s="44">
        <v>27</v>
      </c>
      <c r="I188" s="45">
        <v>1</v>
      </c>
      <c r="J188" s="45">
        <v>1</v>
      </c>
      <c r="K188" s="45">
        <v>3</v>
      </c>
      <c r="L188" s="41">
        <f t="shared" si="28"/>
        <v>32</v>
      </c>
      <c r="M188" s="41">
        <f t="shared" si="29"/>
        <v>6.4</v>
      </c>
      <c r="N188" s="45">
        <v>29</v>
      </c>
      <c r="O188" s="45">
        <v>1</v>
      </c>
      <c r="P188" s="45">
        <v>1</v>
      </c>
      <c r="Q188" s="45">
        <v>1</v>
      </c>
      <c r="R188" s="45">
        <v>2</v>
      </c>
      <c r="S188" s="41">
        <f t="shared" si="30"/>
        <v>34</v>
      </c>
      <c r="T188" s="41">
        <f t="shared" si="31"/>
        <v>6.8</v>
      </c>
      <c r="U188" s="45">
        <v>4</v>
      </c>
      <c r="V188" s="45">
        <v>1</v>
      </c>
      <c r="W188" s="45">
        <v>1</v>
      </c>
      <c r="X188" s="41">
        <f t="shared" si="32"/>
        <v>6</v>
      </c>
      <c r="Y188" s="41">
        <f t="shared" si="33"/>
        <v>1.2</v>
      </c>
      <c r="Z188" s="45">
        <v>23</v>
      </c>
      <c r="AA188" s="45">
        <v>2</v>
      </c>
      <c r="AB188" s="45">
        <v>1</v>
      </c>
      <c r="AC188" s="45">
        <v>1</v>
      </c>
      <c r="AD188" s="41">
        <f t="shared" si="34"/>
        <v>27</v>
      </c>
      <c r="AE188" s="41">
        <f t="shared" si="35"/>
        <v>5.4</v>
      </c>
      <c r="AF188" s="41">
        <f t="shared" si="16"/>
        <v>67</v>
      </c>
      <c r="AG188" s="41">
        <f t="shared" si="16"/>
        <v>13.4</v>
      </c>
      <c r="AH188" s="41">
        <f t="shared" si="17"/>
        <v>99</v>
      </c>
      <c r="AI188" s="41">
        <f t="shared" si="17"/>
        <v>19.8</v>
      </c>
    </row>
    <row r="189" spans="1:35">
      <c r="A189" s="42" t="s">
        <v>335</v>
      </c>
      <c r="B189" s="38" t="s">
        <v>321</v>
      </c>
      <c r="C189" s="39" t="s">
        <v>73</v>
      </c>
      <c r="D189" s="43" t="str">
        <f t="shared" si="36"/>
        <v>M27TRSS22AF-.27D3662(D905)</v>
      </c>
      <c r="E189" s="42" t="s">
        <v>21</v>
      </c>
      <c r="F189" s="42" t="s">
        <v>21</v>
      </c>
      <c r="G189" s="44">
        <v>300</v>
      </c>
      <c r="H189" s="44">
        <v>27</v>
      </c>
      <c r="I189" s="45">
        <v>1</v>
      </c>
      <c r="J189" s="45">
        <v>1</v>
      </c>
      <c r="K189" s="45">
        <v>3</v>
      </c>
      <c r="L189" s="41">
        <f t="shared" si="28"/>
        <v>32</v>
      </c>
      <c r="M189" s="41">
        <f t="shared" si="29"/>
        <v>6.4</v>
      </c>
      <c r="N189" s="45">
        <v>29</v>
      </c>
      <c r="O189" s="45">
        <v>1</v>
      </c>
      <c r="P189" s="45">
        <v>1</v>
      </c>
      <c r="Q189" s="45">
        <v>1</v>
      </c>
      <c r="R189" s="45">
        <v>2</v>
      </c>
      <c r="S189" s="41">
        <f t="shared" si="30"/>
        <v>34</v>
      </c>
      <c r="T189" s="41">
        <f t="shared" si="31"/>
        <v>6.8</v>
      </c>
      <c r="U189" s="45">
        <v>4</v>
      </c>
      <c r="V189" s="45">
        <v>1</v>
      </c>
      <c r="W189" s="45">
        <v>1</v>
      </c>
      <c r="X189" s="41">
        <f t="shared" si="32"/>
        <v>6</v>
      </c>
      <c r="Y189" s="41">
        <f t="shared" si="33"/>
        <v>1.2</v>
      </c>
      <c r="Z189" s="45">
        <v>23</v>
      </c>
      <c r="AA189" s="45">
        <v>2</v>
      </c>
      <c r="AB189" s="45">
        <v>1</v>
      </c>
      <c r="AC189" s="45">
        <v>1</v>
      </c>
      <c r="AD189" s="41">
        <f t="shared" si="34"/>
        <v>27</v>
      </c>
      <c r="AE189" s="41">
        <f t="shared" si="35"/>
        <v>5.4</v>
      </c>
      <c r="AF189" s="41">
        <f t="shared" si="16"/>
        <v>67</v>
      </c>
      <c r="AG189" s="41">
        <f t="shared" si="16"/>
        <v>13.4</v>
      </c>
      <c r="AH189" s="41">
        <f t="shared" si="17"/>
        <v>99</v>
      </c>
      <c r="AI189" s="41">
        <f t="shared" si="17"/>
        <v>19.8</v>
      </c>
    </row>
    <row r="190" spans="1:35">
      <c r="A190" s="42" t="s">
        <v>335</v>
      </c>
      <c r="B190" s="38" t="s">
        <v>321</v>
      </c>
      <c r="C190" s="39" t="s">
        <v>57</v>
      </c>
      <c r="D190" s="43" t="str">
        <f t="shared" si="36"/>
        <v>M27TRSS22AFH.27D3662(D905)</v>
      </c>
      <c r="E190" s="42" t="s">
        <v>21</v>
      </c>
      <c r="F190" s="42" t="s">
        <v>21</v>
      </c>
      <c r="G190" s="44">
        <v>300</v>
      </c>
      <c r="H190" s="44">
        <v>27</v>
      </c>
      <c r="I190" s="45">
        <v>1</v>
      </c>
      <c r="J190" s="45">
        <v>1</v>
      </c>
      <c r="K190" s="45">
        <v>3</v>
      </c>
      <c r="L190" s="41">
        <f t="shared" si="28"/>
        <v>32</v>
      </c>
      <c r="M190" s="41">
        <f t="shared" si="29"/>
        <v>6.4</v>
      </c>
      <c r="N190" s="45">
        <v>29</v>
      </c>
      <c r="O190" s="45">
        <v>1</v>
      </c>
      <c r="P190" s="45">
        <v>1</v>
      </c>
      <c r="Q190" s="45">
        <v>1</v>
      </c>
      <c r="R190" s="45">
        <v>2</v>
      </c>
      <c r="S190" s="41">
        <f t="shared" si="30"/>
        <v>34</v>
      </c>
      <c r="T190" s="41">
        <f t="shared" si="31"/>
        <v>6.8</v>
      </c>
      <c r="U190" s="45">
        <v>4</v>
      </c>
      <c r="V190" s="45">
        <v>1</v>
      </c>
      <c r="W190" s="45">
        <v>1</v>
      </c>
      <c r="X190" s="41">
        <f t="shared" si="32"/>
        <v>6</v>
      </c>
      <c r="Y190" s="41">
        <f t="shared" si="33"/>
        <v>1.2</v>
      </c>
      <c r="Z190" s="45">
        <v>23</v>
      </c>
      <c r="AA190" s="45">
        <v>2</v>
      </c>
      <c r="AB190" s="45">
        <v>1</v>
      </c>
      <c r="AC190" s="45">
        <v>1</v>
      </c>
      <c r="AD190" s="41">
        <f t="shared" si="34"/>
        <v>27</v>
      </c>
      <c r="AE190" s="41">
        <f t="shared" si="35"/>
        <v>5.4</v>
      </c>
      <c r="AF190" s="41">
        <f t="shared" si="16"/>
        <v>67</v>
      </c>
      <c r="AG190" s="41">
        <f t="shared" si="16"/>
        <v>13.4</v>
      </c>
      <c r="AH190" s="41">
        <f t="shared" si="17"/>
        <v>99</v>
      </c>
      <c r="AI190" s="41">
        <f t="shared" si="17"/>
        <v>19.8</v>
      </c>
    </row>
    <row r="191" spans="1:35">
      <c r="A191" s="42" t="s">
        <v>335</v>
      </c>
      <c r="B191" s="38" t="s">
        <v>321</v>
      </c>
      <c r="C191" s="39" t="s">
        <v>61</v>
      </c>
      <c r="D191" s="43" t="str">
        <f>C191&amp;"("&amp;F191&amp;")"</f>
        <v>M27GBSS22AFH.27D3602(D905)</v>
      </c>
      <c r="E191" s="42" t="s">
        <v>21</v>
      </c>
      <c r="F191" s="42" t="s">
        <v>21</v>
      </c>
      <c r="G191" s="44">
        <v>300</v>
      </c>
      <c r="H191" s="44">
        <v>27</v>
      </c>
      <c r="I191" s="45">
        <v>1</v>
      </c>
      <c r="J191" s="45">
        <v>1</v>
      </c>
      <c r="K191" s="45">
        <v>3</v>
      </c>
      <c r="L191" s="41">
        <f>SUM(H191:K191)</f>
        <v>32</v>
      </c>
      <c r="M191" s="41">
        <f>60*L191/G191</f>
        <v>6.4</v>
      </c>
      <c r="N191" s="45">
        <v>29</v>
      </c>
      <c r="O191" s="45">
        <v>1</v>
      </c>
      <c r="P191" s="45">
        <v>1</v>
      </c>
      <c r="Q191" s="45">
        <v>1</v>
      </c>
      <c r="R191" s="45">
        <v>2</v>
      </c>
      <c r="S191" s="41">
        <f>SUM(N191:R191)</f>
        <v>34</v>
      </c>
      <c r="T191" s="41">
        <f>60*S191/G191</f>
        <v>6.8</v>
      </c>
      <c r="U191" s="45">
        <v>4</v>
      </c>
      <c r="V191" s="45">
        <v>1</v>
      </c>
      <c r="W191" s="45">
        <v>1</v>
      </c>
      <c r="X191" s="41">
        <f>SUM(U191:W191)</f>
        <v>6</v>
      </c>
      <c r="Y191" s="41">
        <f>60*X191/G191</f>
        <v>1.2</v>
      </c>
      <c r="Z191" s="45">
        <v>23</v>
      </c>
      <c r="AA191" s="45">
        <v>2</v>
      </c>
      <c r="AB191" s="45">
        <v>1</v>
      </c>
      <c r="AC191" s="45">
        <v>1</v>
      </c>
      <c r="AD191" s="41">
        <f>SUM(Z191:AC191)</f>
        <v>27</v>
      </c>
      <c r="AE191" s="41">
        <f>60*AD191/G191</f>
        <v>5.4</v>
      </c>
      <c r="AF191" s="41">
        <f t="shared" si="16"/>
        <v>67</v>
      </c>
      <c r="AG191" s="41">
        <f t="shared" si="16"/>
        <v>13.4</v>
      </c>
      <c r="AH191" s="41">
        <f t="shared" si="17"/>
        <v>99</v>
      </c>
      <c r="AI191" s="41">
        <f t="shared" si="17"/>
        <v>19.8</v>
      </c>
    </row>
    <row r="192" spans="1:35">
      <c r="A192" s="42" t="s">
        <v>335</v>
      </c>
      <c r="B192" s="38" t="s">
        <v>321</v>
      </c>
      <c r="C192" s="39" t="s">
        <v>62</v>
      </c>
      <c r="D192" s="43" t="str">
        <f>C192&amp;"("&amp;F192&amp;")"</f>
        <v>M27GBSS22AFH.27D3622(D905)</v>
      </c>
      <c r="E192" s="42" t="s">
        <v>21</v>
      </c>
      <c r="F192" s="42" t="s">
        <v>21</v>
      </c>
      <c r="G192" s="44">
        <v>300</v>
      </c>
      <c r="H192" s="44">
        <v>27</v>
      </c>
      <c r="I192" s="45">
        <v>1</v>
      </c>
      <c r="J192" s="45">
        <v>1</v>
      </c>
      <c r="K192" s="45">
        <v>3</v>
      </c>
      <c r="L192" s="41">
        <f>SUM(H192:K192)</f>
        <v>32</v>
      </c>
      <c r="M192" s="41">
        <f>60*L192/G192</f>
        <v>6.4</v>
      </c>
      <c r="N192" s="45">
        <v>29</v>
      </c>
      <c r="O192" s="45">
        <v>1</v>
      </c>
      <c r="P192" s="45">
        <v>1</v>
      </c>
      <c r="Q192" s="45">
        <v>1</v>
      </c>
      <c r="R192" s="45">
        <v>2</v>
      </c>
      <c r="S192" s="41">
        <f>SUM(N192:R192)</f>
        <v>34</v>
      </c>
      <c r="T192" s="41">
        <f>60*S192/G192</f>
        <v>6.8</v>
      </c>
      <c r="U192" s="45">
        <v>4</v>
      </c>
      <c r="V192" s="45">
        <v>1</v>
      </c>
      <c r="W192" s="45">
        <v>1</v>
      </c>
      <c r="X192" s="41">
        <f>SUM(U192:W192)</f>
        <v>6</v>
      </c>
      <c r="Y192" s="41">
        <f>60*X192/G192</f>
        <v>1.2</v>
      </c>
      <c r="Z192" s="45">
        <v>23</v>
      </c>
      <c r="AA192" s="45">
        <v>2</v>
      </c>
      <c r="AB192" s="45">
        <v>1</v>
      </c>
      <c r="AC192" s="45">
        <v>1</v>
      </c>
      <c r="AD192" s="41">
        <f>SUM(Z192:AC192)</f>
        <v>27</v>
      </c>
      <c r="AE192" s="41">
        <f>60*AD192/G192</f>
        <v>5.4</v>
      </c>
      <c r="AF192" s="41">
        <f t="shared" si="16"/>
        <v>67</v>
      </c>
      <c r="AG192" s="41">
        <f t="shared" si="16"/>
        <v>13.4</v>
      </c>
      <c r="AH192" s="41">
        <f t="shared" si="17"/>
        <v>99</v>
      </c>
      <c r="AI192" s="41">
        <f t="shared" si="17"/>
        <v>19.8</v>
      </c>
    </row>
    <row r="193" spans="1:36">
      <c r="A193" s="42" t="s">
        <v>335</v>
      </c>
      <c r="B193" s="38" t="s">
        <v>321</v>
      </c>
      <c r="C193" s="39" t="s">
        <v>63</v>
      </c>
      <c r="D193" s="43" t="str">
        <f>C193&amp;"("&amp;F193&amp;")"</f>
        <v>M27GBSS22AFH.27D3662(D905)</v>
      </c>
      <c r="E193" s="42" t="s">
        <v>21</v>
      </c>
      <c r="F193" s="42" t="s">
        <v>21</v>
      </c>
      <c r="G193" s="44">
        <v>300</v>
      </c>
      <c r="H193" s="44">
        <v>27</v>
      </c>
      <c r="I193" s="45">
        <v>1</v>
      </c>
      <c r="J193" s="45">
        <v>1</v>
      </c>
      <c r="K193" s="45">
        <v>3</v>
      </c>
      <c r="L193" s="41">
        <f>SUM(H193:K193)</f>
        <v>32</v>
      </c>
      <c r="M193" s="41">
        <f>60*L193/G193</f>
        <v>6.4</v>
      </c>
      <c r="N193" s="45">
        <v>29</v>
      </c>
      <c r="O193" s="45">
        <v>1</v>
      </c>
      <c r="P193" s="45">
        <v>1</v>
      </c>
      <c r="Q193" s="45">
        <v>1</v>
      </c>
      <c r="R193" s="45">
        <v>2</v>
      </c>
      <c r="S193" s="41">
        <f>SUM(N193:R193)</f>
        <v>34</v>
      </c>
      <c r="T193" s="41">
        <f>60*S193/G193</f>
        <v>6.8</v>
      </c>
      <c r="U193" s="45">
        <v>4</v>
      </c>
      <c r="V193" s="45">
        <v>1</v>
      </c>
      <c r="W193" s="45">
        <v>1</v>
      </c>
      <c r="X193" s="41">
        <f>SUM(U193:W193)</f>
        <v>6</v>
      </c>
      <c r="Y193" s="41">
        <f>60*X193/G193</f>
        <v>1.2</v>
      </c>
      <c r="Z193" s="45">
        <v>23</v>
      </c>
      <c r="AA193" s="45">
        <v>2</v>
      </c>
      <c r="AB193" s="45">
        <v>1</v>
      </c>
      <c r="AC193" s="45">
        <v>1</v>
      </c>
      <c r="AD193" s="41">
        <f>SUM(Z193:AC193)</f>
        <v>27</v>
      </c>
      <c r="AE193" s="41">
        <f>60*AD193/G193</f>
        <v>5.4</v>
      </c>
      <c r="AF193" s="41">
        <f t="shared" si="16"/>
        <v>67</v>
      </c>
      <c r="AG193" s="41">
        <f t="shared" si="16"/>
        <v>13.4</v>
      </c>
      <c r="AH193" s="41">
        <f t="shared" si="17"/>
        <v>99</v>
      </c>
      <c r="AI193" s="41">
        <f t="shared" si="17"/>
        <v>19.8</v>
      </c>
    </row>
    <row r="194" spans="1:36">
      <c r="A194" s="42" t="s">
        <v>335</v>
      </c>
      <c r="B194" s="38" t="s">
        <v>321</v>
      </c>
      <c r="C194" s="39" t="s">
        <v>57</v>
      </c>
      <c r="D194" s="43" t="str">
        <f>C194&amp;"("&amp;F194&amp;")"</f>
        <v>M27TRSS22AFH.27D3662(D905)</v>
      </c>
      <c r="E194" s="42" t="s">
        <v>21</v>
      </c>
      <c r="F194" s="42" t="s">
        <v>21</v>
      </c>
      <c r="G194" s="44">
        <v>300</v>
      </c>
      <c r="H194" s="44">
        <v>27</v>
      </c>
      <c r="I194" s="45">
        <v>1</v>
      </c>
      <c r="J194" s="45">
        <v>1</v>
      </c>
      <c r="K194" s="45">
        <v>3</v>
      </c>
      <c r="L194" s="41">
        <f>SUM(H194:K194)</f>
        <v>32</v>
      </c>
      <c r="M194" s="41">
        <f>60*L194/G194</f>
        <v>6.4</v>
      </c>
      <c r="N194" s="45">
        <v>29</v>
      </c>
      <c r="O194" s="45">
        <v>1</v>
      </c>
      <c r="P194" s="45">
        <v>1</v>
      </c>
      <c r="Q194" s="45">
        <v>1</v>
      </c>
      <c r="R194" s="45">
        <v>2</v>
      </c>
      <c r="S194" s="41">
        <f>SUM(N194:R194)</f>
        <v>34</v>
      </c>
      <c r="T194" s="41">
        <f>60*S194/G194</f>
        <v>6.8</v>
      </c>
      <c r="U194" s="45">
        <v>4</v>
      </c>
      <c r="V194" s="45">
        <v>1</v>
      </c>
      <c r="W194" s="45">
        <v>1</v>
      </c>
      <c r="X194" s="41">
        <f>SUM(U194:W194)</f>
        <v>6</v>
      </c>
      <c r="Y194" s="41">
        <f>60*X194/G194</f>
        <v>1.2</v>
      </c>
      <c r="Z194" s="45">
        <v>23</v>
      </c>
      <c r="AA194" s="45">
        <v>2</v>
      </c>
      <c r="AB194" s="45">
        <v>1</v>
      </c>
      <c r="AC194" s="45">
        <v>1</v>
      </c>
      <c r="AD194" s="41">
        <f>SUM(Z194:AC194)</f>
        <v>27</v>
      </c>
      <c r="AE194" s="41">
        <f>60*AD194/G194</f>
        <v>5.4</v>
      </c>
      <c r="AF194" s="41">
        <f t="shared" si="16"/>
        <v>67</v>
      </c>
      <c r="AG194" s="41">
        <f t="shared" si="16"/>
        <v>13.4</v>
      </c>
      <c r="AH194" s="41">
        <f t="shared" si="17"/>
        <v>99</v>
      </c>
      <c r="AI194" s="41">
        <f t="shared" si="17"/>
        <v>19.8</v>
      </c>
    </row>
    <row r="195" spans="1:36">
      <c r="A195" s="42" t="s">
        <v>335</v>
      </c>
      <c r="B195" s="38" t="s">
        <v>321</v>
      </c>
      <c r="C195" s="39" t="s">
        <v>75</v>
      </c>
      <c r="D195" s="43" t="str">
        <f t="shared" ref="D195:D209" si="37">C195&amp;"("&amp;F195&amp;")"</f>
        <v>M27ILSS22AFH.27D3622(D905)</v>
      </c>
      <c r="E195" s="42" t="s">
        <v>21</v>
      </c>
      <c r="F195" s="42" t="s">
        <v>21</v>
      </c>
      <c r="G195" s="44">
        <v>300</v>
      </c>
      <c r="H195" s="44">
        <v>27</v>
      </c>
      <c r="I195" s="45">
        <v>1</v>
      </c>
      <c r="J195" s="45">
        <v>1</v>
      </c>
      <c r="K195" s="45">
        <v>3</v>
      </c>
      <c r="L195" s="41">
        <f t="shared" ref="L195:L209" si="38">SUM(H195:K195)</f>
        <v>32</v>
      </c>
      <c r="M195" s="41">
        <f t="shared" ref="M195:M209" si="39">60*L195/G195</f>
        <v>6.4</v>
      </c>
      <c r="N195" s="45">
        <v>29</v>
      </c>
      <c r="O195" s="45">
        <v>1</v>
      </c>
      <c r="P195" s="45">
        <v>1</v>
      </c>
      <c r="Q195" s="45">
        <v>1</v>
      </c>
      <c r="R195" s="45">
        <v>2</v>
      </c>
      <c r="S195" s="41">
        <f t="shared" ref="S195:S209" si="40">SUM(N195:R195)</f>
        <v>34</v>
      </c>
      <c r="T195" s="41">
        <f t="shared" ref="T195:T209" si="41">60*S195/G195</f>
        <v>6.8</v>
      </c>
      <c r="U195" s="45">
        <v>4</v>
      </c>
      <c r="V195" s="45">
        <v>1</v>
      </c>
      <c r="W195" s="45">
        <v>1</v>
      </c>
      <c r="X195" s="41">
        <f t="shared" ref="X195:X209" si="42">SUM(U195:W195)</f>
        <v>6</v>
      </c>
      <c r="Y195" s="41">
        <f t="shared" ref="Y195:Y209" si="43">60*X195/G195</f>
        <v>1.2</v>
      </c>
      <c r="Z195" s="45">
        <v>23</v>
      </c>
      <c r="AA195" s="45">
        <v>2</v>
      </c>
      <c r="AB195" s="45">
        <v>1</v>
      </c>
      <c r="AC195" s="45">
        <v>1</v>
      </c>
      <c r="AD195" s="41">
        <f t="shared" ref="AD195:AD209" si="44">SUM(Z195:AC195)</f>
        <v>27</v>
      </c>
      <c r="AE195" s="41">
        <f t="shared" ref="AE195:AE209" si="45">60*AD195/G195</f>
        <v>5.4</v>
      </c>
      <c r="AF195" s="41">
        <f t="shared" si="16"/>
        <v>67</v>
      </c>
      <c r="AG195" s="41">
        <f t="shared" si="16"/>
        <v>13.4</v>
      </c>
      <c r="AH195" s="41">
        <f t="shared" si="17"/>
        <v>99</v>
      </c>
      <c r="AI195" s="41">
        <f t="shared" si="17"/>
        <v>19.8</v>
      </c>
      <c r="AJ195" s="29">
        <f>AI195/AH195</f>
        <v>0.2</v>
      </c>
    </row>
    <row r="196" spans="1:36">
      <c r="A196" s="42" t="s">
        <v>335</v>
      </c>
      <c r="B196" s="38" t="s">
        <v>321</v>
      </c>
      <c r="C196" s="39" t="s">
        <v>146</v>
      </c>
      <c r="D196" s="43" t="str">
        <f t="shared" si="37"/>
        <v>M27ARSS22EFH.27D3661(D905)</v>
      </c>
      <c r="E196" s="42" t="s">
        <v>21</v>
      </c>
      <c r="F196" s="42" t="s">
        <v>21</v>
      </c>
      <c r="G196" s="44">
        <v>300</v>
      </c>
      <c r="H196" s="44">
        <v>27</v>
      </c>
      <c r="I196" s="45">
        <v>1</v>
      </c>
      <c r="J196" s="45">
        <v>1</v>
      </c>
      <c r="K196" s="45">
        <v>3</v>
      </c>
      <c r="L196" s="41">
        <f t="shared" si="38"/>
        <v>32</v>
      </c>
      <c r="M196" s="41">
        <f t="shared" si="39"/>
        <v>6.4</v>
      </c>
      <c r="N196" s="45">
        <v>29</v>
      </c>
      <c r="O196" s="45">
        <v>1</v>
      </c>
      <c r="P196" s="45">
        <v>1</v>
      </c>
      <c r="Q196" s="45">
        <v>1</v>
      </c>
      <c r="R196" s="45">
        <v>2</v>
      </c>
      <c r="S196" s="41">
        <f t="shared" si="40"/>
        <v>34</v>
      </c>
      <c r="T196" s="41">
        <f t="shared" si="41"/>
        <v>6.8</v>
      </c>
      <c r="U196" s="45">
        <v>4</v>
      </c>
      <c r="V196" s="45">
        <v>1</v>
      </c>
      <c r="W196" s="45">
        <v>1</v>
      </c>
      <c r="X196" s="41">
        <f t="shared" si="42"/>
        <v>6</v>
      </c>
      <c r="Y196" s="41">
        <f t="shared" si="43"/>
        <v>1.2</v>
      </c>
      <c r="Z196" s="45">
        <v>23</v>
      </c>
      <c r="AA196" s="45">
        <v>2</v>
      </c>
      <c r="AB196" s="45">
        <v>1</v>
      </c>
      <c r="AC196" s="45">
        <v>1</v>
      </c>
      <c r="AD196" s="41">
        <f t="shared" si="44"/>
        <v>27</v>
      </c>
      <c r="AE196" s="41">
        <f t="shared" si="45"/>
        <v>5.4</v>
      </c>
      <c r="AF196" s="41">
        <f t="shared" si="16"/>
        <v>67</v>
      </c>
      <c r="AG196" s="41">
        <f t="shared" si="16"/>
        <v>13.4</v>
      </c>
      <c r="AH196" s="41">
        <f t="shared" si="17"/>
        <v>99</v>
      </c>
      <c r="AI196" s="41">
        <f t="shared" si="17"/>
        <v>19.8</v>
      </c>
    </row>
    <row r="197" spans="1:36">
      <c r="A197" s="42" t="s">
        <v>335</v>
      </c>
      <c r="B197" s="38" t="s">
        <v>321</v>
      </c>
      <c r="C197" s="39" t="s">
        <v>89</v>
      </c>
      <c r="D197" s="43" t="str">
        <f t="shared" si="37"/>
        <v>M27ARSS22AFH.27D3662(D905)</v>
      </c>
      <c r="E197" s="42" t="s">
        <v>21</v>
      </c>
      <c r="F197" s="42" t="s">
        <v>21</v>
      </c>
      <c r="G197" s="44">
        <v>300</v>
      </c>
      <c r="H197" s="44">
        <v>27</v>
      </c>
      <c r="I197" s="45">
        <v>1</v>
      </c>
      <c r="J197" s="45">
        <v>1</v>
      </c>
      <c r="K197" s="45">
        <v>3</v>
      </c>
      <c r="L197" s="41">
        <f t="shared" si="38"/>
        <v>32</v>
      </c>
      <c r="M197" s="41">
        <f t="shared" si="39"/>
        <v>6.4</v>
      </c>
      <c r="N197" s="45">
        <v>29</v>
      </c>
      <c r="O197" s="45">
        <v>1</v>
      </c>
      <c r="P197" s="45">
        <v>1</v>
      </c>
      <c r="Q197" s="45">
        <v>1</v>
      </c>
      <c r="R197" s="45">
        <v>2</v>
      </c>
      <c r="S197" s="41">
        <f t="shared" si="40"/>
        <v>34</v>
      </c>
      <c r="T197" s="41">
        <f t="shared" si="41"/>
        <v>6.8</v>
      </c>
      <c r="U197" s="45">
        <v>4</v>
      </c>
      <c r="V197" s="45">
        <v>1</v>
      </c>
      <c r="W197" s="45">
        <v>1</v>
      </c>
      <c r="X197" s="41">
        <f t="shared" si="42"/>
        <v>6</v>
      </c>
      <c r="Y197" s="41">
        <f t="shared" si="43"/>
        <v>1.2</v>
      </c>
      <c r="Z197" s="45">
        <v>23</v>
      </c>
      <c r="AA197" s="45">
        <v>2</v>
      </c>
      <c r="AB197" s="45">
        <v>1</v>
      </c>
      <c r="AC197" s="45">
        <v>1</v>
      </c>
      <c r="AD197" s="41">
        <f t="shared" si="44"/>
        <v>27</v>
      </c>
      <c r="AE197" s="41">
        <f t="shared" si="45"/>
        <v>5.4</v>
      </c>
      <c r="AF197" s="41">
        <f t="shared" si="16"/>
        <v>67</v>
      </c>
      <c r="AG197" s="41">
        <f t="shared" si="16"/>
        <v>13.4</v>
      </c>
      <c r="AH197" s="41">
        <f t="shared" si="17"/>
        <v>99</v>
      </c>
      <c r="AI197" s="41">
        <f t="shared" si="17"/>
        <v>19.8</v>
      </c>
    </row>
    <row r="198" spans="1:36">
      <c r="A198" s="42" t="s">
        <v>335</v>
      </c>
      <c r="B198" s="38" t="s">
        <v>321</v>
      </c>
      <c r="C198" s="39" t="s">
        <v>148</v>
      </c>
      <c r="D198" s="43" t="str">
        <f t="shared" si="37"/>
        <v>M27NLSS22EFH.27D3621(D905)</v>
      </c>
      <c r="E198" s="42" t="s">
        <v>21</v>
      </c>
      <c r="F198" s="42" t="s">
        <v>21</v>
      </c>
      <c r="G198" s="44">
        <v>300</v>
      </c>
      <c r="H198" s="44">
        <v>27</v>
      </c>
      <c r="I198" s="45">
        <v>1</v>
      </c>
      <c r="J198" s="45">
        <v>1</v>
      </c>
      <c r="K198" s="45">
        <v>3</v>
      </c>
      <c r="L198" s="41">
        <f t="shared" si="38"/>
        <v>32</v>
      </c>
      <c r="M198" s="41">
        <f t="shared" si="39"/>
        <v>6.4</v>
      </c>
      <c r="N198" s="45">
        <v>29</v>
      </c>
      <c r="O198" s="45">
        <v>1</v>
      </c>
      <c r="P198" s="45">
        <v>1</v>
      </c>
      <c r="Q198" s="45">
        <v>1</v>
      </c>
      <c r="R198" s="45">
        <v>2</v>
      </c>
      <c r="S198" s="41">
        <f t="shared" si="40"/>
        <v>34</v>
      </c>
      <c r="T198" s="41">
        <f t="shared" si="41"/>
        <v>6.8</v>
      </c>
      <c r="U198" s="45">
        <v>4</v>
      </c>
      <c r="V198" s="45">
        <v>1</v>
      </c>
      <c r="W198" s="45">
        <v>1</v>
      </c>
      <c r="X198" s="41">
        <f t="shared" si="42"/>
        <v>6</v>
      </c>
      <c r="Y198" s="41">
        <f t="shared" si="43"/>
        <v>1.2</v>
      </c>
      <c r="Z198" s="45">
        <v>23</v>
      </c>
      <c r="AA198" s="45">
        <v>2</v>
      </c>
      <c r="AB198" s="45">
        <v>1</v>
      </c>
      <c r="AC198" s="45">
        <v>1</v>
      </c>
      <c r="AD198" s="41">
        <f t="shared" si="44"/>
        <v>27</v>
      </c>
      <c r="AE198" s="41">
        <f t="shared" si="45"/>
        <v>5.4</v>
      </c>
      <c r="AF198" s="41">
        <f t="shared" si="16"/>
        <v>67</v>
      </c>
      <c r="AG198" s="41">
        <f t="shared" si="16"/>
        <v>13.4</v>
      </c>
      <c r="AH198" s="41">
        <f t="shared" si="17"/>
        <v>99</v>
      </c>
      <c r="AI198" s="41">
        <f t="shared" si="17"/>
        <v>19.8</v>
      </c>
    </row>
    <row r="199" spans="1:36">
      <c r="A199" s="42" t="s">
        <v>335</v>
      </c>
      <c r="B199" s="38" t="s">
        <v>321</v>
      </c>
      <c r="C199" s="39" t="s">
        <v>101</v>
      </c>
      <c r="D199" s="43" t="str">
        <f t="shared" si="37"/>
        <v>M27NLSS22EFH.27D3661(D905)</v>
      </c>
      <c r="E199" s="42" t="s">
        <v>21</v>
      </c>
      <c r="F199" s="42" t="s">
        <v>21</v>
      </c>
      <c r="G199" s="44">
        <v>300</v>
      </c>
      <c r="H199" s="44">
        <v>27</v>
      </c>
      <c r="I199" s="45">
        <v>1</v>
      </c>
      <c r="J199" s="45">
        <v>1</v>
      </c>
      <c r="K199" s="45">
        <v>3</v>
      </c>
      <c r="L199" s="41">
        <f t="shared" si="38"/>
        <v>32</v>
      </c>
      <c r="M199" s="41">
        <f t="shared" si="39"/>
        <v>6.4</v>
      </c>
      <c r="N199" s="45">
        <v>29</v>
      </c>
      <c r="O199" s="45">
        <v>1</v>
      </c>
      <c r="P199" s="45">
        <v>1</v>
      </c>
      <c r="Q199" s="45">
        <v>1</v>
      </c>
      <c r="R199" s="45">
        <v>2</v>
      </c>
      <c r="S199" s="41">
        <f t="shared" si="40"/>
        <v>34</v>
      </c>
      <c r="T199" s="41">
        <f t="shared" si="41"/>
        <v>6.8</v>
      </c>
      <c r="U199" s="45">
        <v>4</v>
      </c>
      <c r="V199" s="45">
        <v>1</v>
      </c>
      <c r="W199" s="45">
        <v>1</v>
      </c>
      <c r="X199" s="41">
        <f t="shared" si="42"/>
        <v>6</v>
      </c>
      <c r="Y199" s="41">
        <f t="shared" si="43"/>
        <v>1.2</v>
      </c>
      <c r="Z199" s="45">
        <v>23</v>
      </c>
      <c r="AA199" s="45">
        <v>2</v>
      </c>
      <c r="AB199" s="45">
        <v>1</v>
      </c>
      <c r="AC199" s="45">
        <v>1</v>
      </c>
      <c r="AD199" s="41">
        <f t="shared" si="44"/>
        <v>27</v>
      </c>
      <c r="AE199" s="41">
        <f t="shared" si="45"/>
        <v>5.4</v>
      </c>
      <c r="AF199" s="41">
        <f t="shared" si="16"/>
        <v>67</v>
      </c>
      <c r="AG199" s="41">
        <f t="shared" si="16"/>
        <v>13.4</v>
      </c>
      <c r="AH199" s="41">
        <f t="shared" si="17"/>
        <v>99</v>
      </c>
      <c r="AI199" s="41">
        <f t="shared" si="17"/>
        <v>19.8</v>
      </c>
    </row>
    <row r="200" spans="1:36">
      <c r="A200" s="42" t="s">
        <v>335</v>
      </c>
      <c r="B200" s="38" t="s">
        <v>321</v>
      </c>
      <c r="C200" s="39" t="s">
        <v>83</v>
      </c>
      <c r="D200" s="43" t="str">
        <f t="shared" si="37"/>
        <v>M27AUSS22EFH.27D3661(D905)</v>
      </c>
      <c r="E200" s="42" t="s">
        <v>21</v>
      </c>
      <c r="F200" s="42" t="s">
        <v>21</v>
      </c>
      <c r="G200" s="44">
        <v>300</v>
      </c>
      <c r="H200" s="44">
        <v>27</v>
      </c>
      <c r="I200" s="45">
        <v>1</v>
      </c>
      <c r="J200" s="45">
        <v>1</v>
      </c>
      <c r="K200" s="45">
        <v>3</v>
      </c>
      <c r="L200" s="41">
        <f t="shared" si="38"/>
        <v>32</v>
      </c>
      <c r="M200" s="41">
        <f t="shared" si="39"/>
        <v>6.4</v>
      </c>
      <c r="N200" s="45">
        <v>29</v>
      </c>
      <c r="O200" s="45">
        <v>1</v>
      </c>
      <c r="P200" s="45">
        <v>1</v>
      </c>
      <c r="Q200" s="45">
        <v>1</v>
      </c>
      <c r="R200" s="45">
        <v>2</v>
      </c>
      <c r="S200" s="41">
        <f t="shared" si="40"/>
        <v>34</v>
      </c>
      <c r="T200" s="41">
        <f t="shared" si="41"/>
        <v>6.8</v>
      </c>
      <c r="U200" s="45">
        <v>4</v>
      </c>
      <c r="V200" s="45">
        <v>1</v>
      </c>
      <c r="W200" s="45">
        <v>1</v>
      </c>
      <c r="X200" s="41">
        <f t="shared" si="42"/>
        <v>6</v>
      </c>
      <c r="Y200" s="41">
        <f t="shared" si="43"/>
        <v>1.2</v>
      </c>
      <c r="Z200" s="45">
        <v>23</v>
      </c>
      <c r="AA200" s="45">
        <v>2</v>
      </c>
      <c r="AB200" s="45">
        <v>1</v>
      </c>
      <c r="AC200" s="45">
        <v>1</v>
      </c>
      <c r="AD200" s="41">
        <f t="shared" si="44"/>
        <v>27</v>
      </c>
      <c r="AE200" s="41">
        <f t="shared" si="45"/>
        <v>5.4</v>
      </c>
      <c r="AF200" s="41">
        <f t="shared" si="16"/>
        <v>67</v>
      </c>
      <c r="AG200" s="41">
        <f t="shared" si="16"/>
        <v>13.4</v>
      </c>
      <c r="AH200" s="41">
        <f t="shared" si="17"/>
        <v>99</v>
      </c>
      <c r="AI200" s="41">
        <f t="shared" si="17"/>
        <v>19.8</v>
      </c>
    </row>
    <row r="201" spans="1:36">
      <c r="A201" s="42" t="s">
        <v>335</v>
      </c>
      <c r="B201" s="38" t="s">
        <v>321</v>
      </c>
      <c r="C201" s="39" t="s">
        <v>186</v>
      </c>
      <c r="D201" s="43" t="str">
        <f t="shared" si="37"/>
        <v>M27USSS22EFH.27D3681(D905)</v>
      </c>
      <c r="E201" s="42" t="s">
        <v>21</v>
      </c>
      <c r="F201" s="42" t="s">
        <v>21</v>
      </c>
      <c r="G201" s="44">
        <v>300</v>
      </c>
      <c r="H201" s="44">
        <v>27</v>
      </c>
      <c r="I201" s="45">
        <v>1</v>
      </c>
      <c r="J201" s="45">
        <v>1</v>
      </c>
      <c r="K201" s="45">
        <v>3</v>
      </c>
      <c r="L201" s="41">
        <f t="shared" si="38"/>
        <v>32</v>
      </c>
      <c r="M201" s="41">
        <f t="shared" si="39"/>
        <v>6.4</v>
      </c>
      <c r="N201" s="45">
        <v>29</v>
      </c>
      <c r="O201" s="45">
        <v>1</v>
      </c>
      <c r="P201" s="45">
        <v>1</v>
      </c>
      <c r="Q201" s="45">
        <v>1</v>
      </c>
      <c r="R201" s="45">
        <v>2</v>
      </c>
      <c r="S201" s="41">
        <f t="shared" si="40"/>
        <v>34</v>
      </c>
      <c r="T201" s="41">
        <f t="shared" si="41"/>
        <v>6.8</v>
      </c>
      <c r="U201" s="45">
        <v>4</v>
      </c>
      <c r="V201" s="45">
        <v>1</v>
      </c>
      <c r="W201" s="45">
        <v>1</v>
      </c>
      <c r="X201" s="41">
        <f t="shared" si="42"/>
        <v>6</v>
      </c>
      <c r="Y201" s="41">
        <f t="shared" si="43"/>
        <v>1.2</v>
      </c>
      <c r="Z201" s="45">
        <v>23</v>
      </c>
      <c r="AA201" s="45">
        <v>2</v>
      </c>
      <c r="AB201" s="45">
        <v>1</v>
      </c>
      <c r="AC201" s="45">
        <v>1</v>
      </c>
      <c r="AD201" s="41">
        <f t="shared" si="44"/>
        <v>27</v>
      </c>
      <c r="AE201" s="41">
        <f t="shared" si="45"/>
        <v>5.4</v>
      </c>
      <c r="AF201" s="41">
        <f t="shared" si="16"/>
        <v>67</v>
      </c>
      <c r="AG201" s="41">
        <f t="shared" ref="AG201:AG209" si="46">SUM(T201,Y201,AE201)</f>
        <v>13.4</v>
      </c>
      <c r="AH201" s="41">
        <f t="shared" si="17"/>
        <v>99</v>
      </c>
      <c r="AI201" s="41">
        <f t="shared" ref="AI201:AI209" si="47">SUM(M201,AG201)</f>
        <v>19.8</v>
      </c>
    </row>
    <row r="202" spans="1:36">
      <c r="A202" s="42" t="s">
        <v>335</v>
      </c>
      <c r="B202" s="38" t="s">
        <v>321</v>
      </c>
      <c r="C202" s="39" t="s">
        <v>187</v>
      </c>
      <c r="D202" s="43" t="str">
        <f t="shared" si="37"/>
        <v>M27USSS22EFH.27D36D1(D905)</v>
      </c>
      <c r="E202" s="42" t="s">
        <v>21</v>
      </c>
      <c r="F202" s="42" t="s">
        <v>21</v>
      </c>
      <c r="G202" s="44">
        <v>300</v>
      </c>
      <c r="H202" s="44">
        <v>27</v>
      </c>
      <c r="I202" s="45">
        <v>1</v>
      </c>
      <c r="J202" s="45">
        <v>1</v>
      </c>
      <c r="K202" s="45">
        <v>3</v>
      </c>
      <c r="L202" s="41">
        <f t="shared" si="38"/>
        <v>32</v>
      </c>
      <c r="M202" s="41">
        <f t="shared" si="39"/>
        <v>6.4</v>
      </c>
      <c r="N202" s="45">
        <v>29</v>
      </c>
      <c r="O202" s="45">
        <v>1</v>
      </c>
      <c r="P202" s="45">
        <v>1</v>
      </c>
      <c r="Q202" s="45">
        <v>1</v>
      </c>
      <c r="R202" s="45">
        <v>2</v>
      </c>
      <c r="S202" s="41">
        <f t="shared" si="40"/>
        <v>34</v>
      </c>
      <c r="T202" s="41">
        <f t="shared" si="41"/>
        <v>6.8</v>
      </c>
      <c r="U202" s="45">
        <v>4</v>
      </c>
      <c r="V202" s="45">
        <v>1</v>
      </c>
      <c r="W202" s="45">
        <v>1</v>
      </c>
      <c r="X202" s="41">
        <f t="shared" si="42"/>
        <v>6</v>
      </c>
      <c r="Y202" s="41">
        <f t="shared" si="43"/>
        <v>1.2</v>
      </c>
      <c r="Z202" s="45">
        <v>23</v>
      </c>
      <c r="AA202" s="45">
        <v>2</v>
      </c>
      <c r="AB202" s="45">
        <v>1</v>
      </c>
      <c r="AC202" s="45">
        <v>1</v>
      </c>
      <c r="AD202" s="41">
        <f t="shared" si="44"/>
        <v>27</v>
      </c>
      <c r="AE202" s="41">
        <f t="shared" si="45"/>
        <v>5.4</v>
      </c>
      <c r="AF202" s="41">
        <f t="shared" ref="AF202:AF209" si="48">SUM(S202,X202,AD202)</f>
        <v>67</v>
      </c>
      <c r="AG202" s="41">
        <f t="shared" si="46"/>
        <v>13.4</v>
      </c>
      <c r="AH202" s="41">
        <f t="shared" ref="AH202:AH209" si="49">SUM(L202,AF202)</f>
        <v>99</v>
      </c>
      <c r="AI202" s="41">
        <f t="shared" si="47"/>
        <v>19.8</v>
      </c>
    </row>
    <row r="203" spans="1:36">
      <c r="A203" s="42" t="s">
        <v>335</v>
      </c>
      <c r="B203" s="38" t="s">
        <v>321</v>
      </c>
      <c r="C203" s="39" t="s">
        <v>150</v>
      </c>
      <c r="D203" s="43" t="str">
        <f t="shared" si="37"/>
        <v>M27AUSS22EFH.27D3601(D905)</v>
      </c>
      <c r="E203" s="42" t="s">
        <v>21</v>
      </c>
      <c r="F203" s="42" t="s">
        <v>21</v>
      </c>
      <c r="G203" s="44">
        <v>300</v>
      </c>
      <c r="H203" s="44">
        <v>27</v>
      </c>
      <c r="I203" s="45">
        <v>1</v>
      </c>
      <c r="J203" s="45">
        <v>1</v>
      </c>
      <c r="K203" s="45">
        <v>3</v>
      </c>
      <c r="L203" s="41">
        <f t="shared" si="38"/>
        <v>32</v>
      </c>
      <c r="M203" s="41">
        <f t="shared" si="39"/>
        <v>6.4</v>
      </c>
      <c r="N203" s="45">
        <v>29</v>
      </c>
      <c r="O203" s="45">
        <v>1</v>
      </c>
      <c r="P203" s="45">
        <v>1</v>
      </c>
      <c r="Q203" s="45">
        <v>1</v>
      </c>
      <c r="R203" s="45">
        <v>2</v>
      </c>
      <c r="S203" s="41">
        <f t="shared" si="40"/>
        <v>34</v>
      </c>
      <c r="T203" s="41">
        <f t="shared" si="41"/>
        <v>6.8</v>
      </c>
      <c r="U203" s="45">
        <v>4</v>
      </c>
      <c r="V203" s="45">
        <v>1</v>
      </c>
      <c r="W203" s="45">
        <v>1</v>
      </c>
      <c r="X203" s="41">
        <f t="shared" si="42"/>
        <v>6</v>
      </c>
      <c r="Y203" s="41">
        <f t="shared" si="43"/>
        <v>1.2</v>
      </c>
      <c r="Z203" s="45">
        <v>23</v>
      </c>
      <c r="AA203" s="45">
        <v>2</v>
      </c>
      <c r="AB203" s="45">
        <v>1</v>
      </c>
      <c r="AC203" s="45">
        <v>1</v>
      </c>
      <c r="AD203" s="41">
        <f t="shared" si="44"/>
        <v>27</v>
      </c>
      <c r="AE203" s="41">
        <f t="shared" si="45"/>
        <v>5.4</v>
      </c>
      <c r="AF203" s="41">
        <f t="shared" si="48"/>
        <v>67</v>
      </c>
      <c r="AG203" s="41">
        <f t="shared" si="46"/>
        <v>13.4</v>
      </c>
      <c r="AH203" s="41">
        <f t="shared" si="49"/>
        <v>99</v>
      </c>
      <c r="AI203" s="41">
        <f t="shared" si="47"/>
        <v>19.8</v>
      </c>
    </row>
    <row r="204" spans="1:36">
      <c r="A204" s="42" t="s">
        <v>335</v>
      </c>
      <c r="B204" s="38" t="s">
        <v>321</v>
      </c>
      <c r="C204" s="39" t="s">
        <v>179</v>
      </c>
      <c r="D204" s="43" t="str">
        <f t="shared" si="37"/>
        <v>M27AUSS22EF-.27D3661(D905)</v>
      </c>
      <c r="E204" s="42" t="s">
        <v>21</v>
      </c>
      <c r="F204" s="42" t="s">
        <v>21</v>
      </c>
      <c r="G204" s="44">
        <v>300</v>
      </c>
      <c r="H204" s="44">
        <v>27</v>
      </c>
      <c r="I204" s="45">
        <v>1</v>
      </c>
      <c r="J204" s="45">
        <v>1</v>
      </c>
      <c r="K204" s="45">
        <v>3</v>
      </c>
      <c r="L204" s="41">
        <f t="shared" si="38"/>
        <v>32</v>
      </c>
      <c r="M204" s="41">
        <f t="shared" si="39"/>
        <v>6.4</v>
      </c>
      <c r="N204" s="45">
        <v>29</v>
      </c>
      <c r="O204" s="45">
        <v>1</v>
      </c>
      <c r="P204" s="45">
        <v>1</v>
      </c>
      <c r="Q204" s="45">
        <v>1</v>
      </c>
      <c r="R204" s="45">
        <v>2</v>
      </c>
      <c r="S204" s="41">
        <f t="shared" si="40"/>
        <v>34</v>
      </c>
      <c r="T204" s="41">
        <f t="shared" si="41"/>
        <v>6.8</v>
      </c>
      <c r="U204" s="45">
        <v>4</v>
      </c>
      <c r="V204" s="45">
        <v>1</v>
      </c>
      <c r="W204" s="45">
        <v>1</v>
      </c>
      <c r="X204" s="41">
        <f t="shared" si="42"/>
        <v>6</v>
      </c>
      <c r="Y204" s="41">
        <f t="shared" si="43"/>
        <v>1.2</v>
      </c>
      <c r="Z204" s="45">
        <v>23</v>
      </c>
      <c r="AA204" s="45">
        <v>2</v>
      </c>
      <c r="AB204" s="45">
        <v>1</v>
      </c>
      <c r="AC204" s="45">
        <v>1</v>
      </c>
      <c r="AD204" s="41">
        <f t="shared" si="44"/>
        <v>27</v>
      </c>
      <c r="AE204" s="41">
        <f t="shared" si="45"/>
        <v>5.4</v>
      </c>
      <c r="AF204" s="41">
        <f t="shared" si="48"/>
        <v>67</v>
      </c>
      <c r="AG204" s="41">
        <f t="shared" si="46"/>
        <v>13.4</v>
      </c>
      <c r="AH204" s="41">
        <f t="shared" si="49"/>
        <v>99</v>
      </c>
      <c r="AI204" s="41">
        <f t="shared" si="47"/>
        <v>19.8</v>
      </c>
    </row>
    <row r="205" spans="1:36">
      <c r="A205" s="42" t="s">
        <v>335</v>
      </c>
      <c r="B205" s="38" t="s">
        <v>321</v>
      </c>
      <c r="C205" s="39" t="s">
        <v>147</v>
      </c>
      <c r="D205" s="43" t="str">
        <f t="shared" si="37"/>
        <v>M27TRSS22EFH.27D3661(D905)</v>
      </c>
      <c r="E205" s="42" t="s">
        <v>21</v>
      </c>
      <c r="F205" s="42" t="s">
        <v>21</v>
      </c>
      <c r="G205" s="44">
        <v>300</v>
      </c>
      <c r="H205" s="44">
        <v>27</v>
      </c>
      <c r="I205" s="45">
        <v>1</v>
      </c>
      <c r="J205" s="45">
        <v>1</v>
      </c>
      <c r="K205" s="45">
        <v>3</v>
      </c>
      <c r="L205" s="41">
        <f t="shared" si="38"/>
        <v>32</v>
      </c>
      <c r="M205" s="41">
        <f t="shared" si="39"/>
        <v>6.4</v>
      </c>
      <c r="N205" s="45">
        <v>29</v>
      </c>
      <c r="O205" s="45">
        <v>1</v>
      </c>
      <c r="P205" s="45">
        <v>1</v>
      </c>
      <c r="Q205" s="45">
        <v>1</v>
      </c>
      <c r="R205" s="45">
        <v>2</v>
      </c>
      <c r="S205" s="41">
        <f t="shared" si="40"/>
        <v>34</v>
      </c>
      <c r="T205" s="41">
        <f t="shared" si="41"/>
        <v>6.8</v>
      </c>
      <c r="U205" s="45">
        <v>4</v>
      </c>
      <c r="V205" s="45">
        <v>1</v>
      </c>
      <c r="W205" s="45">
        <v>1</v>
      </c>
      <c r="X205" s="41">
        <f t="shared" si="42"/>
        <v>6</v>
      </c>
      <c r="Y205" s="41">
        <f t="shared" si="43"/>
        <v>1.2</v>
      </c>
      <c r="Z205" s="45">
        <v>23</v>
      </c>
      <c r="AA205" s="45">
        <v>2</v>
      </c>
      <c r="AB205" s="45">
        <v>1</v>
      </c>
      <c r="AC205" s="45">
        <v>1</v>
      </c>
      <c r="AD205" s="41">
        <f t="shared" si="44"/>
        <v>27</v>
      </c>
      <c r="AE205" s="41">
        <f t="shared" si="45"/>
        <v>5.4</v>
      </c>
      <c r="AF205" s="41">
        <f t="shared" si="48"/>
        <v>67</v>
      </c>
      <c r="AG205" s="41">
        <f t="shared" si="46"/>
        <v>13.4</v>
      </c>
      <c r="AH205" s="41">
        <f t="shared" si="49"/>
        <v>99</v>
      </c>
      <c r="AI205" s="41">
        <f t="shared" si="47"/>
        <v>19.8</v>
      </c>
      <c r="AJ205" s="29">
        <f>AI205/AH205</f>
        <v>0.2</v>
      </c>
    </row>
    <row r="206" spans="1:36">
      <c r="A206" s="42" t="s">
        <v>335</v>
      </c>
      <c r="B206" s="38" t="s">
        <v>321</v>
      </c>
      <c r="C206" s="39" t="s">
        <v>157</v>
      </c>
      <c r="D206" s="43" t="str">
        <f t="shared" si="37"/>
        <v>M27CLSS22EFH.27D3661(D905)</v>
      </c>
      <c r="E206" s="42" t="s">
        <v>21</v>
      </c>
      <c r="F206" s="42" t="s">
        <v>21</v>
      </c>
      <c r="G206" s="44">
        <v>300</v>
      </c>
      <c r="H206" s="44">
        <v>27</v>
      </c>
      <c r="I206" s="45">
        <v>1</v>
      </c>
      <c r="J206" s="45">
        <v>1</v>
      </c>
      <c r="K206" s="45">
        <v>3</v>
      </c>
      <c r="L206" s="41">
        <f t="shared" si="38"/>
        <v>32</v>
      </c>
      <c r="M206" s="41">
        <f t="shared" si="39"/>
        <v>6.4</v>
      </c>
      <c r="N206" s="45">
        <v>29</v>
      </c>
      <c r="O206" s="45">
        <v>1</v>
      </c>
      <c r="P206" s="45">
        <v>1</v>
      </c>
      <c r="Q206" s="45">
        <v>1</v>
      </c>
      <c r="R206" s="45">
        <v>2</v>
      </c>
      <c r="S206" s="41">
        <f t="shared" si="40"/>
        <v>34</v>
      </c>
      <c r="T206" s="41">
        <f t="shared" si="41"/>
        <v>6.8</v>
      </c>
      <c r="U206" s="45">
        <v>4</v>
      </c>
      <c r="V206" s="45">
        <v>1</v>
      </c>
      <c r="W206" s="45">
        <v>1</v>
      </c>
      <c r="X206" s="41">
        <f t="shared" si="42"/>
        <v>6</v>
      </c>
      <c r="Y206" s="41">
        <f t="shared" si="43"/>
        <v>1.2</v>
      </c>
      <c r="Z206" s="45">
        <v>23</v>
      </c>
      <c r="AA206" s="45">
        <v>2</v>
      </c>
      <c r="AB206" s="45">
        <v>1</v>
      </c>
      <c r="AC206" s="45">
        <v>1</v>
      </c>
      <c r="AD206" s="41">
        <f t="shared" si="44"/>
        <v>27</v>
      </c>
      <c r="AE206" s="41">
        <f t="shared" si="45"/>
        <v>5.4</v>
      </c>
      <c r="AF206" s="41">
        <f t="shared" si="48"/>
        <v>67</v>
      </c>
      <c r="AG206" s="41">
        <f t="shared" si="46"/>
        <v>13.4</v>
      </c>
      <c r="AH206" s="41">
        <f t="shared" si="49"/>
        <v>99</v>
      </c>
      <c r="AI206" s="41">
        <f t="shared" si="47"/>
        <v>19.8</v>
      </c>
    </row>
    <row r="207" spans="1:36">
      <c r="A207" s="42" t="s">
        <v>335</v>
      </c>
      <c r="B207" s="38" t="s">
        <v>321</v>
      </c>
      <c r="C207" s="39" t="s">
        <v>158</v>
      </c>
      <c r="D207" s="43" t="str">
        <f t="shared" si="37"/>
        <v>M27GBSS22EFH.27D3661(D905)</v>
      </c>
      <c r="E207" s="42" t="s">
        <v>21</v>
      </c>
      <c r="F207" s="42" t="s">
        <v>21</v>
      </c>
      <c r="G207" s="44">
        <v>300</v>
      </c>
      <c r="H207" s="44">
        <v>27</v>
      </c>
      <c r="I207" s="45">
        <v>1</v>
      </c>
      <c r="J207" s="45">
        <v>1</v>
      </c>
      <c r="K207" s="45">
        <v>3</v>
      </c>
      <c r="L207" s="41">
        <f t="shared" si="38"/>
        <v>32</v>
      </c>
      <c r="M207" s="41">
        <f t="shared" si="39"/>
        <v>6.4</v>
      </c>
      <c r="N207" s="45">
        <v>29</v>
      </c>
      <c r="O207" s="45">
        <v>1</v>
      </c>
      <c r="P207" s="45">
        <v>1</v>
      </c>
      <c r="Q207" s="45">
        <v>1</v>
      </c>
      <c r="R207" s="45">
        <v>2</v>
      </c>
      <c r="S207" s="41">
        <f t="shared" si="40"/>
        <v>34</v>
      </c>
      <c r="T207" s="41">
        <f t="shared" si="41"/>
        <v>6.8</v>
      </c>
      <c r="U207" s="45">
        <v>4</v>
      </c>
      <c r="V207" s="45">
        <v>1</v>
      </c>
      <c r="W207" s="45">
        <v>1</v>
      </c>
      <c r="X207" s="41">
        <f t="shared" si="42"/>
        <v>6</v>
      </c>
      <c r="Y207" s="41">
        <f t="shared" si="43"/>
        <v>1.2</v>
      </c>
      <c r="Z207" s="45">
        <v>23</v>
      </c>
      <c r="AA207" s="45">
        <v>2</v>
      </c>
      <c r="AB207" s="45">
        <v>1</v>
      </c>
      <c r="AC207" s="45">
        <v>1</v>
      </c>
      <c r="AD207" s="41">
        <f t="shared" si="44"/>
        <v>27</v>
      </c>
      <c r="AE207" s="41">
        <f t="shared" si="45"/>
        <v>5.4</v>
      </c>
      <c r="AF207" s="41">
        <f t="shared" si="48"/>
        <v>67</v>
      </c>
      <c r="AG207" s="41">
        <f t="shared" si="46"/>
        <v>13.4</v>
      </c>
      <c r="AH207" s="41">
        <f t="shared" si="49"/>
        <v>99</v>
      </c>
      <c r="AI207" s="41">
        <f t="shared" si="47"/>
        <v>19.8</v>
      </c>
    </row>
    <row r="208" spans="1:36">
      <c r="A208" s="42" t="s">
        <v>335</v>
      </c>
      <c r="B208" s="38" t="s">
        <v>321</v>
      </c>
      <c r="C208" s="39" t="s">
        <v>151</v>
      </c>
      <c r="D208" s="43" t="str">
        <f t="shared" si="37"/>
        <v>M27GBSS22EFH.27D3601(D905)</v>
      </c>
      <c r="E208" s="42" t="s">
        <v>21</v>
      </c>
      <c r="F208" s="42" t="s">
        <v>21</v>
      </c>
      <c r="G208" s="44">
        <v>300</v>
      </c>
      <c r="H208" s="44">
        <v>27</v>
      </c>
      <c r="I208" s="45">
        <v>1</v>
      </c>
      <c r="J208" s="45">
        <v>1</v>
      </c>
      <c r="K208" s="45">
        <v>3</v>
      </c>
      <c r="L208" s="41">
        <f t="shared" si="38"/>
        <v>32</v>
      </c>
      <c r="M208" s="41">
        <f t="shared" si="39"/>
        <v>6.4</v>
      </c>
      <c r="N208" s="45">
        <v>29</v>
      </c>
      <c r="O208" s="45">
        <v>1</v>
      </c>
      <c r="P208" s="45">
        <v>1</v>
      </c>
      <c r="Q208" s="45">
        <v>1</v>
      </c>
      <c r="R208" s="45">
        <v>2</v>
      </c>
      <c r="S208" s="41">
        <f t="shared" si="40"/>
        <v>34</v>
      </c>
      <c r="T208" s="41">
        <f t="shared" si="41"/>
        <v>6.8</v>
      </c>
      <c r="U208" s="45">
        <v>4</v>
      </c>
      <c r="V208" s="45">
        <v>1</v>
      </c>
      <c r="W208" s="45">
        <v>1</v>
      </c>
      <c r="X208" s="41">
        <f t="shared" si="42"/>
        <v>6</v>
      </c>
      <c r="Y208" s="41">
        <f t="shared" si="43"/>
        <v>1.2</v>
      </c>
      <c r="Z208" s="45">
        <v>23</v>
      </c>
      <c r="AA208" s="45">
        <v>2</v>
      </c>
      <c r="AB208" s="45">
        <v>1</v>
      </c>
      <c r="AC208" s="45">
        <v>1</v>
      </c>
      <c r="AD208" s="41">
        <f t="shared" si="44"/>
        <v>27</v>
      </c>
      <c r="AE208" s="41">
        <f t="shared" si="45"/>
        <v>5.4</v>
      </c>
      <c r="AF208" s="41">
        <f t="shared" si="48"/>
        <v>67</v>
      </c>
      <c r="AG208" s="41">
        <f t="shared" si="46"/>
        <v>13.4</v>
      </c>
      <c r="AH208" s="41">
        <f t="shared" si="49"/>
        <v>99</v>
      </c>
      <c r="AI208" s="41">
        <f t="shared" si="47"/>
        <v>19.8</v>
      </c>
    </row>
    <row r="209" spans="1:36">
      <c r="A209" s="42" t="s">
        <v>335</v>
      </c>
      <c r="B209" s="38" t="s">
        <v>321</v>
      </c>
      <c r="C209" s="39" t="s">
        <v>152</v>
      </c>
      <c r="D209" s="43" t="str">
        <f t="shared" si="37"/>
        <v>M27ILSS22EFH.27D3621(D905)</v>
      </c>
      <c r="E209" s="42" t="s">
        <v>21</v>
      </c>
      <c r="F209" s="42" t="s">
        <v>21</v>
      </c>
      <c r="G209" s="44">
        <v>300</v>
      </c>
      <c r="H209" s="44">
        <v>27</v>
      </c>
      <c r="I209" s="45">
        <v>1</v>
      </c>
      <c r="J209" s="45">
        <v>1</v>
      </c>
      <c r="K209" s="45">
        <v>3</v>
      </c>
      <c r="L209" s="41">
        <f t="shared" si="38"/>
        <v>32</v>
      </c>
      <c r="M209" s="41">
        <f t="shared" si="39"/>
        <v>6.4</v>
      </c>
      <c r="N209" s="45">
        <v>29</v>
      </c>
      <c r="O209" s="45">
        <v>1</v>
      </c>
      <c r="P209" s="45">
        <v>1</v>
      </c>
      <c r="Q209" s="45">
        <v>1</v>
      </c>
      <c r="R209" s="45">
        <v>2</v>
      </c>
      <c r="S209" s="41">
        <f t="shared" si="40"/>
        <v>34</v>
      </c>
      <c r="T209" s="41">
        <f t="shared" si="41"/>
        <v>6.8</v>
      </c>
      <c r="U209" s="45">
        <v>4</v>
      </c>
      <c r="V209" s="45">
        <v>1</v>
      </c>
      <c r="W209" s="45">
        <v>1</v>
      </c>
      <c r="X209" s="41">
        <f t="shared" si="42"/>
        <v>6</v>
      </c>
      <c r="Y209" s="41">
        <f t="shared" si="43"/>
        <v>1.2</v>
      </c>
      <c r="Z209" s="45">
        <v>23</v>
      </c>
      <c r="AA209" s="45">
        <v>2</v>
      </c>
      <c r="AB209" s="45">
        <v>1</v>
      </c>
      <c r="AC209" s="45">
        <v>1</v>
      </c>
      <c r="AD209" s="41">
        <f t="shared" si="44"/>
        <v>27</v>
      </c>
      <c r="AE209" s="41">
        <f t="shared" si="45"/>
        <v>5.4</v>
      </c>
      <c r="AF209" s="41">
        <f t="shared" si="48"/>
        <v>67</v>
      </c>
      <c r="AG209" s="41">
        <f t="shared" si="46"/>
        <v>13.4</v>
      </c>
      <c r="AH209" s="41">
        <f t="shared" si="49"/>
        <v>99</v>
      </c>
      <c r="AI209" s="41">
        <f t="shared" si="47"/>
        <v>19.8</v>
      </c>
    </row>
    <row r="210" spans="1:36" ht="16.5" customHeight="1">
      <c r="A210" s="46" t="s">
        <v>335</v>
      </c>
      <c r="B210" s="33" t="s">
        <v>321</v>
      </c>
      <c r="C210" s="34" t="s">
        <v>322</v>
      </c>
      <c r="D210" s="47" t="str">
        <f>C210&amp;"("&amp;F210&amp;")"</f>
        <v>M27NLSS22AFH.27D3601(D905)</v>
      </c>
      <c r="E210" s="46" t="s">
        <v>21</v>
      </c>
      <c r="F210" s="46" t="s">
        <v>21</v>
      </c>
      <c r="G210" s="48">
        <v>430</v>
      </c>
      <c r="H210" s="48">
        <v>37</v>
      </c>
      <c r="I210" s="49">
        <v>1</v>
      </c>
      <c r="J210" s="49">
        <v>1</v>
      </c>
      <c r="K210" s="49">
        <v>4</v>
      </c>
      <c r="L210" s="36">
        <f>SUM(H210:K210)</f>
        <v>43</v>
      </c>
      <c r="M210" s="36">
        <f>60*L210/G210</f>
        <v>6</v>
      </c>
      <c r="N210" s="49">
        <v>40</v>
      </c>
      <c r="O210" s="49">
        <v>1</v>
      </c>
      <c r="P210" s="49">
        <v>1</v>
      </c>
      <c r="Q210" s="49">
        <v>1</v>
      </c>
      <c r="R210" s="49">
        <v>3</v>
      </c>
      <c r="S210" s="36">
        <f>SUM(N210:R210)</f>
        <v>46</v>
      </c>
      <c r="T210" s="36">
        <f>60*S210/G210</f>
        <v>6.4186046511627906</v>
      </c>
      <c r="U210" s="49">
        <v>12</v>
      </c>
      <c r="V210" s="49">
        <v>1</v>
      </c>
      <c r="W210" s="49">
        <v>1</v>
      </c>
      <c r="X210" s="36">
        <f>SUM(U210:W210)</f>
        <v>14</v>
      </c>
      <c r="Y210" s="36">
        <f>60*X210/G210</f>
        <v>1.9534883720930232</v>
      </c>
      <c r="Z210" s="49">
        <v>39</v>
      </c>
      <c r="AA210" s="49">
        <v>2</v>
      </c>
      <c r="AB210" s="49">
        <v>1</v>
      </c>
      <c r="AC210" s="49">
        <v>2</v>
      </c>
      <c r="AD210" s="36">
        <f>SUM(Z210:AC210)</f>
        <v>44</v>
      </c>
      <c r="AE210" s="36">
        <f>60*AD210/G210</f>
        <v>6.1395348837209305</v>
      </c>
      <c r="AF210" s="36">
        <f>SUM(S210,X210,AD210)</f>
        <v>104</v>
      </c>
      <c r="AG210" s="36">
        <f>SUM(T210,Y210,AE210)</f>
        <v>14.511627906976745</v>
      </c>
      <c r="AH210" s="36">
        <f>SUM(L210,AF210)</f>
        <v>147</v>
      </c>
      <c r="AI210" s="36">
        <f>SUM(M210,AG210)</f>
        <v>20.511627906976745</v>
      </c>
    </row>
    <row r="211" spans="1:36">
      <c r="A211" s="46" t="s">
        <v>335</v>
      </c>
      <c r="B211" s="33" t="s">
        <v>321</v>
      </c>
      <c r="C211" s="34" t="s">
        <v>65</v>
      </c>
      <c r="D211" s="47" t="str">
        <f t="shared" ref="D211:D263" si="50">C211&amp;"("&amp;F211&amp;")"</f>
        <v>M27NLSS22AFH.27D3602(D905)</v>
      </c>
      <c r="E211" s="46" t="s">
        <v>21</v>
      </c>
      <c r="F211" s="46" t="s">
        <v>21</v>
      </c>
      <c r="G211" s="48">
        <v>430</v>
      </c>
      <c r="H211" s="48">
        <v>37</v>
      </c>
      <c r="I211" s="49">
        <v>1</v>
      </c>
      <c r="J211" s="49">
        <v>1</v>
      </c>
      <c r="K211" s="49">
        <v>4</v>
      </c>
      <c r="L211" s="36">
        <f t="shared" ref="L211:L274" si="51">SUM(H211:K211)</f>
        <v>43</v>
      </c>
      <c r="M211" s="36">
        <f t="shared" ref="M211:M274" si="52">60*L211/G211</f>
        <v>6</v>
      </c>
      <c r="N211" s="49">
        <v>40</v>
      </c>
      <c r="O211" s="49">
        <v>1</v>
      </c>
      <c r="P211" s="49">
        <v>1</v>
      </c>
      <c r="Q211" s="49">
        <v>1</v>
      </c>
      <c r="R211" s="49">
        <v>3</v>
      </c>
      <c r="S211" s="36">
        <f t="shared" ref="S211:S274" si="53">SUM(N211:R211)</f>
        <v>46</v>
      </c>
      <c r="T211" s="36">
        <f t="shared" ref="T211:T274" si="54">60*S211/G211</f>
        <v>6.4186046511627906</v>
      </c>
      <c r="U211" s="49">
        <v>12</v>
      </c>
      <c r="V211" s="49">
        <v>1</v>
      </c>
      <c r="W211" s="49">
        <v>1</v>
      </c>
      <c r="X211" s="36">
        <f t="shared" ref="X211:X274" si="55">SUM(U211:W211)</f>
        <v>14</v>
      </c>
      <c r="Y211" s="36">
        <f t="shared" ref="Y211:Y274" si="56">60*X211/G211</f>
        <v>1.9534883720930232</v>
      </c>
      <c r="Z211" s="49">
        <v>39</v>
      </c>
      <c r="AA211" s="49">
        <v>2</v>
      </c>
      <c r="AB211" s="49">
        <v>1</v>
      </c>
      <c r="AC211" s="49">
        <v>2</v>
      </c>
      <c r="AD211" s="36">
        <f t="shared" ref="AD211:AD274" si="57">SUM(Z211:AC211)</f>
        <v>44</v>
      </c>
      <c r="AE211" s="36">
        <f t="shared" ref="AE211:AE274" si="58">60*AD211/G211</f>
        <v>6.1395348837209305</v>
      </c>
      <c r="AF211" s="36">
        <f t="shared" ref="AF211:AG253" si="59">SUM(S211,X211,AD211)</f>
        <v>104</v>
      </c>
      <c r="AG211" s="36">
        <f t="shared" si="59"/>
        <v>14.511627906976745</v>
      </c>
      <c r="AH211" s="36">
        <f t="shared" ref="AH211:AI253" si="60">SUM(L211,AF211)</f>
        <v>147</v>
      </c>
      <c r="AI211" s="36">
        <f t="shared" si="60"/>
        <v>20.511627906976745</v>
      </c>
    </row>
    <row r="212" spans="1:36">
      <c r="A212" s="46" t="s">
        <v>335</v>
      </c>
      <c r="B212" s="33" t="s">
        <v>321</v>
      </c>
      <c r="C212" s="34" t="s">
        <v>145</v>
      </c>
      <c r="D212" s="47" t="str">
        <f t="shared" si="50"/>
        <v>M27NLSS22AF-.27D3602(D905)</v>
      </c>
      <c r="E212" s="46" t="s">
        <v>21</v>
      </c>
      <c r="F212" s="46" t="s">
        <v>21</v>
      </c>
      <c r="G212" s="48">
        <v>430</v>
      </c>
      <c r="H212" s="48">
        <v>37</v>
      </c>
      <c r="I212" s="49">
        <v>1</v>
      </c>
      <c r="J212" s="49">
        <v>1</v>
      </c>
      <c r="K212" s="49">
        <v>4</v>
      </c>
      <c r="L212" s="36">
        <f t="shared" si="51"/>
        <v>43</v>
      </c>
      <c r="M212" s="36">
        <f t="shared" si="52"/>
        <v>6</v>
      </c>
      <c r="N212" s="49">
        <v>40</v>
      </c>
      <c r="O212" s="49">
        <v>1</v>
      </c>
      <c r="P212" s="49">
        <v>1</v>
      </c>
      <c r="Q212" s="49">
        <v>1</v>
      </c>
      <c r="R212" s="49">
        <v>3</v>
      </c>
      <c r="S212" s="36">
        <f t="shared" si="53"/>
        <v>46</v>
      </c>
      <c r="T212" s="36">
        <f t="shared" si="54"/>
        <v>6.4186046511627906</v>
      </c>
      <c r="U212" s="49">
        <v>12</v>
      </c>
      <c r="V212" s="49">
        <v>1</v>
      </c>
      <c r="W212" s="49">
        <v>1</v>
      </c>
      <c r="X212" s="36">
        <f t="shared" si="55"/>
        <v>14</v>
      </c>
      <c r="Y212" s="36">
        <f t="shared" si="56"/>
        <v>1.9534883720930232</v>
      </c>
      <c r="Z212" s="49">
        <v>39</v>
      </c>
      <c r="AA212" s="49">
        <v>2</v>
      </c>
      <c r="AB212" s="49">
        <v>1</v>
      </c>
      <c r="AC212" s="49">
        <v>2</v>
      </c>
      <c r="AD212" s="36">
        <f t="shared" si="57"/>
        <v>44</v>
      </c>
      <c r="AE212" s="36">
        <f t="shared" si="58"/>
        <v>6.1395348837209305</v>
      </c>
      <c r="AF212" s="36">
        <f t="shared" si="59"/>
        <v>104</v>
      </c>
      <c r="AG212" s="36">
        <f t="shared" si="59"/>
        <v>14.511627906976745</v>
      </c>
      <c r="AH212" s="36">
        <f t="shared" si="60"/>
        <v>147</v>
      </c>
      <c r="AI212" s="36">
        <f t="shared" si="60"/>
        <v>20.511627906976745</v>
      </c>
    </row>
    <row r="213" spans="1:36">
      <c r="A213" s="46" t="s">
        <v>335</v>
      </c>
      <c r="B213" s="33" t="s">
        <v>321</v>
      </c>
      <c r="C213" s="34" t="s">
        <v>323</v>
      </c>
      <c r="D213" s="47" t="str">
        <f t="shared" si="50"/>
        <v>M27NLSS22AFH.27D3621(D905)</v>
      </c>
      <c r="E213" s="46" t="s">
        <v>21</v>
      </c>
      <c r="F213" s="46" t="s">
        <v>21</v>
      </c>
      <c r="G213" s="48">
        <v>430</v>
      </c>
      <c r="H213" s="48">
        <v>37</v>
      </c>
      <c r="I213" s="49">
        <v>1</v>
      </c>
      <c r="J213" s="49">
        <v>1</v>
      </c>
      <c r="K213" s="49">
        <v>4</v>
      </c>
      <c r="L213" s="36">
        <f t="shared" si="51"/>
        <v>43</v>
      </c>
      <c r="M213" s="36">
        <f t="shared" si="52"/>
        <v>6</v>
      </c>
      <c r="N213" s="49">
        <v>40</v>
      </c>
      <c r="O213" s="49">
        <v>1</v>
      </c>
      <c r="P213" s="49">
        <v>1</v>
      </c>
      <c r="Q213" s="49">
        <v>1</v>
      </c>
      <c r="R213" s="49">
        <v>3</v>
      </c>
      <c r="S213" s="36">
        <f t="shared" si="53"/>
        <v>46</v>
      </c>
      <c r="T213" s="36">
        <f t="shared" si="54"/>
        <v>6.4186046511627906</v>
      </c>
      <c r="U213" s="49">
        <v>12</v>
      </c>
      <c r="V213" s="49">
        <v>1</v>
      </c>
      <c r="W213" s="49">
        <v>1</v>
      </c>
      <c r="X213" s="36">
        <f t="shared" si="55"/>
        <v>14</v>
      </c>
      <c r="Y213" s="36">
        <f t="shared" si="56"/>
        <v>1.9534883720930232</v>
      </c>
      <c r="Z213" s="49">
        <v>39</v>
      </c>
      <c r="AA213" s="49">
        <v>2</v>
      </c>
      <c r="AB213" s="49">
        <v>1</v>
      </c>
      <c r="AC213" s="49">
        <v>2</v>
      </c>
      <c r="AD213" s="36">
        <f t="shared" si="57"/>
        <v>44</v>
      </c>
      <c r="AE213" s="36">
        <f t="shared" si="58"/>
        <v>6.1395348837209305</v>
      </c>
      <c r="AF213" s="36">
        <f t="shared" si="59"/>
        <v>104</v>
      </c>
      <c r="AG213" s="36">
        <f t="shared" si="59"/>
        <v>14.511627906976745</v>
      </c>
      <c r="AH213" s="36">
        <f t="shared" si="60"/>
        <v>147</v>
      </c>
      <c r="AI213" s="36">
        <f t="shared" si="60"/>
        <v>20.511627906976745</v>
      </c>
    </row>
    <row r="214" spans="1:36">
      <c r="A214" s="46" t="s">
        <v>335</v>
      </c>
      <c r="B214" s="33" t="s">
        <v>321</v>
      </c>
      <c r="C214" s="34" t="s">
        <v>70</v>
      </c>
      <c r="D214" s="47" t="str">
        <f t="shared" si="50"/>
        <v>M27NLSS22AFH.27D3622(D905)</v>
      </c>
      <c r="E214" s="46" t="s">
        <v>21</v>
      </c>
      <c r="F214" s="46" t="s">
        <v>21</v>
      </c>
      <c r="G214" s="48">
        <v>430</v>
      </c>
      <c r="H214" s="48">
        <v>37</v>
      </c>
      <c r="I214" s="49">
        <v>1</v>
      </c>
      <c r="J214" s="49">
        <v>1</v>
      </c>
      <c r="K214" s="49">
        <v>4</v>
      </c>
      <c r="L214" s="36">
        <f t="shared" si="51"/>
        <v>43</v>
      </c>
      <c r="M214" s="36">
        <f t="shared" si="52"/>
        <v>6</v>
      </c>
      <c r="N214" s="49">
        <v>40</v>
      </c>
      <c r="O214" s="49">
        <v>1</v>
      </c>
      <c r="P214" s="49">
        <v>1</v>
      </c>
      <c r="Q214" s="49">
        <v>1</v>
      </c>
      <c r="R214" s="49">
        <v>3</v>
      </c>
      <c r="S214" s="36">
        <f t="shared" si="53"/>
        <v>46</v>
      </c>
      <c r="T214" s="36">
        <f t="shared" si="54"/>
        <v>6.4186046511627906</v>
      </c>
      <c r="U214" s="49">
        <v>12</v>
      </c>
      <c r="V214" s="49">
        <v>1</v>
      </c>
      <c r="W214" s="49">
        <v>1</v>
      </c>
      <c r="X214" s="36">
        <f t="shared" si="55"/>
        <v>14</v>
      </c>
      <c r="Y214" s="36">
        <f t="shared" si="56"/>
        <v>1.9534883720930232</v>
      </c>
      <c r="Z214" s="49">
        <v>39</v>
      </c>
      <c r="AA214" s="49">
        <v>2</v>
      </c>
      <c r="AB214" s="49">
        <v>1</v>
      </c>
      <c r="AC214" s="49">
        <v>2</v>
      </c>
      <c r="AD214" s="36">
        <f t="shared" si="57"/>
        <v>44</v>
      </c>
      <c r="AE214" s="36">
        <f t="shared" si="58"/>
        <v>6.1395348837209305</v>
      </c>
      <c r="AF214" s="36">
        <f t="shared" si="59"/>
        <v>104</v>
      </c>
      <c r="AG214" s="36">
        <f t="shared" si="59"/>
        <v>14.511627906976745</v>
      </c>
      <c r="AH214" s="36">
        <f t="shared" si="60"/>
        <v>147</v>
      </c>
      <c r="AI214" s="36">
        <f t="shared" si="60"/>
        <v>20.511627906976745</v>
      </c>
    </row>
    <row r="215" spans="1:36">
      <c r="A215" s="46" t="s">
        <v>335</v>
      </c>
      <c r="B215" s="33" t="s">
        <v>321</v>
      </c>
      <c r="C215" s="34" t="s">
        <v>324</v>
      </c>
      <c r="D215" s="47" t="str">
        <f t="shared" si="50"/>
        <v>M27NLSS22AFH.27D3641(D905)</v>
      </c>
      <c r="E215" s="46" t="s">
        <v>21</v>
      </c>
      <c r="F215" s="46" t="s">
        <v>21</v>
      </c>
      <c r="G215" s="48">
        <v>430</v>
      </c>
      <c r="H215" s="48">
        <v>37</v>
      </c>
      <c r="I215" s="49">
        <v>1</v>
      </c>
      <c r="J215" s="49">
        <v>1</v>
      </c>
      <c r="K215" s="49">
        <v>4</v>
      </c>
      <c r="L215" s="36">
        <f t="shared" si="51"/>
        <v>43</v>
      </c>
      <c r="M215" s="36">
        <f t="shared" si="52"/>
        <v>6</v>
      </c>
      <c r="N215" s="49">
        <v>40</v>
      </c>
      <c r="O215" s="49">
        <v>1</v>
      </c>
      <c r="P215" s="49">
        <v>1</v>
      </c>
      <c r="Q215" s="49">
        <v>1</v>
      </c>
      <c r="R215" s="49">
        <v>3</v>
      </c>
      <c r="S215" s="36">
        <f t="shared" si="53"/>
        <v>46</v>
      </c>
      <c r="T215" s="36">
        <f t="shared" si="54"/>
        <v>6.4186046511627906</v>
      </c>
      <c r="U215" s="49">
        <v>12</v>
      </c>
      <c r="V215" s="49">
        <v>1</v>
      </c>
      <c r="W215" s="49">
        <v>1</v>
      </c>
      <c r="X215" s="36">
        <f t="shared" si="55"/>
        <v>14</v>
      </c>
      <c r="Y215" s="36">
        <f t="shared" si="56"/>
        <v>1.9534883720930232</v>
      </c>
      <c r="Z215" s="49">
        <v>39</v>
      </c>
      <c r="AA215" s="49">
        <v>2</v>
      </c>
      <c r="AB215" s="49">
        <v>1</v>
      </c>
      <c r="AC215" s="49">
        <v>2</v>
      </c>
      <c r="AD215" s="36">
        <f t="shared" si="57"/>
        <v>44</v>
      </c>
      <c r="AE215" s="36">
        <f t="shared" si="58"/>
        <v>6.1395348837209305</v>
      </c>
      <c r="AF215" s="36">
        <f t="shared" si="59"/>
        <v>104</v>
      </c>
      <c r="AG215" s="36">
        <f t="shared" si="59"/>
        <v>14.511627906976745</v>
      </c>
      <c r="AH215" s="36">
        <f t="shared" si="60"/>
        <v>147</v>
      </c>
      <c r="AI215" s="36">
        <f t="shared" si="60"/>
        <v>20.511627906976745</v>
      </c>
    </row>
    <row r="216" spans="1:36">
      <c r="A216" s="46" t="s">
        <v>335</v>
      </c>
      <c r="B216" s="33" t="s">
        <v>321</v>
      </c>
      <c r="C216" s="34" t="s">
        <v>67</v>
      </c>
      <c r="D216" s="47" t="str">
        <f t="shared" si="50"/>
        <v>M27NLSS22AFH.27D3642(D905)</v>
      </c>
      <c r="E216" s="46" t="s">
        <v>21</v>
      </c>
      <c r="F216" s="46" t="s">
        <v>21</v>
      </c>
      <c r="G216" s="48">
        <v>430</v>
      </c>
      <c r="H216" s="48">
        <v>37</v>
      </c>
      <c r="I216" s="49">
        <v>1</v>
      </c>
      <c r="J216" s="49">
        <v>1</v>
      </c>
      <c r="K216" s="49">
        <v>4</v>
      </c>
      <c r="L216" s="36">
        <f t="shared" si="51"/>
        <v>43</v>
      </c>
      <c r="M216" s="36">
        <f t="shared" si="52"/>
        <v>6</v>
      </c>
      <c r="N216" s="49">
        <v>40</v>
      </c>
      <c r="O216" s="49">
        <v>1</v>
      </c>
      <c r="P216" s="49">
        <v>1</v>
      </c>
      <c r="Q216" s="49">
        <v>1</v>
      </c>
      <c r="R216" s="49">
        <v>3</v>
      </c>
      <c r="S216" s="36">
        <f t="shared" si="53"/>
        <v>46</v>
      </c>
      <c r="T216" s="36">
        <f t="shared" si="54"/>
        <v>6.4186046511627906</v>
      </c>
      <c r="U216" s="49">
        <v>12</v>
      </c>
      <c r="V216" s="49">
        <v>1</v>
      </c>
      <c r="W216" s="49">
        <v>1</v>
      </c>
      <c r="X216" s="36">
        <f t="shared" si="55"/>
        <v>14</v>
      </c>
      <c r="Y216" s="36">
        <f t="shared" si="56"/>
        <v>1.9534883720930232</v>
      </c>
      <c r="Z216" s="49">
        <v>39</v>
      </c>
      <c r="AA216" s="49">
        <v>2</v>
      </c>
      <c r="AB216" s="49">
        <v>1</v>
      </c>
      <c r="AC216" s="49">
        <v>2</v>
      </c>
      <c r="AD216" s="36">
        <f t="shared" si="57"/>
        <v>44</v>
      </c>
      <c r="AE216" s="36">
        <f t="shared" si="58"/>
        <v>6.1395348837209305</v>
      </c>
      <c r="AF216" s="36">
        <f t="shared" si="59"/>
        <v>104</v>
      </c>
      <c r="AG216" s="36">
        <f t="shared" si="59"/>
        <v>14.511627906976745</v>
      </c>
      <c r="AH216" s="36">
        <f t="shared" si="60"/>
        <v>147</v>
      </c>
      <c r="AI216" s="36">
        <f t="shared" si="60"/>
        <v>20.511627906976745</v>
      </c>
    </row>
    <row r="217" spans="1:36">
      <c r="A217" s="46" t="s">
        <v>335</v>
      </c>
      <c r="B217" s="33" t="s">
        <v>321</v>
      </c>
      <c r="C217" s="47" t="s">
        <v>325</v>
      </c>
      <c r="D217" s="47" t="str">
        <f t="shared" si="50"/>
        <v>M27NLSS22AFH.27D3661(D905)</v>
      </c>
      <c r="E217" s="46" t="s">
        <v>21</v>
      </c>
      <c r="F217" s="46" t="s">
        <v>21</v>
      </c>
      <c r="G217" s="48">
        <v>430</v>
      </c>
      <c r="H217" s="48">
        <v>37</v>
      </c>
      <c r="I217" s="49">
        <v>1</v>
      </c>
      <c r="J217" s="49">
        <v>1</v>
      </c>
      <c r="K217" s="49">
        <v>4</v>
      </c>
      <c r="L217" s="36">
        <f t="shared" si="51"/>
        <v>43</v>
      </c>
      <c r="M217" s="36">
        <f t="shared" si="52"/>
        <v>6</v>
      </c>
      <c r="N217" s="49">
        <v>40</v>
      </c>
      <c r="O217" s="49">
        <v>1</v>
      </c>
      <c r="P217" s="49">
        <v>1</v>
      </c>
      <c r="Q217" s="49">
        <v>1</v>
      </c>
      <c r="R217" s="49">
        <v>3</v>
      </c>
      <c r="S217" s="36">
        <f t="shared" si="53"/>
        <v>46</v>
      </c>
      <c r="T217" s="36">
        <f t="shared" si="54"/>
        <v>6.4186046511627906</v>
      </c>
      <c r="U217" s="49">
        <v>12</v>
      </c>
      <c r="V217" s="49">
        <v>1</v>
      </c>
      <c r="W217" s="49">
        <v>1</v>
      </c>
      <c r="X217" s="36">
        <f t="shared" si="55"/>
        <v>14</v>
      </c>
      <c r="Y217" s="36">
        <f t="shared" si="56"/>
        <v>1.9534883720930232</v>
      </c>
      <c r="Z217" s="49">
        <v>39</v>
      </c>
      <c r="AA217" s="49">
        <v>2</v>
      </c>
      <c r="AB217" s="49">
        <v>1</v>
      </c>
      <c r="AC217" s="49">
        <v>2</v>
      </c>
      <c r="AD217" s="36">
        <f t="shared" si="57"/>
        <v>44</v>
      </c>
      <c r="AE217" s="36">
        <f t="shared" si="58"/>
        <v>6.1395348837209305</v>
      </c>
      <c r="AF217" s="36">
        <f t="shared" si="59"/>
        <v>104</v>
      </c>
      <c r="AG217" s="36">
        <f t="shared" si="59"/>
        <v>14.511627906976745</v>
      </c>
      <c r="AH217" s="36">
        <f>SUM(L217,AF217)</f>
        <v>147</v>
      </c>
      <c r="AI217" s="36">
        <f t="shared" si="60"/>
        <v>20.511627906976745</v>
      </c>
    </row>
    <row r="218" spans="1:36">
      <c r="A218" s="46" t="s">
        <v>335</v>
      </c>
      <c r="B218" s="33" t="s">
        <v>321</v>
      </c>
      <c r="C218" s="34" t="s">
        <v>64</v>
      </c>
      <c r="D218" s="47" t="str">
        <f t="shared" si="50"/>
        <v>M27NLSS22AFH.27D3662(D905)</v>
      </c>
      <c r="E218" s="46" t="s">
        <v>21</v>
      </c>
      <c r="F218" s="46" t="s">
        <v>21</v>
      </c>
      <c r="G218" s="48">
        <v>430</v>
      </c>
      <c r="H218" s="48">
        <v>37</v>
      </c>
      <c r="I218" s="49">
        <v>1</v>
      </c>
      <c r="J218" s="49">
        <v>1</v>
      </c>
      <c r="K218" s="49">
        <v>4</v>
      </c>
      <c r="L218" s="36">
        <f t="shared" si="51"/>
        <v>43</v>
      </c>
      <c r="M218" s="36">
        <f t="shared" si="52"/>
        <v>6</v>
      </c>
      <c r="N218" s="49">
        <v>40</v>
      </c>
      <c r="O218" s="49">
        <v>1</v>
      </c>
      <c r="P218" s="49">
        <v>1</v>
      </c>
      <c r="Q218" s="49">
        <v>1</v>
      </c>
      <c r="R218" s="49">
        <v>3</v>
      </c>
      <c r="S218" s="36">
        <f t="shared" si="53"/>
        <v>46</v>
      </c>
      <c r="T218" s="36">
        <f t="shared" si="54"/>
        <v>6.4186046511627906</v>
      </c>
      <c r="U218" s="49">
        <v>12</v>
      </c>
      <c r="V218" s="49">
        <v>1</v>
      </c>
      <c r="W218" s="49">
        <v>1</v>
      </c>
      <c r="X218" s="36">
        <f t="shared" si="55"/>
        <v>14</v>
      </c>
      <c r="Y218" s="36">
        <f t="shared" si="56"/>
        <v>1.9534883720930232</v>
      </c>
      <c r="Z218" s="49">
        <v>39</v>
      </c>
      <c r="AA218" s="49">
        <v>2</v>
      </c>
      <c r="AB218" s="49">
        <v>1</v>
      </c>
      <c r="AC218" s="49">
        <v>2</v>
      </c>
      <c r="AD218" s="36">
        <f t="shared" si="57"/>
        <v>44</v>
      </c>
      <c r="AE218" s="36">
        <f t="shared" si="58"/>
        <v>6.1395348837209305</v>
      </c>
      <c r="AF218" s="36">
        <f t="shared" si="59"/>
        <v>104</v>
      </c>
      <c r="AG218" s="36">
        <f t="shared" si="59"/>
        <v>14.511627906976745</v>
      </c>
      <c r="AH218" s="36">
        <f t="shared" si="60"/>
        <v>147</v>
      </c>
      <c r="AI218" s="36">
        <f t="shared" si="60"/>
        <v>20.511627906976745</v>
      </c>
    </row>
    <row r="219" spans="1:36">
      <c r="A219" s="46" t="s">
        <v>335</v>
      </c>
      <c r="B219" s="33" t="s">
        <v>321</v>
      </c>
      <c r="C219" s="34" t="s">
        <v>326</v>
      </c>
      <c r="D219" s="47" t="str">
        <f t="shared" si="50"/>
        <v>M27VNSS22AFH.27D3661(D905)</v>
      </c>
      <c r="E219" s="46" t="s">
        <v>21</v>
      </c>
      <c r="F219" s="46" t="s">
        <v>21</v>
      </c>
      <c r="G219" s="48">
        <v>430</v>
      </c>
      <c r="H219" s="48">
        <v>37</v>
      </c>
      <c r="I219" s="49">
        <v>1</v>
      </c>
      <c r="J219" s="49">
        <v>1</v>
      </c>
      <c r="K219" s="49">
        <v>4</v>
      </c>
      <c r="L219" s="36">
        <f t="shared" si="51"/>
        <v>43</v>
      </c>
      <c r="M219" s="36">
        <f t="shared" si="52"/>
        <v>6</v>
      </c>
      <c r="N219" s="49">
        <v>40</v>
      </c>
      <c r="O219" s="49">
        <v>1</v>
      </c>
      <c r="P219" s="49">
        <v>1</v>
      </c>
      <c r="Q219" s="49">
        <v>1</v>
      </c>
      <c r="R219" s="49">
        <v>3</v>
      </c>
      <c r="S219" s="36">
        <f t="shared" si="53"/>
        <v>46</v>
      </c>
      <c r="T219" s="36">
        <f t="shared" si="54"/>
        <v>6.4186046511627906</v>
      </c>
      <c r="U219" s="49">
        <v>12</v>
      </c>
      <c r="V219" s="49">
        <v>1</v>
      </c>
      <c r="W219" s="49">
        <v>1</v>
      </c>
      <c r="X219" s="36">
        <f t="shared" si="55"/>
        <v>14</v>
      </c>
      <c r="Y219" s="36">
        <f t="shared" si="56"/>
        <v>1.9534883720930232</v>
      </c>
      <c r="Z219" s="49">
        <v>39</v>
      </c>
      <c r="AA219" s="49">
        <v>2</v>
      </c>
      <c r="AB219" s="49">
        <v>1</v>
      </c>
      <c r="AC219" s="49">
        <v>2</v>
      </c>
      <c r="AD219" s="36">
        <f t="shared" si="57"/>
        <v>44</v>
      </c>
      <c r="AE219" s="36">
        <f t="shared" si="58"/>
        <v>6.1395348837209305</v>
      </c>
      <c r="AF219" s="36">
        <f t="shared" si="59"/>
        <v>104</v>
      </c>
      <c r="AG219" s="36">
        <f t="shared" si="59"/>
        <v>14.511627906976745</v>
      </c>
      <c r="AH219" s="36">
        <f t="shared" si="60"/>
        <v>147</v>
      </c>
      <c r="AI219" s="36">
        <f t="shared" si="60"/>
        <v>20.511627906976745</v>
      </c>
    </row>
    <row r="220" spans="1:36">
      <c r="A220" s="46" t="s">
        <v>335</v>
      </c>
      <c r="B220" s="33" t="s">
        <v>321</v>
      </c>
      <c r="C220" s="34" t="s">
        <v>92</v>
      </c>
      <c r="D220" s="47" t="str">
        <f t="shared" si="50"/>
        <v>M27VNSS22AF-.27D3662(D905)</v>
      </c>
      <c r="E220" s="46" t="s">
        <v>21</v>
      </c>
      <c r="F220" s="46" t="s">
        <v>21</v>
      </c>
      <c r="G220" s="48">
        <v>430</v>
      </c>
      <c r="H220" s="48">
        <v>37</v>
      </c>
      <c r="I220" s="49">
        <v>1</v>
      </c>
      <c r="J220" s="49">
        <v>1</v>
      </c>
      <c r="K220" s="49">
        <v>4</v>
      </c>
      <c r="L220" s="36">
        <f t="shared" si="51"/>
        <v>43</v>
      </c>
      <c r="M220" s="36">
        <f t="shared" si="52"/>
        <v>6</v>
      </c>
      <c r="N220" s="49">
        <v>40</v>
      </c>
      <c r="O220" s="49">
        <v>1</v>
      </c>
      <c r="P220" s="49">
        <v>1</v>
      </c>
      <c r="Q220" s="49">
        <v>1</v>
      </c>
      <c r="R220" s="49">
        <v>3</v>
      </c>
      <c r="S220" s="36">
        <f t="shared" si="53"/>
        <v>46</v>
      </c>
      <c r="T220" s="36">
        <f t="shared" si="54"/>
        <v>6.4186046511627906</v>
      </c>
      <c r="U220" s="49">
        <v>12</v>
      </c>
      <c r="V220" s="49">
        <v>1</v>
      </c>
      <c r="W220" s="49">
        <v>1</v>
      </c>
      <c r="X220" s="36">
        <f t="shared" si="55"/>
        <v>14</v>
      </c>
      <c r="Y220" s="36">
        <f t="shared" si="56"/>
        <v>1.9534883720930232</v>
      </c>
      <c r="Z220" s="49">
        <v>39</v>
      </c>
      <c r="AA220" s="49">
        <v>2</v>
      </c>
      <c r="AB220" s="49">
        <v>1</v>
      </c>
      <c r="AC220" s="49">
        <v>2</v>
      </c>
      <c r="AD220" s="36">
        <f t="shared" si="57"/>
        <v>44</v>
      </c>
      <c r="AE220" s="36">
        <f t="shared" si="58"/>
        <v>6.1395348837209305</v>
      </c>
      <c r="AF220" s="36">
        <f t="shared" si="59"/>
        <v>104</v>
      </c>
      <c r="AG220" s="36">
        <f t="shared" si="59"/>
        <v>14.511627906976745</v>
      </c>
      <c r="AH220" s="36">
        <f t="shared" si="60"/>
        <v>147</v>
      </c>
      <c r="AI220" s="36">
        <f t="shared" si="60"/>
        <v>20.511627906976745</v>
      </c>
    </row>
    <row r="221" spans="1:36">
      <c r="A221" s="46" t="s">
        <v>335</v>
      </c>
      <c r="B221" s="33" t="s">
        <v>321</v>
      </c>
      <c r="C221" s="34" t="s">
        <v>71</v>
      </c>
      <c r="D221" s="47" t="str">
        <f t="shared" si="50"/>
        <v>M27VNSS22AFH.27D3662(D905)</v>
      </c>
      <c r="E221" s="46" t="s">
        <v>21</v>
      </c>
      <c r="F221" s="46" t="s">
        <v>21</v>
      </c>
      <c r="G221" s="48">
        <v>430</v>
      </c>
      <c r="H221" s="48">
        <v>37</v>
      </c>
      <c r="I221" s="49">
        <v>1</v>
      </c>
      <c r="J221" s="49">
        <v>1</v>
      </c>
      <c r="K221" s="49">
        <v>4</v>
      </c>
      <c r="L221" s="36">
        <f t="shared" si="51"/>
        <v>43</v>
      </c>
      <c r="M221" s="36">
        <f t="shared" si="52"/>
        <v>6</v>
      </c>
      <c r="N221" s="49">
        <v>40</v>
      </c>
      <c r="O221" s="49">
        <v>1</v>
      </c>
      <c r="P221" s="49">
        <v>1</v>
      </c>
      <c r="Q221" s="49">
        <v>1</v>
      </c>
      <c r="R221" s="49">
        <v>3</v>
      </c>
      <c r="S221" s="36">
        <f t="shared" si="53"/>
        <v>46</v>
      </c>
      <c r="T221" s="36">
        <f t="shared" si="54"/>
        <v>6.4186046511627906</v>
      </c>
      <c r="U221" s="49">
        <v>12</v>
      </c>
      <c r="V221" s="49">
        <v>1</v>
      </c>
      <c r="W221" s="49">
        <v>1</v>
      </c>
      <c r="X221" s="36">
        <f t="shared" si="55"/>
        <v>14</v>
      </c>
      <c r="Y221" s="36">
        <f t="shared" si="56"/>
        <v>1.9534883720930232</v>
      </c>
      <c r="Z221" s="49">
        <v>39</v>
      </c>
      <c r="AA221" s="49">
        <v>2</v>
      </c>
      <c r="AB221" s="49">
        <v>1</v>
      </c>
      <c r="AC221" s="49">
        <v>2</v>
      </c>
      <c r="AD221" s="36">
        <f t="shared" si="57"/>
        <v>44</v>
      </c>
      <c r="AE221" s="36">
        <f t="shared" si="58"/>
        <v>6.1395348837209305</v>
      </c>
      <c r="AF221" s="36">
        <f t="shared" si="59"/>
        <v>104</v>
      </c>
      <c r="AG221" s="36">
        <f t="shared" si="59"/>
        <v>14.511627906976745</v>
      </c>
      <c r="AH221" s="36">
        <f t="shared" si="60"/>
        <v>147</v>
      </c>
      <c r="AI221" s="36">
        <f t="shared" si="60"/>
        <v>20.511627906976745</v>
      </c>
    </row>
    <row r="222" spans="1:36">
      <c r="A222" s="46" t="s">
        <v>335</v>
      </c>
      <c r="B222" s="33" t="s">
        <v>321</v>
      </c>
      <c r="C222" s="34" t="s">
        <v>327</v>
      </c>
      <c r="D222" s="47" t="str">
        <f t="shared" si="50"/>
        <v>M27AUSS22AFH.27D3601(D905)</v>
      </c>
      <c r="E222" s="46" t="s">
        <v>21</v>
      </c>
      <c r="F222" s="46" t="s">
        <v>21</v>
      </c>
      <c r="G222" s="48">
        <v>430</v>
      </c>
      <c r="H222" s="48">
        <v>37</v>
      </c>
      <c r="I222" s="49">
        <v>1</v>
      </c>
      <c r="J222" s="49">
        <v>1</v>
      </c>
      <c r="K222" s="49">
        <v>4</v>
      </c>
      <c r="L222" s="36">
        <f t="shared" si="51"/>
        <v>43</v>
      </c>
      <c r="M222" s="36">
        <f t="shared" si="52"/>
        <v>6</v>
      </c>
      <c r="N222" s="49">
        <v>40</v>
      </c>
      <c r="O222" s="49">
        <v>1</v>
      </c>
      <c r="P222" s="49">
        <v>1</v>
      </c>
      <c r="Q222" s="49">
        <v>1</v>
      </c>
      <c r="R222" s="49">
        <v>3</v>
      </c>
      <c r="S222" s="36">
        <f t="shared" si="53"/>
        <v>46</v>
      </c>
      <c r="T222" s="36">
        <f t="shared" si="54"/>
        <v>6.4186046511627906</v>
      </c>
      <c r="U222" s="49">
        <v>12</v>
      </c>
      <c r="V222" s="49">
        <v>1</v>
      </c>
      <c r="W222" s="49">
        <v>1</v>
      </c>
      <c r="X222" s="36">
        <f t="shared" si="55"/>
        <v>14</v>
      </c>
      <c r="Y222" s="36">
        <f t="shared" si="56"/>
        <v>1.9534883720930232</v>
      </c>
      <c r="Z222" s="49">
        <v>39</v>
      </c>
      <c r="AA222" s="49">
        <v>2</v>
      </c>
      <c r="AB222" s="49">
        <v>1</v>
      </c>
      <c r="AC222" s="49">
        <v>2</v>
      </c>
      <c r="AD222" s="36">
        <f t="shared" si="57"/>
        <v>44</v>
      </c>
      <c r="AE222" s="36">
        <f t="shared" si="58"/>
        <v>6.1395348837209305</v>
      </c>
      <c r="AF222" s="36">
        <f t="shared" si="59"/>
        <v>104</v>
      </c>
      <c r="AG222" s="36">
        <f t="shared" si="59"/>
        <v>14.511627906976745</v>
      </c>
      <c r="AH222" s="36">
        <f t="shared" si="60"/>
        <v>147</v>
      </c>
      <c r="AI222" s="36">
        <f t="shared" si="60"/>
        <v>20.511627906976745</v>
      </c>
      <c r="AJ222" s="29">
        <f>AI222/AH222</f>
        <v>0.13953488372093023</v>
      </c>
    </row>
    <row r="223" spans="1:36">
      <c r="A223" s="46" t="s">
        <v>335</v>
      </c>
      <c r="B223" s="33" t="s">
        <v>321</v>
      </c>
      <c r="C223" s="34" t="s">
        <v>87</v>
      </c>
      <c r="D223" s="47" t="str">
        <f t="shared" si="50"/>
        <v>M27AUSS22AF-.27D3602(D905)</v>
      </c>
      <c r="E223" s="46" t="s">
        <v>21</v>
      </c>
      <c r="F223" s="46" t="s">
        <v>21</v>
      </c>
      <c r="G223" s="48">
        <v>430</v>
      </c>
      <c r="H223" s="48">
        <v>37</v>
      </c>
      <c r="I223" s="49">
        <v>1</v>
      </c>
      <c r="J223" s="49">
        <v>1</v>
      </c>
      <c r="K223" s="49">
        <v>4</v>
      </c>
      <c r="L223" s="36">
        <f t="shared" si="51"/>
        <v>43</v>
      </c>
      <c r="M223" s="36">
        <f t="shared" si="52"/>
        <v>6</v>
      </c>
      <c r="N223" s="49">
        <v>40</v>
      </c>
      <c r="O223" s="49">
        <v>1</v>
      </c>
      <c r="P223" s="49">
        <v>1</v>
      </c>
      <c r="Q223" s="49">
        <v>1</v>
      </c>
      <c r="R223" s="49">
        <v>3</v>
      </c>
      <c r="S223" s="36">
        <f t="shared" si="53"/>
        <v>46</v>
      </c>
      <c r="T223" s="36">
        <f t="shared" si="54"/>
        <v>6.4186046511627906</v>
      </c>
      <c r="U223" s="49">
        <v>12</v>
      </c>
      <c r="V223" s="49">
        <v>1</v>
      </c>
      <c r="W223" s="49">
        <v>1</v>
      </c>
      <c r="X223" s="36">
        <f t="shared" si="55"/>
        <v>14</v>
      </c>
      <c r="Y223" s="36">
        <f t="shared" si="56"/>
        <v>1.9534883720930232</v>
      </c>
      <c r="Z223" s="49">
        <v>39</v>
      </c>
      <c r="AA223" s="49">
        <v>2</v>
      </c>
      <c r="AB223" s="49">
        <v>1</v>
      </c>
      <c r="AC223" s="49">
        <v>2</v>
      </c>
      <c r="AD223" s="36">
        <f t="shared" si="57"/>
        <v>44</v>
      </c>
      <c r="AE223" s="36">
        <f t="shared" si="58"/>
        <v>6.1395348837209305</v>
      </c>
      <c r="AF223" s="36">
        <f t="shared" si="59"/>
        <v>104</v>
      </c>
      <c r="AG223" s="36">
        <f t="shared" si="59"/>
        <v>14.511627906976745</v>
      </c>
      <c r="AH223" s="36">
        <f t="shared" si="60"/>
        <v>147</v>
      </c>
      <c r="AI223" s="36">
        <f t="shared" si="60"/>
        <v>20.511627906976745</v>
      </c>
    </row>
    <row r="224" spans="1:36">
      <c r="A224" s="46" t="s">
        <v>335</v>
      </c>
      <c r="B224" s="33" t="s">
        <v>321</v>
      </c>
      <c r="C224" s="34" t="s">
        <v>66</v>
      </c>
      <c r="D224" s="47" t="str">
        <f t="shared" si="50"/>
        <v>M27AUSS22AFH.27D3602(D905)</v>
      </c>
      <c r="E224" s="46" t="s">
        <v>21</v>
      </c>
      <c r="F224" s="46" t="s">
        <v>21</v>
      </c>
      <c r="G224" s="48">
        <v>430</v>
      </c>
      <c r="H224" s="48">
        <v>37</v>
      </c>
      <c r="I224" s="49">
        <v>1</v>
      </c>
      <c r="J224" s="49">
        <v>1</v>
      </c>
      <c r="K224" s="49">
        <v>4</v>
      </c>
      <c r="L224" s="36">
        <f t="shared" si="51"/>
        <v>43</v>
      </c>
      <c r="M224" s="36">
        <f t="shared" si="52"/>
        <v>6</v>
      </c>
      <c r="N224" s="49">
        <v>40</v>
      </c>
      <c r="O224" s="49">
        <v>1</v>
      </c>
      <c r="P224" s="49">
        <v>1</v>
      </c>
      <c r="Q224" s="49">
        <v>1</v>
      </c>
      <c r="R224" s="49">
        <v>3</v>
      </c>
      <c r="S224" s="36">
        <f t="shared" si="53"/>
        <v>46</v>
      </c>
      <c r="T224" s="36">
        <f t="shared" si="54"/>
        <v>6.4186046511627906</v>
      </c>
      <c r="U224" s="49">
        <v>12</v>
      </c>
      <c r="V224" s="49">
        <v>1</v>
      </c>
      <c r="W224" s="49">
        <v>1</v>
      </c>
      <c r="X224" s="36">
        <f t="shared" si="55"/>
        <v>14</v>
      </c>
      <c r="Y224" s="36">
        <f t="shared" si="56"/>
        <v>1.9534883720930232</v>
      </c>
      <c r="Z224" s="49">
        <v>39</v>
      </c>
      <c r="AA224" s="49">
        <v>2</v>
      </c>
      <c r="AB224" s="49">
        <v>1</v>
      </c>
      <c r="AC224" s="49">
        <v>2</v>
      </c>
      <c r="AD224" s="36">
        <f t="shared" si="57"/>
        <v>44</v>
      </c>
      <c r="AE224" s="36">
        <f t="shared" si="58"/>
        <v>6.1395348837209305</v>
      </c>
      <c r="AF224" s="36">
        <f t="shared" si="59"/>
        <v>104</v>
      </c>
      <c r="AG224" s="36">
        <f t="shared" si="59"/>
        <v>14.511627906976745</v>
      </c>
      <c r="AH224" s="36">
        <f t="shared" si="60"/>
        <v>147</v>
      </c>
      <c r="AI224" s="36">
        <f t="shared" si="60"/>
        <v>20.511627906976745</v>
      </c>
    </row>
    <row r="225" spans="1:35">
      <c r="A225" s="46" t="s">
        <v>335</v>
      </c>
      <c r="B225" s="33" t="s">
        <v>321</v>
      </c>
      <c r="C225" s="34" t="s">
        <v>55</v>
      </c>
      <c r="D225" s="47" t="str">
        <f t="shared" si="50"/>
        <v>M27AUSS22AFH.27D3662(D905)</v>
      </c>
      <c r="E225" s="46" t="s">
        <v>21</v>
      </c>
      <c r="F225" s="46" t="s">
        <v>21</v>
      </c>
      <c r="G225" s="48">
        <v>430</v>
      </c>
      <c r="H225" s="48">
        <v>37</v>
      </c>
      <c r="I225" s="49">
        <v>1</v>
      </c>
      <c r="J225" s="49">
        <v>1</v>
      </c>
      <c r="K225" s="49">
        <v>4</v>
      </c>
      <c r="L225" s="36">
        <f t="shared" si="51"/>
        <v>43</v>
      </c>
      <c r="M225" s="36">
        <f t="shared" si="52"/>
        <v>6</v>
      </c>
      <c r="N225" s="49">
        <v>40</v>
      </c>
      <c r="O225" s="49">
        <v>1</v>
      </c>
      <c r="P225" s="49">
        <v>1</v>
      </c>
      <c r="Q225" s="49">
        <v>1</v>
      </c>
      <c r="R225" s="49">
        <v>3</v>
      </c>
      <c r="S225" s="36">
        <f t="shared" si="53"/>
        <v>46</v>
      </c>
      <c r="T225" s="36">
        <f t="shared" si="54"/>
        <v>6.4186046511627906</v>
      </c>
      <c r="U225" s="49">
        <v>12</v>
      </c>
      <c r="V225" s="49">
        <v>1</v>
      </c>
      <c r="W225" s="49">
        <v>1</v>
      </c>
      <c r="X225" s="36">
        <f t="shared" si="55"/>
        <v>14</v>
      </c>
      <c r="Y225" s="36">
        <f t="shared" si="56"/>
        <v>1.9534883720930232</v>
      </c>
      <c r="Z225" s="49">
        <v>39</v>
      </c>
      <c r="AA225" s="49">
        <v>2</v>
      </c>
      <c r="AB225" s="49">
        <v>1</v>
      </c>
      <c r="AC225" s="49">
        <v>2</v>
      </c>
      <c r="AD225" s="36">
        <f t="shared" si="57"/>
        <v>44</v>
      </c>
      <c r="AE225" s="36">
        <f t="shared" si="58"/>
        <v>6.1395348837209305</v>
      </c>
      <c r="AF225" s="36">
        <f t="shared" si="59"/>
        <v>104</v>
      </c>
      <c r="AG225" s="36">
        <f t="shared" si="59"/>
        <v>14.511627906976745</v>
      </c>
      <c r="AH225" s="36">
        <f t="shared" si="60"/>
        <v>147</v>
      </c>
      <c r="AI225" s="36">
        <f t="shared" si="60"/>
        <v>20.511627906976745</v>
      </c>
    </row>
    <row r="226" spans="1:35">
      <c r="A226" s="46" t="s">
        <v>335</v>
      </c>
      <c r="B226" s="33" t="s">
        <v>321</v>
      </c>
      <c r="C226" s="34" t="s">
        <v>328</v>
      </c>
      <c r="D226" s="47" t="str">
        <f t="shared" si="50"/>
        <v>M27CLSS22AFH.27D3601(D905)</v>
      </c>
      <c r="E226" s="46" t="s">
        <v>21</v>
      </c>
      <c r="F226" s="46" t="s">
        <v>21</v>
      </c>
      <c r="G226" s="48">
        <v>430</v>
      </c>
      <c r="H226" s="48">
        <v>37</v>
      </c>
      <c r="I226" s="49">
        <v>1</v>
      </c>
      <c r="J226" s="49">
        <v>1</v>
      </c>
      <c r="K226" s="49">
        <v>4</v>
      </c>
      <c r="L226" s="36">
        <f t="shared" si="51"/>
        <v>43</v>
      </c>
      <c r="M226" s="36">
        <f t="shared" si="52"/>
        <v>6</v>
      </c>
      <c r="N226" s="49">
        <v>40</v>
      </c>
      <c r="O226" s="49">
        <v>1</v>
      </c>
      <c r="P226" s="49">
        <v>1</v>
      </c>
      <c r="Q226" s="49">
        <v>1</v>
      </c>
      <c r="R226" s="49">
        <v>3</v>
      </c>
      <c r="S226" s="36">
        <f t="shared" si="53"/>
        <v>46</v>
      </c>
      <c r="T226" s="36">
        <f t="shared" si="54"/>
        <v>6.4186046511627906</v>
      </c>
      <c r="U226" s="49">
        <v>12</v>
      </c>
      <c r="V226" s="49">
        <v>1</v>
      </c>
      <c r="W226" s="49">
        <v>1</v>
      </c>
      <c r="X226" s="36">
        <f t="shared" si="55"/>
        <v>14</v>
      </c>
      <c r="Y226" s="36">
        <f t="shared" si="56"/>
        <v>1.9534883720930232</v>
      </c>
      <c r="Z226" s="49">
        <v>39</v>
      </c>
      <c r="AA226" s="49">
        <v>2</v>
      </c>
      <c r="AB226" s="49">
        <v>1</v>
      </c>
      <c r="AC226" s="49">
        <v>2</v>
      </c>
      <c r="AD226" s="36">
        <f t="shared" si="57"/>
        <v>44</v>
      </c>
      <c r="AE226" s="36">
        <f t="shared" si="58"/>
        <v>6.1395348837209305</v>
      </c>
      <c r="AF226" s="36">
        <f t="shared" si="59"/>
        <v>104</v>
      </c>
      <c r="AG226" s="36">
        <f t="shared" si="59"/>
        <v>14.511627906976745</v>
      </c>
      <c r="AH226" s="36">
        <f t="shared" si="60"/>
        <v>147</v>
      </c>
      <c r="AI226" s="36">
        <f t="shared" si="60"/>
        <v>20.511627906976745</v>
      </c>
    </row>
    <row r="227" spans="1:35">
      <c r="A227" s="46" t="s">
        <v>335</v>
      </c>
      <c r="B227" s="33" t="s">
        <v>321</v>
      </c>
      <c r="C227" s="34" t="s">
        <v>69</v>
      </c>
      <c r="D227" s="47" t="str">
        <f t="shared" si="50"/>
        <v>M27CLSS22AFH.27D3602(D905)</v>
      </c>
      <c r="E227" s="46" t="s">
        <v>21</v>
      </c>
      <c r="F227" s="46" t="s">
        <v>21</v>
      </c>
      <c r="G227" s="48">
        <v>430</v>
      </c>
      <c r="H227" s="48">
        <v>37</v>
      </c>
      <c r="I227" s="49">
        <v>1</v>
      </c>
      <c r="J227" s="49">
        <v>1</v>
      </c>
      <c r="K227" s="49">
        <v>4</v>
      </c>
      <c r="L227" s="36">
        <f t="shared" si="51"/>
        <v>43</v>
      </c>
      <c r="M227" s="36">
        <f t="shared" si="52"/>
        <v>6</v>
      </c>
      <c r="N227" s="49">
        <v>40</v>
      </c>
      <c r="O227" s="49">
        <v>1</v>
      </c>
      <c r="P227" s="49">
        <v>1</v>
      </c>
      <c r="Q227" s="49">
        <v>1</v>
      </c>
      <c r="R227" s="49">
        <v>3</v>
      </c>
      <c r="S227" s="36">
        <f t="shared" si="53"/>
        <v>46</v>
      </c>
      <c r="T227" s="36">
        <f t="shared" si="54"/>
        <v>6.4186046511627906</v>
      </c>
      <c r="U227" s="49">
        <v>12</v>
      </c>
      <c r="V227" s="49">
        <v>1</v>
      </c>
      <c r="W227" s="49">
        <v>1</v>
      </c>
      <c r="X227" s="36">
        <f t="shared" si="55"/>
        <v>14</v>
      </c>
      <c r="Y227" s="36">
        <f t="shared" si="56"/>
        <v>1.9534883720930232</v>
      </c>
      <c r="Z227" s="49">
        <v>39</v>
      </c>
      <c r="AA227" s="49">
        <v>2</v>
      </c>
      <c r="AB227" s="49">
        <v>1</v>
      </c>
      <c r="AC227" s="49">
        <v>2</v>
      </c>
      <c r="AD227" s="36">
        <f t="shared" si="57"/>
        <v>44</v>
      </c>
      <c r="AE227" s="36">
        <f t="shared" si="58"/>
        <v>6.1395348837209305</v>
      </c>
      <c r="AF227" s="36">
        <f t="shared" si="59"/>
        <v>104</v>
      </c>
      <c r="AG227" s="36">
        <f t="shared" si="59"/>
        <v>14.511627906976745</v>
      </c>
      <c r="AH227" s="36">
        <f t="shared" si="60"/>
        <v>147</v>
      </c>
      <c r="AI227" s="36">
        <f t="shared" si="60"/>
        <v>20.511627906976745</v>
      </c>
    </row>
    <row r="228" spans="1:35">
      <c r="A228" s="46" t="s">
        <v>335</v>
      </c>
      <c r="B228" s="33" t="s">
        <v>321</v>
      </c>
      <c r="C228" s="34" t="s">
        <v>56</v>
      </c>
      <c r="D228" s="47" t="str">
        <f t="shared" si="50"/>
        <v>M27CLSS22AFH.27D3662(D905)</v>
      </c>
      <c r="E228" s="46" t="s">
        <v>21</v>
      </c>
      <c r="F228" s="46" t="s">
        <v>21</v>
      </c>
      <c r="G228" s="48">
        <v>430</v>
      </c>
      <c r="H228" s="48">
        <v>37</v>
      </c>
      <c r="I228" s="49">
        <v>1</v>
      </c>
      <c r="J228" s="49">
        <v>1</v>
      </c>
      <c r="K228" s="49">
        <v>4</v>
      </c>
      <c r="L228" s="36">
        <f t="shared" si="51"/>
        <v>43</v>
      </c>
      <c r="M228" s="36">
        <f t="shared" si="52"/>
        <v>6</v>
      </c>
      <c r="N228" s="49">
        <v>40</v>
      </c>
      <c r="O228" s="49">
        <v>1</v>
      </c>
      <c r="P228" s="49">
        <v>1</v>
      </c>
      <c r="Q228" s="49">
        <v>1</v>
      </c>
      <c r="R228" s="49">
        <v>3</v>
      </c>
      <c r="S228" s="36">
        <f t="shared" si="53"/>
        <v>46</v>
      </c>
      <c r="T228" s="36">
        <f t="shared" si="54"/>
        <v>6.4186046511627906</v>
      </c>
      <c r="U228" s="49">
        <v>12</v>
      </c>
      <c r="V228" s="49">
        <v>1</v>
      </c>
      <c r="W228" s="49">
        <v>1</v>
      </c>
      <c r="X228" s="36">
        <f t="shared" si="55"/>
        <v>14</v>
      </c>
      <c r="Y228" s="36">
        <f t="shared" si="56"/>
        <v>1.9534883720930232</v>
      </c>
      <c r="Z228" s="49">
        <v>39</v>
      </c>
      <c r="AA228" s="49">
        <v>2</v>
      </c>
      <c r="AB228" s="49">
        <v>1</v>
      </c>
      <c r="AC228" s="49">
        <v>2</v>
      </c>
      <c r="AD228" s="36">
        <f t="shared" si="57"/>
        <v>44</v>
      </c>
      <c r="AE228" s="36">
        <f t="shared" si="58"/>
        <v>6.1395348837209305</v>
      </c>
      <c r="AF228" s="36">
        <f t="shared" si="59"/>
        <v>104</v>
      </c>
      <c r="AG228" s="36">
        <f t="shared" si="59"/>
        <v>14.511627906976745</v>
      </c>
      <c r="AH228" s="36">
        <f t="shared" si="60"/>
        <v>147</v>
      </c>
      <c r="AI228" s="36">
        <f t="shared" si="60"/>
        <v>20.511627906976745</v>
      </c>
    </row>
    <row r="229" spans="1:35">
      <c r="A229" s="46" t="s">
        <v>335</v>
      </c>
      <c r="B229" s="33" t="s">
        <v>321</v>
      </c>
      <c r="C229" s="34" t="s">
        <v>329</v>
      </c>
      <c r="D229" s="47" t="str">
        <f t="shared" si="50"/>
        <v>M27USSS22AFH.27D3601(D905)</v>
      </c>
      <c r="E229" s="46" t="s">
        <v>21</v>
      </c>
      <c r="F229" s="46" t="s">
        <v>21</v>
      </c>
      <c r="G229" s="48">
        <v>430</v>
      </c>
      <c r="H229" s="48">
        <v>37</v>
      </c>
      <c r="I229" s="49">
        <v>1</v>
      </c>
      <c r="J229" s="49">
        <v>1</v>
      </c>
      <c r="K229" s="49">
        <v>4</v>
      </c>
      <c r="L229" s="36">
        <f t="shared" si="51"/>
        <v>43</v>
      </c>
      <c r="M229" s="36">
        <f t="shared" si="52"/>
        <v>6</v>
      </c>
      <c r="N229" s="49">
        <v>40</v>
      </c>
      <c r="O229" s="49">
        <v>1</v>
      </c>
      <c r="P229" s="49">
        <v>1</v>
      </c>
      <c r="Q229" s="49">
        <v>1</v>
      </c>
      <c r="R229" s="49">
        <v>3</v>
      </c>
      <c r="S229" s="36">
        <f t="shared" si="53"/>
        <v>46</v>
      </c>
      <c r="T229" s="36">
        <f t="shared" si="54"/>
        <v>6.4186046511627906</v>
      </c>
      <c r="U229" s="49">
        <v>12</v>
      </c>
      <c r="V229" s="49">
        <v>1</v>
      </c>
      <c r="W229" s="49">
        <v>1</v>
      </c>
      <c r="X229" s="36">
        <f t="shared" si="55"/>
        <v>14</v>
      </c>
      <c r="Y229" s="36">
        <f t="shared" si="56"/>
        <v>1.9534883720930232</v>
      </c>
      <c r="Z229" s="49">
        <v>39</v>
      </c>
      <c r="AA229" s="49">
        <v>2</v>
      </c>
      <c r="AB229" s="49">
        <v>1</v>
      </c>
      <c r="AC229" s="49">
        <v>2</v>
      </c>
      <c r="AD229" s="36">
        <f t="shared" si="57"/>
        <v>44</v>
      </c>
      <c r="AE229" s="36">
        <f t="shared" si="58"/>
        <v>6.1395348837209305</v>
      </c>
      <c r="AF229" s="36">
        <f t="shared" si="59"/>
        <v>104</v>
      </c>
      <c r="AG229" s="36">
        <f t="shared" si="59"/>
        <v>14.511627906976745</v>
      </c>
      <c r="AH229" s="36">
        <f t="shared" si="60"/>
        <v>147</v>
      </c>
      <c r="AI229" s="36">
        <f t="shared" si="60"/>
        <v>20.511627906976745</v>
      </c>
    </row>
    <row r="230" spans="1:35">
      <c r="A230" s="46" t="s">
        <v>335</v>
      </c>
      <c r="B230" s="33" t="s">
        <v>321</v>
      </c>
      <c r="C230" s="34" t="s">
        <v>330</v>
      </c>
      <c r="D230" s="47" t="str">
        <f t="shared" si="50"/>
        <v>M27USSS22AFH.27D3602(D905)</v>
      </c>
      <c r="E230" s="46" t="s">
        <v>21</v>
      </c>
      <c r="F230" s="46" t="s">
        <v>21</v>
      </c>
      <c r="G230" s="48">
        <v>430</v>
      </c>
      <c r="H230" s="48">
        <v>37</v>
      </c>
      <c r="I230" s="49">
        <v>1</v>
      </c>
      <c r="J230" s="49">
        <v>1</v>
      </c>
      <c r="K230" s="49">
        <v>4</v>
      </c>
      <c r="L230" s="36">
        <f t="shared" si="51"/>
        <v>43</v>
      </c>
      <c r="M230" s="36">
        <f t="shared" si="52"/>
        <v>6</v>
      </c>
      <c r="N230" s="49">
        <v>40</v>
      </c>
      <c r="O230" s="49">
        <v>1</v>
      </c>
      <c r="P230" s="49">
        <v>1</v>
      </c>
      <c r="Q230" s="49">
        <v>1</v>
      </c>
      <c r="R230" s="49">
        <v>3</v>
      </c>
      <c r="S230" s="36">
        <f t="shared" si="53"/>
        <v>46</v>
      </c>
      <c r="T230" s="36">
        <f t="shared" si="54"/>
        <v>6.4186046511627906</v>
      </c>
      <c r="U230" s="49">
        <v>12</v>
      </c>
      <c r="V230" s="49">
        <v>1</v>
      </c>
      <c r="W230" s="49">
        <v>1</v>
      </c>
      <c r="X230" s="36">
        <f t="shared" si="55"/>
        <v>14</v>
      </c>
      <c r="Y230" s="36">
        <f t="shared" si="56"/>
        <v>1.9534883720930232</v>
      </c>
      <c r="Z230" s="49">
        <v>39</v>
      </c>
      <c r="AA230" s="49">
        <v>2</v>
      </c>
      <c r="AB230" s="49">
        <v>1</v>
      </c>
      <c r="AC230" s="49">
        <v>2</v>
      </c>
      <c r="AD230" s="36">
        <f t="shared" si="57"/>
        <v>44</v>
      </c>
      <c r="AE230" s="36">
        <f t="shared" si="58"/>
        <v>6.1395348837209305</v>
      </c>
      <c r="AF230" s="36">
        <f t="shared" si="59"/>
        <v>104</v>
      </c>
      <c r="AG230" s="36">
        <f t="shared" si="59"/>
        <v>14.511627906976745</v>
      </c>
      <c r="AH230" s="36">
        <f t="shared" si="60"/>
        <v>147</v>
      </c>
      <c r="AI230" s="36">
        <f t="shared" si="60"/>
        <v>20.511627906976745</v>
      </c>
    </row>
    <row r="231" spans="1:35">
      <c r="A231" s="46" t="s">
        <v>335</v>
      </c>
      <c r="B231" s="33" t="s">
        <v>321</v>
      </c>
      <c r="C231" s="34" t="s">
        <v>331</v>
      </c>
      <c r="D231" s="47" t="str">
        <f t="shared" si="50"/>
        <v>M27USSS22AFH.27D3622(D905)</v>
      </c>
      <c r="E231" s="46" t="s">
        <v>21</v>
      </c>
      <c r="F231" s="46" t="s">
        <v>21</v>
      </c>
      <c r="G231" s="48">
        <v>430</v>
      </c>
      <c r="H231" s="48">
        <v>37</v>
      </c>
      <c r="I231" s="49">
        <v>1</v>
      </c>
      <c r="J231" s="49">
        <v>1</v>
      </c>
      <c r="K231" s="49">
        <v>4</v>
      </c>
      <c r="L231" s="36">
        <f t="shared" si="51"/>
        <v>43</v>
      </c>
      <c r="M231" s="36">
        <f t="shared" si="52"/>
        <v>6</v>
      </c>
      <c r="N231" s="49">
        <v>40</v>
      </c>
      <c r="O231" s="49">
        <v>1</v>
      </c>
      <c r="P231" s="49">
        <v>1</v>
      </c>
      <c r="Q231" s="49">
        <v>1</v>
      </c>
      <c r="R231" s="49">
        <v>3</v>
      </c>
      <c r="S231" s="36">
        <f t="shared" si="53"/>
        <v>46</v>
      </c>
      <c r="T231" s="36">
        <f t="shared" si="54"/>
        <v>6.4186046511627906</v>
      </c>
      <c r="U231" s="49">
        <v>12</v>
      </c>
      <c r="V231" s="49">
        <v>1</v>
      </c>
      <c r="W231" s="49">
        <v>1</v>
      </c>
      <c r="X231" s="36">
        <f t="shared" si="55"/>
        <v>14</v>
      </c>
      <c r="Y231" s="36">
        <f t="shared" si="56"/>
        <v>1.9534883720930232</v>
      </c>
      <c r="Z231" s="49">
        <v>39</v>
      </c>
      <c r="AA231" s="49">
        <v>2</v>
      </c>
      <c r="AB231" s="49">
        <v>1</v>
      </c>
      <c r="AC231" s="49">
        <v>2</v>
      </c>
      <c r="AD231" s="36">
        <f t="shared" si="57"/>
        <v>44</v>
      </c>
      <c r="AE231" s="36">
        <f t="shared" si="58"/>
        <v>6.1395348837209305</v>
      </c>
      <c r="AF231" s="36">
        <f t="shared" si="59"/>
        <v>104</v>
      </c>
      <c r="AG231" s="36">
        <f t="shared" si="59"/>
        <v>14.511627906976745</v>
      </c>
      <c r="AH231" s="36">
        <f t="shared" si="60"/>
        <v>147</v>
      </c>
      <c r="AI231" s="36">
        <f t="shared" si="60"/>
        <v>20.511627906976745</v>
      </c>
    </row>
    <row r="232" spans="1:35">
      <c r="A232" s="46" t="s">
        <v>335</v>
      </c>
      <c r="B232" s="33" t="s">
        <v>321</v>
      </c>
      <c r="C232" s="34" t="s">
        <v>332</v>
      </c>
      <c r="D232" s="47" t="str">
        <f t="shared" si="50"/>
        <v>M27USSS22AFH.27D3661(D905)</v>
      </c>
      <c r="E232" s="46" t="s">
        <v>21</v>
      </c>
      <c r="F232" s="46" t="s">
        <v>21</v>
      </c>
      <c r="G232" s="48">
        <v>430</v>
      </c>
      <c r="H232" s="48">
        <v>37</v>
      </c>
      <c r="I232" s="49">
        <v>1</v>
      </c>
      <c r="J232" s="49">
        <v>1</v>
      </c>
      <c r="K232" s="49">
        <v>4</v>
      </c>
      <c r="L232" s="36">
        <f t="shared" si="51"/>
        <v>43</v>
      </c>
      <c r="M232" s="36">
        <f t="shared" si="52"/>
        <v>6</v>
      </c>
      <c r="N232" s="49">
        <v>40</v>
      </c>
      <c r="O232" s="49">
        <v>1</v>
      </c>
      <c r="P232" s="49">
        <v>1</v>
      </c>
      <c r="Q232" s="49">
        <v>1</v>
      </c>
      <c r="R232" s="49">
        <v>3</v>
      </c>
      <c r="S232" s="36">
        <f t="shared" si="53"/>
        <v>46</v>
      </c>
      <c r="T232" s="36">
        <f t="shared" si="54"/>
        <v>6.4186046511627906</v>
      </c>
      <c r="U232" s="49">
        <v>12</v>
      </c>
      <c r="V232" s="49">
        <v>1</v>
      </c>
      <c r="W232" s="49">
        <v>1</v>
      </c>
      <c r="X232" s="36">
        <f t="shared" si="55"/>
        <v>14</v>
      </c>
      <c r="Y232" s="36">
        <f t="shared" si="56"/>
        <v>1.9534883720930232</v>
      </c>
      <c r="Z232" s="49">
        <v>39</v>
      </c>
      <c r="AA232" s="49">
        <v>2</v>
      </c>
      <c r="AB232" s="49">
        <v>1</v>
      </c>
      <c r="AC232" s="49">
        <v>2</v>
      </c>
      <c r="AD232" s="36">
        <f t="shared" si="57"/>
        <v>44</v>
      </c>
      <c r="AE232" s="36">
        <f t="shared" si="58"/>
        <v>6.1395348837209305</v>
      </c>
      <c r="AF232" s="36">
        <f t="shared" si="59"/>
        <v>104</v>
      </c>
      <c r="AG232" s="36">
        <f t="shared" si="59"/>
        <v>14.511627906976745</v>
      </c>
      <c r="AH232" s="36">
        <f t="shared" si="60"/>
        <v>147</v>
      </c>
      <c r="AI232" s="36">
        <f t="shared" si="60"/>
        <v>20.511627906976745</v>
      </c>
    </row>
    <row r="233" spans="1:35">
      <c r="A233" s="46" t="s">
        <v>335</v>
      </c>
      <c r="B233" s="33" t="s">
        <v>321</v>
      </c>
      <c r="C233" s="34" t="s">
        <v>68</v>
      </c>
      <c r="D233" s="47" t="str">
        <f t="shared" si="50"/>
        <v>M27USSS22AFH.27D3662(D905)</v>
      </c>
      <c r="E233" s="46" t="s">
        <v>21</v>
      </c>
      <c r="F233" s="46" t="s">
        <v>21</v>
      </c>
      <c r="G233" s="48">
        <v>430</v>
      </c>
      <c r="H233" s="48">
        <v>37</v>
      </c>
      <c r="I233" s="49">
        <v>1</v>
      </c>
      <c r="J233" s="49">
        <v>1</v>
      </c>
      <c r="K233" s="49">
        <v>4</v>
      </c>
      <c r="L233" s="36">
        <f t="shared" si="51"/>
        <v>43</v>
      </c>
      <c r="M233" s="36">
        <f t="shared" si="52"/>
        <v>6</v>
      </c>
      <c r="N233" s="49">
        <v>40</v>
      </c>
      <c r="O233" s="49">
        <v>1</v>
      </c>
      <c r="P233" s="49">
        <v>1</v>
      </c>
      <c r="Q233" s="49">
        <v>1</v>
      </c>
      <c r="R233" s="49">
        <v>3</v>
      </c>
      <c r="S233" s="36">
        <f t="shared" si="53"/>
        <v>46</v>
      </c>
      <c r="T233" s="36">
        <f t="shared" si="54"/>
        <v>6.4186046511627906</v>
      </c>
      <c r="U233" s="49">
        <v>12</v>
      </c>
      <c r="V233" s="49">
        <v>1</v>
      </c>
      <c r="W233" s="49">
        <v>1</v>
      </c>
      <c r="X233" s="36">
        <f t="shared" si="55"/>
        <v>14</v>
      </c>
      <c r="Y233" s="36">
        <f t="shared" si="56"/>
        <v>1.9534883720930232</v>
      </c>
      <c r="Z233" s="49">
        <v>39</v>
      </c>
      <c r="AA233" s="49">
        <v>2</v>
      </c>
      <c r="AB233" s="49">
        <v>1</v>
      </c>
      <c r="AC233" s="49">
        <v>2</v>
      </c>
      <c r="AD233" s="36">
        <f t="shared" si="57"/>
        <v>44</v>
      </c>
      <c r="AE233" s="36">
        <f t="shared" si="58"/>
        <v>6.1395348837209305</v>
      </c>
      <c r="AF233" s="36">
        <f t="shared" si="59"/>
        <v>104</v>
      </c>
      <c r="AG233" s="36">
        <f t="shared" si="59"/>
        <v>14.511627906976745</v>
      </c>
      <c r="AH233" s="36">
        <f t="shared" si="60"/>
        <v>147</v>
      </c>
      <c r="AI233" s="36">
        <f t="shared" si="60"/>
        <v>20.511627906976745</v>
      </c>
    </row>
    <row r="234" spans="1:35">
      <c r="A234" s="46" t="s">
        <v>335</v>
      </c>
      <c r="B234" s="33" t="s">
        <v>321</v>
      </c>
      <c r="C234" s="34" t="s">
        <v>181</v>
      </c>
      <c r="D234" s="47" t="str">
        <f t="shared" si="50"/>
        <v>M27USSS22AFH.27D3682(D905)</v>
      </c>
      <c r="E234" s="46" t="s">
        <v>21</v>
      </c>
      <c r="F234" s="46" t="s">
        <v>21</v>
      </c>
      <c r="G234" s="48">
        <v>430</v>
      </c>
      <c r="H234" s="48">
        <v>37</v>
      </c>
      <c r="I234" s="49">
        <v>1</v>
      </c>
      <c r="J234" s="49">
        <v>1</v>
      </c>
      <c r="K234" s="49">
        <v>4</v>
      </c>
      <c r="L234" s="36">
        <f t="shared" si="51"/>
        <v>43</v>
      </c>
      <c r="M234" s="36">
        <f t="shared" si="52"/>
        <v>6</v>
      </c>
      <c r="N234" s="49">
        <v>40</v>
      </c>
      <c r="O234" s="49">
        <v>1</v>
      </c>
      <c r="P234" s="49">
        <v>1</v>
      </c>
      <c r="Q234" s="49">
        <v>1</v>
      </c>
      <c r="R234" s="49">
        <v>3</v>
      </c>
      <c r="S234" s="36">
        <f t="shared" si="53"/>
        <v>46</v>
      </c>
      <c r="T234" s="36">
        <f t="shared" si="54"/>
        <v>6.4186046511627906</v>
      </c>
      <c r="U234" s="49">
        <v>12</v>
      </c>
      <c r="V234" s="49">
        <v>1</v>
      </c>
      <c r="W234" s="49">
        <v>1</v>
      </c>
      <c r="X234" s="36">
        <f t="shared" si="55"/>
        <v>14</v>
      </c>
      <c r="Y234" s="36">
        <f t="shared" si="56"/>
        <v>1.9534883720930232</v>
      </c>
      <c r="Z234" s="49">
        <v>39</v>
      </c>
      <c r="AA234" s="49">
        <v>2</v>
      </c>
      <c r="AB234" s="49">
        <v>1</v>
      </c>
      <c r="AC234" s="49">
        <v>2</v>
      </c>
      <c r="AD234" s="36">
        <f t="shared" si="57"/>
        <v>44</v>
      </c>
      <c r="AE234" s="36">
        <f t="shared" si="58"/>
        <v>6.1395348837209305</v>
      </c>
      <c r="AF234" s="36">
        <f t="shared" si="59"/>
        <v>104</v>
      </c>
      <c r="AG234" s="36">
        <f t="shared" si="59"/>
        <v>14.511627906976745</v>
      </c>
      <c r="AH234" s="36">
        <f t="shared" si="60"/>
        <v>147</v>
      </c>
      <c r="AI234" s="36">
        <f t="shared" si="60"/>
        <v>20.511627906976745</v>
      </c>
    </row>
    <row r="235" spans="1:35">
      <c r="A235" s="46" t="s">
        <v>335</v>
      </c>
      <c r="B235" s="33" t="s">
        <v>321</v>
      </c>
      <c r="C235" s="34" t="s">
        <v>333</v>
      </c>
      <c r="D235" s="47" t="str">
        <f t="shared" si="50"/>
        <v>M27USSS22AFH.27D36C2(D905)</v>
      </c>
      <c r="E235" s="46" t="s">
        <v>21</v>
      </c>
      <c r="F235" s="46" t="s">
        <v>21</v>
      </c>
      <c r="G235" s="48">
        <v>430</v>
      </c>
      <c r="H235" s="48">
        <v>37</v>
      </c>
      <c r="I235" s="49">
        <v>1</v>
      </c>
      <c r="J235" s="49">
        <v>1</v>
      </c>
      <c r="K235" s="49">
        <v>4</v>
      </c>
      <c r="L235" s="36">
        <f t="shared" si="51"/>
        <v>43</v>
      </c>
      <c r="M235" s="36">
        <f t="shared" si="52"/>
        <v>6</v>
      </c>
      <c r="N235" s="49">
        <v>40</v>
      </c>
      <c r="O235" s="49">
        <v>1</v>
      </c>
      <c r="P235" s="49">
        <v>1</v>
      </c>
      <c r="Q235" s="49">
        <v>1</v>
      </c>
      <c r="R235" s="49">
        <v>3</v>
      </c>
      <c r="S235" s="36">
        <f t="shared" si="53"/>
        <v>46</v>
      </c>
      <c r="T235" s="36">
        <f t="shared" si="54"/>
        <v>6.4186046511627906</v>
      </c>
      <c r="U235" s="49">
        <v>12</v>
      </c>
      <c r="V235" s="49">
        <v>1</v>
      </c>
      <c r="W235" s="49">
        <v>1</v>
      </c>
      <c r="X235" s="36">
        <f t="shared" si="55"/>
        <v>14</v>
      </c>
      <c r="Y235" s="36">
        <f t="shared" si="56"/>
        <v>1.9534883720930232</v>
      </c>
      <c r="Z235" s="49">
        <v>39</v>
      </c>
      <c r="AA235" s="49">
        <v>2</v>
      </c>
      <c r="AB235" s="49">
        <v>1</v>
      </c>
      <c r="AC235" s="49">
        <v>2</v>
      </c>
      <c r="AD235" s="36">
        <f t="shared" si="57"/>
        <v>44</v>
      </c>
      <c r="AE235" s="36">
        <f t="shared" si="58"/>
        <v>6.1395348837209305</v>
      </c>
      <c r="AF235" s="36">
        <f t="shared" si="59"/>
        <v>104</v>
      </c>
      <c r="AG235" s="36">
        <f t="shared" si="59"/>
        <v>14.511627906976745</v>
      </c>
      <c r="AH235" s="36">
        <f t="shared" si="60"/>
        <v>147</v>
      </c>
      <c r="AI235" s="36">
        <f t="shared" si="60"/>
        <v>20.511627906976745</v>
      </c>
    </row>
    <row r="236" spans="1:35">
      <c r="A236" s="46" t="s">
        <v>335</v>
      </c>
      <c r="B236" s="33" t="s">
        <v>321</v>
      </c>
      <c r="C236" s="34" t="s">
        <v>180</v>
      </c>
      <c r="D236" s="47" t="str">
        <f t="shared" si="50"/>
        <v>M27USSS22AFH.27D36D2(D905)</v>
      </c>
      <c r="E236" s="46" t="s">
        <v>21</v>
      </c>
      <c r="F236" s="46" t="s">
        <v>21</v>
      </c>
      <c r="G236" s="48">
        <v>430</v>
      </c>
      <c r="H236" s="48">
        <v>37</v>
      </c>
      <c r="I236" s="49">
        <v>1</v>
      </c>
      <c r="J236" s="49">
        <v>1</v>
      </c>
      <c r="K236" s="49">
        <v>4</v>
      </c>
      <c r="L236" s="36">
        <f t="shared" si="51"/>
        <v>43</v>
      </c>
      <c r="M236" s="36">
        <f t="shared" si="52"/>
        <v>6</v>
      </c>
      <c r="N236" s="49">
        <v>40</v>
      </c>
      <c r="O236" s="49">
        <v>1</v>
      </c>
      <c r="P236" s="49">
        <v>1</v>
      </c>
      <c r="Q236" s="49">
        <v>1</v>
      </c>
      <c r="R236" s="49">
        <v>3</v>
      </c>
      <c r="S236" s="36">
        <f t="shared" si="53"/>
        <v>46</v>
      </c>
      <c r="T236" s="36">
        <f t="shared" si="54"/>
        <v>6.4186046511627906</v>
      </c>
      <c r="U236" s="49">
        <v>12</v>
      </c>
      <c r="V236" s="49">
        <v>1</v>
      </c>
      <c r="W236" s="49">
        <v>1</v>
      </c>
      <c r="X236" s="36">
        <f t="shared" si="55"/>
        <v>14</v>
      </c>
      <c r="Y236" s="36">
        <f t="shared" si="56"/>
        <v>1.9534883720930232</v>
      </c>
      <c r="Z236" s="49">
        <v>39</v>
      </c>
      <c r="AA236" s="49">
        <v>2</v>
      </c>
      <c r="AB236" s="49">
        <v>1</v>
      </c>
      <c r="AC236" s="49">
        <v>2</v>
      </c>
      <c r="AD236" s="36">
        <f t="shared" si="57"/>
        <v>44</v>
      </c>
      <c r="AE236" s="36">
        <f t="shared" si="58"/>
        <v>6.1395348837209305</v>
      </c>
      <c r="AF236" s="36">
        <f t="shared" si="59"/>
        <v>104</v>
      </c>
      <c r="AG236" s="36">
        <f t="shared" si="59"/>
        <v>14.511627906976745</v>
      </c>
      <c r="AH236" s="36">
        <f t="shared" si="60"/>
        <v>147</v>
      </c>
      <c r="AI236" s="36">
        <f t="shared" si="60"/>
        <v>20.511627906976745</v>
      </c>
    </row>
    <row r="237" spans="1:35">
      <c r="A237" s="46" t="s">
        <v>335</v>
      </c>
      <c r="B237" s="33" t="s">
        <v>321</v>
      </c>
      <c r="C237" s="34" t="s">
        <v>334</v>
      </c>
      <c r="D237" s="47" t="str">
        <f t="shared" si="50"/>
        <v>M27AESS22AFH.27D3621(D905)</v>
      </c>
      <c r="E237" s="46" t="s">
        <v>21</v>
      </c>
      <c r="F237" s="46" t="s">
        <v>21</v>
      </c>
      <c r="G237" s="48">
        <v>430</v>
      </c>
      <c r="H237" s="48">
        <v>37</v>
      </c>
      <c r="I237" s="49">
        <v>1</v>
      </c>
      <c r="J237" s="49">
        <v>1</v>
      </c>
      <c r="K237" s="49">
        <v>4</v>
      </c>
      <c r="L237" s="36">
        <f t="shared" si="51"/>
        <v>43</v>
      </c>
      <c r="M237" s="36">
        <f t="shared" si="52"/>
        <v>6</v>
      </c>
      <c r="N237" s="49">
        <v>40</v>
      </c>
      <c r="O237" s="49">
        <v>1</v>
      </c>
      <c r="P237" s="49">
        <v>1</v>
      </c>
      <c r="Q237" s="49">
        <v>1</v>
      </c>
      <c r="R237" s="49">
        <v>3</v>
      </c>
      <c r="S237" s="36">
        <f t="shared" si="53"/>
        <v>46</v>
      </c>
      <c r="T237" s="36">
        <f t="shared" si="54"/>
        <v>6.4186046511627906</v>
      </c>
      <c r="U237" s="49">
        <v>12</v>
      </c>
      <c r="V237" s="49">
        <v>1</v>
      </c>
      <c r="W237" s="49">
        <v>1</v>
      </c>
      <c r="X237" s="36">
        <f t="shared" si="55"/>
        <v>14</v>
      </c>
      <c r="Y237" s="36">
        <f t="shared" si="56"/>
        <v>1.9534883720930232</v>
      </c>
      <c r="Z237" s="49">
        <v>39</v>
      </c>
      <c r="AA237" s="49">
        <v>2</v>
      </c>
      <c r="AB237" s="49">
        <v>1</v>
      </c>
      <c r="AC237" s="49">
        <v>2</v>
      </c>
      <c r="AD237" s="36">
        <f t="shared" si="57"/>
        <v>44</v>
      </c>
      <c r="AE237" s="36">
        <f t="shared" si="58"/>
        <v>6.1395348837209305</v>
      </c>
      <c r="AF237" s="36">
        <f t="shared" si="59"/>
        <v>104</v>
      </c>
      <c r="AG237" s="36">
        <f t="shared" si="59"/>
        <v>14.511627906976745</v>
      </c>
      <c r="AH237" s="36">
        <f t="shared" si="60"/>
        <v>147</v>
      </c>
      <c r="AI237" s="36">
        <f t="shared" si="60"/>
        <v>20.511627906976745</v>
      </c>
    </row>
    <row r="238" spans="1:35">
      <c r="A238" s="46" t="s">
        <v>335</v>
      </c>
      <c r="B238" s="33" t="s">
        <v>321</v>
      </c>
      <c r="C238" s="34" t="s">
        <v>127</v>
      </c>
      <c r="D238" s="47" t="str">
        <f t="shared" si="50"/>
        <v>M27AESS22AFH.27D3622(D905)</v>
      </c>
      <c r="E238" s="46" t="s">
        <v>21</v>
      </c>
      <c r="F238" s="46" t="s">
        <v>21</v>
      </c>
      <c r="G238" s="48">
        <v>430</v>
      </c>
      <c r="H238" s="48">
        <v>37</v>
      </c>
      <c r="I238" s="49">
        <v>1</v>
      </c>
      <c r="J238" s="49">
        <v>1</v>
      </c>
      <c r="K238" s="49">
        <v>4</v>
      </c>
      <c r="L238" s="36">
        <f t="shared" si="51"/>
        <v>43</v>
      </c>
      <c r="M238" s="36">
        <f t="shared" si="52"/>
        <v>6</v>
      </c>
      <c r="N238" s="49">
        <v>40</v>
      </c>
      <c r="O238" s="49">
        <v>1</v>
      </c>
      <c r="P238" s="49">
        <v>1</v>
      </c>
      <c r="Q238" s="49">
        <v>1</v>
      </c>
      <c r="R238" s="49">
        <v>3</v>
      </c>
      <c r="S238" s="36">
        <f t="shared" si="53"/>
        <v>46</v>
      </c>
      <c r="T238" s="36">
        <f t="shared" si="54"/>
        <v>6.4186046511627906</v>
      </c>
      <c r="U238" s="49">
        <v>12</v>
      </c>
      <c r="V238" s="49">
        <v>1</v>
      </c>
      <c r="W238" s="49">
        <v>1</v>
      </c>
      <c r="X238" s="36">
        <f t="shared" si="55"/>
        <v>14</v>
      </c>
      <c r="Y238" s="36">
        <f t="shared" si="56"/>
        <v>1.9534883720930232</v>
      </c>
      <c r="Z238" s="49">
        <v>39</v>
      </c>
      <c r="AA238" s="49">
        <v>2</v>
      </c>
      <c r="AB238" s="49">
        <v>1</v>
      </c>
      <c r="AC238" s="49">
        <v>2</v>
      </c>
      <c r="AD238" s="36">
        <f t="shared" si="57"/>
        <v>44</v>
      </c>
      <c r="AE238" s="36">
        <f t="shared" si="58"/>
        <v>6.1395348837209305</v>
      </c>
      <c r="AF238" s="36">
        <f t="shared" si="59"/>
        <v>104</v>
      </c>
      <c r="AG238" s="36">
        <f t="shared" si="59"/>
        <v>14.511627906976745</v>
      </c>
      <c r="AH238" s="36">
        <f t="shared" si="60"/>
        <v>147</v>
      </c>
      <c r="AI238" s="36">
        <f t="shared" si="60"/>
        <v>20.511627906976745</v>
      </c>
    </row>
    <row r="239" spans="1:35">
      <c r="A239" s="46" t="s">
        <v>335</v>
      </c>
      <c r="B239" s="33" t="s">
        <v>321</v>
      </c>
      <c r="C239" s="34" t="s">
        <v>53</v>
      </c>
      <c r="D239" s="47" t="str">
        <f t="shared" si="50"/>
        <v>M27SGSS22AFH.27D3602(D905)</v>
      </c>
      <c r="E239" s="46" t="s">
        <v>21</v>
      </c>
      <c r="F239" s="46" t="s">
        <v>21</v>
      </c>
      <c r="G239" s="48">
        <v>430</v>
      </c>
      <c r="H239" s="48">
        <v>37</v>
      </c>
      <c r="I239" s="49">
        <v>1</v>
      </c>
      <c r="J239" s="49">
        <v>1</v>
      </c>
      <c r="K239" s="49">
        <v>4</v>
      </c>
      <c r="L239" s="36">
        <f t="shared" si="51"/>
        <v>43</v>
      </c>
      <c r="M239" s="36">
        <f t="shared" si="52"/>
        <v>6</v>
      </c>
      <c r="N239" s="49">
        <v>40</v>
      </c>
      <c r="O239" s="49">
        <v>1</v>
      </c>
      <c r="P239" s="49">
        <v>1</v>
      </c>
      <c r="Q239" s="49">
        <v>1</v>
      </c>
      <c r="R239" s="49">
        <v>3</v>
      </c>
      <c r="S239" s="36">
        <f t="shared" si="53"/>
        <v>46</v>
      </c>
      <c r="T239" s="36">
        <f t="shared" si="54"/>
        <v>6.4186046511627906</v>
      </c>
      <c r="U239" s="49">
        <v>12</v>
      </c>
      <c r="V239" s="49">
        <v>1</v>
      </c>
      <c r="W239" s="49">
        <v>1</v>
      </c>
      <c r="X239" s="36">
        <f t="shared" si="55"/>
        <v>14</v>
      </c>
      <c r="Y239" s="36">
        <f t="shared" si="56"/>
        <v>1.9534883720930232</v>
      </c>
      <c r="Z239" s="49">
        <v>39</v>
      </c>
      <c r="AA239" s="49">
        <v>2</v>
      </c>
      <c r="AB239" s="49">
        <v>1</v>
      </c>
      <c r="AC239" s="49">
        <v>2</v>
      </c>
      <c r="AD239" s="36">
        <f t="shared" si="57"/>
        <v>44</v>
      </c>
      <c r="AE239" s="36">
        <f t="shared" si="58"/>
        <v>6.1395348837209305</v>
      </c>
      <c r="AF239" s="36">
        <f t="shared" si="59"/>
        <v>104</v>
      </c>
      <c r="AG239" s="36">
        <f t="shared" si="59"/>
        <v>14.511627906976745</v>
      </c>
      <c r="AH239" s="36">
        <f t="shared" si="60"/>
        <v>147</v>
      </c>
      <c r="AI239" s="36">
        <f t="shared" si="60"/>
        <v>20.511627906976745</v>
      </c>
    </row>
    <row r="240" spans="1:35">
      <c r="A240" s="46" t="s">
        <v>335</v>
      </c>
      <c r="B240" s="33" t="s">
        <v>321</v>
      </c>
      <c r="C240" s="34" t="s">
        <v>96</v>
      </c>
      <c r="D240" s="47" t="str">
        <f t="shared" si="50"/>
        <v>M27MXSS22AF-.27D3602(D905)</v>
      </c>
      <c r="E240" s="46" t="s">
        <v>21</v>
      </c>
      <c r="F240" s="46" t="s">
        <v>21</v>
      </c>
      <c r="G240" s="48">
        <v>430</v>
      </c>
      <c r="H240" s="48">
        <v>37</v>
      </c>
      <c r="I240" s="49">
        <v>1</v>
      </c>
      <c r="J240" s="49">
        <v>1</v>
      </c>
      <c r="K240" s="49">
        <v>4</v>
      </c>
      <c r="L240" s="36">
        <f t="shared" si="51"/>
        <v>43</v>
      </c>
      <c r="M240" s="36">
        <f t="shared" si="52"/>
        <v>6</v>
      </c>
      <c r="N240" s="49">
        <v>40</v>
      </c>
      <c r="O240" s="49">
        <v>1</v>
      </c>
      <c r="P240" s="49">
        <v>1</v>
      </c>
      <c r="Q240" s="49">
        <v>1</v>
      </c>
      <c r="R240" s="49">
        <v>3</v>
      </c>
      <c r="S240" s="36">
        <f t="shared" si="53"/>
        <v>46</v>
      </c>
      <c r="T240" s="36">
        <f t="shared" si="54"/>
        <v>6.4186046511627906</v>
      </c>
      <c r="U240" s="49">
        <v>12</v>
      </c>
      <c r="V240" s="49">
        <v>1</v>
      </c>
      <c r="W240" s="49">
        <v>1</v>
      </c>
      <c r="X240" s="36">
        <f t="shared" si="55"/>
        <v>14</v>
      </c>
      <c r="Y240" s="36">
        <f t="shared" si="56"/>
        <v>1.9534883720930232</v>
      </c>
      <c r="Z240" s="49">
        <v>39</v>
      </c>
      <c r="AA240" s="49">
        <v>2</v>
      </c>
      <c r="AB240" s="49">
        <v>1</v>
      </c>
      <c r="AC240" s="49">
        <v>2</v>
      </c>
      <c r="AD240" s="36">
        <f t="shared" si="57"/>
        <v>44</v>
      </c>
      <c r="AE240" s="36">
        <f t="shared" si="58"/>
        <v>6.1395348837209305</v>
      </c>
      <c r="AF240" s="36">
        <f t="shared" si="59"/>
        <v>104</v>
      </c>
      <c r="AG240" s="36">
        <f t="shared" si="59"/>
        <v>14.511627906976745</v>
      </c>
      <c r="AH240" s="36">
        <f t="shared" si="60"/>
        <v>147</v>
      </c>
      <c r="AI240" s="36">
        <f t="shared" si="60"/>
        <v>20.511627906976745</v>
      </c>
    </row>
    <row r="241" spans="1:35">
      <c r="A241" s="46" t="s">
        <v>335</v>
      </c>
      <c r="B241" s="33" t="s">
        <v>321</v>
      </c>
      <c r="C241" s="34" t="s">
        <v>54</v>
      </c>
      <c r="D241" s="47" t="str">
        <f t="shared" si="50"/>
        <v>M27MXSS22AFH.27D3602(D905)</v>
      </c>
      <c r="E241" s="46" t="s">
        <v>21</v>
      </c>
      <c r="F241" s="46" t="s">
        <v>21</v>
      </c>
      <c r="G241" s="48">
        <v>430</v>
      </c>
      <c r="H241" s="48">
        <v>37</v>
      </c>
      <c r="I241" s="49">
        <v>1</v>
      </c>
      <c r="J241" s="49">
        <v>1</v>
      </c>
      <c r="K241" s="49">
        <v>4</v>
      </c>
      <c r="L241" s="36">
        <f t="shared" si="51"/>
        <v>43</v>
      </c>
      <c r="M241" s="36">
        <f t="shared" si="52"/>
        <v>6</v>
      </c>
      <c r="N241" s="49">
        <v>40</v>
      </c>
      <c r="O241" s="49">
        <v>1</v>
      </c>
      <c r="P241" s="49">
        <v>1</v>
      </c>
      <c r="Q241" s="49">
        <v>1</v>
      </c>
      <c r="R241" s="49">
        <v>3</v>
      </c>
      <c r="S241" s="36">
        <f t="shared" si="53"/>
        <v>46</v>
      </c>
      <c r="T241" s="36">
        <f t="shared" si="54"/>
        <v>6.4186046511627906</v>
      </c>
      <c r="U241" s="49">
        <v>12</v>
      </c>
      <c r="V241" s="49">
        <v>1</v>
      </c>
      <c r="W241" s="49">
        <v>1</v>
      </c>
      <c r="X241" s="36">
        <f t="shared" si="55"/>
        <v>14</v>
      </c>
      <c r="Y241" s="36">
        <f t="shared" si="56"/>
        <v>1.9534883720930232</v>
      </c>
      <c r="Z241" s="49">
        <v>39</v>
      </c>
      <c r="AA241" s="49">
        <v>2</v>
      </c>
      <c r="AB241" s="49">
        <v>1</v>
      </c>
      <c r="AC241" s="49">
        <v>2</v>
      </c>
      <c r="AD241" s="36">
        <f t="shared" si="57"/>
        <v>44</v>
      </c>
      <c r="AE241" s="36">
        <f t="shared" si="58"/>
        <v>6.1395348837209305</v>
      </c>
      <c r="AF241" s="36">
        <f t="shared" si="59"/>
        <v>104</v>
      </c>
      <c r="AG241" s="36">
        <f t="shared" si="59"/>
        <v>14.511627906976745</v>
      </c>
      <c r="AH241" s="36">
        <f t="shared" si="60"/>
        <v>147</v>
      </c>
      <c r="AI241" s="36">
        <f t="shared" si="60"/>
        <v>20.511627906976745</v>
      </c>
    </row>
    <row r="242" spans="1:35">
      <c r="A242" s="46" t="s">
        <v>335</v>
      </c>
      <c r="B242" s="33" t="s">
        <v>321</v>
      </c>
      <c r="C242" s="34" t="s">
        <v>73</v>
      </c>
      <c r="D242" s="47" t="str">
        <f t="shared" si="50"/>
        <v>M27TRSS22AF-.27D3662(D905)</v>
      </c>
      <c r="E242" s="46" t="s">
        <v>21</v>
      </c>
      <c r="F242" s="46" t="s">
        <v>21</v>
      </c>
      <c r="G242" s="48">
        <v>430</v>
      </c>
      <c r="H242" s="48">
        <v>37</v>
      </c>
      <c r="I242" s="49">
        <v>1</v>
      </c>
      <c r="J242" s="49">
        <v>1</v>
      </c>
      <c r="K242" s="49">
        <v>4</v>
      </c>
      <c r="L242" s="36">
        <f t="shared" si="51"/>
        <v>43</v>
      </c>
      <c r="M242" s="36">
        <f t="shared" si="52"/>
        <v>6</v>
      </c>
      <c r="N242" s="49">
        <v>40</v>
      </c>
      <c r="O242" s="49">
        <v>1</v>
      </c>
      <c r="P242" s="49">
        <v>1</v>
      </c>
      <c r="Q242" s="49">
        <v>1</v>
      </c>
      <c r="R242" s="49">
        <v>3</v>
      </c>
      <c r="S242" s="36">
        <f t="shared" si="53"/>
        <v>46</v>
      </c>
      <c r="T242" s="36">
        <f t="shared" si="54"/>
        <v>6.4186046511627906</v>
      </c>
      <c r="U242" s="49">
        <v>12</v>
      </c>
      <c r="V242" s="49">
        <v>1</v>
      </c>
      <c r="W242" s="49">
        <v>1</v>
      </c>
      <c r="X242" s="36">
        <f t="shared" si="55"/>
        <v>14</v>
      </c>
      <c r="Y242" s="36">
        <f t="shared" si="56"/>
        <v>1.9534883720930232</v>
      </c>
      <c r="Z242" s="49">
        <v>39</v>
      </c>
      <c r="AA242" s="49">
        <v>2</v>
      </c>
      <c r="AB242" s="49">
        <v>1</v>
      </c>
      <c r="AC242" s="49">
        <v>2</v>
      </c>
      <c r="AD242" s="36">
        <f t="shared" si="57"/>
        <v>44</v>
      </c>
      <c r="AE242" s="36">
        <f t="shared" si="58"/>
        <v>6.1395348837209305</v>
      </c>
      <c r="AF242" s="36">
        <f t="shared" si="59"/>
        <v>104</v>
      </c>
      <c r="AG242" s="36">
        <f t="shared" si="59"/>
        <v>14.511627906976745</v>
      </c>
      <c r="AH242" s="36">
        <f t="shared" si="60"/>
        <v>147</v>
      </c>
      <c r="AI242" s="36">
        <f t="shared" si="60"/>
        <v>20.511627906976745</v>
      </c>
    </row>
    <row r="243" spans="1:35">
      <c r="A243" s="46" t="s">
        <v>335</v>
      </c>
      <c r="B243" s="33" t="s">
        <v>321</v>
      </c>
      <c r="C243" s="34" t="s">
        <v>57</v>
      </c>
      <c r="D243" s="47" t="str">
        <f t="shared" si="50"/>
        <v>M27TRSS22AFH.27D3662(D905)</v>
      </c>
      <c r="E243" s="46" t="s">
        <v>21</v>
      </c>
      <c r="F243" s="46" t="s">
        <v>21</v>
      </c>
      <c r="G243" s="48">
        <v>430</v>
      </c>
      <c r="H243" s="48">
        <v>37</v>
      </c>
      <c r="I243" s="49">
        <v>1</v>
      </c>
      <c r="J243" s="49">
        <v>1</v>
      </c>
      <c r="K243" s="49">
        <v>4</v>
      </c>
      <c r="L243" s="36">
        <f t="shared" si="51"/>
        <v>43</v>
      </c>
      <c r="M243" s="36">
        <f t="shared" si="52"/>
        <v>6</v>
      </c>
      <c r="N243" s="49">
        <v>40</v>
      </c>
      <c r="O243" s="49">
        <v>1</v>
      </c>
      <c r="P243" s="49">
        <v>1</v>
      </c>
      <c r="Q243" s="49">
        <v>1</v>
      </c>
      <c r="R243" s="49">
        <v>3</v>
      </c>
      <c r="S243" s="36">
        <f t="shared" si="53"/>
        <v>46</v>
      </c>
      <c r="T243" s="36">
        <f t="shared" si="54"/>
        <v>6.4186046511627906</v>
      </c>
      <c r="U243" s="49">
        <v>12</v>
      </c>
      <c r="V243" s="49">
        <v>1</v>
      </c>
      <c r="W243" s="49">
        <v>1</v>
      </c>
      <c r="X243" s="36">
        <f t="shared" si="55"/>
        <v>14</v>
      </c>
      <c r="Y243" s="36">
        <f t="shared" si="56"/>
        <v>1.9534883720930232</v>
      </c>
      <c r="Z243" s="49">
        <v>39</v>
      </c>
      <c r="AA243" s="49">
        <v>2</v>
      </c>
      <c r="AB243" s="49">
        <v>1</v>
      </c>
      <c r="AC243" s="49">
        <v>2</v>
      </c>
      <c r="AD243" s="36">
        <f t="shared" si="57"/>
        <v>44</v>
      </c>
      <c r="AE243" s="36">
        <f t="shared" si="58"/>
        <v>6.1395348837209305</v>
      </c>
      <c r="AF243" s="36">
        <f t="shared" si="59"/>
        <v>104</v>
      </c>
      <c r="AG243" s="36">
        <f t="shared" si="59"/>
        <v>14.511627906976745</v>
      </c>
      <c r="AH243" s="36">
        <f t="shared" si="60"/>
        <v>147</v>
      </c>
      <c r="AI243" s="36">
        <f t="shared" si="60"/>
        <v>20.511627906976745</v>
      </c>
    </row>
    <row r="244" spans="1:35">
      <c r="A244" s="46" t="s">
        <v>335</v>
      </c>
      <c r="B244" s="33" t="s">
        <v>321</v>
      </c>
      <c r="C244" s="34" t="s">
        <v>61</v>
      </c>
      <c r="D244" s="47" t="str">
        <f t="shared" si="50"/>
        <v>M27GBSS22AFH.27D3602(D905)</v>
      </c>
      <c r="E244" s="46" t="s">
        <v>21</v>
      </c>
      <c r="F244" s="46" t="s">
        <v>21</v>
      </c>
      <c r="G244" s="48">
        <v>430</v>
      </c>
      <c r="H244" s="48">
        <v>37</v>
      </c>
      <c r="I244" s="49">
        <v>1</v>
      </c>
      <c r="J244" s="49">
        <v>1</v>
      </c>
      <c r="K244" s="49">
        <v>4</v>
      </c>
      <c r="L244" s="36">
        <f t="shared" si="51"/>
        <v>43</v>
      </c>
      <c r="M244" s="36">
        <f t="shared" si="52"/>
        <v>6</v>
      </c>
      <c r="N244" s="49">
        <v>40</v>
      </c>
      <c r="O244" s="49">
        <v>1</v>
      </c>
      <c r="P244" s="49">
        <v>1</v>
      </c>
      <c r="Q244" s="49">
        <v>1</v>
      </c>
      <c r="R244" s="49">
        <v>3</v>
      </c>
      <c r="S244" s="36">
        <f t="shared" si="53"/>
        <v>46</v>
      </c>
      <c r="T244" s="36">
        <f t="shared" si="54"/>
        <v>6.4186046511627906</v>
      </c>
      <c r="U244" s="49">
        <v>12</v>
      </c>
      <c r="V244" s="49">
        <v>1</v>
      </c>
      <c r="W244" s="49">
        <v>1</v>
      </c>
      <c r="X244" s="36">
        <f t="shared" si="55"/>
        <v>14</v>
      </c>
      <c r="Y244" s="36">
        <f t="shared" si="56"/>
        <v>1.9534883720930232</v>
      </c>
      <c r="Z244" s="49">
        <v>39</v>
      </c>
      <c r="AA244" s="49">
        <v>2</v>
      </c>
      <c r="AB244" s="49">
        <v>1</v>
      </c>
      <c r="AC244" s="49">
        <v>2</v>
      </c>
      <c r="AD244" s="36">
        <f t="shared" si="57"/>
        <v>44</v>
      </c>
      <c r="AE244" s="36">
        <f t="shared" si="58"/>
        <v>6.1395348837209305</v>
      </c>
      <c r="AF244" s="36">
        <f t="shared" si="59"/>
        <v>104</v>
      </c>
      <c r="AG244" s="36">
        <f t="shared" si="59"/>
        <v>14.511627906976745</v>
      </c>
      <c r="AH244" s="36">
        <f t="shared" si="60"/>
        <v>147</v>
      </c>
      <c r="AI244" s="36">
        <f t="shared" si="60"/>
        <v>20.511627906976745</v>
      </c>
    </row>
    <row r="245" spans="1:35">
      <c r="A245" s="46" t="s">
        <v>335</v>
      </c>
      <c r="B245" s="33" t="s">
        <v>321</v>
      </c>
      <c r="C245" s="34" t="s">
        <v>62</v>
      </c>
      <c r="D245" s="47" t="str">
        <f t="shared" si="50"/>
        <v>M27GBSS22AFH.27D3622(D905)</v>
      </c>
      <c r="E245" s="46" t="s">
        <v>21</v>
      </c>
      <c r="F245" s="46" t="s">
        <v>21</v>
      </c>
      <c r="G245" s="48">
        <v>430</v>
      </c>
      <c r="H245" s="48">
        <v>37</v>
      </c>
      <c r="I245" s="49">
        <v>1</v>
      </c>
      <c r="J245" s="49">
        <v>1</v>
      </c>
      <c r="K245" s="49">
        <v>4</v>
      </c>
      <c r="L245" s="36">
        <f t="shared" si="51"/>
        <v>43</v>
      </c>
      <c r="M245" s="36">
        <f t="shared" si="52"/>
        <v>6</v>
      </c>
      <c r="N245" s="49">
        <v>40</v>
      </c>
      <c r="O245" s="49">
        <v>1</v>
      </c>
      <c r="P245" s="49">
        <v>1</v>
      </c>
      <c r="Q245" s="49">
        <v>1</v>
      </c>
      <c r="R245" s="49">
        <v>3</v>
      </c>
      <c r="S245" s="36">
        <f t="shared" si="53"/>
        <v>46</v>
      </c>
      <c r="T245" s="36">
        <f t="shared" si="54"/>
        <v>6.4186046511627906</v>
      </c>
      <c r="U245" s="49">
        <v>12</v>
      </c>
      <c r="V245" s="49">
        <v>1</v>
      </c>
      <c r="W245" s="49">
        <v>1</v>
      </c>
      <c r="X245" s="36">
        <f t="shared" si="55"/>
        <v>14</v>
      </c>
      <c r="Y245" s="36">
        <f t="shared" si="56"/>
        <v>1.9534883720930232</v>
      </c>
      <c r="Z245" s="49">
        <v>39</v>
      </c>
      <c r="AA245" s="49">
        <v>2</v>
      </c>
      <c r="AB245" s="49">
        <v>1</v>
      </c>
      <c r="AC245" s="49">
        <v>2</v>
      </c>
      <c r="AD245" s="36">
        <f t="shared" si="57"/>
        <v>44</v>
      </c>
      <c r="AE245" s="36">
        <f t="shared" si="58"/>
        <v>6.1395348837209305</v>
      </c>
      <c r="AF245" s="36">
        <f t="shared" si="59"/>
        <v>104</v>
      </c>
      <c r="AG245" s="36">
        <f t="shared" si="59"/>
        <v>14.511627906976745</v>
      </c>
      <c r="AH245" s="36">
        <f t="shared" si="60"/>
        <v>147</v>
      </c>
      <c r="AI245" s="36">
        <f t="shared" si="60"/>
        <v>20.511627906976745</v>
      </c>
    </row>
    <row r="246" spans="1:35">
      <c r="A246" s="46" t="s">
        <v>335</v>
      </c>
      <c r="B246" s="33" t="s">
        <v>321</v>
      </c>
      <c r="C246" s="34" t="s">
        <v>63</v>
      </c>
      <c r="D246" s="47" t="str">
        <f t="shared" si="50"/>
        <v>M27GBSS22AFH.27D3662(D905)</v>
      </c>
      <c r="E246" s="46" t="s">
        <v>21</v>
      </c>
      <c r="F246" s="46" t="s">
        <v>21</v>
      </c>
      <c r="G246" s="48">
        <v>430</v>
      </c>
      <c r="H246" s="48">
        <v>37</v>
      </c>
      <c r="I246" s="49">
        <v>1</v>
      </c>
      <c r="J246" s="49">
        <v>1</v>
      </c>
      <c r="K246" s="49">
        <v>4</v>
      </c>
      <c r="L246" s="36">
        <f t="shared" si="51"/>
        <v>43</v>
      </c>
      <c r="M246" s="36">
        <f t="shared" si="52"/>
        <v>6</v>
      </c>
      <c r="N246" s="49">
        <v>40</v>
      </c>
      <c r="O246" s="49">
        <v>1</v>
      </c>
      <c r="P246" s="49">
        <v>1</v>
      </c>
      <c r="Q246" s="49">
        <v>1</v>
      </c>
      <c r="R246" s="49">
        <v>3</v>
      </c>
      <c r="S246" s="36">
        <f t="shared" si="53"/>
        <v>46</v>
      </c>
      <c r="T246" s="36">
        <f t="shared" si="54"/>
        <v>6.4186046511627906</v>
      </c>
      <c r="U246" s="49">
        <v>12</v>
      </c>
      <c r="V246" s="49">
        <v>1</v>
      </c>
      <c r="W246" s="49">
        <v>1</v>
      </c>
      <c r="X246" s="36">
        <f t="shared" si="55"/>
        <v>14</v>
      </c>
      <c r="Y246" s="36">
        <f t="shared" si="56"/>
        <v>1.9534883720930232</v>
      </c>
      <c r="Z246" s="49">
        <v>39</v>
      </c>
      <c r="AA246" s="49">
        <v>2</v>
      </c>
      <c r="AB246" s="49">
        <v>1</v>
      </c>
      <c r="AC246" s="49">
        <v>2</v>
      </c>
      <c r="AD246" s="36">
        <f t="shared" si="57"/>
        <v>44</v>
      </c>
      <c r="AE246" s="36">
        <f t="shared" si="58"/>
        <v>6.1395348837209305</v>
      </c>
      <c r="AF246" s="36">
        <f t="shared" si="59"/>
        <v>104</v>
      </c>
      <c r="AG246" s="36">
        <f t="shared" si="59"/>
        <v>14.511627906976745</v>
      </c>
      <c r="AH246" s="36">
        <f t="shared" si="60"/>
        <v>147</v>
      </c>
      <c r="AI246" s="36">
        <f t="shared" si="60"/>
        <v>20.511627906976745</v>
      </c>
    </row>
    <row r="247" spans="1:35">
      <c r="A247" s="46" t="s">
        <v>335</v>
      </c>
      <c r="B247" s="33" t="s">
        <v>321</v>
      </c>
      <c r="C247" s="34" t="s">
        <v>57</v>
      </c>
      <c r="D247" s="47" t="str">
        <f t="shared" si="50"/>
        <v>M27TRSS22AFH.27D3662(D905)</v>
      </c>
      <c r="E247" s="46" t="s">
        <v>21</v>
      </c>
      <c r="F247" s="46" t="s">
        <v>21</v>
      </c>
      <c r="G247" s="48">
        <v>430</v>
      </c>
      <c r="H247" s="48">
        <v>37</v>
      </c>
      <c r="I247" s="49">
        <v>1</v>
      </c>
      <c r="J247" s="49">
        <v>1</v>
      </c>
      <c r="K247" s="49">
        <v>4</v>
      </c>
      <c r="L247" s="36">
        <f t="shared" si="51"/>
        <v>43</v>
      </c>
      <c r="M247" s="36">
        <f t="shared" si="52"/>
        <v>6</v>
      </c>
      <c r="N247" s="49">
        <v>40</v>
      </c>
      <c r="O247" s="49">
        <v>1</v>
      </c>
      <c r="P247" s="49">
        <v>1</v>
      </c>
      <c r="Q247" s="49">
        <v>1</v>
      </c>
      <c r="R247" s="49">
        <v>3</v>
      </c>
      <c r="S247" s="36">
        <f t="shared" si="53"/>
        <v>46</v>
      </c>
      <c r="T247" s="36">
        <f t="shared" si="54"/>
        <v>6.4186046511627906</v>
      </c>
      <c r="U247" s="49">
        <v>12</v>
      </c>
      <c r="V247" s="49">
        <v>1</v>
      </c>
      <c r="W247" s="49">
        <v>1</v>
      </c>
      <c r="X247" s="36">
        <f t="shared" si="55"/>
        <v>14</v>
      </c>
      <c r="Y247" s="36">
        <f t="shared" si="56"/>
        <v>1.9534883720930232</v>
      </c>
      <c r="Z247" s="49">
        <v>39</v>
      </c>
      <c r="AA247" s="49">
        <v>2</v>
      </c>
      <c r="AB247" s="49">
        <v>1</v>
      </c>
      <c r="AC247" s="49">
        <v>2</v>
      </c>
      <c r="AD247" s="36">
        <f t="shared" si="57"/>
        <v>44</v>
      </c>
      <c r="AE247" s="36">
        <f t="shared" si="58"/>
        <v>6.1395348837209305</v>
      </c>
      <c r="AF247" s="36">
        <f t="shared" si="59"/>
        <v>104</v>
      </c>
      <c r="AG247" s="36">
        <f t="shared" si="59"/>
        <v>14.511627906976745</v>
      </c>
      <c r="AH247" s="36">
        <f t="shared" si="60"/>
        <v>147</v>
      </c>
      <c r="AI247" s="36">
        <f t="shared" si="60"/>
        <v>20.511627906976745</v>
      </c>
    </row>
    <row r="248" spans="1:35">
      <c r="A248" s="46" t="s">
        <v>335</v>
      </c>
      <c r="B248" s="33" t="s">
        <v>321</v>
      </c>
      <c r="C248" s="34" t="s">
        <v>147</v>
      </c>
      <c r="D248" s="47" t="str">
        <f t="shared" si="50"/>
        <v>M27TRSS22EFH.27D3661(D905)</v>
      </c>
      <c r="E248" s="46" t="s">
        <v>21</v>
      </c>
      <c r="F248" s="46" t="s">
        <v>21</v>
      </c>
      <c r="G248" s="48">
        <v>430</v>
      </c>
      <c r="H248" s="48">
        <v>37</v>
      </c>
      <c r="I248" s="49">
        <v>1</v>
      </c>
      <c r="J248" s="49">
        <v>1</v>
      </c>
      <c r="K248" s="49">
        <v>4</v>
      </c>
      <c r="L248" s="36">
        <f t="shared" si="51"/>
        <v>43</v>
      </c>
      <c r="M248" s="36">
        <f t="shared" si="52"/>
        <v>6</v>
      </c>
      <c r="N248" s="49">
        <v>40</v>
      </c>
      <c r="O248" s="49">
        <v>1</v>
      </c>
      <c r="P248" s="49">
        <v>1</v>
      </c>
      <c r="Q248" s="49">
        <v>1</v>
      </c>
      <c r="R248" s="49">
        <v>3</v>
      </c>
      <c r="S248" s="36">
        <f t="shared" si="53"/>
        <v>46</v>
      </c>
      <c r="T248" s="36">
        <f t="shared" si="54"/>
        <v>6.4186046511627906</v>
      </c>
      <c r="U248" s="49">
        <v>12</v>
      </c>
      <c r="V248" s="49">
        <v>1</v>
      </c>
      <c r="W248" s="49">
        <v>1</v>
      </c>
      <c r="X248" s="36">
        <f t="shared" si="55"/>
        <v>14</v>
      </c>
      <c r="Y248" s="36">
        <f t="shared" si="56"/>
        <v>1.9534883720930232</v>
      </c>
      <c r="Z248" s="49">
        <v>39</v>
      </c>
      <c r="AA248" s="49">
        <v>2</v>
      </c>
      <c r="AB248" s="49">
        <v>1</v>
      </c>
      <c r="AC248" s="49">
        <v>2</v>
      </c>
      <c r="AD248" s="36">
        <f t="shared" si="57"/>
        <v>44</v>
      </c>
      <c r="AE248" s="36">
        <f t="shared" si="58"/>
        <v>6.1395348837209305</v>
      </c>
      <c r="AF248" s="36">
        <f t="shared" si="59"/>
        <v>104</v>
      </c>
      <c r="AG248" s="36">
        <f t="shared" si="59"/>
        <v>14.511627906976745</v>
      </c>
      <c r="AH248" s="36">
        <f t="shared" si="60"/>
        <v>147</v>
      </c>
      <c r="AI248" s="36">
        <f t="shared" si="60"/>
        <v>20.511627906976745</v>
      </c>
    </row>
    <row r="249" spans="1:35">
      <c r="A249" s="46" t="s">
        <v>335</v>
      </c>
      <c r="B249" s="33" t="s">
        <v>321</v>
      </c>
      <c r="C249" s="34" t="s">
        <v>146</v>
      </c>
      <c r="D249" s="47" t="str">
        <f t="shared" si="50"/>
        <v>M27ARSS22EFH.27D3661(D905)</v>
      </c>
      <c r="E249" s="46" t="s">
        <v>21</v>
      </c>
      <c r="F249" s="46" t="s">
        <v>21</v>
      </c>
      <c r="G249" s="48">
        <v>430</v>
      </c>
      <c r="H249" s="48">
        <v>37</v>
      </c>
      <c r="I249" s="49">
        <v>1</v>
      </c>
      <c r="J249" s="49">
        <v>1</v>
      </c>
      <c r="K249" s="49">
        <v>4</v>
      </c>
      <c r="L249" s="36">
        <f t="shared" si="51"/>
        <v>43</v>
      </c>
      <c r="M249" s="36">
        <f t="shared" si="52"/>
        <v>6</v>
      </c>
      <c r="N249" s="49">
        <v>40</v>
      </c>
      <c r="O249" s="49">
        <v>1</v>
      </c>
      <c r="P249" s="49">
        <v>1</v>
      </c>
      <c r="Q249" s="49">
        <v>1</v>
      </c>
      <c r="R249" s="49">
        <v>3</v>
      </c>
      <c r="S249" s="36">
        <f t="shared" si="53"/>
        <v>46</v>
      </c>
      <c r="T249" s="36">
        <f t="shared" si="54"/>
        <v>6.4186046511627906</v>
      </c>
      <c r="U249" s="49">
        <v>12</v>
      </c>
      <c r="V249" s="49">
        <v>1</v>
      </c>
      <c r="W249" s="49">
        <v>1</v>
      </c>
      <c r="X249" s="36">
        <f t="shared" si="55"/>
        <v>14</v>
      </c>
      <c r="Y249" s="36">
        <f t="shared" si="56"/>
        <v>1.9534883720930232</v>
      </c>
      <c r="Z249" s="49">
        <v>39</v>
      </c>
      <c r="AA249" s="49">
        <v>2</v>
      </c>
      <c r="AB249" s="49">
        <v>1</v>
      </c>
      <c r="AC249" s="49">
        <v>2</v>
      </c>
      <c r="AD249" s="36">
        <f t="shared" si="57"/>
        <v>44</v>
      </c>
      <c r="AE249" s="36">
        <f t="shared" si="58"/>
        <v>6.1395348837209305</v>
      </c>
      <c r="AF249" s="36">
        <f t="shared" si="59"/>
        <v>104</v>
      </c>
      <c r="AG249" s="36">
        <f t="shared" si="59"/>
        <v>14.511627906976745</v>
      </c>
      <c r="AH249" s="36">
        <f t="shared" si="60"/>
        <v>147</v>
      </c>
      <c r="AI249" s="36">
        <f t="shared" si="60"/>
        <v>20.511627906976745</v>
      </c>
    </row>
    <row r="250" spans="1:35">
      <c r="A250" s="46" t="s">
        <v>335</v>
      </c>
      <c r="B250" s="33" t="s">
        <v>321</v>
      </c>
      <c r="C250" s="34" t="s">
        <v>89</v>
      </c>
      <c r="D250" s="47" t="str">
        <f t="shared" si="50"/>
        <v>M27ARSS22AFH.27D3662(D905)</v>
      </c>
      <c r="E250" s="46" t="s">
        <v>21</v>
      </c>
      <c r="F250" s="46" t="s">
        <v>21</v>
      </c>
      <c r="G250" s="48">
        <v>430</v>
      </c>
      <c r="H250" s="48">
        <v>37</v>
      </c>
      <c r="I250" s="49">
        <v>1</v>
      </c>
      <c r="J250" s="49">
        <v>1</v>
      </c>
      <c r="K250" s="49">
        <v>4</v>
      </c>
      <c r="L250" s="36">
        <f t="shared" si="51"/>
        <v>43</v>
      </c>
      <c r="M250" s="36">
        <f t="shared" si="52"/>
        <v>6</v>
      </c>
      <c r="N250" s="49">
        <v>40</v>
      </c>
      <c r="O250" s="49">
        <v>1</v>
      </c>
      <c r="P250" s="49">
        <v>1</v>
      </c>
      <c r="Q250" s="49">
        <v>1</v>
      </c>
      <c r="R250" s="49">
        <v>3</v>
      </c>
      <c r="S250" s="36">
        <f t="shared" si="53"/>
        <v>46</v>
      </c>
      <c r="T250" s="36">
        <f t="shared" si="54"/>
        <v>6.4186046511627906</v>
      </c>
      <c r="U250" s="49">
        <v>12</v>
      </c>
      <c r="V250" s="49">
        <v>1</v>
      </c>
      <c r="W250" s="49">
        <v>1</v>
      </c>
      <c r="X250" s="36">
        <f t="shared" si="55"/>
        <v>14</v>
      </c>
      <c r="Y250" s="36">
        <f t="shared" si="56"/>
        <v>1.9534883720930232</v>
      </c>
      <c r="Z250" s="49">
        <v>39</v>
      </c>
      <c r="AA250" s="49">
        <v>2</v>
      </c>
      <c r="AB250" s="49">
        <v>1</v>
      </c>
      <c r="AC250" s="49">
        <v>2</v>
      </c>
      <c r="AD250" s="36">
        <f t="shared" si="57"/>
        <v>44</v>
      </c>
      <c r="AE250" s="36">
        <f t="shared" si="58"/>
        <v>6.1395348837209305</v>
      </c>
      <c r="AF250" s="36">
        <f t="shared" si="59"/>
        <v>104</v>
      </c>
      <c r="AG250" s="36">
        <f t="shared" si="59"/>
        <v>14.511627906976745</v>
      </c>
      <c r="AH250" s="36">
        <f t="shared" si="60"/>
        <v>147</v>
      </c>
      <c r="AI250" s="36">
        <f t="shared" si="60"/>
        <v>20.511627906976745</v>
      </c>
    </row>
    <row r="251" spans="1:35">
      <c r="A251" s="46" t="s">
        <v>335</v>
      </c>
      <c r="B251" s="33" t="s">
        <v>321</v>
      </c>
      <c r="C251" s="34" t="s">
        <v>75</v>
      </c>
      <c r="D251" s="47" t="str">
        <f t="shared" si="50"/>
        <v>M27ILSS22AFH.27D3622(D905)</v>
      </c>
      <c r="E251" s="46" t="s">
        <v>21</v>
      </c>
      <c r="F251" s="46" t="s">
        <v>21</v>
      </c>
      <c r="G251" s="48">
        <v>430</v>
      </c>
      <c r="H251" s="48">
        <v>37</v>
      </c>
      <c r="I251" s="49">
        <v>1</v>
      </c>
      <c r="J251" s="49">
        <v>1</v>
      </c>
      <c r="K251" s="49">
        <v>4</v>
      </c>
      <c r="L251" s="36">
        <f t="shared" si="51"/>
        <v>43</v>
      </c>
      <c r="M251" s="36">
        <f t="shared" si="52"/>
        <v>6</v>
      </c>
      <c r="N251" s="49">
        <v>40</v>
      </c>
      <c r="O251" s="49">
        <v>1</v>
      </c>
      <c r="P251" s="49">
        <v>1</v>
      </c>
      <c r="Q251" s="49">
        <v>1</v>
      </c>
      <c r="R251" s="49">
        <v>3</v>
      </c>
      <c r="S251" s="36">
        <f t="shared" si="53"/>
        <v>46</v>
      </c>
      <c r="T251" s="36">
        <f t="shared" si="54"/>
        <v>6.4186046511627906</v>
      </c>
      <c r="U251" s="49">
        <v>12</v>
      </c>
      <c r="V251" s="49">
        <v>1</v>
      </c>
      <c r="W251" s="49">
        <v>1</v>
      </c>
      <c r="X251" s="36">
        <f t="shared" si="55"/>
        <v>14</v>
      </c>
      <c r="Y251" s="36">
        <f t="shared" si="56"/>
        <v>1.9534883720930232</v>
      </c>
      <c r="Z251" s="49">
        <v>39</v>
      </c>
      <c r="AA251" s="49">
        <v>2</v>
      </c>
      <c r="AB251" s="49">
        <v>1</v>
      </c>
      <c r="AC251" s="49">
        <v>2</v>
      </c>
      <c r="AD251" s="36">
        <f t="shared" si="57"/>
        <v>44</v>
      </c>
      <c r="AE251" s="36">
        <f t="shared" si="58"/>
        <v>6.1395348837209305</v>
      </c>
      <c r="AF251" s="36">
        <f t="shared" si="59"/>
        <v>104</v>
      </c>
      <c r="AG251" s="36">
        <f t="shared" si="59"/>
        <v>14.511627906976745</v>
      </c>
      <c r="AH251" s="36">
        <f t="shared" si="60"/>
        <v>147</v>
      </c>
      <c r="AI251" s="36">
        <f t="shared" si="60"/>
        <v>20.511627906976745</v>
      </c>
    </row>
    <row r="252" spans="1:35">
      <c r="A252" s="46" t="s">
        <v>335</v>
      </c>
      <c r="B252" s="33" t="s">
        <v>321</v>
      </c>
      <c r="C252" s="34" t="s">
        <v>148</v>
      </c>
      <c r="D252" s="47" t="str">
        <f t="shared" si="50"/>
        <v>M27NLSS22EFH.27D3621(D905)</v>
      </c>
      <c r="E252" s="46" t="s">
        <v>21</v>
      </c>
      <c r="F252" s="46" t="s">
        <v>21</v>
      </c>
      <c r="G252" s="48">
        <v>430</v>
      </c>
      <c r="H252" s="48">
        <v>37</v>
      </c>
      <c r="I252" s="49">
        <v>1</v>
      </c>
      <c r="J252" s="49">
        <v>1</v>
      </c>
      <c r="K252" s="49">
        <v>4</v>
      </c>
      <c r="L252" s="36">
        <f t="shared" si="51"/>
        <v>43</v>
      </c>
      <c r="M252" s="36">
        <f t="shared" si="52"/>
        <v>6</v>
      </c>
      <c r="N252" s="49">
        <v>40</v>
      </c>
      <c r="O252" s="49">
        <v>1</v>
      </c>
      <c r="P252" s="49">
        <v>1</v>
      </c>
      <c r="Q252" s="49">
        <v>1</v>
      </c>
      <c r="R252" s="49">
        <v>3</v>
      </c>
      <c r="S252" s="36">
        <f t="shared" si="53"/>
        <v>46</v>
      </c>
      <c r="T252" s="36">
        <f t="shared" si="54"/>
        <v>6.4186046511627906</v>
      </c>
      <c r="U252" s="49">
        <v>12</v>
      </c>
      <c r="V252" s="49">
        <v>1</v>
      </c>
      <c r="W252" s="49">
        <v>1</v>
      </c>
      <c r="X252" s="36">
        <f t="shared" si="55"/>
        <v>14</v>
      </c>
      <c r="Y252" s="36">
        <f t="shared" si="56"/>
        <v>1.9534883720930232</v>
      </c>
      <c r="Z252" s="49">
        <v>39</v>
      </c>
      <c r="AA252" s="49">
        <v>2</v>
      </c>
      <c r="AB252" s="49">
        <v>1</v>
      </c>
      <c r="AC252" s="49">
        <v>2</v>
      </c>
      <c r="AD252" s="36">
        <f t="shared" si="57"/>
        <v>44</v>
      </c>
      <c r="AE252" s="36">
        <f t="shared" si="58"/>
        <v>6.1395348837209305</v>
      </c>
      <c r="AF252" s="36">
        <f t="shared" si="59"/>
        <v>104</v>
      </c>
      <c r="AG252" s="36">
        <f t="shared" si="59"/>
        <v>14.511627906976745</v>
      </c>
      <c r="AH252" s="36">
        <f t="shared" si="60"/>
        <v>147</v>
      </c>
      <c r="AI252" s="36">
        <f t="shared" si="60"/>
        <v>20.511627906976745</v>
      </c>
    </row>
    <row r="253" spans="1:35">
      <c r="A253" s="46" t="s">
        <v>335</v>
      </c>
      <c r="B253" s="33" t="s">
        <v>321</v>
      </c>
      <c r="C253" s="34" t="s">
        <v>101</v>
      </c>
      <c r="D253" s="47" t="str">
        <f t="shared" si="50"/>
        <v>M27NLSS22EFH.27D3661(D905)</v>
      </c>
      <c r="E253" s="46" t="s">
        <v>21</v>
      </c>
      <c r="F253" s="46" t="s">
        <v>21</v>
      </c>
      <c r="G253" s="48">
        <v>430</v>
      </c>
      <c r="H253" s="48">
        <v>37</v>
      </c>
      <c r="I253" s="49">
        <v>1</v>
      </c>
      <c r="J253" s="49">
        <v>1</v>
      </c>
      <c r="K253" s="49">
        <v>4</v>
      </c>
      <c r="L253" s="36">
        <f t="shared" si="51"/>
        <v>43</v>
      </c>
      <c r="M253" s="36">
        <f t="shared" si="52"/>
        <v>6</v>
      </c>
      <c r="N253" s="49">
        <v>40</v>
      </c>
      <c r="O253" s="49">
        <v>1</v>
      </c>
      <c r="P253" s="49">
        <v>1</v>
      </c>
      <c r="Q253" s="49">
        <v>1</v>
      </c>
      <c r="R253" s="49">
        <v>3</v>
      </c>
      <c r="S253" s="36">
        <f t="shared" si="53"/>
        <v>46</v>
      </c>
      <c r="T253" s="36">
        <f t="shared" si="54"/>
        <v>6.4186046511627906</v>
      </c>
      <c r="U253" s="49">
        <v>12</v>
      </c>
      <c r="V253" s="49">
        <v>1</v>
      </c>
      <c r="W253" s="49">
        <v>1</v>
      </c>
      <c r="X253" s="36">
        <f t="shared" si="55"/>
        <v>14</v>
      </c>
      <c r="Y253" s="36">
        <f t="shared" si="56"/>
        <v>1.9534883720930232</v>
      </c>
      <c r="Z253" s="49">
        <v>39</v>
      </c>
      <c r="AA253" s="49">
        <v>2</v>
      </c>
      <c r="AB253" s="49">
        <v>1</v>
      </c>
      <c r="AC253" s="49">
        <v>2</v>
      </c>
      <c r="AD253" s="36">
        <f t="shared" si="57"/>
        <v>44</v>
      </c>
      <c r="AE253" s="36">
        <f t="shared" si="58"/>
        <v>6.1395348837209305</v>
      </c>
      <c r="AF253" s="36">
        <f t="shared" si="59"/>
        <v>104</v>
      </c>
      <c r="AG253" s="36">
        <f t="shared" si="59"/>
        <v>14.511627906976745</v>
      </c>
      <c r="AH253" s="36">
        <f t="shared" si="60"/>
        <v>147</v>
      </c>
      <c r="AI253" s="36">
        <f t="shared" si="60"/>
        <v>20.511627906976745</v>
      </c>
    </row>
    <row r="254" spans="1:35">
      <c r="A254" s="46" t="s">
        <v>335</v>
      </c>
      <c r="B254" s="33" t="s">
        <v>321</v>
      </c>
      <c r="C254" s="34" t="s">
        <v>83</v>
      </c>
      <c r="D254" s="47" t="str">
        <f t="shared" si="50"/>
        <v>M27AUSS22EFH.27D3661(D905)</v>
      </c>
      <c r="E254" s="46" t="s">
        <v>21</v>
      </c>
      <c r="F254" s="46" t="s">
        <v>21</v>
      </c>
      <c r="G254" s="48">
        <v>430</v>
      </c>
      <c r="H254" s="48">
        <v>37</v>
      </c>
      <c r="I254" s="49">
        <v>1</v>
      </c>
      <c r="J254" s="49">
        <v>1</v>
      </c>
      <c r="K254" s="49">
        <v>4</v>
      </c>
      <c r="L254" s="36">
        <f t="shared" si="51"/>
        <v>43</v>
      </c>
      <c r="M254" s="36">
        <f t="shared" si="52"/>
        <v>6</v>
      </c>
      <c r="N254" s="49">
        <v>40</v>
      </c>
      <c r="O254" s="49">
        <v>1</v>
      </c>
      <c r="P254" s="49">
        <v>1</v>
      </c>
      <c r="Q254" s="49">
        <v>1</v>
      </c>
      <c r="R254" s="49">
        <v>3</v>
      </c>
      <c r="S254" s="36">
        <f t="shared" si="53"/>
        <v>46</v>
      </c>
      <c r="T254" s="36">
        <f t="shared" si="54"/>
        <v>6.4186046511627906</v>
      </c>
      <c r="U254" s="49">
        <v>12</v>
      </c>
      <c r="V254" s="49">
        <v>1</v>
      </c>
      <c r="W254" s="49">
        <v>1</v>
      </c>
      <c r="X254" s="36">
        <f t="shared" si="55"/>
        <v>14</v>
      </c>
      <c r="Y254" s="36">
        <f t="shared" si="56"/>
        <v>1.9534883720930232</v>
      </c>
      <c r="Z254" s="49">
        <v>39</v>
      </c>
      <c r="AA254" s="49">
        <v>2</v>
      </c>
      <c r="AB254" s="49">
        <v>1</v>
      </c>
      <c r="AC254" s="49">
        <v>2</v>
      </c>
      <c r="AD254" s="36">
        <f t="shared" si="57"/>
        <v>44</v>
      </c>
      <c r="AE254" s="36">
        <f t="shared" si="58"/>
        <v>6.1395348837209305</v>
      </c>
      <c r="AF254" s="36">
        <f t="shared" ref="AF254:AG269" si="61">SUM(S254,X254,AD254)</f>
        <v>104</v>
      </c>
      <c r="AG254" s="36">
        <f t="shared" si="61"/>
        <v>14.511627906976745</v>
      </c>
      <c r="AH254" s="36">
        <f t="shared" ref="AH254:AI269" si="62">SUM(L254,AF254)</f>
        <v>147</v>
      </c>
      <c r="AI254" s="36">
        <f t="shared" si="62"/>
        <v>20.511627906976745</v>
      </c>
    </row>
    <row r="255" spans="1:35">
      <c r="A255" s="46" t="s">
        <v>335</v>
      </c>
      <c r="B255" s="33" t="s">
        <v>321</v>
      </c>
      <c r="C255" s="34" t="s">
        <v>157</v>
      </c>
      <c r="D255" s="47" t="str">
        <f t="shared" si="50"/>
        <v>M27CLSS22EFH.27D3661(D905)</v>
      </c>
      <c r="E255" s="46" t="s">
        <v>21</v>
      </c>
      <c r="F255" s="46" t="s">
        <v>21</v>
      </c>
      <c r="G255" s="48">
        <v>430</v>
      </c>
      <c r="H255" s="48">
        <v>37</v>
      </c>
      <c r="I255" s="49">
        <v>1</v>
      </c>
      <c r="J255" s="49">
        <v>1</v>
      </c>
      <c r="K255" s="49">
        <v>4</v>
      </c>
      <c r="L255" s="36">
        <f t="shared" si="51"/>
        <v>43</v>
      </c>
      <c r="M255" s="36">
        <f t="shared" si="52"/>
        <v>6</v>
      </c>
      <c r="N255" s="49">
        <v>40</v>
      </c>
      <c r="O255" s="49">
        <v>1</v>
      </c>
      <c r="P255" s="49">
        <v>1</v>
      </c>
      <c r="Q255" s="49">
        <v>1</v>
      </c>
      <c r="R255" s="49">
        <v>3</v>
      </c>
      <c r="S255" s="36">
        <f t="shared" si="53"/>
        <v>46</v>
      </c>
      <c r="T255" s="36">
        <f t="shared" si="54"/>
        <v>6.4186046511627906</v>
      </c>
      <c r="U255" s="49">
        <v>12</v>
      </c>
      <c r="V255" s="49">
        <v>1</v>
      </c>
      <c r="W255" s="49">
        <v>1</v>
      </c>
      <c r="X255" s="36">
        <f t="shared" si="55"/>
        <v>14</v>
      </c>
      <c r="Y255" s="36">
        <f t="shared" si="56"/>
        <v>1.9534883720930232</v>
      </c>
      <c r="Z255" s="49">
        <v>39</v>
      </c>
      <c r="AA255" s="49">
        <v>2</v>
      </c>
      <c r="AB255" s="49">
        <v>1</v>
      </c>
      <c r="AC255" s="49">
        <v>2</v>
      </c>
      <c r="AD255" s="36">
        <f t="shared" si="57"/>
        <v>44</v>
      </c>
      <c r="AE255" s="36">
        <f t="shared" si="58"/>
        <v>6.1395348837209305</v>
      </c>
      <c r="AF255" s="36">
        <f t="shared" si="61"/>
        <v>104</v>
      </c>
      <c r="AG255" s="36">
        <f t="shared" si="61"/>
        <v>14.511627906976745</v>
      </c>
      <c r="AH255" s="36">
        <f t="shared" si="62"/>
        <v>147</v>
      </c>
      <c r="AI255" s="36">
        <f t="shared" si="62"/>
        <v>20.511627906976745</v>
      </c>
    </row>
    <row r="256" spans="1:35">
      <c r="A256" s="46" t="s">
        <v>335</v>
      </c>
      <c r="B256" s="33" t="s">
        <v>321</v>
      </c>
      <c r="C256" s="34" t="s">
        <v>158</v>
      </c>
      <c r="D256" s="47" t="str">
        <f t="shared" si="50"/>
        <v>M27GBSS22EFH.27D3661(D905)</v>
      </c>
      <c r="E256" s="46" t="s">
        <v>21</v>
      </c>
      <c r="F256" s="46" t="s">
        <v>21</v>
      </c>
      <c r="G256" s="48">
        <v>430</v>
      </c>
      <c r="H256" s="48">
        <v>37</v>
      </c>
      <c r="I256" s="49">
        <v>1</v>
      </c>
      <c r="J256" s="49">
        <v>1</v>
      </c>
      <c r="K256" s="49">
        <v>4</v>
      </c>
      <c r="L256" s="36">
        <f t="shared" si="51"/>
        <v>43</v>
      </c>
      <c r="M256" s="36">
        <f t="shared" si="52"/>
        <v>6</v>
      </c>
      <c r="N256" s="49">
        <v>40</v>
      </c>
      <c r="O256" s="49">
        <v>1</v>
      </c>
      <c r="P256" s="49">
        <v>1</v>
      </c>
      <c r="Q256" s="49">
        <v>1</v>
      </c>
      <c r="R256" s="49">
        <v>3</v>
      </c>
      <c r="S256" s="36">
        <f t="shared" si="53"/>
        <v>46</v>
      </c>
      <c r="T256" s="36">
        <f t="shared" si="54"/>
        <v>6.4186046511627906</v>
      </c>
      <c r="U256" s="49">
        <v>12</v>
      </c>
      <c r="V256" s="49">
        <v>1</v>
      </c>
      <c r="W256" s="49">
        <v>1</v>
      </c>
      <c r="X256" s="36">
        <f t="shared" si="55"/>
        <v>14</v>
      </c>
      <c r="Y256" s="36">
        <f t="shared" si="56"/>
        <v>1.9534883720930232</v>
      </c>
      <c r="Z256" s="49">
        <v>39</v>
      </c>
      <c r="AA256" s="49">
        <v>2</v>
      </c>
      <c r="AB256" s="49">
        <v>1</v>
      </c>
      <c r="AC256" s="49">
        <v>2</v>
      </c>
      <c r="AD256" s="36">
        <f t="shared" si="57"/>
        <v>44</v>
      </c>
      <c r="AE256" s="36">
        <f t="shared" si="58"/>
        <v>6.1395348837209305</v>
      </c>
      <c r="AF256" s="36">
        <f t="shared" si="61"/>
        <v>104</v>
      </c>
      <c r="AG256" s="36">
        <f t="shared" si="61"/>
        <v>14.511627906976745</v>
      </c>
      <c r="AH256" s="36">
        <f t="shared" si="62"/>
        <v>147</v>
      </c>
      <c r="AI256" s="36">
        <f t="shared" si="62"/>
        <v>20.511627906976745</v>
      </c>
    </row>
    <row r="257" spans="1:36">
      <c r="A257" s="33" t="s">
        <v>335</v>
      </c>
      <c r="B257" s="33" t="s">
        <v>336</v>
      </c>
      <c r="C257" s="34" t="s">
        <v>337</v>
      </c>
      <c r="D257" s="34" t="str">
        <f t="shared" si="50"/>
        <v>M27USSS22FQH.FG510-1(D905)</v>
      </c>
      <c r="E257" s="33" t="s">
        <v>21</v>
      </c>
      <c r="F257" s="33" t="s">
        <v>21</v>
      </c>
      <c r="G257" s="48">
        <v>280</v>
      </c>
      <c r="H257" s="35">
        <v>24</v>
      </c>
      <c r="I257" s="36">
        <v>1</v>
      </c>
      <c r="J257" s="36">
        <v>1</v>
      </c>
      <c r="K257" s="36">
        <v>3</v>
      </c>
      <c r="L257" s="36">
        <f t="shared" si="51"/>
        <v>29</v>
      </c>
      <c r="M257" s="36">
        <f t="shared" si="52"/>
        <v>6.2142857142857144</v>
      </c>
      <c r="N257" s="36">
        <v>31</v>
      </c>
      <c r="O257" s="36">
        <v>1</v>
      </c>
      <c r="P257" s="36">
        <v>1</v>
      </c>
      <c r="Q257" s="36">
        <v>1</v>
      </c>
      <c r="R257" s="36">
        <v>2</v>
      </c>
      <c r="S257" s="36">
        <f t="shared" si="53"/>
        <v>36</v>
      </c>
      <c r="T257" s="36">
        <f t="shared" si="54"/>
        <v>7.7142857142857144</v>
      </c>
      <c r="U257" s="36">
        <v>6</v>
      </c>
      <c r="V257" s="36">
        <v>1</v>
      </c>
      <c r="W257" s="36">
        <v>0</v>
      </c>
      <c r="X257" s="36">
        <f t="shared" si="55"/>
        <v>7</v>
      </c>
      <c r="Y257" s="36">
        <f t="shared" si="56"/>
        <v>1.5</v>
      </c>
      <c r="Z257" s="36">
        <v>23</v>
      </c>
      <c r="AA257" s="36">
        <v>1</v>
      </c>
      <c r="AB257" s="36">
        <v>0</v>
      </c>
      <c r="AC257" s="36">
        <v>2</v>
      </c>
      <c r="AD257" s="36">
        <f t="shared" si="57"/>
        <v>26</v>
      </c>
      <c r="AE257" s="36">
        <f t="shared" si="58"/>
        <v>5.5714285714285712</v>
      </c>
      <c r="AF257" s="36">
        <f t="shared" si="61"/>
        <v>69</v>
      </c>
      <c r="AG257" s="36">
        <f t="shared" si="61"/>
        <v>14.785714285714286</v>
      </c>
      <c r="AH257" s="36">
        <f t="shared" si="62"/>
        <v>98</v>
      </c>
      <c r="AI257" s="36">
        <f t="shared" si="62"/>
        <v>21</v>
      </c>
      <c r="AJ257" s="29">
        <f t="shared" ref="AJ257:AJ322" si="63">AI257/AH257</f>
        <v>0.21428571428571427</v>
      </c>
    </row>
    <row r="258" spans="1:36">
      <c r="A258" s="33" t="s">
        <v>335</v>
      </c>
      <c r="B258" s="33" t="s">
        <v>336</v>
      </c>
      <c r="C258" s="47" t="s">
        <v>197</v>
      </c>
      <c r="D258" s="34" t="str">
        <f t="shared" si="50"/>
        <v>M27KRSS22EQH.FG512-1(D905)</v>
      </c>
      <c r="E258" s="33" t="s">
        <v>21</v>
      </c>
      <c r="F258" s="33" t="s">
        <v>21</v>
      </c>
      <c r="G258" s="48">
        <v>280</v>
      </c>
      <c r="H258" s="35">
        <v>24</v>
      </c>
      <c r="I258" s="36">
        <v>1</v>
      </c>
      <c r="J258" s="36">
        <v>1</v>
      </c>
      <c r="K258" s="36">
        <v>3</v>
      </c>
      <c r="L258" s="36">
        <f t="shared" si="51"/>
        <v>29</v>
      </c>
      <c r="M258" s="36">
        <f t="shared" si="52"/>
        <v>6.2142857142857144</v>
      </c>
      <c r="N258" s="36">
        <v>31</v>
      </c>
      <c r="O258" s="36">
        <v>1</v>
      </c>
      <c r="P258" s="36">
        <v>1</v>
      </c>
      <c r="Q258" s="36">
        <v>1</v>
      </c>
      <c r="R258" s="36">
        <v>2</v>
      </c>
      <c r="S258" s="36">
        <f t="shared" si="53"/>
        <v>36</v>
      </c>
      <c r="T258" s="36">
        <f t="shared" si="54"/>
        <v>7.7142857142857144</v>
      </c>
      <c r="U258" s="36">
        <v>6</v>
      </c>
      <c r="V258" s="36">
        <v>1</v>
      </c>
      <c r="W258" s="36">
        <v>0</v>
      </c>
      <c r="X258" s="36">
        <f t="shared" si="55"/>
        <v>7</v>
      </c>
      <c r="Y258" s="36">
        <f t="shared" si="56"/>
        <v>1.5</v>
      </c>
      <c r="Z258" s="36">
        <v>23</v>
      </c>
      <c r="AA258" s="36">
        <v>1</v>
      </c>
      <c r="AB258" s="36">
        <v>0</v>
      </c>
      <c r="AC258" s="36">
        <v>2</v>
      </c>
      <c r="AD258" s="36">
        <f t="shared" si="57"/>
        <v>26</v>
      </c>
      <c r="AE258" s="36">
        <f t="shared" si="58"/>
        <v>5.5714285714285712</v>
      </c>
      <c r="AF258" s="36">
        <f t="shared" si="61"/>
        <v>69</v>
      </c>
      <c r="AG258" s="36">
        <f t="shared" si="61"/>
        <v>14.785714285714286</v>
      </c>
      <c r="AH258" s="36">
        <f t="shared" si="62"/>
        <v>98</v>
      </c>
      <c r="AI258" s="36">
        <f t="shared" si="62"/>
        <v>21</v>
      </c>
      <c r="AJ258" s="29">
        <f t="shared" si="63"/>
        <v>0.21428571428571427</v>
      </c>
    </row>
    <row r="259" spans="1:36">
      <c r="A259" s="33" t="s">
        <v>335</v>
      </c>
      <c r="B259" s="33" t="s">
        <v>336</v>
      </c>
      <c r="C259" s="47" t="s">
        <v>198</v>
      </c>
      <c r="D259" s="34" t="str">
        <f t="shared" si="50"/>
        <v>M27CLSS22EQH.FG512-1(D905)</v>
      </c>
      <c r="E259" s="33" t="s">
        <v>21</v>
      </c>
      <c r="F259" s="33" t="s">
        <v>21</v>
      </c>
      <c r="G259" s="48">
        <v>280</v>
      </c>
      <c r="H259" s="35">
        <v>24</v>
      </c>
      <c r="I259" s="36">
        <v>1</v>
      </c>
      <c r="J259" s="36">
        <v>1</v>
      </c>
      <c r="K259" s="36">
        <v>3</v>
      </c>
      <c r="L259" s="36">
        <f t="shared" si="51"/>
        <v>29</v>
      </c>
      <c r="M259" s="36">
        <f t="shared" si="52"/>
        <v>6.2142857142857144</v>
      </c>
      <c r="N259" s="36">
        <v>31</v>
      </c>
      <c r="O259" s="36">
        <v>1</v>
      </c>
      <c r="P259" s="36">
        <v>1</v>
      </c>
      <c r="Q259" s="36">
        <v>1</v>
      </c>
      <c r="R259" s="36">
        <v>2</v>
      </c>
      <c r="S259" s="36">
        <f t="shared" si="53"/>
        <v>36</v>
      </c>
      <c r="T259" s="36">
        <f t="shared" si="54"/>
        <v>7.7142857142857144</v>
      </c>
      <c r="U259" s="36">
        <v>6</v>
      </c>
      <c r="V259" s="36">
        <v>1</v>
      </c>
      <c r="W259" s="36">
        <v>0</v>
      </c>
      <c r="X259" s="36">
        <f t="shared" si="55"/>
        <v>7</v>
      </c>
      <c r="Y259" s="36">
        <f t="shared" si="56"/>
        <v>1.5</v>
      </c>
      <c r="Z259" s="36">
        <v>23</v>
      </c>
      <c r="AA259" s="36">
        <v>1</v>
      </c>
      <c r="AB259" s="36">
        <v>0</v>
      </c>
      <c r="AC259" s="36">
        <v>2</v>
      </c>
      <c r="AD259" s="36">
        <f t="shared" si="57"/>
        <v>26</v>
      </c>
      <c r="AE259" s="36">
        <f t="shared" si="58"/>
        <v>5.5714285714285712</v>
      </c>
      <c r="AF259" s="36">
        <f t="shared" si="61"/>
        <v>69</v>
      </c>
      <c r="AG259" s="36">
        <f t="shared" si="61"/>
        <v>14.785714285714286</v>
      </c>
      <c r="AH259" s="36">
        <f t="shared" si="62"/>
        <v>98</v>
      </c>
      <c r="AI259" s="36">
        <f t="shared" si="62"/>
        <v>21</v>
      </c>
      <c r="AJ259" s="29">
        <f t="shared" si="63"/>
        <v>0.21428571428571427</v>
      </c>
    </row>
    <row r="260" spans="1:36">
      <c r="A260" s="38" t="s">
        <v>335</v>
      </c>
      <c r="B260" s="38" t="s">
        <v>336</v>
      </c>
      <c r="C260" s="43" t="s">
        <v>257</v>
      </c>
      <c r="D260" s="39" t="str">
        <f t="shared" si="50"/>
        <v>M27NLSS22EQH.FG514-1(D905)</v>
      </c>
      <c r="E260" s="38" t="s">
        <v>21</v>
      </c>
      <c r="F260" s="38" t="s">
        <v>21</v>
      </c>
      <c r="G260" s="44">
        <v>280</v>
      </c>
      <c r="H260" s="40">
        <v>24</v>
      </c>
      <c r="I260" s="41">
        <v>1</v>
      </c>
      <c r="J260" s="41">
        <v>1</v>
      </c>
      <c r="K260" s="41">
        <v>3</v>
      </c>
      <c r="L260" s="41">
        <f t="shared" si="51"/>
        <v>29</v>
      </c>
      <c r="M260" s="41">
        <f t="shared" si="52"/>
        <v>6.2142857142857144</v>
      </c>
      <c r="N260" s="41">
        <v>31</v>
      </c>
      <c r="O260" s="41">
        <v>1</v>
      </c>
      <c r="P260" s="41">
        <v>1</v>
      </c>
      <c r="Q260" s="41">
        <v>1</v>
      </c>
      <c r="R260" s="41">
        <v>2</v>
      </c>
      <c r="S260" s="41">
        <f t="shared" si="53"/>
        <v>36</v>
      </c>
      <c r="T260" s="41">
        <f t="shared" si="54"/>
        <v>7.7142857142857144</v>
      </c>
      <c r="U260" s="41">
        <v>6</v>
      </c>
      <c r="V260" s="41">
        <v>1</v>
      </c>
      <c r="W260" s="41">
        <v>0</v>
      </c>
      <c r="X260" s="41">
        <f t="shared" si="55"/>
        <v>7</v>
      </c>
      <c r="Y260" s="41">
        <f t="shared" si="56"/>
        <v>1.5</v>
      </c>
      <c r="Z260" s="41">
        <v>23</v>
      </c>
      <c r="AA260" s="41">
        <v>1</v>
      </c>
      <c r="AB260" s="41">
        <v>0</v>
      </c>
      <c r="AC260" s="41">
        <v>2</v>
      </c>
      <c r="AD260" s="41">
        <f t="shared" si="57"/>
        <v>26</v>
      </c>
      <c r="AE260" s="41">
        <f t="shared" si="58"/>
        <v>5.5714285714285712</v>
      </c>
      <c r="AF260" s="41">
        <f t="shared" si="61"/>
        <v>69</v>
      </c>
      <c r="AG260" s="41">
        <f t="shared" si="61"/>
        <v>14.785714285714286</v>
      </c>
      <c r="AH260" s="41">
        <f t="shared" si="62"/>
        <v>98</v>
      </c>
      <c r="AI260" s="41">
        <f t="shared" si="62"/>
        <v>21</v>
      </c>
      <c r="AJ260" s="29">
        <f t="shared" si="63"/>
        <v>0.21428571428571427</v>
      </c>
    </row>
    <row r="261" spans="1:36">
      <c r="A261" s="38" t="s">
        <v>335</v>
      </c>
      <c r="B261" s="38" t="s">
        <v>336</v>
      </c>
      <c r="C261" s="43" t="s">
        <v>225</v>
      </c>
      <c r="D261" s="39" t="str">
        <f t="shared" si="50"/>
        <v>M27AESS22EQH.FG510-1(D905)</v>
      </c>
      <c r="E261" s="38" t="s">
        <v>21</v>
      </c>
      <c r="F261" s="38" t="s">
        <v>21</v>
      </c>
      <c r="G261" s="44">
        <v>280</v>
      </c>
      <c r="H261" s="40">
        <v>24</v>
      </c>
      <c r="I261" s="41">
        <v>1</v>
      </c>
      <c r="J261" s="41">
        <v>1</v>
      </c>
      <c r="K261" s="41">
        <v>3</v>
      </c>
      <c r="L261" s="41">
        <f t="shared" si="51"/>
        <v>29</v>
      </c>
      <c r="M261" s="41">
        <f t="shared" si="52"/>
        <v>6.2142857142857144</v>
      </c>
      <c r="N261" s="41">
        <v>31</v>
      </c>
      <c r="O261" s="41">
        <v>1</v>
      </c>
      <c r="P261" s="41">
        <v>1</v>
      </c>
      <c r="Q261" s="41">
        <v>1</v>
      </c>
      <c r="R261" s="41">
        <v>2</v>
      </c>
      <c r="S261" s="41">
        <f t="shared" si="53"/>
        <v>36</v>
      </c>
      <c r="T261" s="41">
        <f t="shared" si="54"/>
        <v>7.7142857142857144</v>
      </c>
      <c r="U261" s="41">
        <v>6</v>
      </c>
      <c r="V261" s="41">
        <v>1</v>
      </c>
      <c r="W261" s="41">
        <v>0</v>
      </c>
      <c r="X261" s="41">
        <f t="shared" si="55"/>
        <v>7</v>
      </c>
      <c r="Y261" s="41">
        <f t="shared" si="56"/>
        <v>1.5</v>
      </c>
      <c r="Z261" s="41">
        <v>23</v>
      </c>
      <c r="AA261" s="41">
        <v>1</v>
      </c>
      <c r="AB261" s="41">
        <v>0</v>
      </c>
      <c r="AC261" s="41">
        <v>2</v>
      </c>
      <c r="AD261" s="41">
        <f t="shared" si="57"/>
        <v>26</v>
      </c>
      <c r="AE261" s="41">
        <f t="shared" si="58"/>
        <v>5.5714285714285712</v>
      </c>
      <c r="AF261" s="41">
        <f t="shared" si="61"/>
        <v>69</v>
      </c>
      <c r="AG261" s="41">
        <f t="shared" si="61"/>
        <v>14.785714285714286</v>
      </c>
      <c r="AH261" s="41">
        <f t="shared" si="62"/>
        <v>98</v>
      </c>
      <c r="AI261" s="41">
        <f t="shared" si="62"/>
        <v>21</v>
      </c>
      <c r="AJ261" s="29">
        <f t="shared" si="63"/>
        <v>0.21428571428571427</v>
      </c>
    </row>
    <row r="262" spans="1:36">
      <c r="A262" s="33" t="s">
        <v>335</v>
      </c>
      <c r="B262" s="33" t="s">
        <v>336</v>
      </c>
      <c r="C262" s="47" t="s">
        <v>199</v>
      </c>
      <c r="D262" s="34" t="str">
        <f t="shared" si="50"/>
        <v>M27USSS22EQH.FG512-1(D905)</v>
      </c>
      <c r="E262" s="33" t="s">
        <v>21</v>
      </c>
      <c r="F262" s="33" t="s">
        <v>21</v>
      </c>
      <c r="G262" s="48">
        <v>280</v>
      </c>
      <c r="H262" s="35">
        <v>24</v>
      </c>
      <c r="I262" s="36">
        <v>1</v>
      </c>
      <c r="J262" s="36">
        <v>1</v>
      </c>
      <c r="K262" s="36">
        <v>3</v>
      </c>
      <c r="L262" s="36">
        <f t="shared" si="51"/>
        <v>29</v>
      </c>
      <c r="M262" s="36">
        <f t="shared" si="52"/>
        <v>6.2142857142857144</v>
      </c>
      <c r="N262" s="36">
        <v>31</v>
      </c>
      <c r="O262" s="36">
        <v>1</v>
      </c>
      <c r="P262" s="36">
        <v>1</v>
      </c>
      <c r="Q262" s="36">
        <v>1</v>
      </c>
      <c r="R262" s="36">
        <v>2</v>
      </c>
      <c r="S262" s="36">
        <f t="shared" si="53"/>
        <v>36</v>
      </c>
      <c r="T262" s="36">
        <f t="shared" si="54"/>
        <v>7.7142857142857144</v>
      </c>
      <c r="U262" s="36">
        <v>6</v>
      </c>
      <c r="V262" s="36">
        <v>1</v>
      </c>
      <c r="W262" s="36">
        <v>0</v>
      </c>
      <c r="X262" s="36">
        <f t="shared" si="55"/>
        <v>7</v>
      </c>
      <c r="Y262" s="36">
        <f t="shared" si="56"/>
        <v>1.5</v>
      </c>
      <c r="Z262" s="36">
        <v>21</v>
      </c>
      <c r="AA262" s="36">
        <v>1</v>
      </c>
      <c r="AB262" s="36">
        <v>0</v>
      </c>
      <c r="AC262" s="36">
        <v>2</v>
      </c>
      <c r="AD262" s="36">
        <f t="shared" si="57"/>
        <v>24</v>
      </c>
      <c r="AE262" s="36">
        <f t="shared" si="58"/>
        <v>5.1428571428571432</v>
      </c>
      <c r="AF262" s="36">
        <f t="shared" si="61"/>
        <v>67</v>
      </c>
      <c r="AG262" s="36">
        <f t="shared" si="61"/>
        <v>14.357142857142858</v>
      </c>
      <c r="AH262" s="36">
        <f t="shared" si="62"/>
        <v>96</v>
      </c>
      <c r="AI262" s="36">
        <f t="shared" si="62"/>
        <v>20.571428571428573</v>
      </c>
      <c r="AJ262" s="29">
        <f t="shared" si="63"/>
        <v>0.2142857142857143</v>
      </c>
    </row>
    <row r="263" spans="1:36">
      <c r="A263" s="33" t="s">
        <v>335</v>
      </c>
      <c r="B263" s="33" t="s">
        <v>336</v>
      </c>
      <c r="C263" s="47" t="s">
        <v>200</v>
      </c>
      <c r="D263" s="34" t="str">
        <f t="shared" si="50"/>
        <v>M27KRSS22EQH.FG514-1(D905)</v>
      </c>
      <c r="E263" s="33" t="s">
        <v>21</v>
      </c>
      <c r="F263" s="33" t="s">
        <v>21</v>
      </c>
      <c r="G263" s="48">
        <v>280</v>
      </c>
      <c r="H263" s="35">
        <v>24</v>
      </c>
      <c r="I263" s="36">
        <v>1</v>
      </c>
      <c r="J263" s="36">
        <v>1</v>
      </c>
      <c r="K263" s="36">
        <v>3</v>
      </c>
      <c r="L263" s="36">
        <f t="shared" si="51"/>
        <v>29</v>
      </c>
      <c r="M263" s="36">
        <f t="shared" si="52"/>
        <v>6.2142857142857144</v>
      </c>
      <c r="N263" s="36">
        <v>31</v>
      </c>
      <c r="O263" s="36">
        <v>1</v>
      </c>
      <c r="P263" s="36">
        <v>1</v>
      </c>
      <c r="Q263" s="36">
        <v>1</v>
      </c>
      <c r="R263" s="36">
        <v>2</v>
      </c>
      <c r="S263" s="36">
        <f t="shared" si="53"/>
        <v>36</v>
      </c>
      <c r="T263" s="36">
        <f t="shared" si="54"/>
        <v>7.7142857142857144</v>
      </c>
      <c r="U263" s="36">
        <v>6</v>
      </c>
      <c r="V263" s="36">
        <v>1</v>
      </c>
      <c r="W263" s="36">
        <v>0</v>
      </c>
      <c r="X263" s="36">
        <f t="shared" si="55"/>
        <v>7</v>
      </c>
      <c r="Y263" s="36">
        <f t="shared" si="56"/>
        <v>1.5</v>
      </c>
      <c r="Z263" s="36">
        <v>23</v>
      </c>
      <c r="AA263" s="36">
        <v>1</v>
      </c>
      <c r="AB263" s="36">
        <v>0</v>
      </c>
      <c r="AC263" s="36">
        <v>2</v>
      </c>
      <c r="AD263" s="36">
        <f t="shared" si="57"/>
        <v>26</v>
      </c>
      <c r="AE263" s="36">
        <f t="shared" si="58"/>
        <v>5.5714285714285712</v>
      </c>
      <c r="AF263" s="36">
        <f t="shared" si="61"/>
        <v>69</v>
      </c>
      <c r="AG263" s="36">
        <f t="shared" si="61"/>
        <v>14.785714285714286</v>
      </c>
      <c r="AH263" s="36">
        <f t="shared" si="62"/>
        <v>98</v>
      </c>
      <c r="AI263" s="36">
        <f t="shared" si="62"/>
        <v>21</v>
      </c>
      <c r="AJ263" s="29">
        <f t="shared" si="63"/>
        <v>0.21428571428571427</v>
      </c>
    </row>
    <row r="264" spans="1:36">
      <c r="A264" s="33" t="s">
        <v>335</v>
      </c>
      <c r="B264" s="33" t="s">
        <v>336</v>
      </c>
      <c r="C264" s="34" t="s">
        <v>196</v>
      </c>
      <c r="D264" s="34" t="str">
        <f>C264&amp;"("&amp;F264&amp;")"</f>
        <v>M27NLSS22EQH.FG510-1(D905)</v>
      </c>
      <c r="E264" s="33" t="s">
        <v>21</v>
      </c>
      <c r="F264" s="33" t="s">
        <v>21</v>
      </c>
      <c r="G264" s="48">
        <v>280</v>
      </c>
      <c r="H264" s="35">
        <v>24</v>
      </c>
      <c r="I264" s="36">
        <v>1</v>
      </c>
      <c r="J264" s="36">
        <v>1</v>
      </c>
      <c r="K264" s="36">
        <v>3</v>
      </c>
      <c r="L264" s="36">
        <f t="shared" si="51"/>
        <v>29</v>
      </c>
      <c r="M264" s="36">
        <f t="shared" si="52"/>
        <v>6.2142857142857144</v>
      </c>
      <c r="N264" s="36">
        <v>31</v>
      </c>
      <c r="O264" s="36">
        <v>1</v>
      </c>
      <c r="P264" s="36">
        <v>1</v>
      </c>
      <c r="Q264" s="36">
        <v>1</v>
      </c>
      <c r="R264" s="36">
        <v>2</v>
      </c>
      <c r="S264" s="36">
        <f t="shared" si="53"/>
        <v>36</v>
      </c>
      <c r="T264" s="36">
        <f t="shared" si="54"/>
        <v>7.7142857142857144</v>
      </c>
      <c r="U264" s="36">
        <v>6</v>
      </c>
      <c r="V264" s="36">
        <v>1</v>
      </c>
      <c r="W264" s="36">
        <v>0</v>
      </c>
      <c r="X264" s="36">
        <f t="shared" si="55"/>
        <v>7</v>
      </c>
      <c r="Y264" s="36">
        <f t="shared" si="56"/>
        <v>1.5</v>
      </c>
      <c r="Z264" s="36">
        <v>23</v>
      </c>
      <c r="AA264" s="36">
        <v>1</v>
      </c>
      <c r="AB264" s="36">
        <v>0</v>
      </c>
      <c r="AC264" s="36">
        <v>2</v>
      </c>
      <c r="AD264" s="36">
        <f t="shared" si="57"/>
        <v>26</v>
      </c>
      <c r="AE264" s="36">
        <f t="shared" si="58"/>
        <v>5.5714285714285712</v>
      </c>
      <c r="AF264" s="36">
        <f t="shared" si="61"/>
        <v>69</v>
      </c>
      <c r="AG264" s="36">
        <f t="shared" si="61"/>
        <v>14.785714285714286</v>
      </c>
      <c r="AH264" s="36">
        <f t="shared" si="62"/>
        <v>98</v>
      </c>
      <c r="AI264" s="36">
        <f t="shared" si="62"/>
        <v>21</v>
      </c>
      <c r="AJ264" s="29">
        <f t="shared" si="63"/>
        <v>0.21428571428571427</v>
      </c>
    </row>
    <row r="265" spans="1:36">
      <c r="A265" s="33" t="s">
        <v>335</v>
      </c>
      <c r="B265" s="33" t="s">
        <v>336</v>
      </c>
      <c r="C265" s="34" t="s">
        <v>171</v>
      </c>
      <c r="D265" s="34" t="str">
        <f>C265&amp;"("&amp;F265&amp;")"</f>
        <v>M32NLSS22EQH.FG510-1(D905)</v>
      </c>
      <c r="E265" s="33" t="s">
        <v>21</v>
      </c>
      <c r="F265" s="33" t="s">
        <v>21</v>
      </c>
      <c r="G265" s="48">
        <v>280</v>
      </c>
      <c r="H265" s="35">
        <v>24</v>
      </c>
      <c r="I265" s="36">
        <v>1</v>
      </c>
      <c r="J265" s="36">
        <v>1</v>
      </c>
      <c r="K265" s="36">
        <v>3</v>
      </c>
      <c r="L265" s="36">
        <f t="shared" si="51"/>
        <v>29</v>
      </c>
      <c r="M265" s="36">
        <f t="shared" si="52"/>
        <v>6.2142857142857144</v>
      </c>
      <c r="N265" s="36">
        <v>31</v>
      </c>
      <c r="O265" s="36">
        <v>1</v>
      </c>
      <c r="P265" s="36">
        <v>1</v>
      </c>
      <c r="Q265" s="36">
        <v>1</v>
      </c>
      <c r="R265" s="36">
        <v>2</v>
      </c>
      <c r="S265" s="36">
        <f t="shared" si="53"/>
        <v>36</v>
      </c>
      <c r="T265" s="36">
        <f t="shared" si="54"/>
        <v>7.7142857142857144</v>
      </c>
      <c r="U265" s="36">
        <v>6</v>
      </c>
      <c r="V265" s="36">
        <v>1</v>
      </c>
      <c r="W265" s="36">
        <v>0</v>
      </c>
      <c r="X265" s="36">
        <f t="shared" si="55"/>
        <v>7</v>
      </c>
      <c r="Y265" s="36">
        <f t="shared" si="56"/>
        <v>1.5</v>
      </c>
      <c r="Z265" s="36">
        <v>23</v>
      </c>
      <c r="AA265" s="36">
        <v>1</v>
      </c>
      <c r="AB265" s="36">
        <v>0</v>
      </c>
      <c r="AC265" s="36">
        <v>2</v>
      </c>
      <c r="AD265" s="36">
        <f t="shared" si="57"/>
        <v>26</v>
      </c>
      <c r="AE265" s="36">
        <f t="shared" si="58"/>
        <v>5.5714285714285712</v>
      </c>
      <c r="AF265" s="36">
        <f t="shared" si="61"/>
        <v>69</v>
      </c>
      <c r="AG265" s="36">
        <f t="shared" si="61"/>
        <v>14.785714285714286</v>
      </c>
      <c r="AH265" s="36">
        <f t="shared" si="62"/>
        <v>98</v>
      </c>
      <c r="AI265" s="36">
        <f t="shared" si="62"/>
        <v>21</v>
      </c>
      <c r="AJ265" s="29">
        <f t="shared" si="63"/>
        <v>0.21428571428571427</v>
      </c>
    </row>
    <row r="266" spans="1:36">
      <c r="A266" s="33" t="s">
        <v>335</v>
      </c>
      <c r="B266" s="33" t="s">
        <v>338</v>
      </c>
      <c r="C266" s="34" t="s">
        <v>339</v>
      </c>
      <c r="D266" s="34" t="str">
        <f t="shared" ref="D266:D329" si="64">C266&amp;"("&amp;F266&amp;")"</f>
        <v>M32USSS22FQH.FG510-1(D905)</v>
      </c>
      <c r="E266" s="33" t="s">
        <v>21</v>
      </c>
      <c r="F266" s="33" t="s">
        <v>21</v>
      </c>
      <c r="G266" s="48">
        <v>260</v>
      </c>
      <c r="H266" s="35">
        <v>24</v>
      </c>
      <c r="I266" s="36">
        <v>1</v>
      </c>
      <c r="J266" s="36">
        <v>1</v>
      </c>
      <c r="K266" s="36">
        <v>3</v>
      </c>
      <c r="L266" s="36">
        <f t="shared" si="51"/>
        <v>29</v>
      </c>
      <c r="M266" s="36">
        <f t="shared" si="52"/>
        <v>6.6923076923076925</v>
      </c>
      <c r="N266" s="36">
        <v>31</v>
      </c>
      <c r="O266" s="36">
        <v>1</v>
      </c>
      <c r="P266" s="36">
        <v>1</v>
      </c>
      <c r="Q266" s="36">
        <v>1</v>
      </c>
      <c r="R266" s="36">
        <v>2</v>
      </c>
      <c r="S266" s="36">
        <f t="shared" si="53"/>
        <v>36</v>
      </c>
      <c r="T266" s="36">
        <f t="shared" si="54"/>
        <v>8.3076923076923084</v>
      </c>
      <c r="U266" s="36">
        <v>6</v>
      </c>
      <c r="V266" s="36">
        <v>1</v>
      </c>
      <c r="W266" s="36">
        <v>0</v>
      </c>
      <c r="X266" s="36">
        <f t="shared" si="55"/>
        <v>7</v>
      </c>
      <c r="Y266" s="36">
        <f t="shared" si="56"/>
        <v>1.6153846153846154</v>
      </c>
      <c r="Z266" s="36">
        <v>21</v>
      </c>
      <c r="AA266" s="36">
        <v>1</v>
      </c>
      <c r="AB266" s="36">
        <v>0</v>
      </c>
      <c r="AC266" s="36">
        <v>2</v>
      </c>
      <c r="AD266" s="36">
        <f t="shared" si="57"/>
        <v>24</v>
      </c>
      <c r="AE266" s="36">
        <f t="shared" si="58"/>
        <v>5.5384615384615383</v>
      </c>
      <c r="AF266" s="36">
        <f t="shared" si="61"/>
        <v>67</v>
      </c>
      <c r="AG266" s="36">
        <f t="shared" si="61"/>
        <v>15.461538461538462</v>
      </c>
      <c r="AH266" s="36">
        <f t="shared" si="62"/>
        <v>96</v>
      </c>
      <c r="AI266" s="36">
        <f t="shared" si="62"/>
        <v>22.153846153846153</v>
      </c>
      <c r="AJ266" s="29">
        <f t="shared" si="63"/>
        <v>0.23076923076923075</v>
      </c>
    </row>
    <row r="267" spans="1:36">
      <c r="A267" s="33" t="s">
        <v>335</v>
      </c>
      <c r="B267" s="33" t="s">
        <v>338</v>
      </c>
      <c r="C267" s="34" t="s">
        <v>340</v>
      </c>
      <c r="D267" s="34" t="str">
        <f t="shared" si="64"/>
        <v>M32USSS22EQH.FG510-1(D905)</v>
      </c>
      <c r="E267" s="33" t="s">
        <v>21</v>
      </c>
      <c r="F267" s="33" t="s">
        <v>21</v>
      </c>
      <c r="G267" s="48">
        <v>260</v>
      </c>
      <c r="H267" s="35">
        <v>24</v>
      </c>
      <c r="I267" s="36">
        <v>1</v>
      </c>
      <c r="J267" s="36">
        <v>1</v>
      </c>
      <c r="K267" s="36">
        <v>3</v>
      </c>
      <c r="L267" s="36">
        <f t="shared" si="51"/>
        <v>29</v>
      </c>
      <c r="M267" s="36">
        <f t="shared" si="52"/>
        <v>6.6923076923076925</v>
      </c>
      <c r="N267" s="36">
        <v>31</v>
      </c>
      <c r="O267" s="36">
        <v>1</v>
      </c>
      <c r="P267" s="36">
        <v>1</v>
      </c>
      <c r="Q267" s="36">
        <v>1</v>
      </c>
      <c r="R267" s="36">
        <v>2</v>
      </c>
      <c r="S267" s="36">
        <f t="shared" si="53"/>
        <v>36</v>
      </c>
      <c r="T267" s="36">
        <f t="shared" si="54"/>
        <v>8.3076923076923084</v>
      </c>
      <c r="U267" s="36">
        <v>6</v>
      </c>
      <c r="V267" s="36">
        <v>1</v>
      </c>
      <c r="W267" s="36">
        <v>0</v>
      </c>
      <c r="X267" s="36">
        <f t="shared" si="55"/>
        <v>7</v>
      </c>
      <c r="Y267" s="36">
        <f t="shared" si="56"/>
        <v>1.6153846153846154</v>
      </c>
      <c r="Z267" s="36">
        <v>21</v>
      </c>
      <c r="AA267" s="36">
        <v>1</v>
      </c>
      <c r="AB267" s="36">
        <v>0</v>
      </c>
      <c r="AC267" s="36">
        <v>2</v>
      </c>
      <c r="AD267" s="36">
        <f t="shared" si="57"/>
        <v>24</v>
      </c>
      <c r="AE267" s="36">
        <f t="shared" si="58"/>
        <v>5.5384615384615383</v>
      </c>
      <c r="AF267" s="36">
        <f t="shared" si="61"/>
        <v>67</v>
      </c>
      <c r="AG267" s="36">
        <f t="shared" si="61"/>
        <v>15.461538461538462</v>
      </c>
      <c r="AH267" s="36">
        <f t="shared" si="62"/>
        <v>96</v>
      </c>
      <c r="AI267" s="36">
        <f t="shared" si="62"/>
        <v>22.153846153846153</v>
      </c>
      <c r="AJ267" s="29">
        <f t="shared" si="63"/>
        <v>0.23076923076923075</v>
      </c>
    </row>
    <row r="268" spans="1:36">
      <c r="A268" s="33" t="s">
        <v>335</v>
      </c>
      <c r="B268" s="33" t="s">
        <v>338</v>
      </c>
      <c r="C268" s="34" t="s">
        <v>236</v>
      </c>
      <c r="D268" s="34" t="str">
        <f t="shared" si="64"/>
        <v>M32USSS22EQH.FG512-1(D905)</v>
      </c>
      <c r="E268" s="33" t="s">
        <v>21</v>
      </c>
      <c r="F268" s="33" t="s">
        <v>21</v>
      </c>
      <c r="G268" s="48">
        <v>260</v>
      </c>
      <c r="H268" s="35">
        <v>24</v>
      </c>
      <c r="I268" s="36">
        <v>1</v>
      </c>
      <c r="J268" s="36">
        <v>1</v>
      </c>
      <c r="K268" s="36">
        <v>3</v>
      </c>
      <c r="L268" s="36">
        <f t="shared" si="51"/>
        <v>29</v>
      </c>
      <c r="M268" s="36">
        <f t="shared" si="52"/>
        <v>6.6923076923076925</v>
      </c>
      <c r="N268" s="36">
        <v>31</v>
      </c>
      <c r="O268" s="36">
        <v>1</v>
      </c>
      <c r="P268" s="36">
        <v>1</v>
      </c>
      <c r="Q268" s="36">
        <v>1</v>
      </c>
      <c r="R268" s="36">
        <v>2</v>
      </c>
      <c r="S268" s="36">
        <f t="shared" si="53"/>
        <v>36</v>
      </c>
      <c r="T268" s="36">
        <f t="shared" si="54"/>
        <v>8.3076923076923084</v>
      </c>
      <c r="U268" s="36">
        <v>6</v>
      </c>
      <c r="V268" s="36">
        <v>1</v>
      </c>
      <c r="W268" s="36">
        <v>0</v>
      </c>
      <c r="X268" s="36">
        <f t="shared" si="55"/>
        <v>7</v>
      </c>
      <c r="Y268" s="36">
        <f t="shared" si="56"/>
        <v>1.6153846153846154</v>
      </c>
      <c r="Z268" s="36">
        <v>21</v>
      </c>
      <c r="AA268" s="36">
        <v>1</v>
      </c>
      <c r="AB268" s="36">
        <v>0</v>
      </c>
      <c r="AC268" s="36">
        <v>2</v>
      </c>
      <c r="AD268" s="36">
        <f t="shared" si="57"/>
        <v>24</v>
      </c>
      <c r="AE268" s="36">
        <f t="shared" si="58"/>
        <v>5.5384615384615383</v>
      </c>
      <c r="AF268" s="36">
        <f t="shared" si="61"/>
        <v>67</v>
      </c>
      <c r="AG268" s="36">
        <f t="shared" si="61"/>
        <v>15.461538461538462</v>
      </c>
      <c r="AH268" s="36">
        <f t="shared" si="62"/>
        <v>96</v>
      </c>
      <c r="AI268" s="36">
        <f t="shared" si="62"/>
        <v>22.153846153846153</v>
      </c>
      <c r="AJ268" s="29">
        <f t="shared" si="63"/>
        <v>0.23076923076923075</v>
      </c>
    </row>
    <row r="269" spans="1:36">
      <c r="A269" s="33" t="s">
        <v>335</v>
      </c>
      <c r="B269" s="33" t="s">
        <v>338</v>
      </c>
      <c r="C269" s="34" t="s">
        <v>172</v>
      </c>
      <c r="D269" s="34" t="str">
        <f t="shared" si="64"/>
        <v>M32USSS22EQH.FG51D-1(D905)</v>
      </c>
      <c r="E269" s="33" t="s">
        <v>21</v>
      </c>
      <c r="F269" s="33" t="s">
        <v>21</v>
      </c>
      <c r="G269" s="48">
        <v>260</v>
      </c>
      <c r="H269" s="35">
        <v>24</v>
      </c>
      <c r="I269" s="36">
        <v>1</v>
      </c>
      <c r="J269" s="36">
        <v>1</v>
      </c>
      <c r="K269" s="36">
        <v>3</v>
      </c>
      <c r="L269" s="36">
        <f t="shared" si="51"/>
        <v>29</v>
      </c>
      <c r="M269" s="36">
        <f t="shared" si="52"/>
        <v>6.6923076923076925</v>
      </c>
      <c r="N269" s="36">
        <v>31</v>
      </c>
      <c r="O269" s="36">
        <v>1</v>
      </c>
      <c r="P269" s="36">
        <v>1</v>
      </c>
      <c r="Q269" s="36">
        <v>1</v>
      </c>
      <c r="R269" s="36">
        <v>2</v>
      </c>
      <c r="S269" s="36">
        <f t="shared" si="53"/>
        <v>36</v>
      </c>
      <c r="T269" s="36">
        <f t="shared" si="54"/>
        <v>8.3076923076923084</v>
      </c>
      <c r="U269" s="36">
        <v>6</v>
      </c>
      <c r="V269" s="36">
        <v>1</v>
      </c>
      <c r="W269" s="36">
        <v>0</v>
      </c>
      <c r="X269" s="36">
        <f t="shared" si="55"/>
        <v>7</v>
      </c>
      <c r="Y269" s="36">
        <f t="shared" si="56"/>
        <v>1.6153846153846154</v>
      </c>
      <c r="Z269" s="36">
        <v>21</v>
      </c>
      <c r="AA269" s="36">
        <v>1</v>
      </c>
      <c r="AB269" s="36">
        <v>0</v>
      </c>
      <c r="AC269" s="36">
        <v>2</v>
      </c>
      <c r="AD269" s="36">
        <f t="shared" si="57"/>
        <v>24</v>
      </c>
      <c r="AE269" s="36">
        <f t="shared" si="58"/>
        <v>5.5384615384615383</v>
      </c>
      <c r="AF269" s="36">
        <f t="shared" si="61"/>
        <v>67</v>
      </c>
      <c r="AG269" s="36">
        <f t="shared" si="61"/>
        <v>15.461538461538462</v>
      </c>
      <c r="AH269" s="36">
        <f t="shared" si="62"/>
        <v>96</v>
      </c>
      <c r="AI269" s="36">
        <f t="shared" si="62"/>
        <v>22.153846153846153</v>
      </c>
      <c r="AJ269" s="29">
        <f t="shared" si="63"/>
        <v>0.23076923076923075</v>
      </c>
    </row>
    <row r="270" spans="1:36">
      <c r="A270" s="33" t="s">
        <v>335</v>
      </c>
      <c r="B270" s="33" t="s">
        <v>338</v>
      </c>
      <c r="C270" s="34" t="s">
        <v>341</v>
      </c>
      <c r="D270" s="34" t="str">
        <f t="shared" si="64"/>
        <v>M32USSS24EQH.FG512-1(D905)</v>
      </c>
      <c r="E270" s="33" t="s">
        <v>21</v>
      </c>
      <c r="F270" s="33" t="s">
        <v>21</v>
      </c>
      <c r="G270" s="48">
        <v>260</v>
      </c>
      <c r="H270" s="35">
        <v>24</v>
      </c>
      <c r="I270" s="36">
        <v>1</v>
      </c>
      <c r="J270" s="36">
        <v>1</v>
      </c>
      <c r="K270" s="36">
        <v>3</v>
      </c>
      <c r="L270" s="36">
        <f t="shared" si="51"/>
        <v>29</v>
      </c>
      <c r="M270" s="36">
        <f t="shared" si="52"/>
        <v>6.6923076923076925</v>
      </c>
      <c r="N270" s="36">
        <v>31</v>
      </c>
      <c r="O270" s="36">
        <v>1</v>
      </c>
      <c r="P270" s="36">
        <v>1</v>
      </c>
      <c r="Q270" s="36">
        <v>1</v>
      </c>
      <c r="R270" s="36">
        <v>2</v>
      </c>
      <c r="S270" s="36">
        <f t="shared" si="53"/>
        <v>36</v>
      </c>
      <c r="T270" s="36">
        <f t="shared" si="54"/>
        <v>8.3076923076923084</v>
      </c>
      <c r="U270" s="36">
        <v>6</v>
      </c>
      <c r="V270" s="36">
        <v>1</v>
      </c>
      <c r="W270" s="36">
        <v>0</v>
      </c>
      <c r="X270" s="36">
        <f t="shared" si="55"/>
        <v>7</v>
      </c>
      <c r="Y270" s="36">
        <f t="shared" si="56"/>
        <v>1.6153846153846154</v>
      </c>
      <c r="Z270" s="36">
        <v>21</v>
      </c>
      <c r="AA270" s="36">
        <v>1</v>
      </c>
      <c r="AB270" s="36">
        <v>0</v>
      </c>
      <c r="AC270" s="36">
        <v>2</v>
      </c>
      <c r="AD270" s="36">
        <f t="shared" si="57"/>
        <v>24</v>
      </c>
      <c r="AE270" s="36">
        <f t="shared" si="58"/>
        <v>5.5384615384615383</v>
      </c>
      <c r="AF270" s="36">
        <f t="shared" ref="AF270:AG285" si="65">SUM(S270,X270,AD270)</f>
        <v>67</v>
      </c>
      <c r="AG270" s="36">
        <f t="shared" si="65"/>
        <v>15.461538461538462</v>
      </c>
      <c r="AH270" s="36">
        <f t="shared" ref="AH270:AI285" si="66">SUM(L270,AF270)</f>
        <v>96</v>
      </c>
      <c r="AI270" s="36">
        <f t="shared" si="66"/>
        <v>22.153846153846153</v>
      </c>
      <c r="AJ270" s="29">
        <f t="shared" si="63"/>
        <v>0.23076923076923075</v>
      </c>
    </row>
    <row r="271" spans="1:36">
      <c r="A271" s="33" t="s">
        <v>335</v>
      </c>
      <c r="B271" s="33" t="s">
        <v>338</v>
      </c>
      <c r="C271" s="34" t="s">
        <v>342</v>
      </c>
      <c r="D271" s="34" t="str">
        <f t="shared" si="64"/>
        <v>M32VNSS24EQH.FG510-1(D905)</v>
      </c>
      <c r="E271" s="33" t="s">
        <v>21</v>
      </c>
      <c r="F271" s="33" t="s">
        <v>21</v>
      </c>
      <c r="G271" s="48">
        <v>260</v>
      </c>
      <c r="H271" s="35">
        <v>24</v>
      </c>
      <c r="I271" s="36">
        <v>1</v>
      </c>
      <c r="J271" s="36">
        <v>1</v>
      </c>
      <c r="K271" s="36">
        <v>3</v>
      </c>
      <c r="L271" s="36">
        <f t="shared" si="51"/>
        <v>29</v>
      </c>
      <c r="M271" s="36">
        <f t="shared" si="52"/>
        <v>6.6923076923076925</v>
      </c>
      <c r="N271" s="36">
        <v>31</v>
      </c>
      <c r="O271" s="36">
        <v>1</v>
      </c>
      <c r="P271" s="36">
        <v>1</v>
      </c>
      <c r="Q271" s="36">
        <v>1</v>
      </c>
      <c r="R271" s="36">
        <v>2</v>
      </c>
      <c r="S271" s="36">
        <f t="shared" si="53"/>
        <v>36</v>
      </c>
      <c r="T271" s="36">
        <f t="shared" si="54"/>
        <v>8.3076923076923084</v>
      </c>
      <c r="U271" s="36">
        <v>6</v>
      </c>
      <c r="V271" s="36">
        <v>1</v>
      </c>
      <c r="W271" s="36">
        <v>0</v>
      </c>
      <c r="X271" s="36">
        <f t="shared" si="55"/>
        <v>7</v>
      </c>
      <c r="Y271" s="36">
        <f t="shared" si="56"/>
        <v>1.6153846153846154</v>
      </c>
      <c r="Z271" s="36">
        <v>23</v>
      </c>
      <c r="AA271" s="36">
        <v>1</v>
      </c>
      <c r="AB271" s="36">
        <v>0</v>
      </c>
      <c r="AC271" s="36">
        <v>2</v>
      </c>
      <c r="AD271" s="36">
        <f t="shared" si="57"/>
        <v>26</v>
      </c>
      <c r="AE271" s="36">
        <f t="shared" si="58"/>
        <v>6</v>
      </c>
      <c r="AF271" s="36">
        <f t="shared" si="65"/>
        <v>69</v>
      </c>
      <c r="AG271" s="36">
        <f t="shared" si="65"/>
        <v>15.923076923076923</v>
      </c>
      <c r="AH271" s="36">
        <f t="shared" si="66"/>
        <v>98</v>
      </c>
      <c r="AI271" s="36">
        <f t="shared" si="66"/>
        <v>22.615384615384617</v>
      </c>
      <c r="AJ271" s="29">
        <f t="shared" si="63"/>
        <v>0.23076923076923078</v>
      </c>
    </row>
    <row r="272" spans="1:36">
      <c r="A272" s="33" t="s">
        <v>335</v>
      </c>
      <c r="B272" s="33" t="s">
        <v>338</v>
      </c>
      <c r="C272" s="34" t="s">
        <v>343</v>
      </c>
      <c r="D272" s="34" t="str">
        <f t="shared" si="64"/>
        <v>M32AUSS24EQH.FG510-1(D905)</v>
      </c>
      <c r="E272" s="33" t="s">
        <v>21</v>
      </c>
      <c r="F272" s="33" t="s">
        <v>21</v>
      </c>
      <c r="G272" s="48">
        <v>260</v>
      </c>
      <c r="H272" s="35">
        <v>24</v>
      </c>
      <c r="I272" s="36">
        <v>1</v>
      </c>
      <c r="J272" s="36">
        <v>1</v>
      </c>
      <c r="K272" s="36">
        <v>3</v>
      </c>
      <c r="L272" s="36">
        <f t="shared" si="51"/>
        <v>29</v>
      </c>
      <c r="M272" s="36">
        <f t="shared" si="52"/>
        <v>6.6923076923076925</v>
      </c>
      <c r="N272" s="36">
        <v>31</v>
      </c>
      <c r="O272" s="36">
        <v>1</v>
      </c>
      <c r="P272" s="36">
        <v>1</v>
      </c>
      <c r="Q272" s="36">
        <v>1</v>
      </c>
      <c r="R272" s="36">
        <v>2</v>
      </c>
      <c r="S272" s="36">
        <f t="shared" si="53"/>
        <v>36</v>
      </c>
      <c r="T272" s="36">
        <f t="shared" si="54"/>
        <v>8.3076923076923084</v>
      </c>
      <c r="U272" s="36">
        <v>6</v>
      </c>
      <c r="V272" s="36">
        <v>1</v>
      </c>
      <c r="W272" s="36">
        <v>0</v>
      </c>
      <c r="X272" s="36">
        <f t="shared" si="55"/>
        <v>7</v>
      </c>
      <c r="Y272" s="36">
        <f t="shared" si="56"/>
        <v>1.6153846153846154</v>
      </c>
      <c r="Z272" s="36">
        <v>23</v>
      </c>
      <c r="AA272" s="36">
        <v>1</v>
      </c>
      <c r="AB272" s="36">
        <v>0</v>
      </c>
      <c r="AC272" s="36">
        <v>2</v>
      </c>
      <c r="AD272" s="36">
        <f t="shared" si="57"/>
        <v>26</v>
      </c>
      <c r="AE272" s="36">
        <f t="shared" si="58"/>
        <v>6</v>
      </c>
      <c r="AF272" s="36">
        <f t="shared" si="65"/>
        <v>69</v>
      </c>
      <c r="AG272" s="36">
        <f t="shared" si="65"/>
        <v>15.923076923076923</v>
      </c>
      <c r="AH272" s="36">
        <f t="shared" si="66"/>
        <v>98</v>
      </c>
      <c r="AI272" s="36">
        <f t="shared" si="66"/>
        <v>22.615384615384617</v>
      </c>
      <c r="AJ272" s="29">
        <f t="shared" si="63"/>
        <v>0.23076923076923078</v>
      </c>
    </row>
    <row r="273" spans="1:36">
      <c r="A273" s="33" t="s">
        <v>335</v>
      </c>
      <c r="B273" s="33" t="s">
        <v>338</v>
      </c>
      <c r="C273" s="34" t="s">
        <v>344</v>
      </c>
      <c r="D273" s="34" t="str">
        <f t="shared" si="64"/>
        <v>M32INSS24EQH.FG510-1(D905)</v>
      </c>
      <c r="E273" s="33" t="s">
        <v>21</v>
      </c>
      <c r="F273" s="33" t="s">
        <v>21</v>
      </c>
      <c r="G273" s="48">
        <v>260</v>
      </c>
      <c r="H273" s="35">
        <v>24</v>
      </c>
      <c r="I273" s="36">
        <v>1</v>
      </c>
      <c r="J273" s="36">
        <v>1</v>
      </c>
      <c r="K273" s="36">
        <v>3</v>
      </c>
      <c r="L273" s="36">
        <f t="shared" si="51"/>
        <v>29</v>
      </c>
      <c r="M273" s="36">
        <f t="shared" si="52"/>
        <v>6.6923076923076925</v>
      </c>
      <c r="N273" s="36">
        <v>31</v>
      </c>
      <c r="O273" s="36">
        <v>1</v>
      </c>
      <c r="P273" s="36">
        <v>1</v>
      </c>
      <c r="Q273" s="36">
        <v>1</v>
      </c>
      <c r="R273" s="36">
        <v>2</v>
      </c>
      <c r="S273" s="36">
        <f t="shared" si="53"/>
        <v>36</v>
      </c>
      <c r="T273" s="36">
        <f t="shared" si="54"/>
        <v>8.3076923076923084</v>
      </c>
      <c r="U273" s="36">
        <v>6</v>
      </c>
      <c r="V273" s="36">
        <v>1</v>
      </c>
      <c r="W273" s="36">
        <v>0</v>
      </c>
      <c r="X273" s="36">
        <f t="shared" si="55"/>
        <v>7</v>
      </c>
      <c r="Y273" s="36">
        <f t="shared" si="56"/>
        <v>1.6153846153846154</v>
      </c>
      <c r="Z273" s="36">
        <v>23</v>
      </c>
      <c r="AA273" s="36">
        <v>1</v>
      </c>
      <c r="AB273" s="36">
        <v>0</v>
      </c>
      <c r="AC273" s="36">
        <v>2</v>
      </c>
      <c r="AD273" s="36">
        <f t="shared" si="57"/>
        <v>26</v>
      </c>
      <c r="AE273" s="36">
        <f t="shared" si="58"/>
        <v>6</v>
      </c>
      <c r="AF273" s="36">
        <f t="shared" si="65"/>
        <v>69</v>
      </c>
      <c r="AG273" s="36">
        <f t="shared" si="65"/>
        <v>15.923076923076923</v>
      </c>
      <c r="AH273" s="36">
        <f t="shared" si="66"/>
        <v>98</v>
      </c>
      <c r="AI273" s="36">
        <f t="shared" si="66"/>
        <v>22.615384615384617</v>
      </c>
      <c r="AJ273" s="29">
        <f t="shared" si="63"/>
        <v>0.23076923076923078</v>
      </c>
    </row>
    <row r="274" spans="1:36">
      <c r="A274" s="38" t="s">
        <v>335</v>
      </c>
      <c r="B274" s="38" t="s">
        <v>338</v>
      </c>
      <c r="C274" s="39" t="s">
        <v>256</v>
      </c>
      <c r="D274" s="39" t="str">
        <f t="shared" si="64"/>
        <v>M32NLSS22EQH.FG514-1(D905)</v>
      </c>
      <c r="E274" s="38" t="s">
        <v>21</v>
      </c>
      <c r="F274" s="38" t="s">
        <v>21</v>
      </c>
      <c r="G274" s="44">
        <v>260</v>
      </c>
      <c r="H274" s="40">
        <v>24</v>
      </c>
      <c r="I274" s="41">
        <v>1</v>
      </c>
      <c r="J274" s="41">
        <v>1</v>
      </c>
      <c r="K274" s="41">
        <v>3</v>
      </c>
      <c r="L274" s="41">
        <f t="shared" si="51"/>
        <v>29</v>
      </c>
      <c r="M274" s="41">
        <f t="shared" si="52"/>
        <v>6.6923076923076925</v>
      </c>
      <c r="N274" s="41">
        <v>31</v>
      </c>
      <c r="O274" s="41">
        <v>1</v>
      </c>
      <c r="P274" s="41">
        <v>1</v>
      </c>
      <c r="Q274" s="41">
        <v>1</v>
      </c>
      <c r="R274" s="41">
        <v>2</v>
      </c>
      <c r="S274" s="41">
        <f t="shared" si="53"/>
        <v>36</v>
      </c>
      <c r="T274" s="41">
        <f t="shared" si="54"/>
        <v>8.3076923076923084</v>
      </c>
      <c r="U274" s="41">
        <v>6</v>
      </c>
      <c r="V274" s="41">
        <v>1</v>
      </c>
      <c r="W274" s="41">
        <v>0</v>
      </c>
      <c r="X274" s="41">
        <f t="shared" si="55"/>
        <v>7</v>
      </c>
      <c r="Y274" s="41">
        <f t="shared" si="56"/>
        <v>1.6153846153846154</v>
      </c>
      <c r="Z274" s="41">
        <v>23</v>
      </c>
      <c r="AA274" s="41">
        <v>1</v>
      </c>
      <c r="AB274" s="41">
        <v>0</v>
      </c>
      <c r="AC274" s="41">
        <v>2</v>
      </c>
      <c r="AD274" s="41">
        <f t="shared" si="57"/>
        <v>26</v>
      </c>
      <c r="AE274" s="41">
        <f t="shared" si="58"/>
        <v>6</v>
      </c>
      <c r="AF274" s="41">
        <f t="shared" si="65"/>
        <v>69</v>
      </c>
      <c r="AG274" s="41">
        <f t="shared" si="65"/>
        <v>15.923076923076923</v>
      </c>
      <c r="AH274" s="41">
        <f t="shared" si="66"/>
        <v>98</v>
      </c>
      <c r="AI274" s="41">
        <f t="shared" si="66"/>
        <v>22.615384615384617</v>
      </c>
      <c r="AJ274" s="29">
        <f t="shared" si="63"/>
        <v>0.23076923076923078</v>
      </c>
    </row>
    <row r="275" spans="1:36">
      <c r="A275" s="38" t="s">
        <v>335</v>
      </c>
      <c r="B275" s="38" t="s">
        <v>338</v>
      </c>
      <c r="C275" s="39" t="s">
        <v>226</v>
      </c>
      <c r="D275" s="39" t="str">
        <f t="shared" si="64"/>
        <v>M32AESS22EQH.FG510-1(D905)</v>
      </c>
      <c r="E275" s="38" t="s">
        <v>21</v>
      </c>
      <c r="F275" s="38" t="s">
        <v>21</v>
      </c>
      <c r="G275" s="44">
        <v>260</v>
      </c>
      <c r="H275" s="40">
        <v>24</v>
      </c>
      <c r="I275" s="41">
        <v>1</v>
      </c>
      <c r="J275" s="41">
        <v>1</v>
      </c>
      <c r="K275" s="41">
        <v>3</v>
      </c>
      <c r="L275" s="41">
        <f t="shared" ref="L275:L338" si="67">SUM(H275:K275)</f>
        <v>29</v>
      </c>
      <c r="M275" s="41">
        <f t="shared" ref="M275:M338" si="68">60*L275/G275</f>
        <v>6.6923076923076925</v>
      </c>
      <c r="N275" s="41">
        <v>31</v>
      </c>
      <c r="O275" s="41">
        <v>1</v>
      </c>
      <c r="P275" s="41">
        <v>1</v>
      </c>
      <c r="Q275" s="41">
        <v>1</v>
      </c>
      <c r="R275" s="41">
        <v>2</v>
      </c>
      <c r="S275" s="41">
        <f t="shared" ref="S275:S338" si="69">SUM(N275:R275)</f>
        <v>36</v>
      </c>
      <c r="T275" s="41">
        <f t="shared" ref="T275:T338" si="70">60*S275/G275</f>
        <v>8.3076923076923084</v>
      </c>
      <c r="U275" s="41">
        <v>6</v>
      </c>
      <c r="V275" s="41">
        <v>1</v>
      </c>
      <c r="W275" s="41">
        <v>0</v>
      </c>
      <c r="X275" s="41">
        <f t="shared" ref="X275:X338" si="71">SUM(U275:W275)</f>
        <v>7</v>
      </c>
      <c r="Y275" s="41">
        <f t="shared" ref="Y275:Y338" si="72">60*X275/G275</f>
        <v>1.6153846153846154</v>
      </c>
      <c r="Z275" s="41">
        <v>23</v>
      </c>
      <c r="AA275" s="41">
        <v>1</v>
      </c>
      <c r="AB275" s="41">
        <v>0</v>
      </c>
      <c r="AC275" s="41">
        <v>2</v>
      </c>
      <c r="AD275" s="41">
        <f t="shared" ref="AD275:AD338" si="73">SUM(Z275:AC275)</f>
        <v>26</v>
      </c>
      <c r="AE275" s="41">
        <f t="shared" ref="AE275:AE338" si="74">60*AD275/G275</f>
        <v>6</v>
      </c>
      <c r="AF275" s="41">
        <f t="shared" si="65"/>
        <v>69</v>
      </c>
      <c r="AG275" s="41">
        <f t="shared" si="65"/>
        <v>15.923076923076923</v>
      </c>
      <c r="AH275" s="41">
        <f t="shared" si="66"/>
        <v>98</v>
      </c>
      <c r="AI275" s="41">
        <f t="shared" si="66"/>
        <v>22.615384615384617</v>
      </c>
      <c r="AJ275" s="29">
        <f t="shared" si="63"/>
        <v>0.23076923076923078</v>
      </c>
    </row>
    <row r="276" spans="1:36">
      <c r="A276" s="38" t="s">
        <v>335</v>
      </c>
      <c r="B276" s="38" t="s">
        <v>338</v>
      </c>
      <c r="C276" s="39" t="s">
        <v>227</v>
      </c>
      <c r="D276" s="39" t="str">
        <f t="shared" si="64"/>
        <v>M32INSS22EQH.FG510-1(D905)</v>
      </c>
      <c r="E276" s="38" t="s">
        <v>21</v>
      </c>
      <c r="F276" s="38" t="s">
        <v>21</v>
      </c>
      <c r="G276" s="44">
        <v>260</v>
      </c>
      <c r="H276" s="40">
        <v>24</v>
      </c>
      <c r="I276" s="41">
        <v>1</v>
      </c>
      <c r="J276" s="41">
        <v>1</v>
      </c>
      <c r="K276" s="41">
        <v>3</v>
      </c>
      <c r="L276" s="41">
        <f t="shared" si="67"/>
        <v>29</v>
      </c>
      <c r="M276" s="41">
        <f t="shared" si="68"/>
        <v>6.6923076923076925</v>
      </c>
      <c r="N276" s="41">
        <v>31</v>
      </c>
      <c r="O276" s="41">
        <v>1</v>
      </c>
      <c r="P276" s="41">
        <v>1</v>
      </c>
      <c r="Q276" s="41">
        <v>1</v>
      </c>
      <c r="R276" s="41">
        <v>2</v>
      </c>
      <c r="S276" s="41">
        <f t="shared" si="69"/>
        <v>36</v>
      </c>
      <c r="T276" s="41">
        <f t="shared" si="70"/>
        <v>8.3076923076923084</v>
      </c>
      <c r="U276" s="41">
        <v>6</v>
      </c>
      <c r="V276" s="41">
        <v>1</v>
      </c>
      <c r="W276" s="41">
        <v>0</v>
      </c>
      <c r="X276" s="41">
        <f t="shared" si="71"/>
        <v>7</v>
      </c>
      <c r="Y276" s="41">
        <f t="shared" si="72"/>
        <v>1.6153846153846154</v>
      </c>
      <c r="Z276" s="41">
        <v>23</v>
      </c>
      <c r="AA276" s="41">
        <v>1</v>
      </c>
      <c r="AB276" s="41">
        <v>0</v>
      </c>
      <c r="AC276" s="41">
        <v>2</v>
      </c>
      <c r="AD276" s="41">
        <f t="shared" si="73"/>
        <v>26</v>
      </c>
      <c r="AE276" s="41">
        <f t="shared" si="74"/>
        <v>6</v>
      </c>
      <c r="AF276" s="41">
        <f t="shared" si="65"/>
        <v>69</v>
      </c>
      <c r="AG276" s="41">
        <f t="shared" si="65"/>
        <v>15.923076923076923</v>
      </c>
      <c r="AH276" s="41">
        <f t="shared" si="66"/>
        <v>98</v>
      </c>
      <c r="AI276" s="41">
        <f t="shared" si="66"/>
        <v>22.615384615384617</v>
      </c>
      <c r="AJ276" s="29">
        <f t="shared" si="63"/>
        <v>0.23076923076923078</v>
      </c>
    </row>
    <row r="277" spans="1:36">
      <c r="A277" s="33" t="s">
        <v>335</v>
      </c>
      <c r="B277" s="33" t="s">
        <v>338</v>
      </c>
      <c r="C277" s="34" t="s">
        <v>345</v>
      </c>
      <c r="D277" s="34" t="str">
        <f t="shared" si="64"/>
        <v>M32CNSS24EQH.FG512-1(D905)</v>
      </c>
      <c r="E277" s="33" t="s">
        <v>21</v>
      </c>
      <c r="F277" s="33" t="s">
        <v>21</v>
      </c>
      <c r="G277" s="48">
        <v>260</v>
      </c>
      <c r="H277" s="35">
        <v>24</v>
      </c>
      <c r="I277" s="36">
        <v>1</v>
      </c>
      <c r="J277" s="36">
        <v>1</v>
      </c>
      <c r="K277" s="36">
        <v>3</v>
      </c>
      <c r="L277" s="36">
        <f t="shared" si="67"/>
        <v>29</v>
      </c>
      <c r="M277" s="36">
        <f t="shared" si="68"/>
        <v>6.6923076923076925</v>
      </c>
      <c r="N277" s="36">
        <v>31</v>
      </c>
      <c r="O277" s="36">
        <v>1</v>
      </c>
      <c r="P277" s="36">
        <v>1</v>
      </c>
      <c r="Q277" s="36">
        <v>1</v>
      </c>
      <c r="R277" s="36">
        <v>2</v>
      </c>
      <c r="S277" s="36">
        <f t="shared" si="69"/>
        <v>36</v>
      </c>
      <c r="T277" s="36">
        <f t="shared" si="70"/>
        <v>8.3076923076923084</v>
      </c>
      <c r="U277" s="36">
        <v>6</v>
      </c>
      <c r="V277" s="36">
        <v>1</v>
      </c>
      <c r="W277" s="36">
        <v>0</v>
      </c>
      <c r="X277" s="36">
        <f t="shared" si="71"/>
        <v>7</v>
      </c>
      <c r="Y277" s="36">
        <f t="shared" si="72"/>
        <v>1.6153846153846154</v>
      </c>
      <c r="Z277" s="36">
        <v>23</v>
      </c>
      <c r="AA277" s="36">
        <v>1</v>
      </c>
      <c r="AB277" s="36">
        <v>0</v>
      </c>
      <c r="AC277" s="36">
        <v>2</v>
      </c>
      <c r="AD277" s="36">
        <f t="shared" si="73"/>
        <v>26</v>
      </c>
      <c r="AE277" s="36">
        <f t="shared" si="74"/>
        <v>6</v>
      </c>
      <c r="AF277" s="36">
        <f t="shared" si="65"/>
        <v>69</v>
      </c>
      <c r="AG277" s="36">
        <f t="shared" si="65"/>
        <v>15.923076923076923</v>
      </c>
      <c r="AH277" s="36">
        <f t="shared" si="66"/>
        <v>98</v>
      </c>
      <c r="AI277" s="36">
        <f t="shared" si="66"/>
        <v>22.615384615384617</v>
      </c>
      <c r="AJ277" s="29">
        <f t="shared" si="63"/>
        <v>0.23076923076923078</v>
      </c>
    </row>
    <row r="278" spans="1:36">
      <c r="A278" s="33" t="s">
        <v>335</v>
      </c>
      <c r="B278" s="33" t="s">
        <v>338</v>
      </c>
      <c r="C278" s="34" t="s">
        <v>346</v>
      </c>
      <c r="D278" s="34" t="str">
        <f t="shared" si="64"/>
        <v>M32GBSS24EQH.FG512-1(D905)</v>
      </c>
      <c r="E278" s="33" t="s">
        <v>21</v>
      </c>
      <c r="F278" s="33" t="s">
        <v>21</v>
      </c>
      <c r="G278" s="48">
        <v>260</v>
      </c>
      <c r="H278" s="35">
        <v>24</v>
      </c>
      <c r="I278" s="36">
        <v>1</v>
      </c>
      <c r="J278" s="36">
        <v>1</v>
      </c>
      <c r="K278" s="36">
        <v>3</v>
      </c>
      <c r="L278" s="36">
        <f t="shared" si="67"/>
        <v>29</v>
      </c>
      <c r="M278" s="36">
        <f t="shared" si="68"/>
        <v>6.6923076923076925</v>
      </c>
      <c r="N278" s="36">
        <v>31</v>
      </c>
      <c r="O278" s="36">
        <v>1</v>
      </c>
      <c r="P278" s="36">
        <v>1</v>
      </c>
      <c r="Q278" s="36">
        <v>1</v>
      </c>
      <c r="R278" s="36">
        <v>2</v>
      </c>
      <c r="S278" s="36">
        <f t="shared" si="69"/>
        <v>36</v>
      </c>
      <c r="T278" s="36">
        <f t="shared" si="70"/>
        <v>8.3076923076923084</v>
      </c>
      <c r="U278" s="36">
        <v>6</v>
      </c>
      <c r="V278" s="36">
        <v>1</v>
      </c>
      <c r="W278" s="36">
        <v>0</v>
      </c>
      <c r="X278" s="36">
        <f t="shared" si="71"/>
        <v>7</v>
      </c>
      <c r="Y278" s="36">
        <f t="shared" si="72"/>
        <v>1.6153846153846154</v>
      </c>
      <c r="Z278" s="36">
        <v>23</v>
      </c>
      <c r="AA278" s="36">
        <v>1</v>
      </c>
      <c r="AB278" s="36">
        <v>0</v>
      </c>
      <c r="AC278" s="36">
        <v>2</v>
      </c>
      <c r="AD278" s="36">
        <f t="shared" si="73"/>
        <v>26</v>
      </c>
      <c r="AE278" s="36">
        <f t="shared" si="74"/>
        <v>6</v>
      </c>
      <c r="AF278" s="36">
        <f t="shared" si="65"/>
        <v>69</v>
      </c>
      <c r="AG278" s="36">
        <f t="shared" si="65"/>
        <v>15.923076923076923</v>
      </c>
      <c r="AH278" s="36">
        <f t="shared" si="66"/>
        <v>98</v>
      </c>
      <c r="AI278" s="36">
        <f t="shared" si="66"/>
        <v>22.615384615384617</v>
      </c>
      <c r="AJ278" s="29">
        <f t="shared" si="63"/>
        <v>0.23076923076923078</v>
      </c>
    </row>
    <row r="279" spans="1:36">
      <c r="A279" s="33" t="s">
        <v>335</v>
      </c>
      <c r="B279" s="33" t="s">
        <v>338</v>
      </c>
      <c r="C279" s="34" t="s">
        <v>182</v>
      </c>
      <c r="D279" s="34" t="str">
        <f t="shared" si="64"/>
        <v>M32KRSS22EQH.FG512-1(D905)</v>
      </c>
      <c r="E279" s="33" t="s">
        <v>21</v>
      </c>
      <c r="F279" s="33" t="s">
        <v>21</v>
      </c>
      <c r="G279" s="48">
        <v>260</v>
      </c>
      <c r="H279" s="35">
        <v>24</v>
      </c>
      <c r="I279" s="36">
        <v>1</v>
      </c>
      <c r="J279" s="36">
        <v>1</v>
      </c>
      <c r="K279" s="36">
        <v>3</v>
      </c>
      <c r="L279" s="36">
        <f t="shared" si="67"/>
        <v>29</v>
      </c>
      <c r="M279" s="36">
        <f t="shared" si="68"/>
        <v>6.6923076923076925</v>
      </c>
      <c r="N279" s="36">
        <v>31</v>
      </c>
      <c r="O279" s="36">
        <v>1</v>
      </c>
      <c r="P279" s="36">
        <v>1</v>
      </c>
      <c r="Q279" s="36">
        <v>1</v>
      </c>
      <c r="R279" s="36">
        <v>2</v>
      </c>
      <c r="S279" s="36">
        <f t="shared" si="69"/>
        <v>36</v>
      </c>
      <c r="T279" s="36">
        <f t="shared" si="70"/>
        <v>8.3076923076923084</v>
      </c>
      <c r="U279" s="36">
        <v>6</v>
      </c>
      <c r="V279" s="36">
        <v>1</v>
      </c>
      <c r="W279" s="36">
        <v>0</v>
      </c>
      <c r="X279" s="36">
        <f t="shared" si="71"/>
        <v>7</v>
      </c>
      <c r="Y279" s="36">
        <f t="shared" si="72"/>
        <v>1.6153846153846154</v>
      </c>
      <c r="Z279" s="36">
        <v>23</v>
      </c>
      <c r="AA279" s="36">
        <v>1</v>
      </c>
      <c r="AB279" s="36">
        <v>0</v>
      </c>
      <c r="AC279" s="36">
        <v>2</v>
      </c>
      <c r="AD279" s="36">
        <f t="shared" si="73"/>
        <v>26</v>
      </c>
      <c r="AE279" s="36">
        <f t="shared" si="74"/>
        <v>6</v>
      </c>
      <c r="AF279" s="36">
        <f t="shared" si="65"/>
        <v>69</v>
      </c>
      <c r="AG279" s="36">
        <f t="shared" si="65"/>
        <v>15.923076923076923</v>
      </c>
      <c r="AH279" s="36">
        <f t="shared" si="66"/>
        <v>98</v>
      </c>
      <c r="AI279" s="36">
        <f t="shared" si="66"/>
        <v>22.615384615384617</v>
      </c>
      <c r="AJ279" s="29">
        <f t="shared" si="63"/>
        <v>0.23076923076923078</v>
      </c>
    </row>
    <row r="280" spans="1:36">
      <c r="A280" s="33" t="s">
        <v>335</v>
      </c>
      <c r="B280" s="33" t="s">
        <v>338</v>
      </c>
      <c r="C280" s="34" t="s">
        <v>183</v>
      </c>
      <c r="D280" s="34" t="str">
        <f t="shared" si="64"/>
        <v>M32CLSS22EQH.FG512-1(D905)</v>
      </c>
      <c r="E280" s="33" t="s">
        <v>21</v>
      </c>
      <c r="F280" s="33" t="s">
        <v>21</v>
      </c>
      <c r="G280" s="48">
        <v>260</v>
      </c>
      <c r="H280" s="35">
        <v>24</v>
      </c>
      <c r="I280" s="36">
        <v>1</v>
      </c>
      <c r="J280" s="36">
        <v>1</v>
      </c>
      <c r="K280" s="36">
        <v>3</v>
      </c>
      <c r="L280" s="36">
        <f t="shared" si="67"/>
        <v>29</v>
      </c>
      <c r="M280" s="36">
        <f t="shared" si="68"/>
        <v>6.6923076923076925</v>
      </c>
      <c r="N280" s="36">
        <v>31</v>
      </c>
      <c r="O280" s="36">
        <v>1</v>
      </c>
      <c r="P280" s="36">
        <v>1</v>
      </c>
      <c r="Q280" s="36">
        <v>1</v>
      </c>
      <c r="R280" s="36">
        <v>2</v>
      </c>
      <c r="S280" s="36">
        <f t="shared" si="69"/>
        <v>36</v>
      </c>
      <c r="T280" s="36">
        <f t="shared" si="70"/>
        <v>8.3076923076923084</v>
      </c>
      <c r="U280" s="36">
        <v>6</v>
      </c>
      <c r="V280" s="36">
        <v>1</v>
      </c>
      <c r="W280" s="36">
        <v>0</v>
      </c>
      <c r="X280" s="36">
        <f t="shared" si="71"/>
        <v>7</v>
      </c>
      <c r="Y280" s="36">
        <f t="shared" si="72"/>
        <v>1.6153846153846154</v>
      </c>
      <c r="Z280" s="36">
        <v>23</v>
      </c>
      <c r="AA280" s="36">
        <v>1</v>
      </c>
      <c r="AB280" s="36">
        <v>0</v>
      </c>
      <c r="AC280" s="36">
        <v>2</v>
      </c>
      <c r="AD280" s="36">
        <f t="shared" si="73"/>
        <v>26</v>
      </c>
      <c r="AE280" s="36">
        <f t="shared" si="74"/>
        <v>6</v>
      </c>
      <c r="AF280" s="36">
        <f t="shared" si="65"/>
        <v>69</v>
      </c>
      <c r="AG280" s="36">
        <f t="shared" si="65"/>
        <v>15.923076923076923</v>
      </c>
      <c r="AH280" s="36">
        <f t="shared" si="66"/>
        <v>98</v>
      </c>
      <c r="AI280" s="36">
        <f t="shared" si="66"/>
        <v>22.615384615384617</v>
      </c>
      <c r="AJ280" s="29">
        <f t="shared" si="63"/>
        <v>0.23076923076923078</v>
      </c>
    </row>
    <row r="281" spans="1:36">
      <c r="A281" s="33" t="s">
        <v>335</v>
      </c>
      <c r="B281" s="33" t="s">
        <v>338</v>
      </c>
      <c r="C281" s="34" t="s">
        <v>184</v>
      </c>
      <c r="D281" s="34" t="str">
        <f t="shared" si="64"/>
        <v>M32NLSS22EQH.FG512-1(D905)</v>
      </c>
      <c r="E281" s="33" t="s">
        <v>21</v>
      </c>
      <c r="F281" s="33" t="s">
        <v>21</v>
      </c>
      <c r="G281" s="48">
        <v>260</v>
      </c>
      <c r="H281" s="35">
        <v>24</v>
      </c>
      <c r="I281" s="36">
        <v>1</v>
      </c>
      <c r="J281" s="36">
        <v>1</v>
      </c>
      <c r="K281" s="36">
        <v>3</v>
      </c>
      <c r="L281" s="36">
        <f t="shared" si="67"/>
        <v>29</v>
      </c>
      <c r="M281" s="36">
        <f t="shared" si="68"/>
        <v>6.6923076923076925</v>
      </c>
      <c r="N281" s="36">
        <v>31</v>
      </c>
      <c r="O281" s="36">
        <v>1</v>
      </c>
      <c r="P281" s="36">
        <v>1</v>
      </c>
      <c r="Q281" s="36">
        <v>1</v>
      </c>
      <c r="R281" s="36">
        <v>2</v>
      </c>
      <c r="S281" s="36">
        <f t="shared" si="69"/>
        <v>36</v>
      </c>
      <c r="T281" s="36">
        <f t="shared" si="70"/>
        <v>8.3076923076923084</v>
      </c>
      <c r="U281" s="36">
        <v>6</v>
      </c>
      <c r="V281" s="36">
        <v>1</v>
      </c>
      <c r="W281" s="36">
        <v>0</v>
      </c>
      <c r="X281" s="36">
        <f t="shared" si="71"/>
        <v>7</v>
      </c>
      <c r="Y281" s="36">
        <f t="shared" si="72"/>
        <v>1.6153846153846154</v>
      </c>
      <c r="Z281" s="36">
        <v>23</v>
      </c>
      <c r="AA281" s="36">
        <v>1</v>
      </c>
      <c r="AB281" s="36">
        <v>0</v>
      </c>
      <c r="AC281" s="36">
        <v>2</v>
      </c>
      <c r="AD281" s="36">
        <f t="shared" si="73"/>
        <v>26</v>
      </c>
      <c r="AE281" s="36">
        <f t="shared" si="74"/>
        <v>6</v>
      </c>
      <c r="AF281" s="36">
        <f t="shared" si="65"/>
        <v>69</v>
      </c>
      <c r="AG281" s="36">
        <f t="shared" si="65"/>
        <v>15.923076923076923</v>
      </c>
      <c r="AH281" s="36">
        <f t="shared" si="66"/>
        <v>98</v>
      </c>
      <c r="AI281" s="36">
        <f t="shared" si="66"/>
        <v>22.615384615384617</v>
      </c>
      <c r="AJ281" s="29">
        <f t="shared" si="63"/>
        <v>0.23076923076923078</v>
      </c>
    </row>
    <row r="282" spans="1:36">
      <c r="A282" s="33" t="s">
        <v>335</v>
      </c>
      <c r="B282" s="33" t="s">
        <v>338</v>
      </c>
      <c r="C282" s="34" t="s">
        <v>185</v>
      </c>
      <c r="D282" s="34" t="str">
        <f t="shared" si="64"/>
        <v>M32KRSS22EQH.FG514-1(D905)</v>
      </c>
      <c r="E282" s="33" t="s">
        <v>21</v>
      </c>
      <c r="F282" s="33" t="s">
        <v>21</v>
      </c>
      <c r="G282" s="48">
        <v>260</v>
      </c>
      <c r="H282" s="35">
        <v>24</v>
      </c>
      <c r="I282" s="36">
        <v>1</v>
      </c>
      <c r="J282" s="36">
        <v>1</v>
      </c>
      <c r="K282" s="36">
        <v>3</v>
      </c>
      <c r="L282" s="36">
        <f t="shared" si="67"/>
        <v>29</v>
      </c>
      <c r="M282" s="36">
        <f t="shared" si="68"/>
        <v>6.6923076923076925</v>
      </c>
      <c r="N282" s="36">
        <v>31</v>
      </c>
      <c r="O282" s="36">
        <v>1</v>
      </c>
      <c r="P282" s="36">
        <v>1</v>
      </c>
      <c r="Q282" s="36">
        <v>1</v>
      </c>
      <c r="R282" s="36">
        <v>2</v>
      </c>
      <c r="S282" s="36">
        <f t="shared" si="69"/>
        <v>36</v>
      </c>
      <c r="T282" s="36">
        <f t="shared" si="70"/>
        <v>8.3076923076923084</v>
      </c>
      <c r="U282" s="36">
        <v>6</v>
      </c>
      <c r="V282" s="36">
        <v>1</v>
      </c>
      <c r="W282" s="36">
        <v>0</v>
      </c>
      <c r="X282" s="36">
        <f t="shared" si="71"/>
        <v>7</v>
      </c>
      <c r="Y282" s="36">
        <f t="shared" si="72"/>
        <v>1.6153846153846154</v>
      </c>
      <c r="Z282" s="36">
        <v>23</v>
      </c>
      <c r="AA282" s="36">
        <v>1</v>
      </c>
      <c r="AB282" s="36">
        <v>0</v>
      </c>
      <c r="AC282" s="36">
        <v>2</v>
      </c>
      <c r="AD282" s="36">
        <f t="shared" si="73"/>
        <v>26</v>
      </c>
      <c r="AE282" s="36">
        <f t="shared" si="74"/>
        <v>6</v>
      </c>
      <c r="AF282" s="36">
        <f t="shared" si="65"/>
        <v>69</v>
      </c>
      <c r="AG282" s="36">
        <f t="shared" si="65"/>
        <v>15.923076923076923</v>
      </c>
      <c r="AH282" s="36">
        <f t="shared" si="66"/>
        <v>98</v>
      </c>
      <c r="AI282" s="36">
        <f t="shared" si="66"/>
        <v>22.615384615384617</v>
      </c>
      <c r="AJ282" s="29">
        <f t="shared" si="63"/>
        <v>0.23076923076923078</v>
      </c>
    </row>
    <row r="283" spans="1:36">
      <c r="A283" s="33" t="s">
        <v>320</v>
      </c>
      <c r="B283" s="33" t="s">
        <v>347</v>
      </c>
      <c r="C283" s="34" t="s">
        <v>97</v>
      </c>
      <c r="D283" s="34" t="str">
        <f t="shared" si="64"/>
        <v>3V65004203V0(V901)</v>
      </c>
      <c r="E283" s="33" t="s">
        <v>18</v>
      </c>
      <c r="F283" s="33" t="s">
        <v>18</v>
      </c>
      <c r="G283" s="35">
        <v>5</v>
      </c>
      <c r="H283" s="35"/>
      <c r="I283" s="36"/>
      <c r="J283" s="36"/>
      <c r="K283" s="36"/>
      <c r="L283" s="36">
        <f t="shared" si="67"/>
        <v>0</v>
      </c>
      <c r="M283" s="36">
        <f t="shared" si="68"/>
        <v>0</v>
      </c>
      <c r="N283" s="36">
        <v>2</v>
      </c>
      <c r="O283" s="36"/>
      <c r="P283" s="36">
        <v>1</v>
      </c>
      <c r="Q283" s="36"/>
      <c r="R283" s="36">
        <v>1</v>
      </c>
      <c r="S283" s="36">
        <f t="shared" si="69"/>
        <v>4</v>
      </c>
      <c r="T283" s="36">
        <f t="shared" si="70"/>
        <v>48</v>
      </c>
      <c r="U283" s="36">
        <v>3</v>
      </c>
      <c r="V283" s="36"/>
      <c r="W283" s="36"/>
      <c r="X283" s="36">
        <f t="shared" si="71"/>
        <v>3</v>
      </c>
      <c r="Y283" s="36">
        <f t="shared" si="72"/>
        <v>36</v>
      </c>
      <c r="Z283" s="36"/>
      <c r="AA283" s="36"/>
      <c r="AB283" s="36"/>
      <c r="AC283" s="36"/>
      <c r="AD283" s="36">
        <f t="shared" si="73"/>
        <v>0</v>
      </c>
      <c r="AE283" s="36">
        <f t="shared" si="74"/>
        <v>0</v>
      </c>
      <c r="AF283" s="36">
        <f t="shared" si="65"/>
        <v>7</v>
      </c>
      <c r="AG283" s="36">
        <f t="shared" si="65"/>
        <v>84</v>
      </c>
      <c r="AH283" s="36">
        <f t="shared" si="66"/>
        <v>7</v>
      </c>
      <c r="AI283" s="36">
        <f t="shared" si="66"/>
        <v>84</v>
      </c>
      <c r="AJ283" s="29">
        <f t="shared" si="63"/>
        <v>12</v>
      </c>
    </row>
    <row r="284" spans="1:36">
      <c r="A284" s="33" t="s">
        <v>320</v>
      </c>
      <c r="B284" s="33" t="s">
        <v>347</v>
      </c>
      <c r="C284" s="34" t="s">
        <v>98</v>
      </c>
      <c r="D284" s="34" t="str">
        <f t="shared" si="64"/>
        <v>3V65007203V0(V901)</v>
      </c>
      <c r="E284" s="33" t="s">
        <v>18</v>
      </c>
      <c r="F284" s="33" t="s">
        <v>18</v>
      </c>
      <c r="G284" s="35">
        <v>5</v>
      </c>
      <c r="H284" s="35"/>
      <c r="I284" s="36"/>
      <c r="J284" s="36"/>
      <c r="K284" s="36"/>
      <c r="L284" s="36">
        <f t="shared" si="67"/>
        <v>0</v>
      </c>
      <c r="M284" s="36">
        <f t="shared" si="68"/>
        <v>0</v>
      </c>
      <c r="N284" s="36">
        <v>2</v>
      </c>
      <c r="O284" s="36"/>
      <c r="P284" s="36">
        <v>1</v>
      </c>
      <c r="Q284" s="36"/>
      <c r="R284" s="36">
        <v>1</v>
      </c>
      <c r="S284" s="36">
        <f t="shared" si="69"/>
        <v>4</v>
      </c>
      <c r="T284" s="36">
        <f t="shared" si="70"/>
        <v>48</v>
      </c>
      <c r="U284" s="36">
        <v>3</v>
      </c>
      <c r="V284" s="36"/>
      <c r="W284" s="36"/>
      <c r="X284" s="36">
        <f t="shared" si="71"/>
        <v>3</v>
      </c>
      <c r="Y284" s="36">
        <f t="shared" si="72"/>
        <v>36</v>
      </c>
      <c r="Z284" s="36"/>
      <c r="AA284" s="36"/>
      <c r="AB284" s="36"/>
      <c r="AC284" s="36"/>
      <c r="AD284" s="36">
        <f t="shared" si="73"/>
        <v>0</v>
      </c>
      <c r="AE284" s="36">
        <f t="shared" si="74"/>
        <v>0</v>
      </c>
      <c r="AF284" s="36">
        <f t="shared" si="65"/>
        <v>7</v>
      </c>
      <c r="AG284" s="36">
        <f t="shared" si="65"/>
        <v>84</v>
      </c>
      <c r="AH284" s="36">
        <f t="shared" si="66"/>
        <v>7</v>
      </c>
      <c r="AI284" s="36">
        <f t="shared" si="66"/>
        <v>84</v>
      </c>
      <c r="AJ284" s="29">
        <f t="shared" si="63"/>
        <v>12</v>
      </c>
    </row>
    <row r="285" spans="1:36">
      <c r="A285" s="33" t="s">
        <v>320</v>
      </c>
      <c r="B285" s="33" t="s">
        <v>348</v>
      </c>
      <c r="C285" s="34" t="s">
        <v>99</v>
      </c>
      <c r="D285" s="34" t="str">
        <f t="shared" si="64"/>
        <v>3V65003203V0(V901)</v>
      </c>
      <c r="E285" s="33" t="s">
        <v>18</v>
      </c>
      <c r="F285" s="33" t="s">
        <v>18</v>
      </c>
      <c r="G285" s="35">
        <v>5</v>
      </c>
      <c r="H285" s="35"/>
      <c r="I285" s="36"/>
      <c r="J285" s="36"/>
      <c r="K285" s="36"/>
      <c r="L285" s="36">
        <f t="shared" si="67"/>
        <v>0</v>
      </c>
      <c r="M285" s="36">
        <f t="shared" si="68"/>
        <v>0</v>
      </c>
      <c r="N285" s="36">
        <v>3</v>
      </c>
      <c r="O285" s="36"/>
      <c r="P285" s="36">
        <v>1</v>
      </c>
      <c r="Q285" s="36"/>
      <c r="R285" s="36">
        <v>1</v>
      </c>
      <c r="S285" s="36">
        <f t="shared" si="69"/>
        <v>5</v>
      </c>
      <c r="T285" s="36">
        <f t="shared" si="70"/>
        <v>60</v>
      </c>
      <c r="U285" s="36">
        <v>2</v>
      </c>
      <c r="V285" s="36"/>
      <c r="W285" s="36"/>
      <c r="X285" s="36">
        <f t="shared" si="71"/>
        <v>2</v>
      </c>
      <c r="Y285" s="36">
        <f t="shared" si="72"/>
        <v>24</v>
      </c>
      <c r="Z285" s="36"/>
      <c r="AA285" s="36"/>
      <c r="AB285" s="36"/>
      <c r="AC285" s="36"/>
      <c r="AD285" s="36">
        <f t="shared" si="73"/>
        <v>0</v>
      </c>
      <c r="AE285" s="36">
        <f t="shared" si="74"/>
        <v>0</v>
      </c>
      <c r="AF285" s="36">
        <f t="shared" si="65"/>
        <v>7</v>
      </c>
      <c r="AG285" s="36">
        <f t="shared" si="65"/>
        <v>84</v>
      </c>
      <c r="AH285" s="36">
        <f t="shared" si="66"/>
        <v>7</v>
      </c>
      <c r="AI285" s="36">
        <f t="shared" si="66"/>
        <v>84</v>
      </c>
      <c r="AJ285" s="29">
        <f t="shared" si="63"/>
        <v>12</v>
      </c>
    </row>
    <row r="286" spans="1:36">
      <c r="A286" s="33" t="s">
        <v>320</v>
      </c>
      <c r="B286" s="33" t="s">
        <v>348</v>
      </c>
      <c r="C286" s="34" t="s">
        <v>100</v>
      </c>
      <c r="D286" s="34" t="str">
        <f t="shared" si="64"/>
        <v>3V65006203V0(V901)</v>
      </c>
      <c r="E286" s="33" t="s">
        <v>18</v>
      </c>
      <c r="F286" s="33" t="s">
        <v>18</v>
      </c>
      <c r="G286" s="35">
        <v>5</v>
      </c>
      <c r="H286" s="35"/>
      <c r="I286" s="36"/>
      <c r="J286" s="36"/>
      <c r="K286" s="36"/>
      <c r="L286" s="36">
        <f t="shared" si="67"/>
        <v>0</v>
      </c>
      <c r="M286" s="36">
        <f t="shared" si="68"/>
        <v>0</v>
      </c>
      <c r="N286" s="36">
        <v>3</v>
      </c>
      <c r="O286" s="36"/>
      <c r="P286" s="36">
        <v>1</v>
      </c>
      <c r="Q286" s="36"/>
      <c r="R286" s="36">
        <v>1</v>
      </c>
      <c r="S286" s="36">
        <f t="shared" si="69"/>
        <v>5</v>
      </c>
      <c r="T286" s="36">
        <f t="shared" si="70"/>
        <v>60</v>
      </c>
      <c r="U286" s="36">
        <v>2</v>
      </c>
      <c r="V286" s="36"/>
      <c r="W286" s="36"/>
      <c r="X286" s="36">
        <f t="shared" si="71"/>
        <v>2</v>
      </c>
      <c r="Y286" s="36">
        <f t="shared" si="72"/>
        <v>24</v>
      </c>
      <c r="Z286" s="36"/>
      <c r="AA286" s="36"/>
      <c r="AB286" s="36"/>
      <c r="AC286" s="36"/>
      <c r="AD286" s="36">
        <f t="shared" si="73"/>
        <v>0</v>
      </c>
      <c r="AE286" s="36">
        <f t="shared" si="74"/>
        <v>0</v>
      </c>
      <c r="AF286" s="36">
        <f t="shared" ref="AF286:AG301" si="75">SUM(S286,X286,AD286)</f>
        <v>7</v>
      </c>
      <c r="AG286" s="36">
        <f t="shared" si="75"/>
        <v>84</v>
      </c>
      <c r="AH286" s="36">
        <f t="shared" ref="AH286:AI301" si="76">SUM(L286,AF286)</f>
        <v>7</v>
      </c>
      <c r="AI286" s="36">
        <f t="shared" si="76"/>
        <v>84</v>
      </c>
      <c r="AJ286" s="29">
        <f t="shared" si="63"/>
        <v>12</v>
      </c>
    </row>
    <row r="287" spans="1:36">
      <c r="A287" s="33" t="s">
        <v>299</v>
      </c>
      <c r="B287" s="33" t="s">
        <v>349</v>
      </c>
      <c r="C287" s="34" t="s">
        <v>94</v>
      </c>
      <c r="D287" s="34" t="str">
        <f t="shared" si="64"/>
        <v>V65USLO22CO-.DIXIE-1(D903)</v>
      </c>
      <c r="E287" s="33" t="s">
        <v>9</v>
      </c>
      <c r="F287" s="33" t="s">
        <v>9</v>
      </c>
      <c r="G287" s="35">
        <v>5</v>
      </c>
      <c r="H287" s="35">
        <v>16</v>
      </c>
      <c r="I287" s="36">
        <v>1</v>
      </c>
      <c r="J287" s="36">
        <v>1</v>
      </c>
      <c r="K287" s="36">
        <v>2</v>
      </c>
      <c r="L287" s="36">
        <f t="shared" si="67"/>
        <v>20</v>
      </c>
      <c r="M287" s="36">
        <f t="shared" si="68"/>
        <v>240</v>
      </c>
      <c r="N287" s="36">
        <v>12</v>
      </c>
      <c r="O287" s="36">
        <v>1</v>
      </c>
      <c r="P287" s="36">
        <v>1</v>
      </c>
      <c r="Q287" s="36">
        <v>1</v>
      </c>
      <c r="R287" s="36">
        <v>1</v>
      </c>
      <c r="S287" s="36">
        <f t="shared" si="69"/>
        <v>16</v>
      </c>
      <c r="T287" s="36">
        <f t="shared" si="70"/>
        <v>192</v>
      </c>
      <c r="U287" s="36">
        <v>8</v>
      </c>
      <c r="V287" s="36">
        <v>1</v>
      </c>
      <c r="W287" s="36">
        <v>1</v>
      </c>
      <c r="X287" s="36">
        <f t="shared" si="71"/>
        <v>10</v>
      </c>
      <c r="Y287" s="36">
        <f t="shared" si="72"/>
        <v>120</v>
      </c>
      <c r="Z287" s="36">
        <v>5</v>
      </c>
      <c r="AA287" s="36">
        <v>1</v>
      </c>
      <c r="AB287" s="36">
        <v>0</v>
      </c>
      <c r="AC287" s="36">
        <v>1</v>
      </c>
      <c r="AD287" s="36">
        <f t="shared" si="73"/>
        <v>7</v>
      </c>
      <c r="AE287" s="36">
        <f t="shared" si="74"/>
        <v>84</v>
      </c>
      <c r="AF287" s="36">
        <f t="shared" si="75"/>
        <v>33</v>
      </c>
      <c r="AG287" s="36">
        <f t="shared" si="75"/>
        <v>396</v>
      </c>
      <c r="AH287" s="36">
        <f t="shared" si="76"/>
        <v>53</v>
      </c>
      <c r="AI287" s="36">
        <f t="shared" si="76"/>
        <v>636</v>
      </c>
      <c r="AJ287" s="29">
        <f t="shared" si="63"/>
        <v>12</v>
      </c>
    </row>
    <row r="288" spans="1:36">
      <c r="A288" s="33" t="s">
        <v>299</v>
      </c>
      <c r="B288" s="33" t="s">
        <v>349</v>
      </c>
      <c r="C288" s="34" t="s">
        <v>95</v>
      </c>
      <c r="D288" s="34" t="str">
        <f t="shared" si="64"/>
        <v>V65USLO22CO-.DIXIE-3(D903)</v>
      </c>
      <c r="E288" s="33" t="s">
        <v>9</v>
      </c>
      <c r="F288" s="33" t="s">
        <v>9</v>
      </c>
      <c r="G288" s="35">
        <v>5</v>
      </c>
      <c r="H288" s="35">
        <v>16</v>
      </c>
      <c r="I288" s="36">
        <v>1</v>
      </c>
      <c r="J288" s="36">
        <v>1</v>
      </c>
      <c r="K288" s="36">
        <v>2</v>
      </c>
      <c r="L288" s="36">
        <f t="shared" si="67"/>
        <v>20</v>
      </c>
      <c r="M288" s="36">
        <f t="shared" si="68"/>
        <v>240</v>
      </c>
      <c r="N288" s="36">
        <v>12</v>
      </c>
      <c r="O288" s="36">
        <v>1</v>
      </c>
      <c r="P288" s="36">
        <v>1</v>
      </c>
      <c r="Q288" s="36">
        <v>1</v>
      </c>
      <c r="R288" s="36">
        <v>1</v>
      </c>
      <c r="S288" s="36">
        <f t="shared" si="69"/>
        <v>16</v>
      </c>
      <c r="T288" s="36">
        <f t="shared" si="70"/>
        <v>192</v>
      </c>
      <c r="U288" s="36">
        <v>8</v>
      </c>
      <c r="V288" s="36">
        <v>1</v>
      </c>
      <c r="W288" s="36">
        <v>1</v>
      </c>
      <c r="X288" s="36">
        <f t="shared" si="71"/>
        <v>10</v>
      </c>
      <c r="Y288" s="36">
        <f t="shared" si="72"/>
        <v>120</v>
      </c>
      <c r="Z288" s="36">
        <v>5</v>
      </c>
      <c r="AA288" s="36">
        <v>1</v>
      </c>
      <c r="AB288" s="36">
        <v>0</v>
      </c>
      <c r="AC288" s="36">
        <v>1</v>
      </c>
      <c r="AD288" s="36">
        <f t="shared" si="73"/>
        <v>7</v>
      </c>
      <c r="AE288" s="36">
        <f t="shared" si="74"/>
        <v>84</v>
      </c>
      <c r="AF288" s="36">
        <f t="shared" si="75"/>
        <v>33</v>
      </c>
      <c r="AG288" s="36">
        <f t="shared" si="75"/>
        <v>396</v>
      </c>
      <c r="AH288" s="36">
        <f t="shared" si="76"/>
        <v>53</v>
      </c>
      <c r="AI288" s="36">
        <f t="shared" si="76"/>
        <v>636</v>
      </c>
      <c r="AJ288" s="29">
        <f t="shared" si="63"/>
        <v>12</v>
      </c>
    </row>
    <row r="289" spans="1:36">
      <c r="A289" s="33" t="s">
        <v>299</v>
      </c>
      <c r="B289" s="33" t="s">
        <v>349</v>
      </c>
      <c r="C289" s="34" t="s">
        <v>103</v>
      </c>
      <c r="D289" s="34" t="str">
        <f t="shared" si="64"/>
        <v>V65EULO22CO-.DIXIE-1(D903)</v>
      </c>
      <c r="E289" s="33" t="s">
        <v>9</v>
      </c>
      <c r="F289" s="33" t="s">
        <v>9</v>
      </c>
      <c r="G289" s="35">
        <v>5</v>
      </c>
      <c r="H289" s="35">
        <v>16</v>
      </c>
      <c r="I289" s="36">
        <v>1</v>
      </c>
      <c r="J289" s="36">
        <v>1</v>
      </c>
      <c r="K289" s="36">
        <v>2</v>
      </c>
      <c r="L289" s="36">
        <f t="shared" si="67"/>
        <v>20</v>
      </c>
      <c r="M289" s="36">
        <f t="shared" si="68"/>
        <v>240</v>
      </c>
      <c r="N289" s="36">
        <v>12</v>
      </c>
      <c r="O289" s="36">
        <v>1</v>
      </c>
      <c r="P289" s="36">
        <v>1</v>
      </c>
      <c r="Q289" s="36">
        <v>1</v>
      </c>
      <c r="R289" s="36">
        <v>1</v>
      </c>
      <c r="S289" s="36">
        <f t="shared" si="69"/>
        <v>16</v>
      </c>
      <c r="T289" s="36">
        <f t="shared" si="70"/>
        <v>192</v>
      </c>
      <c r="U289" s="36">
        <v>8</v>
      </c>
      <c r="V289" s="36">
        <v>1</v>
      </c>
      <c r="W289" s="36">
        <v>1</v>
      </c>
      <c r="X289" s="36">
        <f t="shared" si="71"/>
        <v>10</v>
      </c>
      <c r="Y289" s="36">
        <f t="shared" si="72"/>
        <v>120</v>
      </c>
      <c r="Z289" s="36">
        <v>5</v>
      </c>
      <c r="AA289" s="36">
        <v>1</v>
      </c>
      <c r="AB289" s="36">
        <v>0</v>
      </c>
      <c r="AC289" s="36">
        <v>1</v>
      </c>
      <c r="AD289" s="36">
        <f t="shared" si="73"/>
        <v>7</v>
      </c>
      <c r="AE289" s="36">
        <f t="shared" si="74"/>
        <v>84</v>
      </c>
      <c r="AF289" s="36">
        <f t="shared" si="75"/>
        <v>33</v>
      </c>
      <c r="AG289" s="36">
        <f t="shared" si="75"/>
        <v>396</v>
      </c>
      <c r="AH289" s="36">
        <f t="shared" si="76"/>
        <v>53</v>
      </c>
      <c r="AI289" s="36">
        <f t="shared" si="76"/>
        <v>636</v>
      </c>
      <c r="AJ289" s="29">
        <f t="shared" si="63"/>
        <v>12</v>
      </c>
    </row>
    <row r="290" spans="1:36">
      <c r="A290" s="33" t="s">
        <v>299</v>
      </c>
      <c r="B290" s="33" t="s">
        <v>349</v>
      </c>
      <c r="C290" s="34" t="s">
        <v>104</v>
      </c>
      <c r="D290" s="34" t="str">
        <f t="shared" si="64"/>
        <v>V65EULO22CO-.DIXIE-3(D903)</v>
      </c>
      <c r="E290" s="33" t="s">
        <v>9</v>
      </c>
      <c r="F290" s="33" t="s">
        <v>9</v>
      </c>
      <c r="G290" s="35">
        <v>5</v>
      </c>
      <c r="H290" s="35">
        <v>16</v>
      </c>
      <c r="I290" s="36">
        <v>1</v>
      </c>
      <c r="J290" s="36">
        <v>1</v>
      </c>
      <c r="K290" s="36">
        <v>2</v>
      </c>
      <c r="L290" s="36">
        <f t="shared" si="67"/>
        <v>20</v>
      </c>
      <c r="M290" s="36">
        <f t="shared" si="68"/>
        <v>240</v>
      </c>
      <c r="N290" s="36">
        <v>12</v>
      </c>
      <c r="O290" s="36">
        <v>1</v>
      </c>
      <c r="P290" s="36">
        <v>1</v>
      </c>
      <c r="Q290" s="36">
        <v>1</v>
      </c>
      <c r="R290" s="36">
        <v>1</v>
      </c>
      <c r="S290" s="36">
        <f t="shared" si="69"/>
        <v>16</v>
      </c>
      <c r="T290" s="36">
        <f t="shared" si="70"/>
        <v>192</v>
      </c>
      <c r="U290" s="36">
        <v>8</v>
      </c>
      <c r="V290" s="36">
        <v>1</v>
      </c>
      <c r="W290" s="36">
        <v>1</v>
      </c>
      <c r="X290" s="36">
        <f t="shared" si="71"/>
        <v>10</v>
      </c>
      <c r="Y290" s="36">
        <f t="shared" si="72"/>
        <v>120</v>
      </c>
      <c r="Z290" s="36">
        <v>5</v>
      </c>
      <c r="AA290" s="36">
        <v>1</v>
      </c>
      <c r="AB290" s="36">
        <v>0</v>
      </c>
      <c r="AC290" s="36">
        <v>1</v>
      </c>
      <c r="AD290" s="36">
        <f t="shared" si="73"/>
        <v>7</v>
      </c>
      <c r="AE290" s="36">
        <f t="shared" si="74"/>
        <v>84</v>
      </c>
      <c r="AF290" s="36">
        <f t="shared" si="75"/>
        <v>33</v>
      </c>
      <c r="AG290" s="36">
        <f t="shared" si="75"/>
        <v>396</v>
      </c>
      <c r="AH290" s="36">
        <f t="shared" si="76"/>
        <v>53</v>
      </c>
      <c r="AI290" s="36">
        <f t="shared" si="76"/>
        <v>636</v>
      </c>
      <c r="AJ290" s="29">
        <f t="shared" si="63"/>
        <v>12</v>
      </c>
    </row>
    <row r="291" spans="1:36">
      <c r="A291" s="33" t="s">
        <v>299</v>
      </c>
      <c r="B291" s="33" t="s">
        <v>349</v>
      </c>
      <c r="C291" s="34" t="s">
        <v>105</v>
      </c>
      <c r="D291" s="34" t="str">
        <f t="shared" si="64"/>
        <v>V65GBLO22CO-.DIXIE-1(D903)</v>
      </c>
      <c r="E291" s="33" t="s">
        <v>9</v>
      </c>
      <c r="F291" s="33" t="s">
        <v>9</v>
      </c>
      <c r="G291" s="35">
        <v>5</v>
      </c>
      <c r="H291" s="35">
        <v>16</v>
      </c>
      <c r="I291" s="36">
        <v>1</v>
      </c>
      <c r="J291" s="36">
        <v>1</v>
      </c>
      <c r="K291" s="36">
        <v>2</v>
      </c>
      <c r="L291" s="36">
        <f t="shared" si="67"/>
        <v>20</v>
      </c>
      <c r="M291" s="36">
        <f t="shared" si="68"/>
        <v>240</v>
      </c>
      <c r="N291" s="36">
        <v>12</v>
      </c>
      <c r="O291" s="36">
        <v>1</v>
      </c>
      <c r="P291" s="36">
        <v>1</v>
      </c>
      <c r="Q291" s="36">
        <v>1</v>
      </c>
      <c r="R291" s="36">
        <v>1</v>
      </c>
      <c r="S291" s="36">
        <f t="shared" si="69"/>
        <v>16</v>
      </c>
      <c r="T291" s="36">
        <f t="shared" si="70"/>
        <v>192</v>
      </c>
      <c r="U291" s="36">
        <v>8</v>
      </c>
      <c r="V291" s="36">
        <v>1</v>
      </c>
      <c r="W291" s="36">
        <v>1</v>
      </c>
      <c r="X291" s="36">
        <f t="shared" si="71"/>
        <v>10</v>
      </c>
      <c r="Y291" s="36">
        <f t="shared" si="72"/>
        <v>120</v>
      </c>
      <c r="Z291" s="36">
        <v>5</v>
      </c>
      <c r="AA291" s="36">
        <v>1</v>
      </c>
      <c r="AB291" s="36">
        <v>0</v>
      </c>
      <c r="AC291" s="36">
        <v>1</v>
      </c>
      <c r="AD291" s="36">
        <f t="shared" si="73"/>
        <v>7</v>
      </c>
      <c r="AE291" s="36">
        <f t="shared" si="74"/>
        <v>84</v>
      </c>
      <c r="AF291" s="36">
        <f t="shared" si="75"/>
        <v>33</v>
      </c>
      <c r="AG291" s="36">
        <f t="shared" si="75"/>
        <v>396</v>
      </c>
      <c r="AH291" s="36">
        <f t="shared" si="76"/>
        <v>53</v>
      </c>
      <c r="AI291" s="36">
        <f t="shared" si="76"/>
        <v>636</v>
      </c>
      <c r="AJ291" s="29">
        <f t="shared" si="63"/>
        <v>12</v>
      </c>
    </row>
    <row r="292" spans="1:36">
      <c r="A292" s="33" t="s">
        <v>299</v>
      </c>
      <c r="B292" s="33" t="s">
        <v>349</v>
      </c>
      <c r="C292" s="34" t="s">
        <v>110</v>
      </c>
      <c r="D292" s="34" t="str">
        <f t="shared" si="64"/>
        <v>V65GBLO22CO-.DIXIE-3(D903)</v>
      </c>
      <c r="E292" s="33" t="s">
        <v>9</v>
      </c>
      <c r="F292" s="33" t="s">
        <v>9</v>
      </c>
      <c r="G292" s="35">
        <v>5</v>
      </c>
      <c r="H292" s="35">
        <v>16</v>
      </c>
      <c r="I292" s="36">
        <v>1</v>
      </c>
      <c r="J292" s="36">
        <v>1</v>
      </c>
      <c r="K292" s="36">
        <v>2</v>
      </c>
      <c r="L292" s="36">
        <f t="shared" si="67"/>
        <v>20</v>
      </c>
      <c r="M292" s="36">
        <f t="shared" si="68"/>
        <v>240</v>
      </c>
      <c r="N292" s="36">
        <v>12</v>
      </c>
      <c r="O292" s="36">
        <v>1</v>
      </c>
      <c r="P292" s="36">
        <v>1</v>
      </c>
      <c r="Q292" s="36">
        <v>1</v>
      </c>
      <c r="R292" s="36">
        <v>1</v>
      </c>
      <c r="S292" s="36">
        <f t="shared" si="69"/>
        <v>16</v>
      </c>
      <c r="T292" s="36">
        <f t="shared" si="70"/>
        <v>192</v>
      </c>
      <c r="U292" s="36">
        <v>8</v>
      </c>
      <c r="V292" s="36">
        <v>1</v>
      </c>
      <c r="W292" s="36">
        <v>1</v>
      </c>
      <c r="X292" s="36">
        <f t="shared" si="71"/>
        <v>10</v>
      </c>
      <c r="Y292" s="36">
        <f t="shared" si="72"/>
        <v>120</v>
      </c>
      <c r="Z292" s="36">
        <v>5</v>
      </c>
      <c r="AA292" s="36">
        <v>1</v>
      </c>
      <c r="AB292" s="36">
        <v>0</v>
      </c>
      <c r="AC292" s="36">
        <v>1</v>
      </c>
      <c r="AD292" s="36">
        <f t="shared" si="73"/>
        <v>7</v>
      </c>
      <c r="AE292" s="36">
        <f t="shared" si="74"/>
        <v>84</v>
      </c>
      <c r="AF292" s="36">
        <f t="shared" si="75"/>
        <v>33</v>
      </c>
      <c r="AG292" s="36">
        <f t="shared" si="75"/>
        <v>396</v>
      </c>
      <c r="AH292" s="36">
        <f t="shared" si="76"/>
        <v>53</v>
      </c>
      <c r="AI292" s="36">
        <f t="shared" si="76"/>
        <v>636</v>
      </c>
      <c r="AJ292" s="29">
        <f t="shared" si="63"/>
        <v>12</v>
      </c>
    </row>
    <row r="293" spans="1:36">
      <c r="A293" s="33" t="s">
        <v>299</v>
      </c>
      <c r="B293" s="33" t="s">
        <v>349</v>
      </c>
      <c r="C293" s="34" t="s">
        <v>106</v>
      </c>
      <c r="D293" s="34" t="str">
        <f t="shared" si="64"/>
        <v>V65SSLO22CO-.DIXIE-1(D903)</v>
      </c>
      <c r="E293" s="33" t="s">
        <v>9</v>
      </c>
      <c r="F293" s="33" t="s">
        <v>9</v>
      </c>
      <c r="G293" s="35">
        <v>5</v>
      </c>
      <c r="H293" s="35">
        <v>16</v>
      </c>
      <c r="I293" s="36">
        <v>1</v>
      </c>
      <c r="J293" s="36">
        <v>1</v>
      </c>
      <c r="K293" s="36">
        <v>2</v>
      </c>
      <c r="L293" s="36">
        <f t="shared" si="67"/>
        <v>20</v>
      </c>
      <c r="M293" s="36">
        <f t="shared" si="68"/>
        <v>240</v>
      </c>
      <c r="N293" s="36">
        <v>12</v>
      </c>
      <c r="O293" s="36">
        <v>1</v>
      </c>
      <c r="P293" s="36">
        <v>1</v>
      </c>
      <c r="Q293" s="36">
        <v>1</v>
      </c>
      <c r="R293" s="36">
        <v>1</v>
      </c>
      <c r="S293" s="36">
        <f t="shared" si="69"/>
        <v>16</v>
      </c>
      <c r="T293" s="36">
        <f t="shared" si="70"/>
        <v>192</v>
      </c>
      <c r="U293" s="36">
        <v>8</v>
      </c>
      <c r="V293" s="36">
        <v>1</v>
      </c>
      <c r="W293" s="36">
        <v>1</v>
      </c>
      <c r="X293" s="36">
        <f t="shared" si="71"/>
        <v>10</v>
      </c>
      <c r="Y293" s="36">
        <f t="shared" si="72"/>
        <v>120</v>
      </c>
      <c r="Z293" s="36">
        <v>5</v>
      </c>
      <c r="AA293" s="36">
        <v>1</v>
      </c>
      <c r="AB293" s="36">
        <v>0</v>
      </c>
      <c r="AC293" s="36">
        <v>1</v>
      </c>
      <c r="AD293" s="36">
        <f t="shared" si="73"/>
        <v>7</v>
      </c>
      <c r="AE293" s="36">
        <f t="shared" si="74"/>
        <v>84</v>
      </c>
      <c r="AF293" s="36">
        <f t="shared" si="75"/>
        <v>33</v>
      </c>
      <c r="AG293" s="36">
        <f t="shared" si="75"/>
        <v>396</v>
      </c>
      <c r="AH293" s="36">
        <f t="shared" si="76"/>
        <v>53</v>
      </c>
      <c r="AI293" s="36">
        <f t="shared" si="76"/>
        <v>636</v>
      </c>
      <c r="AJ293" s="29">
        <f t="shared" si="63"/>
        <v>12</v>
      </c>
    </row>
    <row r="294" spans="1:36">
      <c r="A294" s="33" t="s">
        <v>299</v>
      </c>
      <c r="B294" s="33" t="s">
        <v>349</v>
      </c>
      <c r="C294" s="34" t="s">
        <v>111</v>
      </c>
      <c r="D294" s="34" t="str">
        <f t="shared" si="64"/>
        <v>V65SSLO22CO-.DIXIE-3(D903)</v>
      </c>
      <c r="E294" s="33" t="s">
        <v>9</v>
      </c>
      <c r="F294" s="33" t="s">
        <v>9</v>
      </c>
      <c r="G294" s="35">
        <v>5</v>
      </c>
      <c r="H294" s="35">
        <v>16</v>
      </c>
      <c r="I294" s="36">
        <v>1</v>
      </c>
      <c r="J294" s="36">
        <v>1</v>
      </c>
      <c r="K294" s="36">
        <v>2</v>
      </c>
      <c r="L294" s="36">
        <f t="shared" si="67"/>
        <v>20</v>
      </c>
      <c r="M294" s="36">
        <f t="shared" si="68"/>
        <v>240</v>
      </c>
      <c r="N294" s="36">
        <v>12</v>
      </c>
      <c r="O294" s="36">
        <v>1</v>
      </c>
      <c r="P294" s="36">
        <v>1</v>
      </c>
      <c r="Q294" s="36">
        <v>1</v>
      </c>
      <c r="R294" s="36">
        <v>1</v>
      </c>
      <c r="S294" s="36">
        <f t="shared" si="69"/>
        <v>16</v>
      </c>
      <c r="T294" s="36">
        <f t="shared" si="70"/>
        <v>192</v>
      </c>
      <c r="U294" s="36">
        <v>8</v>
      </c>
      <c r="V294" s="36">
        <v>1</v>
      </c>
      <c r="W294" s="36">
        <v>1</v>
      </c>
      <c r="X294" s="36">
        <f t="shared" si="71"/>
        <v>10</v>
      </c>
      <c r="Y294" s="36">
        <f t="shared" si="72"/>
        <v>120</v>
      </c>
      <c r="Z294" s="36">
        <v>5</v>
      </c>
      <c r="AA294" s="36">
        <v>1</v>
      </c>
      <c r="AB294" s="36">
        <v>0</v>
      </c>
      <c r="AC294" s="36">
        <v>1</v>
      </c>
      <c r="AD294" s="36">
        <f t="shared" si="73"/>
        <v>7</v>
      </c>
      <c r="AE294" s="36">
        <f t="shared" si="74"/>
        <v>84</v>
      </c>
      <c r="AF294" s="36">
        <f t="shared" si="75"/>
        <v>33</v>
      </c>
      <c r="AG294" s="36">
        <f t="shared" si="75"/>
        <v>396</v>
      </c>
      <c r="AH294" s="36">
        <f t="shared" si="76"/>
        <v>53</v>
      </c>
      <c r="AI294" s="36">
        <f t="shared" si="76"/>
        <v>636</v>
      </c>
      <c r="AJ294" s="29">
        <f t="shared" si="63"/>
        <v>12</v>
      </c>
    </row>
    <row r="295" spans="1:36">
      <c r="A295" s="33" t="s">
        <v>299</v>
      </c>
      <c r="B295" s="33" t="s">
        <v>349</v>
      </c>
      <c r="C295" s="34" t="s">
        <v>107</v>
      </c>
      <c r="D295" s="34" t="str">
        <f t="shared" si="64"/>
        <v>V65INLO22CO-.DIXIE-1(D903)</v>
      </c>
      <c r="E295" s="33" t="s">
        <v>9</v>
      </c>
      <c r="F295" s="33" t="s">
        <v>9</v>
      </c>
      <c r="G295" s="35">
        <v>5</v>
      </c>
      <c r="H295" s="35">
        <v>16</v>
      </c>
      <c r="I295" s="36">
        <v>1</v>
      </c>
      <c r="J295" s="36">
        <v>1</v>
      </c>
      <c r="K295" s="36">
        <v>2</v>
      </c>
      <c r="L295" s="36">
        <f t="shared" si="67"/>
        <v>20</v>
      </c>
      <c r="M295" s="36">
        <f t="shared" si="68"/>
        <v>240</v>
      </c>
      <c r="N295" s="36">
        <v>12</v>
      </c>
      <c r="O295" s="36">
        <v>1</v>
      </c>
      <c r="P295" s="36">
        <v>1</v>
      </c>
      <c r="Q295" s="36">
        <v>1</v>
      </c>
      <c r="R295" s="36">
        <v>1</v>
      </c>
      <c r="S295" s="36">
        <f t="shared" si="69"/>
        <v>16</v>
      </c>
      <c r="T295" s="36">
        <f t="shared" si="70"/>
        <v>192</v>
      </c>
      <c r="U295" s="36">
        <v>8</v>
      </c>
      <c r="V295" s="36">
        <v>1</v>
      </c>
      <c r="W295" s="36">
        <v>1</v>
      </c>
      <c r="X295" s="36">
        <f t="shared" si="71"/>
        <v>10</v>
      </c>
      <c r="Y295" s="36">
        <f t="shared" si="72"/>
        <v>120</v>
      </c>
      <c r="Z295" s="36">
        <v>5</v>
      </c>
      <c r="AA295" s="36">
        <v>1</v>
      </c>
      <c r="AB295" s="36">
        <v>0</v>
      </c>
      <c r="AC295" s="36">
        <v>1</v>
      </c>
      <c r="AD295" s="36">
        <f t="shared" si="73"/>
        <v>7</v>
      </c>
      <c r="AE295" s="36">
        <f t="shared" si="74"/>
        <v>84</v>
      </c>
      <c r="AF295" s="36">
        <f t="shared" si="75"/>
        <v>33</v>
      </c>
      <c r="AG295" s="36">
        <f t="shared" si="75"/>
        <v>396</v>
      </c>
      <c r="AH295" s="36">
        <f t="shared" si="76"/>
        <v>53</v>
      </c>
      <c r="AI295" s="36">
        <f t="shared" si="76"/>
        <v>636</v>
      </c>
      <c r="AJ295" s="29">
        <f t="shared" si="63"/>
        <v>12</v>
      </c>
    </row>
    <row r="296" spans="1:36">
      <c r="A296" s="33" t="s">
        <v>299</v>
      </c>
      <c r="B296" s="33" t="s">
        <v>349</v>
      </c>
      <c r="C296" s="34" t="s">
        <v>112</v>
      </c>
      <c r="D296" s="34" t="str">
        <f t="shared" si="64"/>
        <v>V65INLO22CO-.DIXIE-3(D903)</v>
      </c>
      <c r="E296" s="33" t="s">
        <v>9</v>
      </c>
      <c r="F296" s="33" t="s">
        <v>9</v>
      </c>
      <c r="G296" s="35">
        <v>5</v>
      </c>
      <c r="H296" s="35">
        <v>16</v>
      </c>
      <c r="I296" s="36">
        <v>1</v>
      </c>
      <c r="J296" s="36">
        <v>1</v>
      </c>
      <c r="K296" s="36">
        <v>2</v>
      </c>
      <c r="L296" s="36">
        <f t="shared" si="67"/>
        <v>20</v>
      </c>
      <c r="M296" s="36">
        <f t="shared" si="68"/>
        <v>240</v>
      </c>
      <c r="N296" s="36">
        <v>12</v>
      </c>
      <c r="O296" s="36">
        <v>1</v>
      </c>
      <c r="P296" s="36">
        <v>1</v>
      </c>
      <c r="Q296" s="36">
        <v>1</v>
      </c>
      <c r="R296" s="36">
        <v>1</v>
      </c>
      <c r="S296" s="36">
        <f t="shared" si="69"/>
        <v>16</v>
      </c>
      <c r="T296" s="36">
        <f t="shared" si="70"/>
        <v>192</v>
      </c>
      <c r="U296" s="36">
        <v>8</v>
      </c>
      <c r="V296" s="36">
        <v>1</v>
      </c>
      <c r="W296" s="36">
        <v>1</v>
      </c>
      <c r="X296" s="36">
        <f t="shared" si="71"/>
        <v>10</v>
      </c>
      <c r="Y296" s="36">
        <f t="shared" si="72"/>
        <v>120</v>
      </c>
      <c r="Z296" s="36">
        <v>5</v>
      </c>
      <c r="AA296" s="36">
        <v>1</v>
      </c>
      <c r="AB296" s="36">
        <v>0</v>
      </c>
      <c r="AC296" s="36">
        <v>1</v>
      </c>
      <c r="AD296" s="36">
        <f t="shared" si="73"/>
        <v>7</v>
      </c>
      <c r="AE296" s="36">
        <f t="shared" si="74"/>
        <v>84</v>
      </c>
      <c r="AF296" s="36">
        <f t="shared" si="75"/>
        <v>33</v>
      </c>
      <c r="AG296" s="36">
        <f t="shared" si="75"/>
        <v>396</v>
      </c>
      <c r="AH296" s="36">
        <f t="shared" si="76"/>
        <v>53</v>
      </c>
      <c r="AI296" s="36">
        <f t="shared" si="76"/>
        <v>636</v>
      </c>
      <c r="AJ296" s="29">
        <f t="shared" si="63"/>
        <v>12</v>
      </c>
    </row>
    <row r="297" spans="1:36">
      <c r="A297" s="33" t="s">
        <v>299</v>
      </c>
      <c r="B297" s="33" t="s">
        <v>349</v>
      </c>
      <c r="C297" s="34" t="s">
        <v>108</v>
      </c>
      <c r="D297" s="34" t="str">
        <f t="shared" si="64"/>
        <v>V65AULO22CO-.DIXIE-1(D903)</v>
      </c>
      <c r="E297" s="33" t="s">
        <v>9</v>
      </c>
      <c r="F297" s="33" t="s">
        <v>9</v>
      </c>
      <c r="G297" s="35">
        <v>5</v>
      </c>
      <c r="H297" s="35">
        <v>16</v>
      </c>
      <c r="I297" s="36">
        <v>1</v>
      </c>
      <c r="J297" s="36">
        <v>1</v>
      </c>
      <c r="K297" s="36">
        <v>2</v>
      </c>
      <c r="L297" s="36">
        <f t="shared" si="67"/>
        <v>20</v>
      </c>
      <c r="M297" s="36">
        <f t="shared" si="68"/>
        <v>240</v>
      </c>
      <c r="N297" s="36">
        <v>12</v>
      </c>
      <c r="O297" s="36">
        <v>1</v>
      </c>
      <c r="P297" s="36">
        <v>1</v>
      </c>
      <c r="Q297" s="36">
        <v>1</v>
      </c>
      <c r="R297" s="36">
        <v>1</v>
      </c>
      <c r="S297" s="36">
        <f t="shared" si="69"/>
        <v>16</v>
      </c>
      <c r="T297" s="36">
        <f t="shared" si="70"/>
        <v>192</v>
      </c>
      <c r="U297" s="36">
        <v>8</v>
      </c>
      <c r="V297" s="36">
        <v>1</v>
      </c>
      <c r="W297" s="36">
        <v>1</v>
      </c>
      <c r="X297" s="36">
        <f t="shared" si="71"/>
        <v>10</v>
      </c>
      <c r="Y297" s="36">
        <f t="shared" si="72"/>
        <v>120</v>
      </c>
      <c r="Z297" s="36">
        <v>5</v>
      </c>
      <c r="AA297" s="36">
        <v>1</v>
      </c>
      <c r="AB297" s="36">
        <v>0</v>
      </c>
      <c r="AC297" s="36">
        <v>1</v>
      </c>
      <c r="AD297" s="36">
        <f t="shared" si="73"/>
        <v>7</v>
      </c>
      <c r="AE297" s="36">
        <f t="shared" si="74"/>
        <v>84</v>
      </c>
      <c r="AF297" s="36">
        <f t="shared" si="75"/>
        <v>33</v>
      </c>
      <c r="AG297" s="36">
        <f t="shared" si="75"/>
        <v>396</v>
      </c>
      <c r="AH297" s="36">
        <f t="shared" si="76"/>
        <v>53</v>
      </c>
      <c r="AI297" s="36">
        <f t="shared" si="76"/>
        <v>636</v>
      </c>
      <c r="AJ297" s="29">
        <f t="shared" si="63"/>
        <v>12</v>
      </c>
    </row>
    <row r="298" spans="1:36">
      <c r="A298" s="33" t="s">
        <v>299</v>
      </c>
      <c r="B298" s="33" t="s">
        <v>349</v>
      </c>
      <c r="C298" s="34" t="s">
        <v>113</v>
      </c>
      <c r="D298" s="34" t="str">
        <f t="shared" si="64"/>
        <v>V65AULO22CO-.DIXIE-3(D903)</v>
      </c>
      <c r="E298" s="33" t="s">
        <v>9</v>
      </c>
      <c r="F298" s="33" t="s">
        <v>9</v>
      </c>
      <c r="G298" s="35">
        <v>5</v>
      </c>
      <c r="H298" s="35">
        <v>16</v>
      </c>
      <c r="I298" s="36">
        <v>1</v>
      </c>
      <c r="J298" s="36">
        <v>1</v>
      </c>
      <c r="K298" s="36">
        <v>2</v>
      </c>
      <c r="L298" s="36">
        <f t="shared" si="67"/>
        <v>20</v>
      </c>
      <c r="M298" s="36">
        <f t="shared" si="68"/>
        <v>240</v>
      </c>
      <c r="N298" s="36">
        <v>12</v>
      </c>
      <c r="O298" s="36">
        <v>1</v>
      </c>
      <c r="P298" s="36">
        <v>1</v>
      </c>
      <c r="Q298" s="36">
        <v>1</v>
      </c>
      <c r="R298" s="36">
        <v>1</v>
      </c>
      <c r="S298" s="36">
        <f t="shared" si="69"/>
        <v>16</v>
      </c>
      <c r="T298" s="36">
        <f t="shared" si="70"/>
        <v>192</v>
      </c>
      <c r="U298" s="36">
        <v>8</v>
      </c>
      <c r="V298" s="36">
        <v>1</v>
      </c>
      <c r="W298" s="36">
        <v>1</v>
      </c>
      <c r="X298" s="36">
        <f t="shared" si="71"/>
        <v>10</v>
      </c>
      <c r="Y298" s="36">
        <f t="shared" si="72"/>
        <v>120</v>
      </c>
      <c r="Z298" s="36">
        <v>5</v>
      </c>
      <c r="AA298" s="36">
        <v>1</v>
      </c>
      <c r="AB298" s="36">
        <v>0</v>
      </c>
      <c r="AC298" s="36">
        <v>1</v>
      </c>
      <c r="AD298" s="36">
        <f t="shared" si="73"/>
        <v>7</v>
      </c>
      <c r="AE298" s="36">
        <f t="shared" si="74"/>
        <v>84</v>
      </c>
      <c r="AF298" s="36">
        <f t="shared" si="75"/>
        <v>33</v>
      </c>
      <c r="AG298" s="36">
        <f t="shared" si="75"/>
        <v>396</v>
      </c>
      <c r="AH298" s="36">
        <f t="shared" si="76"/>
        <v>53</v>
      </c>
      <c r="AI298" s="36">
        <f t="shared" si="76"/>
        <v>636</v>
      </c>
      <c r="AJ298" s="29">
        <f t="shared" si="63"/>
        <v>12</v>
      </c>
    </row>
    <row r="299" spans="1:36">
      <c r="A299" s="33" t="s">
        <v>299</v>
      </c>
      <c r="B299" s="33" t="s">
        <v>349</v>
      </c>
      <c r="C299" s="34" t="s">
        <v>114</v>
      </c>
      <c r="D299" s="34" t="str">
        <f t="shared" si="64"/>
        <v>V65BRLO22CO-.DIXIE-1(D903)</v>
      </c>
      <c r="E299" s="33" t="s">
        <v>9</v>
      </c>
      <c r="F299" s="33" t="s">
        <v>9</v>
      </c>
      <c r="G299" s="35">
        <v>5</v>
      </c>
      <c r="H299" s="35">
        <v>16</v>
      </c>
      <c r="I299" s="36">
        <v>1</v>
      </c>
      <c r="J299" s="36">
        <v>1</v>
      </c>
      <c r="K299" s="36">
        <v>2</v>
      </c>
      <c r="L299" s="36">
        <f t="shared" si="67"/>
        <v>20</v>
      </c>
      <c r="M299" s="36">
        <f t="shared" si="68"/>
        <v>240</v>
      </c>
      <c r="N299" s="36">
        <v>12</v>
      </c>
      <c r="O299" s="36">
        <v>1</v>
      </c>
      <c r="P299" s="36">
        <v>1</v>
      </c>
      <c r="Q299" s="36">
        <v>1</v>
      </c>
      <c r="R299" s="36">
        <v>1</v>
      </c>
      <c r="S299" s="36">
        <f t="shared" si="69"/>
        <v>16</v>
      </c>
      <c r="T299" s="36">
        <f t="shared" si="70"/>
        <v>192</v>
      </c>
      <c r="U299" s="36">
        <v>8</v>
      </c>
      <c r="V299" s="36">
        <v>1</v>
      </c>
      <c r="W299" s="36">
        <v>1</v>
      </c>
      <c r="X299" s="36">
        <f t="shared" si="71"/>
        <v>10</v>
      </c>
      <c r="Y299" s="36">
        <f t="shared" si="72"/>
        <v>120</v>
      </c>
      <c r="Z299" s="36">
        <v>5</v>
      </c>
      <c r="AA299" s="36">
        <v>1</v>
      </c>
      <c r="AB299" s="36">
        <v>0</v>
      </c>
      <c r="AC299" s="36">
        <v>1</v>
      </c>
      <c r="AD299" s="36">
        <f t="shared" si="73"/>
        <v>7</v>
      </c>
      <c r="AE299" s="36">
        <f t="shared" si="74"/>
        <v>84</v>
      </c>
      <c r="AF299" s="36">
        <f t="shared" si="75"/>
        <v>33</v>
      </c>
      <c r="AG299" s="36">
        <f t="shared" si="75"/>
        <v>396</v>
      </c>
      <c r="AH299" s="36">
        <f t="shared" si="76"/>
        <v>53</v>
      </c>
      <c r="AI299" s="36">
        <f t="shared" si="76"/>
        <v>636</v>
      </c>
      <c r="AJ299" s="29">
        <f t="shared" si="63"/>
        <v>12</v>
      </c>
    </row>
    <row r="300" spans="1:36">
      <c r="A300" s="33" t="s">
        <v>299</v>
      </c>
      <c r="B300" s="33" t="s">
        <v>349</v>
      </c>
      <c r="C300" s="34" t="s">
        <v>115</v>
      </c>
      <c r="D300" s="34" t="str">
        <f t="shared" si="64"/>
        <v>V65BRLO22CO-.DIXIE-3(D903)</v>
      </c>
      <c r="E300" s="33" t="s">
        <v>9</v>
      </c>
      <c r="F300" s="33" t="s">
        <v>9</v>
      </c>
      <c r="G300" s="35">
        <v>5</v>
      </c>
      <c r="H300" s="35">
        <v>16</v>
      </c>
      <c r="I300" s="36">
        <v>1</v>
      </c>
      <c r="J300" s="36">
        <v>1</v>
      </c>
      <c r="K300" s="36">
        <v>2</v>
      </c>
      <c r="L300" s="36">
        <f t="shared" si="67"/>
        <v>20</v>
      </c>
      <c r="M300" s="36">
        <f t="shared" si="68"/>
        <v>240</v>
      </c>
      <c r="N300" s="36">
        <v>12</v>
      </c>
      <c r="O300" s="36">
        <v>1</v>
      </c>
      <c r="P300" s="36">
        <v>1</v>
      </c>
      <c r="Q300" s="36">
        <v>1</v>
      </c>
      <c r="R300" s="36">
        <v>1</v>
      </c>
      <c r="S300" s="36">
        <f t="shared" si="69"/>
        <v>16</v>
      </c>
      <c r="T300" s="36">
        <f t="shared" si="70"/>
        <v>192</v>
      </c>
      <c r="U300" s="36">
        <v>8</v>
      </c>
      <c r="V300" s="36">
        <v>1</v>
      </c>
      <c r="W300" s="36">
        <v>1</v>
      </c>
      <c r="X300" s="36">
        <f t="shared" si="71"/>
        <v>10</v>
      </c>
      <c r="Y300" s="36">
        <f t="shared" si="72"/>
        <v>120</v>
      </c>
      <c r="Z300" s="36">
        <v>5</v>
      </c>
      <c r="AA300" s="36">
        <v>1</v>
      </c>
      <c r="AB300" s="36">
        <v>0</v>
      </c>
      <c r="AC300" s="36">
        <v>1</v>
      </c>
      <c r="AD300" s="36">
        <f t="shared" si="73"/>
        <v>7</v>
      </c>
      <c r="AE300" s="36">
        <f t="shared" si="74"/>
        <v>84</v>
      </c>
      <c r="AF300" s="36">
        <f t="shared" si="75"/>
        <v>33</v>
      </c>
      <c r="AG300" s="36">
        <f t="shared" si="75"/>
        <v>396</v>
      </c>
      <c r="AH300" s="36">
        <f t="shared" si="76"/>
        <v>53</v>
      </c>
      <c r="AI300" s="36">
        <f t="shared" si="76"/>
        <v>636</v>
      </c>
      <c r="AJ300" s="29">
        <f t="shared" si="63"/>
        <v>12</v>
      </c>
    </row>
    <row r="301" spans="1:36">
      <c r="A301" s="33" t="s">
        <v>299</v>
      </c>
      <c r="B301" s="33" t="s">
        <v>349</v>
      </c>
      <c r="C301" s="34" t="s">
        <v>116</v>
      </c>
      <c r="D301" s="34" t="str">
        <f t="shared" si="64"/>
        <v>V65THLO22CO-.DIXIE-1(D903)</v>
      </c>
      <c r="E301" s="33" t="s">
        <v>9</v>
      </c>
      <c r="F301" s="33" t="s">
        <v>9</v>
      </c>
      <c r="G301" s="35">
        <v>5</v>
      </c>
      <c r="H301" s="35">
        <v>16</v>
      </c>
      <c r="I301" s="36">
        <v>1</v>
      </c>
      <c r="J301" s="36">
        <v>1</v>
      </c>
      <c r="K301" s="36">
        <v>2</v>
      </c>
      <c r="L301" s="36">
        <f t="shared" si="67"/>
        <v>20</v>
      </c>
      <c r="M301" s="36">
        <f t="shared" si="68"/>
        <v>240</v>
      </c>
      <c r="N301" s="36">
        <v>12</v>
      </c>
      <c r="O301" s="36">
        <v>1</v>
      </c>
      <c r="P301" s="36">
        <v>1</v>
      </c>
      <c r="Q301" s="36">
        <v>1</v>
      </c>
      <c r="R301" s="36">
        <v>1</v>
      </c>
      <c r="S301" s="36">
        <f t="shared" si="69"/>
        <v>16</v>
      </c>
      <c r="T301" s="36">
        <f t="shared" si="70"/>
        <v>192</v>
      </c>
      <c r="U301" s="36">
        <v>8</v>
      </c>
      <c r="V301" s="36">
        <v>1</v>
      </c>
      <c r="W301" s="36">
        <v>1</v>
      </c>
      <c r="X301" s="36">
        <f t="shared" si="71"/>
        <v>10</v>
      </c>
      <c r="Y301" s="36">
        <f t="shared" si="72"/>
        <v>120</v>
      </c>
      <c r="Z301" s="36">
        <v>5</v>
      </c>
      <c r="AA301" s="36">
        <v>1</v>
      </c>
      <c r="AB301" s="36">
        <v>0</v>
      </c>
      <c r="AC301" s="36">
        <v>1</v>
      </c>
      <c r="AD301" s="36">
        <f t="shared" si="73"/>
        <v>7</v>
      </c>
      <c r="AE301" s="36">
        <f t="shared" si="74"/>
        <v>84</v>
      </c>
      <c r="AF301" s="36">
        <f t="shared" si="75"/>
        <v>33</v>
      </c>
      <c r="AG301" s="36">
        <f t="shared" si="75"/>
        <v>396</v>
      </c>
      <c r="AH301" s="36">
        <f t="shared" si="76"/>
        <v>53</v>
      </c>
      <c r="AI301" s="36">
        <f t="shared" si="76"/>
        <v>636</v>
      </c>
      <c r="AJ301" s="29">
        <f t="shared" si="63"/>
        <v>12</v>
      </c>
    </row>
    <row r="302" spans="1:36">
      <c r="A302" s="33" t="s">
        <v>299</v>
      </c>
      <c r="B302" s="33" t="s">
        <v>349</v>
      </c>
      <c r="C302" s="34" t="s">
        <v>117</v>
      </c>
      <c r="D302" s="34" t="str">
        <f t="shared" si="64"/>
        <v>V65THLO22CO-.DIXIE-3(D903)</v>
      </c>
      <c r="E302" s="33" t="s">
        <v>9</v>
      </c>
      <c r="F302" s="33" t="s">
        <v>9</v>
      </c>
      <c r="G302" s="35">
        <v>5</v>
      </c>
      <c r="H302" s="35">
        <v>16</v>
      </c>
      <c r="I302" s="36">
        <v>1</v>
      </c>
      <c r="J302" s="36">
        <v>1</v>
      </c>
      <c r="K302" s="36">
        <v>2</v>
      </c>
      <c r="L302" s="36">
        <f t="shared" si="67"/>
        <v>20</v>
      </c>
      <c r="M302" s="36">
        <f t="shared" si="68"/>
        <v>240</v>
      </c>
      <c r="N302" s="36">
        <v>12</v>
      </c>
      <c r="O302" s="36">
        <v>1</v>
      </c>
      <c r="P302" s="36">
        <v>1</v>
      </c>
      <c r="Q302" s="36">
        <v>1</v>
      </c>
      <c r="R302" s="36">
        <v>1</v>
      </c>
      <c r="S302" s="36">
        <f t="shared" si="69"/>
        <v>16</v>
      </c>
      <c r="T302" s="36">
        <f t="shared" si="70"/>
        <v>192</v>
      </c>
      <c r="U302" s="36">
        <v>8</v>
      </c>
      <c r="V302" s="36">
        <v>1</v>
      </c>
      <c r="W302" s="36">
        <v>1</v>
      </c>
      <c r="X302" s="36">
        <f t="shared" si="71"/>
        <v>10</v>
      </c>
      <c r="Y302" s="36">
        <f t="shared" si="72"/>
        <v>120</v>
      </c>
      <c r="Z302" s="36">
        <v>5</v>
      </c>
      <c r="AA302" s="36">
        <v>1</v>
      </c>
      <c r="AB302" s="36">
        <v>0</v>
      </c>
      <c r="AC302" s="36">
        <v>1</v>
      </c>
      <c r="AD302" s="36">
        <f t="shared" si="73"/>
        <v>7</v>
      </c>
      <c r="AE302" s="36">
        <f t="shared" si="74"/>
        <v>84</v>
      </c>
      <c r="AF302" s="36">
        <f t="shared" ref="AF302:AG329" si="77">SUM(S302,X302,AD302)</f>
        <v>33</v>
      </c>
      <c r="AG302" s="36">
        <f t="shared" si="77"/>
        <v>396</v>
      </c>
      <c r="AH302" s="36">
        <f t="shared" ref="AH302:AI329" si="78">SUM(L302,AF302)</f>
        <v>53</v>
      </c>
      <c r="AI302" s="36">
        <f t="shared" si="78"/>
        <v>636</v>
      </c>
      <c r="AJ302" s="29">
        <f t="shared" si="63"/>
        <v>12</v>
      </c>
    </row>
    <row r="303" spans="1:36">
      <c r="A303" s="33" t="s">
        <v>320</v>
      </c>
      <c r="B303" s="33" t="s">
        <v>349</v>
      </c>
      <c r="C303" s="34" t="s">
        <v>118</v>
      </c>
      <c r="D303" s="34" t="str">
        <f t="shared" si="64"/>
        <v>V65ILLO22CO-.DIXIE-1(D903)</v>
      </c>
      <c r="E303" s="33" t="s">
        <v>9</v>
      </c>
      <c r="F303" s="33" t="s">
        <v>9</v>
      </c>
      <c r="G303" s="35">
        <v>5</v>
      </c>
      <c r="H303" s="35">
        <v>16</v>
      </c>
      <c r="I303" s="36">
        <v>1</v>
      </c>
      <c r="J303" s="36">
        <v>1</v>
      </c>
      <c r="K303" s="36">
        <v>2</v>
      </c>
      <c r="L303" s="36">
        <f t="shared" si="67"/>
        <v>20</v>
      </c>
      <c r="M303" s="36">
        <f t="shared" si="68"/>
        <v>240</v>
      </c>
      <c r="N303" s="36">
        <v>12</v>
      </c>
      <c r="O303" s="36">
        <v>1</v>
      </c>
      <c r="P303" s="36">
        <v>1</v>
      </c>
      <c r="Q303" s="36">
        <v>1</v>
      </c>
      <c r="R303" s="36">
        <v>1</v>
      </c>
      <c r="S303" s="36">
        <f t="shared" si="69"/>
        <v>16</v>
      </c>
      <c r="T303" s="36">
        <f t="shared" si="70"/>
        <v>192</v>
      </c>
      <c r="U303" s="36">
        <v>8</v>
      </c>
      <c r="V303" s="36">
        <v>1</v>
      </c>
      <c r="W303" s="36">
        <v>1</v>
      </c>
      <c r="X303" s="36">
        <f t="shared" si="71"/>
        <v>10</v>
      </c>
      <c r="Y303" s="36">
        <f t="shared" si="72"/>
        <v>120</v>
      </c>
      <c r="Z303" s="36">
        <v>5</v>
      </c>
      <c r="AA303" s="36">
        <v>1</v>
      </c>
      <c r="AB303" s="36">
        <v>0</v>
      </c>
      <c r="AC303" s="36">
        <v>1</v>
      </c>
      <c r="AD303" s="36">
        <f t="shared" si="73"/>
        <v>7</v>
      </c>
      <c r="AE303" s="36">
        <f t="shared" si="74"/>
        <v>84</v>
      </c>
      <c r="AF303" s="36">
        <f t="shared" si="77"/>
        <v>33</v>
      </c>
      <c r="AG303" s="36">
        <f t="shared" si="77"/>
        <v>396</v>
      </c>
      <c r="AH303" s="36">
        <f t="shared" si="78"/>
        <v>53</v>
      </c>
      <c r="AI303" s="36">
        <f t="shared" si="78"/>
        <v>636</v>
      </c>
      <c r="AJ303" s="29">
        <f t="shared" si="63"/>
        <v>12</v>
      </c>
    </row>
    <row r="304" spans="1:36">
      <c r="A304" s="33" t="s">
        <v>350</v>
      </c>
      <c r="B304" s="33" t="s">
        <v>349</v>
      </c>
      <c r="C304" s="34" t="s">
        <v>119</v>
      </c>
      <c r="D304" s="34" t="str">
        <f t="shared" si="64"/>
        <v>V65ILLO22CO-.DIXIE-3(D903)</v>
      </c>
      <c r="E304" s="33" t="s">
        <v>9</v>
      </c>
      <c r="F304" s="33" t="s">
        <v>9</v>
      </c>
      <c r="G304" s="35">
        <v>5</v>
      </c>
      <c r="H304" s="35">
        <v>16</v>
      </c>
      <c r="I304" s="36">
        <v>1</v>
      </c>
      <c r="J304" s="36">
        <v>1</v>
      </c>
      <c r="K304" s="36">
        <v>2</v>
      </c>
      <c r="L304" s="36">
        <f t="shared" si="67"/>
        <v>20</v>
      </c>
      <c r="M304" s="36">
        <f t="shared" si="68"/>
        <v>240</v>
      </c>
      <c r="N304" s="36">
        <v>12</v>
      </c>
      <c r="O304" s="36">
        <v>1</v>
      </c>
      <c r="P304" s="36">
        <v>1</v>
      </c>
      <c r="Q304" s="36">
        <v>1</v>
      </c>
      <c r="R304" s="36">
        <v>1</v>
      </c>
      <c r="S304" s="36">
        <f t="shared" si="69"/>
        <v>16</v>
      </c>
      <c r="T304" s="36">
        <f t="shared" si="70"/>
        <v>192</v>
      </c>
      <c r="U304" s="36">
        <v>8</v>
      </c>
      <c r="V304" s="36">
        <v>1</v>
      </c>
      <c r="W304" s="36">
        <v>1</v>
      </c>
      <c r="X304" s="36">
        <f t="shared" si="71"/>
        <v>10</v>
      </c>
      <c r="Y304" s="36">
        <f t="shared" si="72"/>
        <v>120</v>
      </c>
      <c r="Z304" s="36">
        <v>5</v>
      </c>
      <c r="AA304" s="36">
        <v>1</v>
      </c>
      <c r="AB304" s="36">
        <v>0</v>
      </c>
      <c r="AC304" s="36">
        <v>1</v>
      </c>
      <c r="AD304" s="36">
        <f t="shared" si="73"/>
        <v>7</v>
      </c>
      <c r="AE304" s="36">
        <f t="shared" si="74"/>
        <v>84</v>
      </c>
      <c r="AF304" s="36">
        <f t="shared" si="77"/>
        <v>33</v>
      </c>
      <c r="AG304" s="36">
        <f t="shared" si="77"/>
        <v>396</v>
      </c>
      <c r="AH304" s="36">
        <f t="shared" si="78"/>
        <v>53</v>
      </c>
      <c r="AI304" s="36">
        <f t="shared" si="78"/>
        <v>636</v>
      </c>
      <c r="AJ304" s="29">
        <f t="shared" si="63"/>
        <v>12</v>
      </c>
    </row>
    <row r="305" spans="1:36">
      <c r="A305" s="33" t="s">
        <v>351</v>
      </c>
      <c r="B305" s="33" t="s">
        <v>349</v>
      </c>
      <c r="C305" s="34" t="s">
        <v>120</v>
      </c>
      <c r="D305" s="34" t="str">
        <f t="shared" si="64"/>
        <v>V65CLLO22CO-.DIXIE-1(D903)</v>
      </c>
      <c r="E305" s="33" t="s">
        <v>9</v>
      </c>
      <c r="F305" s="33" t="s">
        <v>9</v>
      </c>
      <c r="G305" s="35">
        <v>5</v>
      </c>
      <c r="H305" s="35">
        <v>16</v>
      </c>
      <c r="I305" s="36">
        <v>1</v>
      </c>
      <c r="J305" s="36">
        <v>1</v>
      </c>
      <c r="K305" s="36">
        <v>2</v>
      </c>
      <c r="L305" s="36">
        <f t="shared" si="67"/>
        <v>20</v>
      </c>
      <c r="M305" s="36">
        <f t="shared" si="68"/>
        <v>240</v>
      </c>
      <c r="N305" s="36">
        <v>12</v>
      </c>
      <c r="O305" s="36">
        <v>1</v>
      </c>
      <c r="P305" s="36">
        <v>1</v>
      </c>
      <c r="Q305" s="36">
        <v>1</v>
      </c>
      <c r="R305" s="36">
        <v>1</v>
      </c>
      <c r="S305" s="36">
        <f t="shared" si="69"/>
        <v>16</v>
      </c>
      <c r="T305" s="36">
        <f t="shared" si="70"/>
        <v>192</v>
      </c>
      <c r="U305" s="36">
        <v>8</v>
      </c>
      <c r="V305" s="36">
        <v>1</v>
      </c>
      <c r="W305" s="36">
        <v>1</v>
      </c>
      <c r="X305" s="36">
        <f t="shared" si="71"/>
        <v>10</v>
      </c>
      <c r="Y305" s="36">
        <f t="shared" si="72"/>
        <v>120</v>
      </c>
      <c r="Z305" s="36">
        <v>5</v>
      </c>
      <c r="AA305" s="36">
        <v>1</v>
      </c>
      <c r="AB305" s="36">
        <v>0</v>
      </c>
      <c r="AC305" s="36">
        <v>1</v>
      </c>
      <c r="AD305" s="36">
        <f t="shared" si="73"/>
        <v>7</v>
      </c>
      <c r="AE305" s="36">
        <f t="shared" si="74"/>
        <v>84</v>
      </c>
      <c r="AF305" s="36">
        <f t="shared" si="77"/>
        <v>33</v>
      </c>
      <c r="AG305" s="36">
        <f t="shared" si="77"/>
        <v>396</v>
      </c>
      <c r="AH305" s="36">
        <f t="shared" si="78"/>
        <v>53</v>
      </c>
      <c r="AI305" s="36">
        <f t="shared" si="78"/>
        <v>636</v>
      </c>
      <c r="AJ305" s="29">
        <f t="shared" si="63"/>
        <v>12</v>
      </c>
    </row>
    <row r="306" spans="1:36">
      <c r="A306" s="33" t="s">
        <v>320</v>
      </c>
      <c r="B306" s="33" t="s">
        <v>349</v>
      </c>
      <c r="C306" s="34" t="s">
        <v>121</v>
      </c>
      <c r="D306" s="34" t="str">
        <f t="shared" si="64"/>
        <v>V65CLLO22CO-.DIXIE-3(D903)</v>
      </c>
      <c r="E306" s="33" t="s">
        <v>9</v>
      </c>
      <c r="F306" s="33" t="s">
        <v>9</v>
      </c>
      <c r="G306" s="35">
        <v>5</v>
      </c>
      <c r="H306" s="35">
        <v>16</v>
      </c>
      <c r="I306" s="36">
        <v>1</v>
      </c>
      <c r="J306" s="36">
        <v>1</v>
      </c>
      <c r="K306" s="36">
        <v>2</v>
      </c>
      <c r="L306" s="36">
        <f t="shared" si="67"/>
        <v>20</v>
      </c>
      <c r="M306" s="36">
        <f t="shared" si="68"/>
        <v>240</v>
      </c>
      <c r="N306" s="36">
        <v>12</v>
      </c>
      <c r="O306" s="36">
        <v>1</v>
      </c>
      <c r="P306" s="36">
        <v>1</v>
      </c>
      <c r="Q306" s="36">
        <v>1</v>
      </c>
      <c r="R306" s="36">
        <v>1</v>
      </c>
      <c r="S306" s="36">
        <f t="shared" si="69"/>
        <v>16</v>
      </c>
      <c r="T306" s="36">
        <f t="shared" si="70"/>
        <v>192</v>
      </c>
      <c r="U306" s="36">
        <v>8</v>
      </c>
      <c r="V306" s="36">
        <v>1</v>
      </c>
      <c r="W306" s="36">
        <v>1</v>
      </c>
      <c r="X306" s="36">
        <f t="shared" si="71"/>
        <v>10</v>
      </c>
      <c r="Y306" s="36">
        <f t="shared" si="72"/>
        <v>120</v>
      </c>
      <c r="Z306" s="36">
        <v>5</v>
      </c>
      <c r="AA306" s="36">
        <v>1</v>
      </c>
      <c r="AB306" s="36">
        <v>0</v>
      </c>
      <c r="AC306" s="36">
        <v>1</v>
      </c>
      <c r="AD306" s="36">
        <f t="shared" si="73"/>
        <v>7</v>
      </c>
      <c r="AE306" s="36">
        <f t="shared" si="74"/>
        <v>84</v>
      </c>
      <c r="AF306" s="36">
        <f t="shared" si="77"/>
        <v>33</v>
      </c>
      <c r="AG306" s="36">
        <f t="shared" si="77"/>
        <v>396</v>
      </c>
      <c r="AH306" s="36">
        <f t="shared" si="78"/>
        <v>53</v>
      </c>
      <c r="AI306" s="36">
        <f t="shared" si="78"/>
        <v>636</v>
      </c>
      <c r="AJ306" s="29">
        <f t="shared" si="63"/>
        <v>12</v>
      </c>
    </row>
    <row r="307" spans="1:36">
      <c r="A307" s="33" t="s">
        <v>320</v>
      </c>
      <c r="B307" s="33" t="s">
        <v>349</v>
      </c>
      <c r="C307" s="34" t="s">
        <v>122</v>
      </c>
      <c r="D307" s="34" t="str">
        <f t="shared" si="64"/>
        <v>V65CNLO22CO-.DIXIE-1(D903)</v>
      </c>
      <c r="E307" s="33" t="s">
        <v>9</v>
      </c>
      <c r="F307" s="33" t="s">
        <v>9</v>
      </c>
      <c r="G307" s="35">
        <v>5</v>
      </c>
      <c r="H307" s="35">
        <v>16</v>
      </c>
      <c r="I307" s="36">
        <v>1</v>
      </c>
      <c r="J307" s="36">
        <v>1</v>
      </c>
      <c r="K307" s="36">
        <v>2</v>
      </c>
      <c r="L307" s="36">
        <f t="shared" si="67"/>
        <v>20</v>
      </c>
      <c r="M307" s="36">
        <f t="shared" si="68"/>
        <v>240</v>
      </c>
      <c r="N307" s="36">
        <v>12</v>
      </c>
      <c r="O307" s="36">
        <v>1</v>
      </c>
      <c r="P307" s="36">
        <v>1</v>
      </c>
      <c r="Q307" s="36">
        <v>1</v>
      </c>
      <c r="R307" s="36">
        <v>1</v>
      </c>
      <c r="S307" s="36">
        <f t="shared" si="69"/>
        <v>16</v>
      </c>
      <c r="T307" s="36">
        <f t="shared" si="70"/>
        <v>192</v>
      </c>
      <c r="U307" s="36">
        <v>8</v>
      </c>
      <c r="V307" s="36">
        <v>1</v>
      </c>
      <c r="W307" s="36">
        <v>1</v>
      </c>
      <c r="X307" s="36">
        <f t="shared" si="71"/>
        <v>10</v>
      </c>
      <c r="Y307" s="36">
        <f t="shared" si="72"/>
        <v>120</v>
      </c>
      <c r="Z307" s="36">
        <v>5</v>
      </c>
      <c r="AA307" s="36">
        <v>1</v>
      </c>
      <c r="AB307" s="36">
        <v>0</v>
      </c>
      <c r="AC307" s="36">
        <v>1</v>
      </c>
      <c r="AD307" s="36">
        <f t="shared" si="73"/>
        <v>7</v>
      </c>
      <c r="AE307" s="36">
        <f t="shared" si="74"/>
        <v>84</v>
      </c>
      <c r="AF307" s="36">
        <f t="shared" si="77"/>
        <v>33</v>
      </c>
      <c r="AG307" s="36">
        <f t="shared" si="77"/>
        <v>396</v>
      </c>
      <c r="AH307" s="36">
        <f t="shared" si="78"/>
        <v>53</v>
      </c>
      <c r="AI307" s="36">
        <f t="shared" si="78"/>
        <v>636</v>
      </c>
      <c r="AJ307" s="29">
        <f t="shared" si="63"/>
        <v>12</v>
      </c>
    </row>
    <row r="308" spans="1:36">
      <c r="A308" s="33" t="s">
        <v>320</v>
      </c>
      <c r="B308" s="33" t="s">
        <v>349</v>
      </c>
      <c r="C308" s="34" t="s">
        <v>123</v>
      </c>
      <c r="D308" s="34" t="str">
        <f t="shared" si="64"/>
        <v>V65CNLO22CO-.DIXIE-3(D903)</v>
      </c>
      <c r="E308" s="33" t="s">
        <v>9</v>
      </c>
      <c r="F308" s="33" t="s">
        <v>9</v>
      </c>
      <c r="G308" s="35">
        <v>5</v>
      </c>
      <c r="H308" s="35">
        <v>16</v>
      </c>
      <c r="I308" s="36">
        <v>1</v>
      </c>
      <c r="J308" s="36">
        <v>1</v>
      </c>
      <c r="K308" s="36">
        <v>2</v>
      </c>
      <c r="L308" s="36">
        <f t="shared" si="67"/>
        <v>20</v>
      </c>
      <c r="M308" s="36">
        <f t="shared" si="68"/>
        <v>240</v>
      </c>
      <c r="N308" s="36">
        <v>12</v>
      </c>
      <c r="O308" s="36">
        <v>1</v>
      </c>
      <c r="P308" s="36">
        <v>1</v>
      </c>
      <c r="Q308" s="36">
        <v>1</v>
      </c>
      <c r="R308" s="36">
        <v>1</v>
      </c>
      <c r="S308" s="36">
        <f t="shared" si="69"/>
        <v>16</v>
      </c>
      <c r="T308" s="36">
        <f t="shared" si="70"/>
        <v>192</v>
      </c>
      <c r="U308" s="36">
        <v>8</v>
      </c>
      <c r="V308" s="36">
        <v>1</v>
      </c>
      <c r="W308" s="36">
        <v>1</v>
      </c>
      <c r="X308" s="36">
        <f t="shared" si="71"/>
        <v>10</v>
      </c>
      <c r="Y308" s="36">
        <f t="shared" si="72"/>
        <v>120</v>
      </c>
      <c r="Z308" s="36">
        <v>5</v>
      </c>
      <c r="AA308" s="36">
        <v>1</v>
      </c>
      <c r="AB308" s="36">
        <v>0</v>
      </c>
      <c r="AC308" s="36">
        <v>1</v>
      </c>
      <c r="AD308" s="36">
        <f t="shared" si="73"/>
        <v>7</v>
      </c>
      <c r="AE308" s="36">
        <f t="shared" si="74"/>
        <v>84</v>
      </c>
      <c r="AF308" s="36">
        <f t="shared" si="77"/>
        <v>33</v>
      </c>
      <c r="AG308" s="36">
        <f t="shared" si="77"/>
        <v>396</v>
      </c>
      <c r="AH308" s="36">
        <f t="shared" si="78"/>
        <v>53</v>
      </c>
      <c r="AI308" s="36">
        <f t="shared" si="78"/>
        <v>636</v>
      </c>
      <c r="AJ308" s="29">
        <f t="shared" si="63"/>
        <v>12</v>
      </c>
    </row>
    <row r="309" spans="1:36">
      <c r="A309" s="33" t="s">
        <v>352</v>
      </c>
      <c r="B309" s="33" t="s">
        <v>349</v>
      </c>
      <c r="C309" s="34" t="s">
        <v>124</v>
      </c>
      <c r="D309" s="34" t="str">
        <f t="shared" si="64"/>
        <v>V65JPLO22CO-.DIXIE-1(D903)</v>
      </c>
      <c r="E309" s="33" t="s">
        <v>9</v>
      </c>
      <c r="F309" s="33" t="s">
        <v>9</v>
      </c>
      <c r="G309" s="35">
        <v>5</v>
      </c>
      <c r="H309" s="35">
        <v>16</v>
      </c>
      <c r="I309" s="36">
        <v>1</v>
      </c>
      <c r="J309" s="36">
        <v>1</v>
      </c>
      <c r="K309" s="36">
        <v>2</v>
      </c>
      <c r="L309" s="36">
        <f t="shared" si="67"/>
        <v>20</v>
      </c>
      <c r="M309" s="36">
        <f t="shared" si="68"/>
        <v>240</v>
      </c>
      <c r="N309" s="36">
        <v>12</v>
      </c>
      <c r="O309" s="36">
        <v>1</v>
      </c>
      <c r="P309" s="36">
        <v>1</v>
      </c>
      <c r="Q309" s="36">
        <v>1</v>
      </c>
      <c r="R309" s="36">
        <v>1</v>
      </c>
      <c r="S309" s="36">
        <f t="shared" si="69"/>
        <v>16</v>
      </c>
      <c r="T309" s="36">
        <f t="shared" si="70"/>
        <v>192</v>
      </c>
      <c r="U309" s="36">
        <v>8</v>
      </c>
      <c r="V309" s="36">
        <v>1</v>
      </c>
      <c r="W309" s="36">
        <v>1</v>
      </c>
      <c r="X309" s="36">
        <f t="shared" si="71"/>
        <v>10</v>
      </c>
      <c r="Y309" s="36">
        <f t="shared" si="72"/>
        <v>120</v>
      </c>
      <c r="Z309" s="36">
        <v>5</v>
      </c>
      <c r="AA309" s="36">
        <v>1</v>
      </c>
      <c r="AB309" s="36">
        <v>0</v>
      </c>
      <c r="AC309" s="36">
        <v>1</v>
      </c>
      <c r="AD309" s="36">
        <f t="shared" si="73"/>
        <v>7</v>
      </c>
      <c r="AE309" s="36">
        <f t="shared" si="74"/>
        <v>84</v>
      </c>
      <c r="AF309" s="36">
        <f t="shared" si="77"/>
        <v>33</v>
      </c>
      <c r="AG309" s="36">
        <f t="shared" si="77"/>
        <v>396</v>
      </c>
      <c r="AH309" s="36">
        <f t="shared" si="78"/>
        <v>53</v>
      </c>
      <c r="AI309" s="36">
        <f t="shared" si="78"/>
        <v>636</v>
      </c>
      <c r="AJ309" s="29">
        <f t="shared" si="63"/>
        <v>12</v>
      </c>
    </row>
    <row r="310" spans="1:36">
      <c r="A310" s="33" t="s">
        <v>353</v>
      </c>
      <c r="B310" s="33" t="s">
        <v>349</v>
      </c>
      <c r="C310" s="34" t="s">
        <v>125</v>
      </c>
      <c r="D310" s="34" t="str">
        <f t="shared" si="64"/>
        <v>V65JPLO22CO-.DIXIE-3(D903)</v>
      </c>
      <c r="E310" s="33" t="s">
        <v>9</v>
      </c>
      <c r="F310" s="33" t="s">
        <v>9</v>
      </c>
      <c r="G310" s="35">
        <v>5</v>
      </c>
      <c r="H310" s="35">
        <v>16</v>
      </c>
      <c r="I310" s="36">
        <v>1</v>
      </c>
      <c r="J310" s="36">
        <v>1</v>
      </c>
      <c r="K310" s="36">
        <v>2</v>
      </c>
      <c r="L310" s="36">
        <f t="shared" si="67"/>
        <v>20</v>
      </c>
      <c r="M310" s="36">
        <f t="shared" si="68"/>
        <v>240</v>
      </c>
      <c r="N310" s="36">
        <v>12</v>
      </c>
      <c r="O310" s="36">
        <v>1</v>
      </c>
      <c r="P310" s="36">
        <v>1</v>
      </c>
      <c r="Q310" s="36">
        <v>1</v>
      </c>
      <c r="R310" s="36">
        <v>1</v>
      </c>
      <c r="S310" s="36">
        <f t="shared" si="69"/>
        <v>16</v>
      </c>
      <c r="T310" s="36">
        <f t="shared" si="70"/>
        <v>192</v>
      </c>
      <c r="U310" s="36">
        <v>8</v>
      </c>
      <c r="V310" s="36">
        <v>1</v>
      </c>
      <c r="W310" s="36">
        <v>1</v>
      </c>
      <c r="X310" s="36">
        <f t="shared" si="71"/>
        <v>10</v>
      </c>
      <c r="Y310" s="36">
        <f t="shared" si="72"/>
        <v>120</v>
      </c>
      <c r="Z310" s="36">
        <v>5</v>
      </c>
      <c r="AA310" s="36">
        <v>1</v>
      </c>
      <c r="AB310" s="36">
        <v>0</v>
      </c>
      <c r="AC310" s="36">
        <v>1</v>
      </c>
      <c r="AD310" s="36">
        <f t="shared" si="73"/>
        <v>7</v>
      </c>
      <c r="AE310" s="36">
        <f t="shared" si="74"/>
        <v>84</v>
      </c>
      <c r="AF310" s="36">
        <f t="shared" si="77"/>
        <v>33</v>
      </c>
      <c r="AG310" s="36">
        <f t="shared" si="77"/>
        <v>396</v>
      </c>
      <c r="AH310" s="36">
        <f t="shared" si="78"/>
        <v>53</v>
      </c>
      <c r="AI310" s="36">
        <f t="shared" si="78"/>
        <v>636</v>
      </c>
      <c r="AJ310" s="29">
        <f t="shared" si="63"/>
        <v>12</v>
      </c>
    </row>
    <row r="311" spans="1:36">
      <c r="A311" s="33" t="s">
        <v>354</v>
      </c>
      <c r="B311" s="33" t="s">
        <v>347</v>
      </c>
      <c r="C311" s="34" t="s">
        <v>97</v>
      </c>
      <c r="D311" s="34" t="str">
        <f t="shared" si="64"/>
        <v>3V65004203V0(V901)</v>
      </c>
      <c r="E311" s="33" t="s">
        <v>18</v>
      </c>
      <c r="F311" s="33" t="s">
        <v>18</v>
      </c>
      <c r="G311" s="35">
        <v>10</v>
      </c>
      <c r="H311" s="35"/>
      <c r="I311" s="36"/>
      <c r="J311" s="36"/>
      <c r="K311" s="36"/>
      <c r="L311" s="36">
        <f t="shared" si="67"/>
        <v>0</v>
      </c>
      <c r="M311" s="36">
        <f t="shared" si="68"/>
        <v>0</v>
      </c>
      <c r="N311" s="36">
        <v>3</v>
      </c>
      <c r="O311" s="36"/>
      <c r="P311" s="36">
        <v>1</v>
      </c>
      <c r="Q311" s="36"/>
      <c r="R311" s="36">
        <v>1</v>
      </c>
      <c r="S311" s="36">
        <f t="shared" si="69"/>
        <v>5</v>
      </c>
      <c r="T311" s="36">
        <f t="shared" si="70"/>
        <v>30</v>
      </c>
      <c r="U311" s="36">
        <v>4</v>
      </c>
      <c r="V311" s="36"/>
      <c r="W311" s="36"/>
      <c r="X311" s="36">
        <f t="shared" si="71"/>
        <v>4</v>
      </c>
      <c r="Y311" s="36">
        <f t="shared" si="72"/>
        <v>24</v>
      </c>
      <c r="Z311" s="36"/>
      <c r="AA311" s="36"/>
      <c r="AB311" s="36"/>
      <c r="AC311" s="36"/>
      <c r="AD311" s="36">
        <f t="shared" si="73"/>
        <v>0</v>
      </c>
      <c r="AE311" s="36">
        <f t="shared" si="74"/>
        <v>0</v>
      </c>
      <c r="AF311" s="36">
        <f t="shared" si="77"/>
        <v>9</v>
      </c>
      <c r="AG311" s="36">
        <f t="shared" si="77"/>
        <v>54</v>
      </c>
      <c r="AH311" s="36">
        <f t="shared" si="78"/>
        <v>9</v>
      </c>
      <c r="AI311" s="36">
        <f t="shared" si="78"/>
        <v>54</v>
      </c>
      <c r="AJ311" s="29">
        <f t="shared" si="63"/>
        <v>6</v>
      </c>
    </row>
    <row r="312" spans="1:36">
      <c r="A312" s="33" t="s">
        <v>320</v>
      </c>
      <c r="B312" s="33" t="s">
        <v>347</v>
      </c>
      <c r="C312" s="34" t="s">
        <v>98</v>
      </c>
      <c r="D312" s="34" t="str">
        <f t="shared" si="64"/>
        <v>3V65007203V0(V901)</v>
      </c>
      <c r="E312" s="33" t="s">
        <v>18</v>
      </c>
      <c r="F312" s="33" t="s">
        <v>18</v>
      </c>
      <c r="G312" s="35">
        <v>10</v>
      </c>
      <c r="H312" s="35"/>
      <c r="I312" s="36"/>
      <c r="J312" s="36"/>
      <c r="K312" s="36"/>
      <c r="L312" s="36">
        <f t="shared" si="67"/>
        <v>0</v>
      </c>
      <c r="M312" s="36">
        <f t="shared" si="68"/>
        <v>0</v>
      </c>
      <c r="N312" s="36">
        <v>3</v>
      </c>
      <c r="O312" s="36"/>
      <c r="P312" s="36">
        <v>1</v>
      </c>
      <c r="Q312" s="36"/>
      <c r="R312" s="36">
        <v>1</v>
      </c>
      <c r="S312" s="36">
        <f t="shared" si="69"/>
        <v>5</v>
      </c>
      <c r="T312" s="36">
        <f t="shared" si="70"/>
        <v>30</v>
      </c>
      <c r="U312" s="36">
        <v>4</v>
      </c>
      <c r="V312" s="36"/>
      <c r="W312" s="36"/>
      <c r="X312" s="36">
        <f t="shared" si="71"/>
        <v>4</v>
      </c>
      <c r="Y312" s="36">
        <f t="shared" si="72"/>
        <v>24</v>
      </c>
      <c r="Z312" s="36"/>
      <c r="AA312" s="36"/>
      <c r="AB312" s="36"/>
      <c r="AC312" s="36"/>
      <c r="AD312" s="36">
        <f t="shared" si="73"/>
        <v>0</v>
      </c>
      <c r="AE312" s="36">
        <f t="shared" si="74"/>
        <v>0</v>
      </c>
      <c r="AF312" s="36">
        <f t="shared" si="77"/>
        <v>9</v>
      </c>
      <c r="AG312" s="36">
        <f t="shared" si="77"/>
        <v>54</v>
      </c>
      <c r="AH312" s="36">
        <f t="shared" si="78"/>
        <v>9</v>
      </c>
      <c r="AI312" s="36">
        <f t="shared" si="78"/>
        <v>54</v>
      </c>
      <c r="AJ312" s="29">
        <f t="shared" si="63"/>
        <v>6</v>
      </c>
    </row>
    <row r="313" spans="1:36">
      <c r="A313" s="33" t="s">
        <v>350</v>
      </c>
      <c r="B313" s="33" t="s">
        <v>348</v>
      </c>
      <c r="C313" s="34" t="s">
        <v>99</v>
      </c>
      <c r="D313" s="34" t="str">
        <f t="shared" si="64"/>
        <v>3V65003203V0(V901)</v>
      </c>
      <c r="E313" s="33" t="s">
        <v>18</v>
      </c>
      <c r="F313" s="33" t="s">
        <v>18</v>
      </c>
      <c r="G313" s="35">
        <v>10</v>
      </c>
      <c r="H313" s="35"/>
      <c r="I313" s="36"/>
      <c r="J313" s="36"/>
      <c r="K313" s="36"/>
      <c r="L313" s="36">
        <f t="shared" si="67"/>
        <v>0</v>
      </c>
      <c r="M313" s="36">
        <f t="shared" si="68"/>
        <v>0</v>
      </c>
      <c r="N313" s="36">
        <v>6</v>
      </c>
      <c r="O313" s="36"/>
      <c r="P313" s="36">
        <v>1</v>
      </c>
      <c r="Q313" s="36"/>
      <c r="R313" s="36">
        <v>1</v>
      </c>
      <c r="S313" s="36">
        <f t="shared" si="69"/>
        <v>8</v>
      </c>
      <c r="T313" s="36">
        <f t="shared" si="70"/>
        <v>48</v>
      </c>
      <c r="U313" s="36">
        <v>5</v>
      </c>
      <c r="V313" s="36"/>
      <c r="W313" s="36"/>
      <c r="X313" s="36">
        <f t="shared" si="71"/>
        <v>5</v>
      </c>
      <c r="Y313" s="36">
        <f t="shared" si="72"/>
        <v>30</v>
      </c>
      <c r="Z313" s="36"/>
      <c r="AA313" s="36"/>
      <c r="AB313" s="36"/>
      <c r="AC313" s="36"/>
      <c r="AD313" s="36">
        <f t="shared" si="73"/>
        <v>0</v>
      </c>
      <c r="AE313" s="36">
        <f t="shared" si="74"/>
        <v>0</v>
      </c>
      <c r="AF313" s="36">
        <f t="shared" si="77"/>
        <v>13</v>
      </c>
      <c r="AG313" s="36">
        <f t="shared" si="77"/>
        <v>78</v>
      </c>
      <c r="AH313" s="36">
        <f t="shared" si="78"/>
        <v>13</v>
      </c>
      <c r="AI313" s="36">
        <f t="shared" si="78"/>
        <v>78</v>
      </c>
      <c r="AJ313" s="29">
        <f t="shared" si="63"/>
        <v>6</v>
      </c>
    </row>
    <row r="314" spans="1:36">
      <c r="A314" s="33" t="s">
        <v>351</v>
      </c>
      <c r="B314" s="33" t="s">
        <v>348</v>
      </c>
      <c r="C314" s="34" t="s">
        <v>100</v>
      </c>
      <c r="D314" s="34" t="str">
        <f t="shared" si="64"/>
        <v>3V65006203V0(V901)</v>
      </c>
      <c r="E314" s="33" t="s">
        <v>18</v>
      </c>
      <c r="F314" s="33" t="s">
        <v>18</v>
      </c>
      <c r="G314" s="35">
        <v>10</v>
      </c>
      <c r="H314" s="35"/>
      <c r="I314" s="36"/>
      <c r="J314" s="36"/>
      <c r="K314" s="36"/>
      <c r="L314" s="36">
        <f t="shared" si="67"/>
        <v>0</v>
      </c>
      <c r="M314" s="36">
        <f t="shared" si="68"/>
        <v>0</v>
      </c>
      <c r="N314" s="36">
        <v>6</v>
      </c>
      <c r="O314" s="36"/>
      <c r="P314" s="36">
        <v>1</v>
      </c>
      <c r="Q314" s="36"/>
      <c r="R314" s="36">
        <v>1</v>
      </c>
      <c r="S314" s="36">
        <f t="shared" si="69"/>
        <v>8</v>
      </c>
      <c r="T314" s="36">
        <f t="shared" si="70"/>
        <v>48</v>
      </c>
      <c r="U314" s="36">
        <v>5</v>
      </c>
      <c r="V314" s="36"/>
      <c r="W314" s="36"/>
      <c r="X314" s="36">
        <f t="shared" si="71"/>
        <v>5</v>
      </c>
      <c r="Y314" s="36">
        <f t="shared" si="72"/>
        <v>30</v>
      </c>
      <c r="Z314" s="36"/>
      <c r="AA314" s="36"/>
      <c r="AB314" s="36"/>
      <c r="AC314" s="36"/>
      <c r="AD314" s="36">
        <f t="shared" si="73"/>
        <v>0</v>
      </c>
      <c r="AE314" s="36">
        <f t="shared" si="74"/>
        <v>0</v>
      </c>
      <c r="AF314" s="36">
        <f t="shared" si="77"/>
        <v>13</v>
      </c>
      <c r="AG314" s="36">
        <f t="shared" si="77"/>
        <v>78</v>
      </c>
      <c r="AH314" s="36">
        <f t="shared" si="78"/>
        <v>13</v>
      </c>
      <c r="AI314" s="36">
        <f t="shared" si="78"/>
        <v>78</v>
      </c>
      <c r="AJ314" s="29">
        <f t="shared" si="63"/>
        <v>6</v>
      </c>
    </row>
    <row r="315" spans="1:36">
      <c r="A315" s="33" t="s">
        <v>320</v>
      </c>
      <c r="B315" s="33" t="s">
        <v>349</v>
      </c>
      <c r="C315" s="34" t="s">
        <v>94</v>
      </c>
      <c r="D315" s="34" t="str">
        <f t="shared" si="64"/>
        <v>V65USLO22CO-.DIXIE-1(D903)</v>
      </c>
      <c r="E315" s="33" t="s">
        <v>9</v>
      </c>
      <c r="F315" s="33" t="s">
        <v>9</v>
      </c>
      <c r="G315" s="35">
        <v>10</v>
      </c>
      <c r="H315" s="35">
        <v>29</v>
      </c>
      <c r="I315" s="36">
        <v>1</v>
      </c>
      <c r="J315" s="36">
        <v>1</v>
      </c>
      <c r="K315" s="36">
        <v>3</v>
      </c>
      <c r="L315" s="36">
        <f t="shared" si="67"/>
        <v>34</v>
      </c>
      <c r="M315" s="36">
        <f t="shared" si="68"/>
        <v>204</v>
      </c>
      <c r="N315" s="36">
        <v>24</v>
      </c>
      <c r="O315" s="36">
        <v>1</v>
      </c>
      <c r="P315" s="36">
        <v>1</v>
      </c>
      <c r="Q315" s="36">
        <v>1</v>
      </c>
      <c r="R315" s="36">
        <v>2</v>
      </c>
      <c r="S315" s="36">
        <f t="shared" si="69"/>
        <v>29</v>
      </c>
      <c r="T315" s="36">
        <f t="shared" si="70"/>
        <v>174</v>
      </c>
      <c r="U315" s="36">
        <v>17</v>
      </c>
      <c r="V315" s="36">
        <v>1</v>
      </c>
      <c r="W315" s="36">
        <v>1</v>
      </c>
      <c r="X315" s="36">
        <f t="shared" si="71"/>
        <v>19</v>
      </c>
      <c r="Y315" s="36">
        <f t="shared" si="72"/>
        <v>114</v>
      </c>
      <c r="Z315" s="36">
        <v>11</v>
      </c>
      <c r="AA315" s="36">
        <v>1</v>
      </c>
      <c r="AB315" s="36">
        <v>0</v>
      </c>
      <c r="AC315" s="36">
        <v>2</v>
      </c>
      <c r="AD315" s="36">
        <f t="shared" si="73"/>
        <v>14</v>
      </c>
      <c r="AE315" s="36">
        <f t="shared" si="74"/>
        <v>84</v>
      </c>
      <c r="AF315" s="36">
        <f t="shared" si="77"/>
        <v>62</v>
      </c>
      <c r="AG315" s="36">
        <f t="shared" si="77"/>
        <v>372</v>
      </c>
      <c r="AH315" s="36">
        <f t="shared" si="78"/>
        <v>96</v>
      </c>
      <c r="AI315" s="36">
        <f t="shared" si="78"/>
        <v>576</v>
      </c>
      <c r="AJ315" s="29">
        <f t="shared" si="63"/>
        <v>6</v>
      </c>
    </row>
    <row r="316" spans="1:36">
      <c r="A316" s="33" t="s">
        <v>299</v>
      </c>
      <c r="B316" s="33" t="s">
        <v>349</v>
      </c>
      <c r="C316" s="34" t="s">
        <v>95</v>
      </c>
      <c r="D316" s="34" t="str">
        <f t="shared" si="64"/>
        <v>V65USLO22CO-.DIXIE-3(D903)</v>
      </c>
      <c r="E316" s="33" t="s">
        <v>9</v>
      </c>
      <c r="F316" s="33" t="s">
        <v>9</v>
      </c>
      <c r="G316" s="35">
        <v>10</v>
      </c>
      <c r="H316" s="35">
        <v>29</v>
      </c>
      <c r="I316" s="36">
        <v>1</v>
      </c>
      <c r="J316" s="36">
        <v>1</v>
      </c>
      <c r="K316" s="36">
        <v>3</v>
      </c>
      <c r="L316" s="36">
        <f t="shared" si="67"/>
        <v>34</v>
      </c>
      <c r="M316" s="36">
        <f t="shared" si="68"/>
        <v>204</v>
      </c>
      <c r="N316" s="36">
        <v>24</v>
      </c>
      <c r="O316" s="36">
        <v>1</v>
      </c>
      <c r="P316" s="36">
        <v>1</v>
      </c>
      <c r="Q316" s="36">
        <v>1</v>
      </c>
      <c r="R316" s="36">
        <v>2</v>
      </c>
      <c r="S316" s="36">
        <f t="shared" si="69"/>
        <v>29</v>
      </c>
      <c r="T316" s="36">
        <f t="shared" si="70"/>
        <v>174</v>
      </c>
      <c r="U316" s="36">
        <v>17</v>
      </c>
      <c r="V316" s="36">
        <v>1</v>
      </c>
      <c r="W316" s="36">
        <v>1</v>
      </c>
      <c r="X316" s="36">
        <f t="shared" si="71"/>
        <v>19</v>
      </c>
      <c r="Y316" s="36">
        <f t="shared" si="72"/>
        <v>114</v>
      </c>
      <c r="Z316" s="36">
        <v>11</v>
      </c>
      <c r="AA316" s="36">
        <v>1</v>
      </c>
      <c r="AB316" s="36">
        <v>0</v>
      </c>
      <c r="AC316" s="36">
        <v>2</v>
      </c>
      <c r="AD316" s="36">
        <f t="shared" si="73"/>
        <v>14</v>
      </c>
      <c r="AE316" s="36">
        <f t="shared" si="74"/>
        <v>84</v>
      </c>
      <c r="AF316" s="36">
        <f t="shared" si="77"/>
        <v>62</v>
      </c>
      <c r="AG316" s="36">
        <f t="shared" si="77"/>
        <v>372</v>
      </c>
      <c r="AH316" s="36">
        <f t="shared" si="78"/>
        <v>96</v>
      </c>
      <c r="AI316" s="36">
        <f t="shared" si="78"/>
        <v>576</v>
      </c>
      <c r="AJ316" s="29">
        <f t="shared" si="63"/>
        <v>6</v>
      </c>
    </row>
    <row r="317" spans="1:36">
      <c r="A317" s="33" t="s">
        <v>355</v>
      </c>
      <c r="B317" s="33" t="s">
        <v>349</v>
      </c>
      <c r="C317" s="34" t="s">
        <v>103</v>
      </c>
      <c r="D317" s="34" t="str">
        <f t="shared" si="64"/>
        <v>V65EULO22CO-.DIXIE-1(D903)</v>
      </c>
      <c r="E317" s="33" t="s">
        <v>9</v>
      </c>
      <c r="F317" s="33" t="s">
        <v>9</v>
      </c>
      <c r="G317" s="35">
        <v>10</v>
      </c>
      <c r="H317" s="35">
        <v>29</v>
      </c>
      <c r="I317" s="36">
        <v>1</v>
      </c>
      <c r="J317" s="36">
        <v>1</v>
      </c>
      <c r="K317" s="36">
        <v>3</v>
      </c>
      <c r="L317" s="36">
        <f t="shared" si="67"/>
        <v>34</v>
      </c>
      <c r="M317" s="36">
        <f t="shared" si="68"/>
        <v>204</v>
      </c>
      <c r="N317" s="36">
        <v>24</v>
      </c>
      <c r="O317" s="36">
        <v>1</v>
      </c>
      <c r="P317" s="36">
        <v>1</v>
      </c>
      <c r="Q317" s="36">
        <v>1</v>
      </c>
      <c r="R317" s="36">
        <v>2</v>
      </c>
      <c r="S317" s="36">
        <f t="shared" si="69"/>
        <v>29</v>
      </c>
      <c r="T317" s="36">
        <f t="shared" si="70"/>
        <v>174</v>
      </c>
      <c r="U317" s="36">
        <v>17</v>
      </c>
      <c r="V317" s="36">
        <v>1</v>
      </c>
      <c r="W317" s="36">
        <v>1</v>
      </c>
      <c r="X317" s="36">
        <f t="shared" si="71"/>
        <v>19</v>
      </c>
      <c r="Y317" s="36">
        <f t="shared" si="72"/>
        <v>114</v>
      </c>
      <c r="Z317" s="36">
        <v>11</v>
      </c>
      <c r="AA317" s="36">
        <v>1</v>
      </c>
      <c r="AB317" s="36">
        <v>0</v>
      </c>
      <c r="AC317" s="36">
        <v>2</v>
      </c>
      <c r="AD317" s="36">
        <f t="shared" si="73"/>
        <v>14</v>
      </c>
      <c r="AE317" s="36">
        <f t="shared" si="74"/>
        <v>84</v>
      </c>
      <c r="AF317" s="36">
        <f t="shared" si="77"/>
        <v>62</v>
      </c>
      <c r="AG317" s="36">
        <f t="shared" si="77"/>
        <v>372</v>
      </c>
      <c r="AH317" s="36">
        <f t="shared" si="78"/>
        <v>96</v>
      </c>
      <c r="AI317" s="36">
        <f t="shared" si="78"/>
        <v>576</v>
      </c>
      <c r="AJ317" s="29">
        <f t="shared" si="63"/>
        <v>6</v>
      </c>
    </row>
    <row r="318" spans="1:36">
      <c r="A318" s="33" t="s">
        <v>299</v>
      </c>
      <c r="B318" s="33" t="s">
        <v>349</v>
      </c>
      <c r="C318" s="34" t="s">
        <v>104</v>
      </c>
      <c r="D318" s="34" t="str">
        <f t="shared" si="64"/>
        <v>V65EULO22CO-.DIXIE-3(D903)</v>
      </c>
      <c r="E318" s="33" t="s">
        <v>9</v>
      </c>
      <c r="F318" s="33" t="s">
        <v>9</v>
      </c>
      <c r="G318" s="35">
        <v>10</v>
      </c>
      <c r="H318" s="35">
        <v>29</v>
      </c>
      <c r="I318" s="36">
        <v>1</v>
      </c>
      <c r="J318" s="36">
        <v>1</v>
      </c>
      <c r="K318" s="36">
        <v>3</v>
      </c>
      <c r="L318" s="36">
        <f t="shared" si="67"/>
        <v>34</v>
      </c>
      <c r="M318" s="36">
        <f t="shared" si="68"/>
        <v>204</v>
      </c>
      <c r="N318" s="36">
        <v>24</v>
      </c>
      <c r="O318" s="36">
        <v>1</v>
      </c>
      <c r="P318" s="36">
        <v>1</v>
      </c>
      <c r="Q318" s="36">
        <v>1</v>
      </c>
      <c r="R318" s="36">
        <v>2</v>
      </c>
      <c r="S318" s="36">
        <f t="shared" si="69"/>
        <v>29</v>
      </c>
      <c r="T318" s="36">
        <f t="shared" si="70"/>
        <v>174</v>
      </c>
      <c r="U318" s="36">
        <v>17</v>
      </c>
      <c r="V318" s="36">
        <v>1</v>
      </c>
      <c r="W318" s="36">
        <v>1</v>
      </c>
      <c r="X318" s="36">
        <f t="shared" si="71"/>
        <v>19</v>
      </c>
      <c r="Y318" s="36">
        <f t="shared" si="72"/>
        <v>114</v>
      </c>
      <c r="Z318" s="36">
        <v>11</v>
      </c>
      <c r="AA318" s="36">
        <v>1</v>
      </c>
      <c r="AB318" s="36">
        <v>0</v>
      </c>
      <c r="AC318" s="36">
        <v>2</v>
      </c>
      <c r="AD318" s="36">
        <f t="shared" si="73"/>
        <v>14</v>
      </c>
      <c r="AE318" s="36">
        <f t="shared" si="74"/>
        <v>84</v>
      </c>
      <c r="AF318" s="36">
        <f t="shared" si="77"/>
        <v>62</v>
      </c>
      <c r="AG318" s="36">
        <f t="shared" si="77"/>
        <v>372</v>
      </c>
      <c r="AH318" s="36">
        <f t="shared" si="78"/>
        <v>96</v>
      </c>
      <c r="AI318" s="36">
        <f t="shared" si="78"/>
        <v>576</v>
      </c>
      <c r="AJ318" s="29">
        <f t="shared" si="63"/>
        <v>6</v>
      </c>
    </row>
    <row r="319" spans="1:36">
      <c r="A319" s="33" t="s">
        <v>350</v>
      </c>
      <c r="B319" s="33" t="s">
        <v>349</v>
      </c>
      <c r="C319" s="34" t="s">
        <v>105</v>
      </c>
      <c r="D319" s="34" t="str">
        <f t="shared" si="64"/>
        <v>V65GBLO22CO-.DIXIE-1(D903)</v>
      </c>
      <c r="E319" s="33" t="s">
        <v>9</v>
      </c>
      <c r="F319" s="33" t="s">
        <v>9</v>
      </c>
      <c r="G319" s="35">
        <v>10</v>
      </c>
      <c r="H319" s="35">
        <v>29</v>
      </c>
      <c r="I319" s="36">
        <v>1</v>
      </c>
      <c r="J319" s="36">
        <v>1</v>
      </c>
      <c r="K319" s="36">
        <v>3</v>
      </c>
      <c r="L319" s="36">
        <f t="shared" si="67"/>
        <v>34</v>
      </c>
      <c r="M319" s="36">
        <f t="shared" si="68"/>
        <v>204</v>
      </c>
      <c r="N319" s="36">
        <v>24</v>
      </c>
      <c r="O319" s="36">
        <v>1</v>
      </c>
      <c r="P319" s="36">
        <v>1</v>
      </c>
      <c r="Q319" s="36">
        <v>1</v>
      </c>
      <c r="R319" s="36">
        <v>2</v>
      </c>
      <c r="S319" s="36">
        <f t="shared" si="69"/>
        <v>29</v>
      </c>
      <c r="T319" s="36">
        <f t="shared" si="70"/>
        <v>174</v>
      </c>
      <c r="U319" s="36">
        <v>17</v>
      </c>
      <c r="V319" s="36">
        <v>1</v>
      </c>
      <c r="W319" s="36">
        <v>1</v>
      </c>
      <c r="X319" s="36">
        <f t="shared" si="71"/>
        <v>19</v>
      </c>
      <c r="Y319" s="36">
        <f t="shared" si="72"/>
        <v>114</v>
      </c>
      <c r="Z319" s="36">
        <v>11</v>
      </c>
      <c r="AA319" s="36">
        <v>1</v>
      </c>
      <c r="AB319" s="36">
        <v>0</v>
      </c>
      <c r="AC319" s="36">
        <v>2</v>
      </c>
      <c r="AD319" s="36">
        <f t="shared" si="73"/>
        <v>14</v>
      </c>
      <c r="AE319" s="36">
        <f t="shared" si="74"/>
        <v>84</v>
      </c>
      <c r="AF319" s="36">
        <f t="shared" si="77"/>
        <v>62</v>
      </c>
      <c r="AG319" s="36">
        <f t="shared" si="77"/>
        <v>372</v>
      </c>
      <c r="AH319" s="36">
        <f t="shared" si="78"/>
        <v>96</v>
      </c>
      <c r="AI319" s="36">
        <f t="shared" si="78"/>
        <v>576</v>
      </c>
      <c r="AJ319" s="29">
        <f t="shared" si="63"/>
        <v>6</v>
      </c>
    </row>
    <row r="320" spans="1:36">
      <c r="A320" s="33" t="s">
        <v>299</v>
      </c>
      <c r="B320" s="33" t="s">
        <v>349</v>
      </c>
      <c r="C320" s="34" t="s">
        <v>110</v>
      </c>
      <c r="D320" s="34" t="str">
        <f t="shared" si="64"/>
        <v>V65GBLO22CO-.DIXIE-3(D903)</v>
      </c>
      <c r="E320" s="33" t="s">
        <v>9</v>
      </c>
      <c r="F320" s="33" t="s">
        <v>9</v>
      </c>
      <c r="G320" s="35">
        <v>10</v>
      </c>
      <c r="H320" s="35">
        <v>29</v>
      </c>
      <c r="I320" s="36">
        <v>1</v>
      </c>
      <c r="J320" s="36">
        <v>1</v>
      </c>
      <c r="K320" s="36">
        <v>3</v>
      </c>
      <c r="L320" s="36">
        <f t="shared" si="67"/>
        <v>34</v>
      </c>
      <c r="M320" s="36">
        <f t="shared" si="68"/>
        <v>204</v>
      </c>
      <c r="N320" s="36">
        <v>24</v>
      </c>
      <c r="O320" s="36">
        <v>1</v>
      </c>
      <c r="P320" s="36">
        <v>1</v>
      </c>
      <c r="Q320" s="36">
        <v>1</v>
      </c>
      <c r="R320" s="36">
        <v>2</v>
      </c>
      <c r="S320" s="36">
        <f t="shared" si="69"/>
        <v>29</v>
      </c>
      <c r="T320" s="36">
        <f t="shared" si="70"/>
        <v>174</v>
      </c>
      <c r="U320" s="36">
        <v>17</v>
      </c>
      <c r="V320" s="36">
        <v>1</v>
      </c>
      <c r="W320" s="36">
        <v>1</v>
      </c>
      <c r="X320" s="36">
        <f t="shared" si="71"/>
        <v>19</v>
      </c>
      <c r="Y320" s="36">
        <f t="shared" si="72"/>
        <v>114</v>
      </c>
      <c r="Z320" s="36">
        <v>11</v>
      </c>
      <c r="AA320" s="36">
        <v>1</v>
      </c>
      <c r="AB320" s="36">
        <v>0</v>
      </c>
      <c r="AC320" s="36">
        <v>2</v>
      </c>
      <c r="AD320" s="36">
        <f t="shared" si="73"/>
        <v>14</v>
      </c>
      <c r="AE320" s="36">
        <f t="shared" si="74"/>
        <v>84</v>
      </c>
      <c r="AF320" s="36">
        <f t="shared" si="77"/>
        <v>62</v>
      </c>
      <c r="AG320" s="36">
        <f t="shared" si="77"/>
        <v>372</v>
      </c>
      <c r="AH320" s="36">
        <f t="shared" si="78"/>
        <v>96</v>
      </c>
      <c r="AI320" s="36">
        <f t="shared" si="78"/>
        <v>576</v>
      </c>
      <c r="AJ320" s="29">
        <f t="shared" si="63"/>
        <v>6</v>
      </c>
    </row>
    <row r="321" spans="1:36">
      <c r="A321" s="33" t="s">
        <v>356</v>
      </c>
      <c r="B321" s="33" t="s">
        <v>349</v>
      </c>
      <c r="C321" s="34" t="s">
        <v>106</v>
      </c>
      <c r="D321" s="34" t="str">
        <f t="shared" si="64"/>
        <v>V65SSLO22CO-.DIXIE-1(D903)</v>
      </c>
      <c r="E321" s="33" t="s">
        <v>9</v>
      </c>
      <c r="F321" s="33" t="s">
        <v>9</v>
      </c>
      <c r="G321" s="35">
        <v>10</v>
      </c>
      <c r="H321" s="35">
        <v>29</v>
      </c>
      <c r="I321" s="36">
        <v>1</v>
      </c>
      <c r="J321" s="36">
        <v>1</v>
      </c>
      <c r="K321" s="36">
        <v>3</v>
      </c>
      <c r="L321" s="36">
        <f t="shared" si="67"/>
        <v>34</v>
      </c>
      <c r="M321" s="36">
        <f t="shared" si="68"/>
        <v>204</v>
      </c>
      <c r="N321" s="36">
        <v>24</v>
      </c>
      <c r="O321" s="36">
        <v>1</v>
      </c>
      <c r="P321" s="36">
        <v>1</v>
      </c>
      <c r="Q321" s="36">
        <v>1</v>
      </c>
      <c r="R321" s="36">
        <v>2</v>
      </c>
      <c r="S321" s="36">
        <f t="shared" si="69"/>
        <v>29</v>
      </c>
      <c r="T321" s="36">
        <f t="shared" si="70"/>
        <v>174</v>
      </c>
      <c r="U321" s="36">
        <v>17</v>
      </c>
      <c r="V321" s="36">
        <v>1</v>
      </c>
      <c r="W321" s="36">
        <v>1</v>
      </c>
      <c r="X321" s="36">
        <f t="shared" si="71"/>
        <v>19</v>
      </c>
      <c r="Y321" s="36">
        <f t="shared" si="72"/>
        <v>114</v>
      </c>
      <c r="Z321" s="36">
        <v>11</v>
      </c>
      <c r="AA321" s="36">
        <v>1</v>
      </c>
      <c r="AB321" s="36">
        <v>0</v>
      </c>
      <c r="AC321" s="36">
        <v>2</v>
      </c>
      <c r="AD321" s="36">
        <f t="shared" si="73"/>
        <v>14</v>
      </c>
      <c r="AE321" s="36">
        <f t="shared" si="74"/>
        <v>84</v>
      </c>
      <c r="AF321" s="36">
        <f t="shared" si="77"/>
        <v>62</v>
      </c>
      <c r="AG321" s="36">
        <f t="shared" si="77"/>
        <v>372</v>
      </c>
      <c r="AH321" s="36">
        <f t="shared" si="78"/>
        <v>96</v>
      </c>
      <c r="AI321" s="36">
        <f t="shared" si="78"/>
        <v>576</v>
      </c>
      <c r="AJ321" s="29">
        <f t="shared" si="63"/>
        <v>6</v>
      </c>
    </row>
    <row r="322" spans="1:36">
      <c r="A322" s="33" t="s">
        <v>353</v>
      </c>
      <c r="B322" s="33" t="s">
        <v>349</v>
      </c>
      <c r="C322" s="34" t="s">
        <v>111</v>
      </c>
      <c r="D322" s="34" t="str">
        <f t="shared" si="64"/>
        <v>V65SSLO22CO-.DIXIE-3(D903)</v>
      </c>
      <c r="E322" s="33" t="s">
        <v>9</v>
      </c>
      <c r="F322" s="33" t="s">
        <v>9</v>
      </c>
      <c r="G322" s="35">
        <v>10</v>
      </c>
      <c r="H322" s="35">
        <v>29</v>
      </c>
      <c r="I322" s="36">
        <v>1</v>
      </c>
      <c r="J322" s="36">
        <v>1</v>
      </c>
      <c r="K322" s="36">
        <v>3</v>
      </c>
      <c r="L322" s="36">
        <f t="shared" si="67"/>
        <v>34</v>
      </c>
      <c r="M322" s="36">
        <f t="shared" si="68"/>
        <v>204</v>
      </c>
      <c r="N322" s="36">
        <v>24</v>
      </c>
      <c r="O322" s="36">
        <v>1</v>
      </c>
      <c r="P322" s="36">
        <v>1</v>
      </c>
      <c r="Q322" s="36">
        <v>1</v>
      </c>
      <c r="R322" s="36">
        <v>2</v>
      </c>
      <c r="S322" s="36">
        <f t="shared" si="69"/>
        <v>29</v>
      </c>
      <c r="T322" s="36">
        <f t="shared" si="70"/>
        <v>174</v>
      </c>
      <c r="U322" s="36">
        <v>17</v>
      </c>
      <c r="V322" s="36">
        <v>1</v>
      </c>
      <c r="W322" s="36">
        <v>1</v>
      </c>
      <c r="X322" s="36">
        <f t="shared" si="71"/>
        <v>19</v>
      </c>
      <c r="Y322" s="36">
        <f t="shared" si="72"/>
        <v>114</v>
      </c>
      <c r="Z322" s="36">
        <v>11</v>
      </c>
      <c r="AA322" s="36">
        <v>1</v>
      </c>
      <c r="AB322" s="36">
        <v>0</v>
      </c>
      <c r="AC322" s="36">
        <v>2</v>
      </c>
      <c r="AD322" s="36">
        <f t="shared" si="73"/>
        <v>14</v>
      </c>
      <c r="AE322" s="36">
        <f t="shared" si="74"/>
        <v>84</v>
      </c>
      <c r="AF322" s="36">
        <f t="shared" si="77"/>
        <v>62</v>
      </c>
      <c r="AG322" s="36">
        <f t="shared" si="77"/>
        <v>372</v>
      </c>
      <c r="AH322" s="36">
        <f t="shared" si="78"/>
        <v>96</v>
      </c>
      <c r="AI322" s="36">
        <f t="shared" si="78"/>
        <v>576</v>
      </c>
      <c r="AJ322" s="29">
        <f t="shared" si="63"/>
        <v>6</v>
      </c>
    </row>
    <row r="323" spans="1:36">
      <c r="A323" s="33" t="s">
        <v>352</v>
      </c>
      <c r="B323" s="33" t="s">
        <v>349</v>
      </c>
      <c r="C323" s="34" t="s">
        <v>107</v>
      </c>
      <c r="D323" s="34" t="str">
        <f t="shared" si="64"/>
        <v>V65INLO22CO-.DIXIE-1(D903)</v>
      </c>
      <c r="E323" s="33" t="s">
        <v>9</v>
      </c>
      <c r="F323" s="33" t="s">
        <v>9</v>
      </c>
      <c r="G323" s="35">
        <v>10</v>
      </c>
      <c r="H323" s="35">
        <v>29</v>
      </c>
      <c r="I323" s="36">
        <v>1</v>
      </c>
      <c r="J323" s="36">
        <v>1</v>
      </c>
      <c r="K323" s="36">
        <v>3</v>
      </c>
      <c r="L323" s="36">
        <f t="shared" si="67"/>
        <v>34</v>
      </c>
      <c r="M323" s="36">
        <f t="shared" si="68"/>
        <v>204</v>
      </c>
      <c r="N323" s="36">
        <v>24</v>
      </c>
      <c r="O323" s="36">
        <v>1</v>
      </c>
      <c r="P323" s="36">
        <v>1</v>
      </c>
      <c r="Q323" s="36">
        <v>1</v>
      </c>
      <c r="R323" s="36">
        <v>2</v>
      </c>
      <c r="S323" s="36">
        <f t="shared" si="69"/>
        <v>29</v>
      </c>
      <c r="T323" s="36">
        <f t="shared" si="70"/>
        <v>174</v>
      </c>
      <c r="U323" s="36">
        <v>17</v>
      </c>
      <c r="V323" s="36">
        <v>1</v>
      </c>
      <c r="W323" s="36">
        <v>1</v>
      </c>
      <c r="X323" s="36">
        <f t="shared" si="71"/>
        <v>19</v>
      </c>
      <c r="Y323" s="36">
        <f t="shared" si="72"/>
        <v>114</v>
      </c>
      <c r="Z323" s="36">
        <v>11</v>
      </c>
      <c r="AA323" s="36">
        <v>1</v>
      </c>
      <c r="AB323" s="36">
        <v>0</v>
      </c>
      <c r="AC323" s="36">
        <v>2</v>
      </c>
      <c r="AD323" s="36">
        <f t="shared" si="73"/>
        <v>14</v>
      </c>
      <c r="AE323" s="36">
        <f t="shared" si="74"/>
        <v>84</v>
      </c>
      <c r="AF323" s="36">
        <f t="shared" si="77"/>
        <v>62</v>
      </c>
      <c r="AG323" s="36">
        <f t="shared" si="77"/>
        <v>372</v>
      </c>
      <c r="AH323" s="36">
        <f t="shared" si="78"/>
        <v>96</v>
      </c>
      <c r="AI323" s="36">
        <f t="shared" si="78"/>
        <v>576</v>
      </c>
      <c r="AJ323" s="29">
        <f t="shared" ref="AJ323:AJ341" si="79">AI323/AH323</f>
        <v>6</v>
      </c>
    </row>
    <row r="324" spans="1:36">
      <c r="A324" s="33" t="s">
        <v>320</v>
      </c>
      <c r="B324" s="33" t="s">
        <v>349</v>
      </c>
      <c r="C324" s="34" t="s">
        <v>112</v>
      </c>
      <c r="D324" s="34" t="str">
        <f t="shared" si="64"/>
        <v>V65INLO22CO-.DIXIE-3(D903)</v>
      </c>
      <c r="E324" s="33" t="s">
        <v>9</v>
      </c>
      <c r="F324" s="33" t="s">
        <v>9</v>
      </c>
      <c r="G324" s="35">
        <v>10</v>
      </c>
      <c r="H324" s="35">
        <v>29</v>
      </c>
      <c r="I324" s="36">
        <v>1</v>
      </c>
      <c r="J324" s="36">
        <v>1</v>
      </c>
      <c r="K324" s="36">
        <v>3</v>
      </c>
      <c r="L324" s="36">
        <f t="shared" si="67"/>
        <v>34</v>
      </c>
      <c r="M324" s="36">
        <f t="shared" si="68"/>
        <v>204</v>
      </c>
      <c r="N324" s="36">
        <v>24</v>
      </c>
      <c r="O324" s="36">
        <v>1</v>
      </c>
      <c r="P324" s="36">
        <v>1</v>
      </c>
      <c r="Q324" s="36">
        <v>1</v>
      </c>
      <c r="R324" s="36">
        <v>2</v>
      </c>
      <c r="S324" s="36">
        <f t="shared" si="69"/>
        <v>29</v>
      </c>
      <c r="T324" s="36">
        <f t="shared" si="70"/>
        <v>174</v>
      </c>
      <c r="U324" s="36">
        <v>17</v>
      </c>
      <c r="V324" s="36">
        <v>1</v>
      </c>
      <c r="W324" s="36">
        <v>1</v>
      </c>
      <c r="X324" s="36">
        <f t="shared" si="71"/>
        <v>19</v>
      </c>
      <c r="Y324" s="36">
        <f t="shared" si="72"/>
        <v>114</v>
      </c>
      <c r="Z324" s="36">
        <v>11</v>
      </c>
      <c r="AA324" s="36">
        <v>1</v>
      </c>
      <c r="AB324" s="36">
        <v>0</v>
      </c>
      <c r="AC324" s="36">
        <v>2</v>
      </c>
      <c r="AD324" s="36">
        <f t="shared" si="73"/>
        <v>14</v>
      </c>
      <c r="AE324" s="36">
        <f t="shared" si="74"/>
        <v>84</v>
      </c>
      <c r="AF324" s="36">
        <f t="shared" si="77"/>
        <v>62</v>
      </c>
      <c r="AG324" s="36">
        <f t="shared" si="77"/>
        <v>372</v>
      </c>
      <c r="AH324" s="36">
        <f t="shared" si="78"/>
        <v>96</v>
      </c>
      <c r="AI324" s="36">
        <f t="shared" si="78"/>
        <v>576</v>
      </c>
      <c r="AJ324" s="29">
        <f t="shared" si="79"/>
        <v>6</v>
      </c>
    </row>
    <row r="325" spans="1:36">
      <c r="A325" s="33" t="s">
        <v>299</v>
      </c>
      <c r="B325" s="33" t="s">
        <v>349</v>
      </c>
      <c r="C325" s="34" t="s">
        <v>108</v>
      </c>
      <c r="D325" s="34" t="str">
        <f t="shared" si="64"/>
        <v>V65AULO22CO-.DIXIE-1(D903)</v>
      </c>
      <c r="E325" s="33" t="s">
        <v>9</v>
      </c>
      <c r="F325" s="33" t="s">
        <v>9</v>
      </c>
      <c r="G325" s="35">
        <v>10</v>
      </c>
      <c r="H325" s="35">
        <v>29</v>
      </c>
      <c r="I325" s="36">
        <v>1</v>
      </c>
      <c r="J325" s="36">
        <v>1</v>
      </c>
      <c r="K325" s="36">
        <v>3</v>
      </c>
      <c r="L325" s="36">
        <f t="shared" si="67"/>
        <v>34</v>
      </c>
      <c r="M325" s="36">
        <f t="shared" si="68"/>
        <v>204</v>
      </c>
      <c r="N325" s="36">
        <v>24</v>
      </c>
      <c r="O325" s="36">
        <v>1</v>
      </c>
      <c r="P325" s="36">
        <v>1</v>
      </c>
      <c r="Q325" s="36">
        <v>1</v>
      </c>
      <c r="R325" s="36">
        <v>2</v>
      </c>
      <c r="S325" s="36">
        <f t="shared" si="69"/>
        <v>29</v>
      </c>
      <c r="T325" s="36">
        <f t="shared" si="70"/>
        <v>174</v>
      </c>
      <c r="U325" s="36">
        <v>17</v>
      </c>
      <c r="V325" s="36">
        <v>1</v>
      </c>
      <c r="W325" s="36">
        <v>1</v>
      </c>
      <c r="X325" s="36">
        <f t="shared" si="71"/>
        <v>19</v>
      </c>
      <c r="Y325" s="36">
        <f t="shared" si="72"/>
        <v>114</v>
      </c>
      <c r="Z325" s="36">
        <v>11</v>
      </c>
      <c r="AA325" s="36">
        <v>1</v>
      </c>
      <c r="AB325" s="36">
        <v>0</v>
      </c>
      <c r="AC325" s="36">
        <v>2</v>
      </c>
      <c r="AD325" s="36">
        <f t="shared" si="73"/>
        <v>14</v>
      </c>
      <c r="AE325" s="36">
        <f t="shared" si="74"/>
        <v>84</v>
      </c>
      <c r="AF325" s="36">
        <f t="shared" si="77"/>
        <v>62</v>
      </c>
      <c r="AG325" s="36">
        <f t="shared" si="77"/>
        <v>372</v>
      </c>
      <c r="AH325" s="36">
        <f t="shared" si="78"/>
        <v>96</v>
      </c>
      <c r="AI325" s="36">
        <f t="shared" si="78"/>
        <v>576</v>
      </c>
      <c r="AJ325" s="29">
        <f t="shared" si="79"/>
        <v>6</v>
      </c>
    </row>
    <row r="326" spans="1:36">
      <c r="A326" s="33" t="s">
        <v>353</v>
      </c>
      <c r="B326" s="33" t="s">
        <v>349</v>
      </c>
      <c r="C326" s="34" t="s">
        <v>113</v>
      </c>
      <c r="D326" s="34" t="str">
        <f t="shared" si="64"/>
        <v>V65AULO22CO-.DIXIE-3(D903)</v>
      </c>
      <c r="E326" s="33" t="s">
        <v>9</v>
      </c>
      <c r="F326" s="33" t="s">
        <v>9</v>
      </c>
      <c r="G326" s="35">
        <v>10</v>
      </c>
      <c r="H326" s="35">
        <v>29</v>
      </c>
      <c r="I326" s="36">
        <v>1</v>
      </c>
      <c r="J326" s="36">
        <v>1</v>
      </c>
      <c r="K326" s="36">
        <v>3</v>
      </c>
      <c r="L326" s="36">
        <f t="shared" si="67"/>
        <v>34</v>
      </c>
      <c r="M326" s="36">
        <f t="shared" si="68"/>
        <v>204</v>
      </c>
      <c r="N326" s="36">
        <v>24</v>
      </c>
      <c r="O326" s="36">
        <v>1</v>
      </c>
      <c r="P326" s="36">
        <v>1</v>
      </c>
      <c r="Q326" s="36">
        <v>1</v>
      </c>
      <c r="R326" s="36">
        <v>2</v>
      </c>
      <c r="S326" s="36">
        <f t="shared" si="69"/>
        <v>29</v>
      </c>
      <c r="T326" s="36">
        <f t="shared" si="70"/>
        <v>174</v>
      </c>
      <c r="U326" s="36">
        <v>17</v>
      </c>
      <c r="V326" s="36">
        <v>1</v>
      </c>
      <c r="W326" s="36">
        <v>1</v>
      </c>
      <c r="X326" s="36">
        <f t="shared" si="71"/>
        <v>19</v>
      </c>
      <c r="Y326" s="36">
        <f t="shared" si="72"/>
        <v>114</v>
      </c>
      <c r="Z326" s="36">
        <v>11</v>
      </c>
      <c r="AA326" s="36">
        <v>1</v>
      </c>
      <c r="AB326" s="36">
        <v>0</v>
      </c>
      <c r="AC326" s="36">
        <v>2</v>
      </c>
      <c r="AD326" s="36">
        <f t="shared" si="73"/>
        <v>14</v>
      </c>
      <c r="AE326" s="36">
        <f t="shared" si="74"/>
        <v>84</v>
      </c>
      <c r="AF326" s="36">
        <f t="shared" si="77"/>
        <v>62</v>
      </c>
      <c r="AG326" s="36">
        <f t="shared" si="77"/>
        <v>372</v>
      </c>
      <c r="AH326" s="36">
        <f t="shared" si="78"/>
        <v>96</v>
      </c>
      <c r="AI326" s="36">
        <f t="shared" si="78"/>
        <v>576</v>
      </c>
      <c r="AJ326" s="29">
        <f t="shared" si="79"/>
        <v>6</v>
      </c>
    </row>
    <row r="327" spans="1:36">
      <c r="A327" s="33" t="s">
        <v>354</v>
      </c>
      <c r="B327" s="33" t="s">
        <v>349</v>
      </c>
      <c r="C327" s="34" t="s">
        <v>114</v>
      </c>
      <c r="D327" s="34" t="str">
        <f t="shared" si="64"/>
        <v>V65BRLO22CO-.DIXIE-1(D903)</v>
      </c>
      <c r="E327" s="33" t="s">
        <v>9</v>
      </c>
      <c r="F327" s="33" t="s">
        <v>9</v>
      </c>
      <c r="G327" s="35">
        <v>10</v>
      </c>
      <c r="H327" s="35">
        <v>29</v>
      </c>
      <c r="I327" s="36">
        <v>1</v>
      </c>
      <c r="J327" s="36">
        <v>1</v>
      </c>
      <c r="K327" s="36">
        <v>3</v>
      </c>
      <c r="L327" s="36">
        <f t="shared" si="67"/>
        <v>34</v>
      </c>
      <c r="M327" s="36">
        <f t="shared" si="68"/>
        <v>204</v>
      </c>
      <c r="N327" s="36">
        <v>24</v>
      </c>
      <c r="O327" s="36">
        <v>1</v>
      </c>
      <c r="P327" s="36">
        <v>1</v>
      </c>
      <c r="Q327" s="36">
        <v>1</v>
      </c>
      <c r="R327" s="36">
        <v>2</v>
      </c>
      <c r="S327" s="36">
        <f t="shared" si="69"/>
        <v>29</v>
      </c>
      <c r="T327" s="36">
        <f t="shared" si="70"/>
        <v>174</v>
      </c>
      <c r="U327" s="36">
        <v>17</v>
      </c>
      <c r="V327" s="36">
        <v>1</v>
      </c>
      <c r="W327" s="36">
        <v>1</v>
      </c>
      <c r="X327" s="36">
        <f t="shared" si="71"/>
        <v>19</v>
      </c>
      <c r="Y327" s="36">
        <f t="shared" si="72"/>
        <v>114</v>
      </c>
      <c r="Z327" s="36">
        <v>11</v>
      </c>
      <c r="AA327" s="36">
        <v>1</v>
      </c>
      <c r="AB327" s="36">
        <v>0</v>
      </c>
      <c r="AC327" s="36">
        <v>2</v>
      </c>
      <c r="AD327" s="36">
        <f t="shared" si="73"/>
        <v>14</v>
      </c>
      <c r="AE327" s="36">
        <f t="shared" si="74"/>
        <v>84</v>
      </c>
      <c r="AF327" s="36">
        <f t="shared" si="77"/>
        <v>62</v>
      </c>
      <c r="AG327" s="36">
        <f t="shared" si="77"/>
        <v>372</v>
      </c>
      <c r="AH327" s="36">
        <f t="shared" si="78"/>
        <v>96</v>
      </c>
      <c r="AI327" s="36">
        <f t="shared" si="78"/>
        <v>576</v>
      </c>
      <c r="AJ327" s="29">
        <f t="shared" si="79"/>
        <v>6</v>
      </c>
    </row>
    <row r="328" spans="1:36">
      <c r="A328" s="33" t="s">
        <v>357</v>
      </c>
      <c r="B328" s="33" t="s">
        <v>349</v>
      </c>
      <c r="C328" s="34" t="s">
        <v>115</v>
      </c>
      <c r="D328" s="34" t="str">
        <f t="shared" si="64"/>
        <v>V65BRLO22CO-.DIXIE-3(D903)</v>
      </c>
      <c r="E328" s="33" t="s">
        <v>9</v>
      </c>
      <c r="F328" s="33" t="s">
        <v>9</v>
      </c>
      <c r="G328" s="35">
        <v>10</v>
      </c>
      <c r="H328" s="35">
        <v>29</v>
      </c>
      <c r="I328" s="36">
        <v>1</v>
      </c>
      <c r="J328" s="36">
        <v>1</v>
      </c>
      <c r="K328" s="36">
        <v>3</v>
      </c>
      <c r="L328" s="36">
        <f t="shared" si="67"/>
        <v>34</v>
      </c>
      <c r="M328" s="36">
        <f t="shared" si="68"/>
        <v>204</v>
      </c>
      <c r="N328" s="36">
        <v>24</v>
      </c>
      <c r="O328" s="36">
        <v>1</v>
      </c>
      <c r="P328" s="36">
        <v>1</v>
      </c>
      <c r="Q328" s="36">
        <v>1</v>
      </c>
      <c r="R328" s="36">
        <v>2</v>
      </c>
      <c r="S328" s="36">
        <f t="shared" si="69"/>
        <v>29</v>
      </c>
      <c r="T328" s="36">
        <f t="shared" si="70"/>
        <v>174</v>
      </c>
      <c r="U328" s="36">
        <v>17</v>
      </c>
      <c r="V328" s="36">
        <v>1</v>
      </c>
      <c r="W328" s="36">
        <v>1</v>
      </c>
      <c r="X328" s="36">
        <f t="shared" si="71"/>
        <v>19</v>
      </c>
      <c r="Y328" s="36">
        <f t="shared" si="72"/>
        <v>114</v>
      </c>
      <c r="Z328" s="36">
        <v>11</v>
      </c>
      <c r="AA328" s="36">
        <v>1</v>
      </c>
      <c r="AB328" s="36">
        <v>0</v>
      </c>
      <c r="AC328" s="36">
        <v>2</v>
      </c>
      <c r="AD328" s="36">
        <f t="shared" si="73"/>
        <v>14</v>
      </c>
      <c r="AE328" s="36">
        <f t="shared" si="74"/>
        <v>84</v>
      </c>
      <c r="AF328" s="36">
        <f t="shared" si="77"/>
        <v>62</v>
      </c>
      <c r="AG328" s="36">
        <f t="shared" si="77"/>
        <v>372</v>
      </c>
      <c r="AH328" s="36">
        <f t="shared" si="78"/>
        <v>96</v>
      </c>
      <c r="AI328" s="36">
        <f t="shared" si="78"/>
        <v>576</v>
      </c>
      <c r="AJ328" s="29">
        <f t="shared" si="79"/>
        <v>6</v>
      </c>
    </row>
    <row r="329" spans="1:36">
      <c r="A329" s="33" t="s">
        <v>355</v>
      </c>
      <c r="B329" s="33" t="s">
        <v>349</v>
      </c>
      <c r="C329" s="34" t="s">
        <v>116</v>
      </c>
      <c r="D329" s="34" t="str">
        <f t="shared" si="64"/>
        <v>V65THLO22CO-.DIXIE-1(D903)</v>
      </c>
      <c r="E329" s="33" t="s">
        <v>9</v>
      </c>
      <c r="F329" s="33" t="s">
        <v>9</v>
      </c>
      <c r="G329" s="35">
        <v>10</v>
      </c>
      <c r="H329" s="35">
        <v>29</v>
      </c>
      <c r="I329" s="36">
        <v>1</v>
      </c>
      <c r="J329" s="36">
        <v>1</v>
      </c>
      <c r="K329" s="36">
        <v>3</v>
      </c>
      <c r="L329" s="36">
        <f t="shared" si="67"/>
        <v>34</v>
      </c>
      <c r="M329" s="36">
        <f t="shared" si="68"/>
        <v>204</v>
      </c>
      <c r="N329" s="36">
        <v>24</v>
      </c>
      <c r="O329" s="36">
        <v>1</v>
      </c>
      <c r="P329" s="36">
        <v>1</v>
      </c>
      <c r="Q329" s="36">
        <v>1</v>
      </c>
      <c r="R329" s="36">
        <v>2</v>
      </c>
      <c r="S329" s="36">
        <f t="shared" si="69"/>
        <v>29</v>
      </c>
      <c r="T329" s="36">
        <f t="shared" si="70"/>
        <v>174</v>
      </c>
      <c r="U329" s="36">
        <v>17</v>
      </c>
      <c r="V329" s="36">
        <v>1</v>
      </c>
      <c r="W329" s="36">
        <v>1</v>
      </c>
      <c r="X329" s="36">
        <f t="shared" si="71"/>
        <v>19</v>
      </c>
      <c r="Y329" s="36">
        <f t="shared" si="72"/>
        <v>114</v>
      </c>
      <c r="Z329" s="36">
        <v>11</v>
      </c>
      <c r="AA329" s="36">
        <v>1</v>
      </c>
      <c r="AB329" s="36">
        <v>0</v>
      </c>
      <c r="AC329" s="36">
        <v>2</v>
      </c>
      <c r="AD329" s="36">
        <f t="shared" si="73"/>
        <v>14</v>
      </c>
      <c r="AE329" s="36">
        <f t="shared" si="74"/>
        <v>84</v>
      </c>
      <c r="AF329" s="36">
        <f t="shared" si="77"/>
        <v>62</v>
      </c>
      <c r="AG329" s="36">
        <f t="shared" si="77"/>
        <v>372</v>
      </c>
      <c r="AH329" s="36">
        <f t="shared" si="78"/>
        <v>96</v>
      </c>
      <c r="AI329" s="36">
        <f t="shared" si="78"/>
        <v>576</v>
      </c>
      <c r="AJ329" s="29">
        <f t="shared" si="79"/>
        <v>6</v>
      </c>
    </row>
    <row r="330" spans="1:36">
      <c r="A330" s="33" t="s">
        <v>320</v>
      </c>
      <c r="B330" s="33" t="s">
        <v>349</v>
      </c>
      <c r="C330" s="34" t="s">
        <v>117</v>
      </c>
      <c r="D330" s="34" t="str">
        <f t="shared" ref="D330:D341" si="80">C330&amp;"("&amp;F330&amp;")"</f>
        <v>V65THLO22CO-.DIXIE-3(D903)</v>
      </c>
      <c r="E330" s="33" t="s">
        <v>9</v>
      </c>
      <c r="F330" s="33" t="s">
        <v>9</v>
      </c>
      <c r="G330" s="35">
        <v>10</v>
      </c>
      <c r="H330" s="35">
        <v>29</v>
      </c>
      <c r="I330" s="36">
        <v>1</v>
      </c>
      <c r="J330" s="36">
        <v>1</v>
      </c>
      <c r="K330" s="36">
        <v>3</v>
      </c>
      <c r="L330" s="36">
        <f t="shared" si="67"/>
        <v>34</v>
      </c>
      <c r="M330" s="36">
        <f t="shared" si="68"/>
        <v>204</v>
      </c>
      <c r="N330" s="36">
        <v>24</v>
      </c>
      <c r="O330" s="36">
        <v>1</v>
      </c>
      <c r="P330" s="36">
        <v>1</v>
      </c>
      <c r="Q330" s="36">
        <v>1</v>
      </c>
      <c r="R330" s="36">
        <v>2</v>
      </c>
      <c r="S330" s="36">
        <f t="shared" si="69"/>
        <v>29</v>
      </c>
      <c r="T330" s="36">
        <f t="shared" si="70"/>
        <v>174</v>
      </c>
      <c r="U330" s="36">
        <v>17</v>
      </c>
      <c r="V330" s="36">
        <v>1</v>
      </c>
      <c r="W330" s="36">
        <v>1</v>
      </c>
      <c r="X330" s="36">
        <f t="shared" si="71"/>
        <v>19</v>
      </c>
      <c r="Y330" s="36">
        <f t="shared" si="72"/>
        <v>114</v>
      </c>
      <c r="Z330" s="36">
        <v>11</v>
      </c>
      <c r="AA330" s="36">
        <v>1</v>
      </c>
      <c r="AB330" s="36">
        <v>0</v>
      </c>
      <c r="AC330" s="36">
        <v>2</v>
      </c>
      <c r="AD330" s="36">
        <f t="shared" si="73"/>
        <v>14</v>
      </c>
      <c r="AE330" s="36">
        <f t="shared" si="74"/>
        <v>84</v>
      </c>
      <c r="AF330" s="36">
        <f t="shared" ref="AF330:AG352" si="81">SUM(S330,X330,AD330)</f>
        <v>62</v>
      </c>
      <c r="AG330" s="36">
        <f t="shared" si="81"/>
        <v>372</v>
      </c>
      <c r="AH330" s="36">
        <f t="shared" ref="AH330:AI342" si="82">SUM(L330,AF330)</f>
        <v>96</v>
      </c>
      <c r="AI330" s="36">
        <f t="shared" si="82"/>
        <v>576</v>
      </c>
      <c r="AJ330" s="29">
        <f t="shared" si="79"/>
        <v>6</v>
      </c>
    </row>
    <row r="331" spans="1:36">
      <c r="A331" s="33" t="s">
        <v>353</v>
      </c>
      <c r="B331" s="33" t="s">
        <v>349</v>
      </c>
      <c r="C331" s="34" t="s">
        <v>118</v>
      </c>
      <c r="D331" s="34" t="str">
        <f t="shared" si="80"/>
        <v>V65ILLO22CO-.DIXIE-1(D903)</v>
      </c>
      <c r="E331" s="33" t="s">
        <v>9</v>
      </c>
      <c r="F331" s="33" t="s">
        <v>9</v>
      </c>
      <c r="G331" s="35">
        <v>10</v>
      </c>
      <c r="H331" s="35">
        <v>29</v>
      </c>
      <c r="I331" s="36">
        <v>1</v>
      </c>
      <c r="J331" s="36">
        <v>1</v>
      </c>
      <c r="K331" s="36">
        <v>3</v>
      </c>
      <c r="L331" s="36">
        <f t="shared" si="67"/>
        <v>34</v>
      </c>
      <c r="M331" s="36">
        <f t="shared" si="68"/>
        <v>204</v>
      </c>
      <c r="N331" s="36">
        <v>24</v>
      </c>
      <c r="O331" s="36">
        <v>1</v>
      </c>
      <c r="P331" s="36">
        <v>1</v>
      </c>
      <c r="Q331" s="36">
        <v>1</v>
      </c>
      <c r="R331" s="36">
        <v>2</v>
      </c>
      <c r="S331" s="36">
        <f t="shared" si="69"/>
        <v>29</v>
      </c>
      <c r="T331" s="36">
        <f t="shared" si="70"/>
        <v>174</v>
      </c>
      <c r="U331" s="36">
        <v>17</v>
      </c>
      <c r="V331" s="36">
        <v>1</v>
      </c>
      <c r="W331" s="36">
        <v>1</v>
      </c>
      <c r="X331" s="36">
        <f t="shared" si="71"/>
        <v>19</v>
      </c>
      <c r="Y331" s="36">
        <f t="shared" si="72"/>
        <v>114</v>
      </c>
      <c r="Z331" s="36">
        <v>11</v>
      </c>
      <c r="AA331" s="36">
        <v>1</v>
      </c>
      <c r="AB331" s="36">
        <v>0</v>
      </c>
      <c r="AC331" s="36">
        <v>2</v>
      </c>
      <c r="AD331" s="36">
        <f t="shared" si="73"/>
        <v>14</v>
      </c>
      <c r="AE331" s="36">
        <f t="shared" si="74"/>
        <v>84</v>
      </c>
      <c r="AF331" s="36">
        <f t="shared" si="81"/>
        <v>62</v>
      </c>
      <c r="AG331" s="36">
        <f t="shared" si="81"/>
        <v>372</v>
      </c>
      <c r="AH331" s="36">
        <f t="shared" si="82"/>
        <v>96</v>
      </c>
      <c r="AI331" s="36">
        <f t="shared" si="82"/>
        <v>576</v>
      </c>
      <c r="AJ331" s="29">
        <f t="shared" si="79"/>
        <v>6</v>
      </c>
    </row>
    <row r="332" spans="1:36">
      <c r="A332" s="33" t="s">
        <v>353</v>
      </c>
      <c r="B332" s="33" t="s">
        <v>349</v>
      </c>
      <c r="C332" s="34" t="s">
        <v>119</v>
      </c>
      <c r="D332" s="34" t="str">
        <f t="shared" si="80"/>
        <v>V65ILLO22CO-.DIXIE-3(D903)</v>
      </c>
      <c r="E332" s="33" t="s">
        <v>9</v>
      </c>
      <c r="F332" s="33" t="s">
        <v>9</v>
      </c>
      <c r="G332" s="35">
        <v>10</v>
      </c>
      <c r="H332" s="35">
        <v>29</v>
      </c>
      <c r="I332" s="36">
        <v>1</v>
      </c>
      <c r="J332" s="36">
        <v>1</v>
      </c>
      <c r="K332" s="36">
        <v>3</v>
      </c>
      <c r="L332" s="36">
        <f t="shared" si="67"/>
        <v>34</v>
      </c>
      <c r="M332" s="36">
        <f t="shared" si="68"/>
        <v>204</v>
      </c>
      <c r="N332" s="36">
        <v>24</v>
      </c>
      <c r="O332" s="36">
        <v>1</v>
      </c>
      <c r="P332" s="36">
        <v>1</v>
      </c>
      <c r="Q332" s="36">
        <v>1</v>
      </c>
      <c r="R332" s="36">
        <v>2</v>
      </c>
      <c r="S332" s="36">
        <f t="shared" si="69"/>
        <v>29</v>
      </c>
      <c r="T332" s="36">
        <f t="shared" si="70"/>
        <v>174</v>
      </c>
      <c r="U332" s="36">
        <v>17</v>
      </c>
      <c r="V332" s="36">
        <v>1</v>
      </c>
      <c r="W332" s="36">
        <v>1</v>
      </c>
      <c r="X332" s="36">
        <f t="shared" si="71"/>
        <v>19</v>
      </c>
      <c r="Y332" s="36">
        <f t="shared" si="72"/>
        <v>114</v>
      </c>
      <c r="Z332" s="36">
        <v>11</v>
      </c>
      <c r="AA332" s="36">
        <v>1</v>
      </c>
      <c r="AB332" s="36">
        <v>0</v>
      </c>
      <c r="AC332" s="36">
        <v>2</v>
      </c>
      <c r="AD332" s="36">
        <f t="shared" si="73"/>
        <v>14</v>
      </c>
      <c r="AE332" s="36">
        <f t="shared" si="74"/>
        <v>84</v>
      </c>
      <c r="AF332" s="36">
        <f t="shared" si="81"/>
        <v>62</v>
      </c>
      <c r="AG332" s="36">
        <f t="shared" si="81"/>
        <v>372</v>
      </c>
      <c r="AH332" s="36">
        <f t="shared" si="82"/>
        <v>96</v>
      </c>
      <c r="AI332" s="36">
        <f t="shared" si="82"/>
        <v>576</v>
      </c>
      <c r="AJ332" s="29">
        <f t="shared" si="79"/>
        <v>6</v>
      </c>
    </row>
    <row r="333" spans="1:36">
      <c r="A333" s="33" t="s">
        <v>353</v>
      </c>
      <c r="B333" s="33" t="s">
        <v>349</v>
      </c>
      <c r="C333" s="34" t="s">
        <v>120</v>
      </c>
      <c r="D333" s="34" t="str">
        <f t="shared" si="80"/>
        <v>V65CLLO22CO-.DIXIE-1(D903)</v>
      </c>
      <c r="E333" s="33" t="s">
        <v>9</v>
      </c>
      <c r="F333" s="33" t="s">
        <v>9</v>
      </c>
      <c r="G333" s="35">
        <v>10</v>
      </c>
      <c r="H333" s="35">
        <v>29</v>
      </c>
      <c r="I333" s="36">
        <v>1</v>
      </c>
      <c r="J333" s="36">
        <v>1</v>
      </c>
      <c r="K333" s="36">
        <v>3</v>
      </c>
      <c r="L333" s="36">
        <f t="shared" si="67"/>
        <v>34</v>
      </c>
      <c r="M333" s="36">
        <f t="shared" si="68"/>
        <v>204</v>
      </c>
      <c r="N333" s="36">
        <v>24</v>
      </c>
      <c r="O333" s="36">
        <v>1</v>
      </c>
      <c r="P333" s="36">
        <v>1</v>
      </c>
      <c r="Q333" s="36">
        <v>1</v>
      </c>
      <c r="R333" s="36">
        <v>2</v>
      </c>
      <c r="S333" s="36">
        <f t="shared" si="69"/>
        <v>29</v>
      </c>
      <c r="T333" s="36">
        <f t="shared" si="70"/>
        <v>174</v>
      </c>
      <c r="U333" s="36">
        <v>17</v>
      </c>
      <c r="V333" s="36">
        <v>1</v>
      </c>
      <c r="W333" s="36">
        <v>1</v>
      </c>
      <c r="X333" s="36">
        <f t="shared" si="71"/>
        <v>19</v>
      </c>
      <c r="Y333" s="36">
        <f t="shared" si="72"/>
        <v>114</v>
      </c>
      <c r="Z333" s="36">
        <v>11</v>
      </c>
      <c r="AA333" s="36">
        <v>1</v>
      </c>
      <c r="AB333" s="36">
        <v>0</v>
      </c>
      <c r="AC333" s="36">
        <v>2</v>
      </c>
      <c r="AD333" s="36">
        <f t="shared" si="73"/>
        <v>14</v>
      </c>
      <c r="AE333" s="36">
        <f t="shared" si="74"/>
        <v>84</v>
      </c>
      <c r="AF333" s="36">
        <f t="shared" si="81"/>
        <v>62</v>
      </c>
      <c r="AG333" s="36">
        <f t="shared" si="81"/>
        <v>372</v>
      </c>
      <c r="AH333" s="36">
        <f t="shared" si="82"/>
        <v>96</v>
      </c>
      <c r="AI333" s="36">
        <f t="shared" si="82"/>
        <v>576</v>
      </c>
      <c r="AJ333" s="29">
        <f t="shared" si="79"/>
        <v>6</v>
      </c>
    </row>
    <row r="334" spans="1:36">
      <c r="A334" s="33" t="s">
        <v>358</v>
      </c>
      <c r="B334" s="33" t="s">
        <v>349</v>
      </c>
      <c r="C334" s="34" t="s">
        <v>121</v>
      </c>
      <c r="D334" s="34" t="str">
        <f t="shared" si="80"/>
        <v>V65CLLO22CO-.DIXIE-3(D903)</v>
      </c>
      <c r="E334" s="33" t="s">
        <v>9</v>
      </c>
      <c r="F334" s="33" t="s">
        <v>9</v>
      </c>
      <c r="G334" s="35">
        <v>10</v>
      </c>
      <c r="H334" s="35">
        <v>29</v>
      </c>
      <c r="I334" s="36">
        <v>1</v>
      </c>
      <c r="J334" s="36">
        <v>1</v>
      </c>
      <c r="K334" s="36">
        <v>3</v>
      </c>
      <c r="L334" s="36">
        <f t="shared" si="67"/>
        <v>34</v>
      </c>
      <c r="M334" s="36">
        <f t="shared" si="68"/>
        <v>204</v>
      </c>
      <c r="N334" s="36">
        <v>24</v>
      </c>
      <c r="O334" s="36">
        <v>1</v>
      </c>
      <c r="P334" s="36">
        <v>1</v>
      </c>
      <c r="Q334" s="36">
        <v>1</v>
      </c>
      <c r="R334" s="36">
        <v>2</v>
      </c>
      <c r="S334" s="36">
        <f t="shared" si="69"/>
        <v>29</v>
      </c>
      <c r="T334" s="36">
        <f t="shared" si="70"/>
        <v>174</v>
      </c>
      <c r="U334" s="36">
        <v>17</v>
      </c>
      <c r="V334" s="36">
        <v>1</v>
      </c>
      <c r="W334" s="36">
        <v>1</v>
      </c>
      <c r="X334" s="36">
        <f t="shared" si="71"/>
        <v>19</v>
      </c>
      <c r="Y334" s="36">
        <f t="shared" si="72"/>
        <v>114</v>
      </c>
      <c r="Z334" s="36">
        <v>11</v>
      </c>
      <c r="AA334" s="36">
        <v>1</v>
      </c>
      <c r="AB334" s="36">
        <v>0</v>
      </c>
      <c r="AC334" s="36">
        <v>2</v>
      </c>
      <c r="AD334" s="36">
        <f t="shared" si="73"/>
        <v>14</v>
      </c>
      <c r="AE334" s="36">
        <f t="shared" si="74"/>
        <v>84</v>
      </c>
      <c r="AF334" s="36">
        <f t="shared" si="81"/>
        <v>62</v>
      </c>
      <c r="AG334" s="36">
        <f t="shared" si="81"/>
        <v>372</v>
      </c>
      <c r="AH334" s="36">
        <f t="shared" si="82"/>
        <v>96</v>
      </c>
      <c r="AI334" s="36">
        <f t="shared" si="82"/>
        <v>576</v>
      </c>
      <c r="AJ334" s="29">
        <f t="shared" si="79"/>
        <v>6</v>
      </c>
    </row>
    <row r="335" spans="1:36">
      <c r="A335" s="33" t="s">
        <v>350</v>
      </c>
      <c r="B335" s="33" t="s">
        <v>349</v>
      </c>
      <c r="C335" s="34" t="s">
        <v>122</v>
      </c>
      <c r="D335" s="34" t="str">
        <f t="shared" si="80"/>
        <v>V65CNLO22CO-.DIXIE-1(D903)</v>
      </c>
      <c r="E335" s="33" t="s">
        <v>9</v>
      </c>
      <c r="F335" s="33" t="s">
        <v>9</v>
      </c>
      <c r="G335" s="35">
        <v>10</v>
      </c>
      <c r="H335" s="35">
        <v>29</v>
      </c>
      <c r="I335" s="36">
        <v>1</v>
      </c>
      <c r="J335" s="36">
        <v>1</v>
      </c>
      <c r="K335" s="36">
        <v>3</v>
      </c>
      <c r="L335" s="36">
        <f t="shared" si="67"/>
        <v>34</v>
      </c>
      <c r="M335" s="36">
        <f t="shared" si="68"/>
        <v>204</v>
      </c>
      <c r="N335" s="36">
        <v>24</v>
      </c>
      <c r="O335" s="36">
        <v>1</v>
      </c>
      <c r="P335" s="36">
        <v>1</v>
      </c>
      <c r="Q335" s="36">
        <v>1</v>
      </c>
      <c r="R335" s="36">
        <v>2</v>
      </c>
      <c r="S335" s="36">
        <f t="shared" si="69"/>
        <v>29</v>
      </c>
      <c r="T335" s="36">
        <f t="shared" si="70"/>
        <v>174</v>
      </c>
      <c r="U335" s="36">
        <v>17</v>
      </c>
      <c r="V335" s="36">
        <v>1</v>
      </c>
      <c r="W335" s="36">
        <v>1</v>
      </c>
      <c r="X335" s="36">
        <f t="shared" si="71"/>
        <v>19</v>
      </c>
      <c r="Y335" s="36">
        <f t="shared" si="72"/>
        <v>114</v>
      </c>
      <c r="Z335" s="36">
        <v>11</v>
      </c>
      <c r="AA335" s="36">
        <v>1</v>
      </c>
      <c r="AB335" s="36">
        <v>0</v>
      </c>
      <c r="AC335" s="36">
        <v>2</v>
      </c>
      <c r="AD335" s="36">
        <f t="shared" si="73"/>
        <v>14</v>
      </c>
      <c r="AE335" s="36">
        <f t="shared" si="74"/>
        <v>84</v>
      </c>
      <c r="AF335" s="36">
        <f t="shared" si="81"/>
        <v>62</v>
      </c>
      <c r="AG335" s="36">
        <f t="shared" si="81"/>
        <v>372</v>
      </c>
      <c r="AH335" s="36">
        <f t="shared" si="82"/>
        <v>96</v>
      </c>
      <c r="AI335" s="36">
        <f t="shared" si="82"/>
        <v>576</v>
      </c>
      <c r="AJ335" s="29">
        <f t="shared" si="79"/>
        <v>6</v>
      </c>
    </row>
    <row r="336" spans="1:36">
      <c r="A336" s="33" t="s">
        <v>351</v>
      </c>
      <c r="B336" s="33" t="s">
        <v>349</v>
      </c>
      <c r="C336" s="34" t="s">
        <v>123</v>
      </c>
      <c r="D336" s="34" t="str">
        <f t="shared" si="80"/>
        <v>V65CNLO22CO-.DIXIE-3(D903)</v>
      </c>
      <c r="E336" s="33" t="s">
        <v>9</v>
      </c>
      <c r="F336" s="33" t="s">
        <v>9</v>
      </c>
      <c r="G336" s="35">
        <v>10</v>
      </c>
      <c r="H336" s="35">
        <v>29</v>
      </c>
      <c r="I336" s="36">
        <v>1</v>
      </c>
      <c r="J336" s="36">
        <v>1</v>
      </c>
      <c r="K336" s="36">
        <v>3</v>
      </c>
      <c r="L336" s="36">
        <f t="shared" si="67"/>
        <v>34</v>
      </c>
      <c r="M336" s="36">
        <f t="shared" si="68"/>
        <v>204</v>
      </c>
      <c r="N336" s="36">
        <v>24</v>
      </c>
      <c r="O336" s="36">
        <v>1</v>
      </c>
      <c r="P336" s="36">
        <v>1</v>
      </c>
      <c r="Q336" s="36">
        <v>1</v>
      </c>
      <c r="R336" s="36">
        <v>2</v>
      </c>
      <c r="S336" s="36">
        <f t="shared" si="69"/>
        <v>29</v>
      </c>
      <c r="T336" s="36">
        <f t="shared" si="70"/>
        <v>174</v>
      </c>
      <c r="U336" s="36">
        <v>17</v>
      </c>
      <c r="V336" s="36">
        <v>1</v>
      </c>
      <c r="W336" s="36">
        <v>1</v>
      </c>
      <c r="X336" s="36">
        <f t="shared" si="71"/>
        <v>19</v>
      </c>
      <c r="Y336" s="36">
        <f t="shared" si="72"/>
        <v>114</v>
      </c>
      <c r="Z336" s="36">
        <v>11</v>
      </c>
      <c r="AA336" s="36">
        <v>1</v>
      </c>
      <c r="AB336" s="36">
        <v>0</v>
      </c>
      <c r="AC336" s="36">
        <v>2</v>
      </c>
      <c r="AD336" s="36">
        <f t="shared" si="73"/>
        <v>14</v>
      </c>
      <c r="AE336" s="36">
        <f t="shared" si="74"/>
        <v>84</v>
      </c>
      <c r="AF336" s="36">
        <f t="shared" si="81"/>
        <v>62</v>
      </c>
      <c r="AG336" s="36">
        <f t="shared" si="81"/>
        <v>372</v>
      </c>
      <c r="AH336" s="36">
        <f t="shared" si="82"/>
        <v>96</v>
      </c>
      <c r="AI336" s="36">
        <f t="shared" si="82"/>
        <v>576</v>
      </c>
      <c r="AJ336" s="29">
        <f t="shared" si="79"/>
        <v>6</v>
      </c>
    </row>
    <row r="337" spans="1:37">
      <c r="A337" s="33" t="s">
        <v>354</v>
      </c>
      <c r="B337" s="33" t="s">
        <v>349</v>
      </c>
      <c r="C337" s="34" t="s">
        <v>124</v>
      </c>
      <c r="D337" s="34" t="str">
        <f t="shared" si="80"/>
        <v>V65JPLO22CO-.DIXIE-1(D903)</v>
      </c>
      <c r="E337" s="33" t="s">
        <v>9</v>
      </c>
      <c r="F337" s="33" t="s">
        <v>9</v>
      </c>
      <c r="G337" s="35">
        <v>10</v>
      </c>
      <c r="H337" s="35">
        <v>29</v>
      </c>
      <c r="I337" s="36">
        <v>1</v>
      </c>
      <c r="J337" s="36">
        <v>1</v>
      </c>
      <c r="K337" s="36">
        <v>3</v>
      </c>
      <c r="L337" s="36">
        <f t="shared" si="67"/>
        <v>34</v>
      </c>
      <c r="M337" s="36">
        <f t="shared" si="68"/>
        <v>204</v>
      </c>
      <c r="N337" s="36">
        <v>24</v>
      </c>
      <c r="O337" s="36">
        <v>1</v>
      </c>
      <c r="P337" s="36">
        <v>1</v>
      </c>
      <c r="Q337" s="36">
        <v>1</v>
      </c>
      <c r="R337" s="36">
        <v>2</v>
      </c>
      <c r="S337" s="36">
        <f t="shared" si="69"/>
        <v>29</v>
      </c>
      <c r="T337" s="36">
        <f t="shared" si="70"/>
        <v>174</v>
      </c>
      <c r="U337" s="36">
        <v>17</v>
      </c>
      <c r="V337" s="36">
        <v>1</v>
      </c>
      <c r="W337" s="36">
        <v>1</v>
      </c>
      <c r="X337" s="36">
        <f t="shared" si="71"/>
        <v>19</v>
      </c>
      <c r="Y337" s="36">
        <f t="shared" si="72"/>
        <v>114</v>
      </c>
      <c r="Z337" s="36">
        <v>11</v>
      </c>
      <c r="AA337" s="36">
        <v>1</v>
      </c>
      <c r="AB337" s="36">
        <v>0</v>
      </c>
      <c r="AC337" s="36">
        <v>2</v>
      </c>
      <c r="AD337" s="36">
        <f t="shared" si="73"/>
        <v>14</v>
      </c>
      <c r="AE337" s="36">
        <f t="shared" si="74"/>
        <v>84</v>
      </c>
      <c r="AF337" s="36">
        <f t="shared" si="81"/>
        <v>62</v>
      </c>
      <c r="AG337" s="36">
        <f t="shared" si="81"/>
        <v>372</v>
      </c>
      <c r="AH337" s="36">
        <f t="shared" si="82"/>
        <v>96</v>
      </c>
      <c r="AI337" s="36">
        <f t="shared" si="82"/>
        <v>576</v>
      </c>
      <c r="AJ337" s="29">
        <f t="shared" si="79"/>
        <v>6</v>
      </c>
    </row>
    <row r="338" spans="1:37">
      <c r="A338" s="33" t="s">
        <v>356</v>
      </c>
      <c r="B338" s="33" t="s">
        <v>349</v>
      </c>
      <c r="C338" s="34" t="s">
        <v>125</v>
      </c>
      <c r="D338" s="34" t="str">
        <f t="shared" si="80"/>
        <v>V65JPLO22CO-.DIXIE-3(D903)</v>
      </c>
      <c r="E338" s="33" t="s">
        <v>9</v>
      </c>
      <c r="F338" s="33" t="s">
        <v>9</v>
      </c>
      <c r="G338" s="35">
        <v>10</v>
      </c>
      <c r="H338" s="35">
        <v>29</v>
      </c>
      <c r="I338" s="36">
        <v>1</v>
      </c>
      <c r="J338" s="36">
        <v>1</v>
      </c>
      <c r="K338" s="36">
        <v>3</v>
      </c>
      <c r="L338" s="36">
        <f t="shared" si="67"/>
        <v>34</v>
      </c>
      <c r="M338" s="36">
        <f t="shared" si="68"/>
        <v>204</v>
      </c>
      <c r="N338" s="36">
        <v>24</v>
      </c>
      <c r="O338" s="36">
        <v>1</v>
      </c>
      <c r="P338" s="36">
        <v>1</v>
      </c>
      <c r="Q338" s="36">
        <v>1</v>
      </c>
      <c r="R338" s="36">
        <v>2</v>
      </c>
      <c r="S338" s="36">
        <f t="shared" si="69"/>
        <v>29</v>
      </c>
      <c r="T338" s="36">
        <f t="shared" si="70"/>
        <v>174</v>
      </c>
      <c r="U338" s="36">
        <v>17</v>
      </c>
      <c r="V338" s="36">
        <v>1</v>
      </c>
      <c r="W338" s="36">
        <v>1</v>
      </c>
      <c r="X338" s="36">
        <f t="shared" si="71"/>
        <v>19</v>
      </c>
      <c r="Y338" s="36">
        <f t="shared" si="72"/>
        <v>114</v>
      </c>
      <c r="Z338" s="36">
        <v>11</v>
      </c>
      <c r="AA338" s="36">
        <v>1</v>
      </c>
      <c r="AB338" s="36">
        <v>0</v>
      </c>
      <c r="AC338" s="36">
        <v>2</v>
      </c>
      <c r="AD338" s="36">
        <f t="shared" si="73"/>
        <v>14</v>
      </c>
      <c r="AE338" s="36">
        <f t="shared" si="74"/>
        <v>84</v>
      </c>
      <c r="AF338" s="36">
        <f t="shared" si="81"/>
        <v>62</v>
      </c>
      <c r="AG338" s="36">
        <f t="shared" si="81"/>
        <v>372</v>
      </c>
      <c r="AH338" s="36">
        <f t="shared" si="82"/>
        <v>96</v>
      </c>
      <c r="AI338" s="36">
        <f t="shared" si="82"/>
        <v>576</v>
      </c>
      <c r="AJ338" s="29">
        <f t="shared" si="79"/>
        <v>6</v>
      </c>
    </row>
    <row r="339" spans="1:37">
      <c r="A339" s="38" t="s">
        <v>353</v>
      </c>
      <c r="B339" s="38" t="s">
        <v>349</v>
      </c>
      <c r="C339" s="39" t="s">
        <v>246</v>
      </c>
      <c r="D339" s="39" t="str">
        <f t="shared" si="80"/>
        <v>V65USLO22CO-.DIXIE-4(D903)</v>
      </c>
      <c r="E339" s="38" t="s">
        <v>9</v>
      </c>
      <c r="F339" s="38" t="s">
        <v>9</v>
      </c>
      <c r="G339" s="40">
        <v>10</v>
      </c>
      <c r="H339" s="40">
        <v>29</v>
      </c>
      <c r="I339" s="41">
        <v>1</v>
      </c>
      <c r="J339" s="41">
        <v>1</v>
      </c>
      <c r="K339" s="41">
        <v>3</v>
      </c>
      <c r="L339" s="41">
        <f t="shared" ref="L339:L363" si="83">SUM(H339:K339)</f>
        <v>34</v>
      </c>
      <c r="M339" s="41">
        <f t="shared" ref="M339:M402" si="84">60*L339/G339</f>
        <v>204</v>
      </c>
      <c r="N339" s="41">
        <v>24</v>
      </c>
      <c r="O339" s="41">
        <v>1</v>
      </c>
      <c r="P339" s="41">
        <v>1</v>
      </c>
      <c r="Q339" s="41">
        <v>1</v>
      </c>
      <c r="R339" s="41">
        <v>2</v>
      </c>
      <c r="S339" s="41">
        <f t="shared" ref="S339:S402" si="85">SUM(N339:R339)</f>
        <v>29</v>
      </c>
      <c r="T339" s="41">
        <f t="shared" ref="T339:T402" si="86">60*S339/G339</f>
        <v>174</v>
      </c>
      <c r="U339" s="41">
        <v>17</v>
      </c>
      <c r="V339" s="41">
        <v>1</v>
      </c>
      <c r="W339" s="41">
        <v>1</v>
      </c>
      <c r="X339" s="41">
        <f t="shared" ref="X339:X402" si="87">SUM(U339:W339)</f>
        <v>19</v>
      </c>
      <c r="Y339" s="41">
        <f t="shared" ref="Y339:Y402" si="88">60*X339/G339</f>
        <v>114</v>
      </c>
      <c r="Z339" s="41">
        <v>11</v>
      </c>
      <c r="AA339" s="41">
        <v>1</v>
      </c>
      <c r="AB339" s="41">
        <v>0</v>
      </c>
      <c r="AC339" s="41">
        <v>2</v>
      </c>
      <c r="AD339" s="41">
        <f t="shared" ref="AD339:AD402" si="89">SUM(Z339:AC339)</f>
        <v>14</v>
      </c>
      <c r="AE339" s="41">
        <f t="shared" ref="AE339:AE402" si="90">60*AD339/G339</f>
        <v>84</v>
      </c>
      <c r="AF339" s="41">
        <f t="shared" si="81"/>
        <v>62</v>
      </c>
      <c r="AG339" s="41">
        <f t="shared" si="81"/>
        <v>372</v>
      </c>
      <c r="AH339" s="41">
        <f t="shared" si="82"/>
        <v>96</v>
      </c>
      <c r="AI339" s="41">
        <f t="shared" si="82"/>
        <v>576</v>
      </c>
      <c r="AJ339" s="29">
        <f t="shared" si="79"/>
        <v>6</v>
      </c>
    </row>
    <row r="340" spans="1:37">
      <c r="A340" s="38" t="s">
        <v>320</v>
      </c>
      <c r="B340" s="38" t="s">
        <v>349</v>
      </c>
      <c r="C340" s="39" t="s">
        <v>245</v>
      </c>
      <c r="D340" s="39" t="str">
        <f t="shared" si="80"/>
        <v>V65USLO22CO-.DIXIE-2(D903)</v>
      </c>
      <c r="E340" s="38" t="s">
        <v>9</v>
      </c>
      <c r="F340" s="38" t="s">
        <v>9</v>
      </c>
      <c r="G340" s="40">
        <v>10</v>
      </c>
      <c r="H340" s="40">
        <v>29</v>
      </c>
      <c r="I340" s="41">
        <v>1</v>
      </c>
      <c r="J340" s="41">
        <v>1</v>
      </c>
      <c r="K340" s="41">
        <v>3</v>
      </c>
      <c r="L340" s="41">
        <f t="shared" si="83"/>
        <v>34</v>
      </c>
      <c r="M340" s="41">
        <f t="shared" si="84"/>
        <v>204</v>
      </c>
      <c r="N340" s="41">
        <v>24</v>
      </c>
      <c r="O340" s="41">
        <v>1</v>
      </c>
      <c r="P340" s="41">
        <v>1</v>
      </c>
      <c r="Q340" s="41">
        <v>1</v>
      </c>
      <c r="R340" s="41">
        <v>2</v>
      </c>
      <c r="S340" s="41">
        <f t="shared" si="85"/>
        <v>29</v>
      </c>
      <c r="T340" s="41">
        <f t="shared" si="86"/>
        <v>174</v>
      </c>
      <c r="U340" s="41">
        <v>17</v>
      </c>
      <c r="V340" s="41">
        <v>1</v>
      </c>
      <c r="W340" s="41">
        <v>1</v>
      </c>
      <c r="X340" s="41">
        <f t="shared" si="87"/>
        <v>19</v>
      </c>
      <c r="Y340" s="41">
        <f t="shared" si="88"/>
        <v>114</v>
      </c>
      <c r="Z340" s="41">
        <v>11</v>
      </c>
      <c r="AA340" s="41">
        <v>1</v>
      </c>
      <c r="AB340" s="41">
        <v>0</v>
      </c>
      <c r="AC340" s="41">
        <v>2</v>
      </c>
      <c r="AD340" s="41">
        <f t="shared" si="89"/>
        <v>14</v>
      </c>
      <c r="AE340" s="41">
        <f t="shared" si="90"/>
        <v>84</v>
      </c>
      <c r="AF340" s="41">
        <f t="shared" si="81"/>
        <v>62</v>
      </c>
      <c r="AG340" s="41">
        <f t="shared" si="81"/>
        <v>372</v>
      </c>
      <c r="AH340" s="41">
        <f t="shared" si="82"/>
        <v>96</v>
      </c>
      <c r="AI340" s="41">
        <f t="shared" si="82"/>
        <v>576</v>
      </c>
      <c r="AJ340" s="29">
        <f t="shared" si="79"/>
        <v>6</v>
      </c>
    </row>
    <row r="341" spans="1:37">
      <c r="A341" s="33" t="s">
        <v>356</v>
      </c>
      <c r="B341" s="33" t="s">
        <v>359</v>
      </c>
      <c r="C341" s="34" t="s">
        <v>247</v>
      </c>
      <c r="D341" s="34" t="str">
        <f t="shared" si="80"/>
        <v>3V650C220300(D903)</v>
      </c>
      <c r="E341" s="33" t="s">
        <v>9</v>
      </c>
      <c r="F341" s="33" t="s">
        <v>9</v>
      </c>
      <c r="G341" s="35">
        <v>10</v>
      </c>
      <c r="H341" s="35">
        <v>29</v>
      </c>
      <c r="I341" s="36">
        <v>1</v>
      </c>
      <c r="J341" s="36">
        <v>1</v>
      </c>
      <c r="K341" s="36">
        <v>3</v>
      </c>
      <c r="L341" s="36">
        <f t="shared" si="83"/>
        <v>34</v>
      </c>
      <c r="M341" s="36">
        <f t="shared" si="84"/>
        <v>204</v>
      </c>
      <c r="N341" s="36">
        <v>24</v>
      </c>
      <c r="O341" s="36">
        <v>1</v>
      </c>
      <c r="P341" s="36">
        <v>1</v>
      </c>
      <c r="Q341" s="36">
        <v>1</v>
      </c>
      <c r="R341" s="36">
        <v>2</v>
      </c>
      <c r="S341" s="36">
        <f t="shared" si="85"/>
        <v>29</v>
      </c>
      <c r="T341" s="36">
        <f t="shared" si="86"/>
        <v>174</v>
      </c>
      <c r="U341" s="36">
        <v>17</v>
      </c>
      <c r="V341" s="36">
        <v>1</v>
      </c>
      <c r="W341" s="36">
        <v>1</v>
      </c>
      <c r="X341" s="36">
        <f t="shared" si="87"/>
        <v>19</v>
      </c>
      <c r="Y341" s="36">
        <f t="shared" si="88"/>
        <v>114</v>
      </c>
      <c r="Z341" s="36">
        <v>11</v>
      </c>
      <c r="AA341" s="36">
        <v>1</v>
      </c>
      <c r="AB341" s="36">
        <v>0</v>
      </c>
      <c r="AC341" s="36">
        <v>2</v>
      </c>
      <c r="AD341" s="36">
        <f t="shared" si="89"/>
        <v>14</v>
      </c>
      <c r="AE341" s="36">
        <f t="shared" si="90"/>
        <v>84</v>
      </c>
      <c r="AF341" s="36">
        <f t="shared" si="81"/>
        <v>62</v>
      </c>
      <c r="AG341" s="36">
        <f t="shared" si="81"/>
        <v>372</v>
      </c>
      <c r="AH341" s="36">
        <f t="shared" si="82"/>
        <v>96</v>
      </c>
      <c r="AI341" s="36">
        <f t="shared" si="82"/>
        <v>576</v>
      </c>
      <c r="AJ341" s="29">
        <f t="shared" si="79"/>
        <v>6</v>
      </c>
      <c r="AK341" s="37" t="s">
        <v>360</v>
      </c>
    </row>
    <row r="342" spans="1:37">
      <c r="A342" s="33" t="s">
        <v>354</v>
      </c>
      <c r="B342" s="33" t="s">
        <v>361</v>
      </c>
      <c r="C342" s="50" t="s">
        <v>362</v>
      </c>
      <c r="D342" s="33" t="str">
        <f>C342&amp;"("&amp;F342&amp;")"</f>
        <v>363264820395(D901)</v>
      </c>
      <c r="E342" s="33" t="s">
        <v>363</v>
      </c>
      <c r="F342" s="33" t="s">
        <v>364</v>
      </c>
      <c r="G342" s="35">
        <v>250</v>
      </c>
      <c r="H342" s="35">
        <v>19</v>
      </c>
      <c r="I342" s="36">
        <v>1</v>
      </c>
      <c r="J342" s="36">
        <v>1</v>
      </c>
      <c r="K342" s="36">
        <v>3</v>
      </c>
      <c r="L342" s="36">
        <f t="shared" si="83"/>
        <v>24</v>
      </c>
      <c r="M342" s="36">
        <f t="shared" si="84"/>
        <v>5.76</v>
      </c>
      <c r="N342" s="36">
        <v>7</v>
      </c>
      <c r="O342" s="36">
        <v>1</v>
      </c>
      <c r="P342" s="36">
        <v>1</v>
      </c>
      <c r="Q342" s="36">
        <v>0</v>
      </c>
      <c r="R342" s="36">
        <v>0</v>
      </c>
      <c r="S342" s="36">
        <f t="shared" si="85"/>
        <v>9</v>
      </c>
      <c r="T342" s="36">
        <f t="shared" si="86"/>
        <v>2.16</v>
      </c>
      <c r="U342" s="36">
        <v>8</v>
      </c>
      <c r="V342" s="36">
        <v>1</v>
      </c>
      <c r="W342" s="36">
        <v>0</v>
      </c>
      <c r="X342" s="36">
        <f t="shared" si="87"/>
        <v>9</v>
      </c>
      <c r="Y342" s="36">
        <f t="shared" si="88"/>
        <v>2.16</v>
      </c>
      <c r="Z342" s="36">
        <v>14</v>
      </c>
      <c r="AA342" s="36">
        <v>1</v>
      </c>
      <c r="AB342" s="36">
        <v>0</v>
      </c>
      <c r="AC342" s="36">
        <v>1</v>
      </c>
      <c r="AD342" s="36">
        <f t="shared" si="89"/>
        <v>16</v>
      </c>
      <c r="AE342" s="36">
        <f t="shared" si="90"/>
        <v>3.84</v>
      </c>
      <c r="AF342" s="36">
        <f t="shared" si="81"/>
        <v>34</v>
      </c>
      <c r="AG342" s="36">
        <f>SUM(T342,Y342,AE342)</f>
        <v>8.16</v>
      </c>
      <c r="AH342" s="36">
        <f>SUM(L342,AF342)</f>
        <v>58</v>
      </c>
      <c r="AI342" s="36">
        <f t="shared" si="82"/>
        <v>13.92</v>
      </c>
    </row>
    <row r="343" spans="1:37">
      <c r="A343" s="33" t="s">
        <v>299</v>
      </c>
      <c r="B343" s="33" t="s">
        <v>361</v>
      </c>
      <c r="C343" s="50" t="s">
        <v>362</v>
      </c>
      <c r="D343" s="33" t="str">
        <f>C343&amp;"("&amp;F343&amp;")"</f>
        <v>363264820395(D902)</v>
      </c>
      <c r="E343" s="33" t="s">
        <v>10</v>
      </c>
      <c r="F343" s="33" t="s">
        <v>10</v>
      </c>
      <c r="G343" s="35">
        <v>250</v>
      </c>
      <c r="H343" s="35">
        <v>19</v>
      </c>
      <c r="I343" s="36">
        <v>1</v>
      </c>
      <c r="J343" s="36">
        <v>1</v>
      </c>
      <c r="K343" s="36">
        <v>3</v>
      </c>
      <c r="L343" s="36">
        <f t="shared" si="83"/>
        <v>24</v>
      </c>
      <c r="M343" s="36">
        <f t="shared" si="84"/>
        <v>5.76</v>
      </c>
      <c r="N343" s="36">
        <v>7</v>
      </c>
      <c r="O343" s="36">
        <v>1</v>
      </c>
      <c r="P343" s="36">
        <v>1</v>
      </c>
      <c r="Q343" s="36">
        <v>0</v>
      </c>
      <c r="R343" s="36">
        <v>0</v>
      </c>
      <c r="S343" s="36">
        <f t="shared" si="85"/>
        <v>9</v>
      </c>
      <c r="T343" s="36">
        <f t="shared" si="86"/>
        <v>2.16</v>
      </c>
      <c r="U343" s="36">
        <v>8</v>
      </c>
      <c r="V343" s="36">
        <v>1</v>
      </c>
      <c r="W343" s="36">
        <v>0</v>
      </c>
      <c r="X343" s="36">
        <f t="shared" si="87"/>
        <v>9</v>
      </c>
      <c r="Y343" s="36">
        <f t="shared" si="88"/>
        <v>2.16</v>
      </c>
      <c r="Z343" s="36">
        <v>14</v>
      </c>
      <c r="AA343" s="36">
        <v>1</v>
      </c>
      <c r="AB343" s="36">
        <v>0</v>
      </c>
      <c r="AC343" s="36">
        <v>1</v>
      </c>
      <c r="AD343" s="36">
        <f t="shared" si="89"/>
        <v>16</v>
      </c>
      <c r="AE343" s="36">
        <f t="shared" si="90"/>
        <v>3.84</v>
      </c>
      <c r="AF343" s="36">
        <f t="shared" si="81"/>
        <v>34</v>
      </c>
      <c r="AG343" s="36">
        <f t="shared" si="81"/>
        <v>8.16</v>
      </c>
      <c r="AH343" s="36">
        <f t="shared" ref="AH343:AI439" si="91">SUM(L343,AF343)</f>
        <v>58</v>
      </c>
      <c r="AI343" s="36">
        <f t="shared" si="91"/>
        <v>13.92</v>
      </c>
    </row>
    <row r="344" spans="1:37">
      <c r="A344" s="33" t="s">
        <v>353</v>
      </c>
      <c r="B344" s="33" t="s">
        <v>361</v>
      </c>
      <c r="C344" s="50" t="s">
        <v>365</v>
      </c>
      <c r="D344" s="33" t="str">
        <f t="shared" ref="D344:D407" si="92">C344&amp;"("&amp;F344&amp;")"</f>
        <v>363264720395(D901)</v>
      </c>
      <c r="E344" s="33" t="s">
        <v>366</v>
      </c>
      <c r="F344" s="33" t="s">
        <v>367</v>
      </c>
      <c r="G344" s="35">
        <v>250</v>
      </c>
      <c r="H344" s="35">
        <v>19</v>
      </c>
      <c r="I344" s="36">
        <v>1</v>
      </c>
      <c r="J344" s="36">
        <v>1</v>
      </c>
      <c r="K344" s="36">
        <v>3</v>
      </c>
      <c r="L344" s="36">
        <f t="shared" si="83"/>
        <v>24</v>
      </c>
      <c r="M344" s="36">
        <f t="shared" si="84"/>
        <v>5.76</v>
      </c>
      <c r="N344" s="36">
        <v>7</v>
      </c>
      <c r="O344" s="36">
        <v>1</v>
      </c>
      <c r="P344" s="36">
        <v>1</v>
      </c>
      <c r="Q344" s="36">
        <v>0</v>
      </c>
      <c r="R344" s="36">
        <v>0</v>
      </c>
      <c r="S344" s="36">
        <f t="shared" si="85"/>
        <v>9</v>
      </c>
      <c r="T344" s="36">
        <f t="shared" si="86"/>
        <v>2.16</v>
      </c>
      <c r="U344" s="36">
        <v>8</v>
      </c>
      <c r="V344" s="36">
        <v>1</v>
      </c>
      <c r="W344" s="36">
        <v>0</v>
      </c>
      <c r="X344" s="36">
        <f t="shared" si="87"/>
        <v>9</v>
      </c>
      <c r="Y344" s="36">
        <f t="shared" si="88"/>
        <v>2.16</v>
      </c>
      <c r="Z344" s="36">
        <v>14</v>
      </c>
      <c r="AA344" s="36">
        <v>1</v>
      </c>
      <c r="AB344" s="36">
        <v>0</v>
      </c>
      <c r="AC344" s="36">
        <v>1</v>
      </c>
      <c r="AD344" s="36">
        <f t="shared" si="89"/>
        <v>16</v>
      </c>
      <c r="AE344" s="36">
        <f t="shared" si="90"/>
        <v>3.84</v>
      </c>
      <c r="AF344" s="36">
        <f t="shared" si="81"/>
        <v>34</v>
      </c>
      <c r="AG344" s="36">
        <f t="shared" si="81"/>
        <v>8.16</v>
      </c>
      <c r="AH344" s="36">
        <f t="shared" si="91"/>
        <v>58</v>
      </c>
      <c r="AI344" s="36">
        <f t="shared" si="91"/>
        <v>13.92</v>
      </c>
    </row>
    <row r="345" spans="1:37">
      <c r="A345" s="33" t="s">
        <v>350</v>
      </c>
      <c r="B345" s="33" t="s">
        <v>361</v>
      </c>
      <c r="C345" s="50" t="s">
        <v>365</v>
      </c>
      <c r="D345" s="33" t="str">
        <f t="shared" si="92"/>
        <v>363264720395(D902)</v>
      </c>
      <c r="E345" s="33" t="s">
        <v>10</v>
      </c>
      <c r="F345" s="33" t="s">
        <v>10</v>
      </c>
      <c r="G345" s="35">
        <v>250</v>
      </c>
      <c r="H345" s="35">
        <v>19</v>
      </c>
      <c r="I345" s="36">
        <v>1</v>
      </c>
      <c r="J345" s="36">
        <v>1</v>
      </c>
      <c r="K345" s="36">
        <v>3</v>
      </c>
      <c r="L345" s="36">
        <f t="shared" si="83"/>
        <v>24</v>
      </c>
      <c r="M345" s="36">
        <f t="shared" si="84"/>
        <v>5.76</v>
      </c>
      <c r="N345" s="36">
        <v>7</v>
      </c>
      <c r="O345" s="36">
        <v>1</v>
      </c>
      <c r="P345" s="36">
        <v>1</v>
      </c>
      <c r="Q345" s="36">
        <v>0</v>
      </c>
      <c r="R345" s="36">
        <v>0</v>
      </c>
      <c r="S345" s="36">
        <f t="shared" si="85"/>
        <v>9</v>
      </c>
      <c r="T345" s="36">
        <f t="shared" si="86"/>
        <v>2.16</v>
      </c>
      <c r="U345" s="36">
        <v>8</v>
      </c>
      <c r="V345" s="36">
        <v>1</v>
      </c>
      <c r="W345" s="36">
        <v>0</v>
      </c>
      <c r="X345" s="36">
        <f t="shared" si="87"/>
        <v>9</v>
      </c>
      <c r="Y345" s="36">
        <f t="shared" si="88"/>
        <v>2.16</v>
      </c>
      <c r="Z345" s="36">
        <v>14</v>
      </c>
      <c r="AA345" s="36">
        <v>1</v>
      </c>
      <c r="AB345" s="36">
        <v>0</v>
      </c>
      <c r="AC345" s="36">
        <v>1</v>
      </c>
      <c r="AD345" s="36">
        <f t="shared" si="89"/>
        <v>16</v>
      </c>
      <c r="AE345" s="36">
        <f t="shared" si="90"/>
        <v>3.84</v>
      </c>
      <c r="AF345" s="36">
        <f t="shared" si="81"/>
        <v>34</v>
      </c>
      <c r="AG345" s="36">
        <f t="shared" si="81"/>
        <v>8.16</v>
      </c>
      <c r="AH345" s="36">
        <f t="shared" si="91"/>
        <v>58</v>
      </c>
      <c r="AI345" s="36">
        <f t="shared" si="91"/>
        <v>13.92</v>
      </c>
    </row>
    <row r="346" spans="1:37">
      <c r="A346" s="33" t="s">
        <v>299</v>
      </c>
      <c r="B346" s="33" t="s">
        <v>361</v>
      </c>
      <c r="C346" s="51" t="s">
        <v>368</v>
      </c>
      <c r="D346" s="33" t="str">
        <f t="shared" si="92"/>
        <v>363265120395(D901)</v>
      </c>
      <c r="E346" s="33" t="s">
        <v>7</v>
      </c>
      <c r="F346" s="33" t="s">
        <v>7</v>
      </c>
      <c r="G346" s="35">
        <v>250</v>
      </c>
      <c r="H346" s="35">
        <v>19</v>
      </c>
      <c r="I346" s="36">
        <v>1</v>
      </c>
      <c r="J346" s="36">
        <v>1</v>
      </c>
      <c r="K346" s="36">
        <v>3</v>
      </c>
      <c r="L346" s="36">
        <f t="shared" si="83"/>
        <v>24</v>
      </c>
      <c r="M346" s="36">
        <f t="shared" si="84"/>
        <v>5.76</v>
      </c>
      <c r="N346" s="36">
        <v>7</v>
      </c>
      <c r="O346" s="36">
        <v>1</v>
      </c>
      <c r="P346" s="36">
        <v>1</v>
      </c>
      <c r="Q346" s="36">
        <v>0</v>
      </c>
      <c r="R346" s="36">
        <v>0</v>
      </c>
      <c r="S346" s="36">
        <f t="shared" si="85"/>
        <v>9</v>
      </c>
      <c r="T346" s="36">
        <f t="shared" si="86"/>
        <v>2.16</v>
      </c>
      <c r="U346" s="36">
        <v>8</v>
      </c>
      <c r="V346" s="36">
        <v>1</v>
      </c>
      <c r="W346" s="36">
        <v>0</v>
      </c>
      <c r="X346" s="36">
        <f t="shared" si="87"/>
        <v>9</v>
      </c>
      <c r="Y346" s="36">
        <f t="shared" si="88"/>
        <v>2.16</v>
      </c>
      <c r="Z346" s="36">
        <v>14</v>
      </c>
      <c r="AA346" s="36">
        <v>1</v>
      </c>
      <c r="AB346" s="36">
        <v>0</v>
      </c>
      <c r="AC346" s="36">
        <v>1</v>
      </c>
      <c r="AD346" s="36">
        <f t="shared" si="89"/>
        <v>16</v>
      </c>
      <c r="AE346" s="36">
        <f t="shared" si="90"/>
        <v>3.84</v>
      </c>
      <c r="AF346" s="36">
        <f t="shared" si="81"/>
        <v>34</v>
      </c>
      <c r="AG346" s="36">
        <f t="shared" si="81"/>
        <v>8.16</v>
      </c>
      <c r="AH346" s="36">
        <f t="shared" si="91"/>
        <v>58</v>
      </c>
      <c r="AI346" s="36">
        <f t="shared" si="91"/>
        <v>13.92</v>
      </c>
    </row>
    <row r="347" spans="1:37">
      <c r="A347" s="33" t="s">
        <v>354</v>
      </c>
      <c r="B347" s="33" t="s">
        <v>361</v>
      </c>
      <c r="C347" s="51" t="s">
        <v>368</v>
      </c>
      <c r="D347" s="33" t="str">
        <f t="shared" si="92"/>
        <v>363265120395(D902)</v>
      </c>
      <c r="E347" s="33" t="s">
        <v>10</v>
      </c>
      <c r="F347" s="33" t="s">
        <v>10</v>
      </c>
      <c r="G347" s="35">
        <v>250</v>
      </c>
      <c r="H347" s="35">
        <v>19</v>
      </c>
      <c r="I347" s="36">
        <v>1</v>
      </c>
      <c r="J347" s="36">
        <v>1</v>
      </c>
      <c r="K347" s="36">
        <v>3</v>
      </c>
      <c r="L347" s="36">
        <f t="shared" si="83"/>
        <v>24</v>
      </c>
      <c r="M347" s="36">
        <f t="shared" si="84"/>
        <v>5.76</v>
      </c>
      <c r="N347" s="36">
        <v>7</v>
      </c>
      <c r="O347" s="36">
        <v>1</v>
      </c>
      <c r="P347" s="36">
        <v>1</v>
      </c>
      <c r="Q347" s="36">
        <v>0</v>
      </c>
      <c r="R347" s="36">
        <v>0</v>
      </c>
      <c r="S347" s="36">
        <f t="shared" si="85"/>
        <v>9</v>
      </c>
      <c r="T347" s="36">
        <f t="shared" si="86"/>
        <v>2.16</v>
      </c>
      <c r="U347" s="36">
        <v>8</v>
      </c>
      <c r="V347" s="36">
        <v>1</v>
      </c>
      <c r="W347" s="36">
        <v>0</v>
      </c>
      <c r="X347" s="36">
        <f t="shared" si="87"/>
        <v>9</v>
      </c>
      <c r="Y347" s="36">
        <f t="shared" si="88"/>
        <v>2.16</v>
      </c>
      <c r="Z347" s="36">
        <v>14</v>
      </c>
      <c r="AA347" s="36">
        <v>1</v>
      </c>
      <c r="AB347" s="36">
        <v>0</v>
      </c>
      <c r="AC347" s="36">
        <v>1</v>
      </c>
      <c r="AD347" s="36">
        <f t="shared" si="89"/>
        <v>16</v>
      </c>
      <c r="AE347" s="36">
        <f t="shared" si="90"/>
        <v>3.84</v>
      </c>
      <c r="AF347" s="36">
        <f t="shared" si="81"/>
        <v>34</v>
      </c>
      <c r="AG347" s="36">
        <f t="shared" si="81"/>
        <v>8.16</v>
      </c>
      <c r="AH347" s="36">
        <f t="shared" si="91"/>
        <v>58</v>
      </c>
      <c r="AI347" s="36">
        <f t="shared" si="91"/>
        <v>13.92</v>
      </c>
    </row>
    <row r="348" spans="1:37">
      <c r="A348" s="33" t="s">
        <v>353</v>
      </c>
      <c r="B348" s="33" t="s">
        <v>361</v>
      </c>
      <c r="C348" s="50" t="s">
        <v>369</v>
      </c>
      <c r="D348" s="33" t="str">
        <f t="shared" si="92"/>
        <v>363265320395(D901)</v>
      </c>
      <c r="E348" s="33" t="s">
        <v>7</v>
      </c>
      <c r="F348" s="33" t="s">
        <v>7</v>
      </c>
      <c r="G348" s="35">
        <v>250</v>
      </c>
      <c r="H348" s="35">
        <v>19</v>
      </c>
      <c r="I348" s="36">
        <v>1</v>
      </c>
      <c r="J348" s="36">
        <v>1</v>
      </c>
      <c r="K348" s="36">
        <v>3</v>
      </c>
      <c r="L348" s="36">
        <f t="shared" si="83"/>
        <v>24</v>
      </c>
      <c r="M348" s="36">
        <f t="shared" si="84"/>
        <v>5.76</v>
      </c>
      <c r="N348" s="36">
        <v>7</v>
      </c>
      <c r="O348" s="36">
        <v>1</v>
      </c>
      <c r="P348" s="36">
        <v>1</v>
      </c>
      <c r="Q348" s="36">
        <v>0</v>
      </c>
      <c r="R348" s="36">
        <v>0</v>
      </c>
      <c r="S348" s="36">
        <f t="shared" si="85"/>
        <v>9</v>
      </c>
      <c r="T348" s="36">
        <f t="shared" si="86"/>
        <v>2.16</v>
      </c>
      <c r="U348" s="36">
        <v>8</v>
      </c>
      <c r="V348" s="36">
        <v>1</v>
      </c>
      <c r="W348" s="36">
        <v>0</v>
      </c>
      <c r="X348" s="36">
        <f t="shared" si="87"/>
        <v>9</v>
      </c>
      <c r="Y348" s="36">
        <f t="shared" si="88"/>
        <v>2.16</v>
      </c>
      <c r="Z348" s="36">
        <v>14</v>
      </c>
      <c r="AA348" s="36">
        <v>1</v>
      </c>
      <c r="AB348" s="36">
        <v>0</v>
      </c>
      <c r="AC348" s="36">
        <v>1</v>
      </c>
      <c r="AD348" s="36">
        <f t="shared" si="89"/>
        <v>16</v>
      </c>
      <c r="AE348" s="36">
        <f t="shared" si="90"/>
        <v>3.84</v>
      </c>
      <c r="AF348" s="36">
        <f t="shared" si="81"/>
        <v>34</v>
      </c>
      <c r="AG348" s="36">
        <f t="shared" si="81"/>
        <v>8.16</v>
      </c>
      <c r="AH348" s="36">
        <f t="shared" si="91"/>
        <v>58</v>
      </c>
      <c r="AI348" s="36">
        <f t="shared" si="91"/>
        <v>13.92</v>
      </c>
    </row>
    <row r="349" spans="1:37">
      <c r="A349" s="33" t="s">
        <v>353</v>
      </c>
      <c r="B349" s="33" t="s">
        <v>361</v>
      </c>
      <c r="C349" s="50" t="s">
        <v>369</v>
      </c>
      <c r="D349" s="33" t="str">
        <f t="shared" si="92"/>
        <v>363265320395(D902)</v>
      </c>
      <c r="E349" s="33" t="s">
        <v>10</v>
      </c>
      <c r="F349" s="33" t="s">
        <v>10</v>
      </c>
      <c r="G349" s="35">
        <v>250</v>
      </c>
      <c r="H349" s="35">
        <v>19</v>
      </c>
      <c r="I349" s="36">
        <v>1</v>
      </c>
      <c r="J349" s="36">
        <v>1</v>
      </c>
      <c r="K349" s="36">
        <v>3</v>
      </c>
      <c r="L349" s="36">
        <f t="shared" si="83"/>
        <v>24</v>
      </c>
      <c r="M349" s="36">
        <f t="shared" si="84"/>
        <v>5.76</v>
      </c>
      <c r="N349" s="36">
        <v>7</v>
      </c>
      <c r="O349" s="36">
        <v>1</v>
      </c>
      <c r="P349" s="36">
        <v>1</v>
      </c>
      <c r="Q349" s="36">
        <v>0</v>
      </c>
      <c r="R349" s="36">
        <v>0</v>
      </c>
      <c r="S349" s="36">
        <f t="shared" si="85"/>
        <v>9</v>
      </c>
      <c r="T349" s="36">
        <f t="shared" si="86"/>
        <v>2.16</v>
      </c>
      <c r="U349" s="36">
        <v>8</v>
      </c>
      <c r="V349" s="36">
        <v>1</v>
      </c>
      <c r="W349" s="36">
        <v>0</v>
      </c>
      <c r="X349" s="36">
        <f t="shared" si="87"/>
        <v>9</v>
      </c>
      <c r="Y349" s="36">
        <f t="shared" si="88"/>
        <v>2.16</v>
      </c>
      <c r="Z349" s="36">
        <v>14</v>
      </c>
      <c r="AA349" s="36">
        <v>1</v>
      </c>
      <c r="AB349" s="36">
        <v>0</v>
      </c>
      <c r="AC349" s="36">
        <v>1</v>
      </c>
      <c r="AD349" s="36">
        <f t="shared" si="89"/>
        <v>16</v>
      </c>
      <c r="AE349" s="36">
        <f t="shared" si="90"/>
        <v>3.84</v>
      </c>
      <c r="AF349" s="36">
        <f t="shared" si="81"/>
        <v>34</v>
      </c>
      <c r="AG349" s="36">
        <f t="shared" si="81"/>
        <v>8.16</v>
      </c>
      <c r="AH349" s="36">
        <f t="shared" si="91"/>
        <v>58</v>
      </c>
      <c r="AI349" s="36">
        <f t="shared" si="91"/>
        <v>13.92</v>
      </c>
    </row>
    <row r="350" spans="1:37">
      <c r="A350" s="33" t="s">
        <v>353</v>
      </c>
      <c r="B350" s="33" t="s">
        <v>361</v>
      </c>
      <c r="C350" s="50" t="s">
        <v>370</v>
      </c>
      <c r="D350" s="33" t="str">
        <f t="shared" si="92"/>
        <v>363266120395(D901)</v>
      </c>
      <c r="E350" s="33" t="s">
        <v>7</v>
      </c>
      <c r="F350" s="33" t="s">
        <v>7</v>
      </c>
      <c r="G350" s="35">
        <v>250</v>
      </c>
      <c r="H350" s="35">
        <v>19</v>
      </c>
      <c r="I350" s="36">
        <v>1</v>
      </c>
      <c r="J350" s="36">
        <v>1</v>
      </c>
      <c r="K350" s="36">
        <v>3</v>
      </c>
      <c r="L350" s="36">
        <f t="shared" si="83"/>
        <v>24</v>
      </c>
      <c r="M350" s="36">
        <f t="shared" si="84"/>
        <v>5.76</v>
      </c>
      <c r="N350" s="36">
        <v>7</v>
      </c>
      <c r="O350" s="36">
        <v>1</v>
      </c>
      <c r="P350" s="36">
        <v>1</v>
      </c>
      <c r="Q350" s="36">
        <v>0</v>
      </c>
      <c r="R350" s="36">
        <v>0</v>
      </c>
      <c r="S350" s="36">
        <f t="shared" si="85"/>
        <v>9</v>
      </c>
      <c r="T350" s="36">
        <f t="shared" si="86"/>
        <v>2.16</v>
      </c>
      <c r="U350" s="36">
        <v>8</v>
      </c>
      <c r="V350" s="36">
        <v>1</v>
      </c>
      <c r="W350" s="36">
        <v>0</v>
      </c>
      <c r="X350" s="36">
        <f t="shared" si="87"/>
        <v>9</v>
      </c>
      <c r="Y350" s="36">
        <f t="shared" si="88"/>
        <v>2.16</v>
      </c>
      <c r="Z350" s="36">
        <v>14</v>
      </c>
      <c r="AA350" s="36">
        <v>1</v>
      </c>
      <c r="AB350" s="36">
        <v>0</v>
      </c>
      <c r="AC350" s="36">
        <v>1</v>
      </c>
      <c r="AD350" s="36">
        <f t="shared" si="89"/>
        <v>16</v>
      </c>
      <c r="AE350" s="36">
        <f t="shared" si="90"/>
        <v>3.84</v>
      </c>
      <c r="AF350" s="36">
        <f t="shared" si="81"/>
        <v>34</v>
      </c>
      <c r="AG350" s="36">
        <f t="shared" si="81"/>
        <v>8.16</v>
      </c>
      <c r="AH350" s="36">
        <f t="shared" si="91"/>
        <v>58</v>
      </c>
      <c r="AI350" s="36">
        <f t="shared" si="91"/>
        <v>13.92</v>
      </c>
    </row>
    <row r="351" spans="1:37">
      <c r="A351" s="33" t="s">
        <v>320</v>
      </c>
      <c r="B351" s="33" t="s">
        <v>361</v>
      </c>
      <c r="C351" s="50" t="s">
        <v>370</v>
      </c>
      <c r="D351" s="33" t="str">
        <f t="shared" si="92"/>
        <v>363266120395(D902)</v>
      </c>
      <c r="E351" s="33" t="s">
        <v>10</v>
      </c>
      <c r="F351" s="33" t="s">
        <v>10</v>
      </c>
      <c r="G351" s="35">
        <v>250</v>
      </c>
      <c r="H351" s="35">
        <v>19</v>
      </c>
      <c r="I351" s="36">
        <v>1</v>
      </c>
      <c r="J351" s="36">
        <v>1</v>
      </c>
      <c r="K351" s="36">
        <v>3</v>
      </c>
      <c r="L351" s="36">
        <f t="shared" si="83"/>
        <v>24</v>
      </c>
      <c r="M351" s="36">
        <f t="shared" si="84"/>
        <v>5.76</v>
      </c>
      <c r="N351" s="36">
        <v>7</v>
      </c>
      <c r="O351" s="36">
        <v>1</v>
      </c>
      <c r="P351" s="36">
        <v>1</v>
      </c>
      <c r="Q351" s="36">
        <v>0</v>
      </c>
      <c r="R351" s="36">
        <v>0</v>
      </c>
      <c r="S351" s="36">
        <f t="shared" si="85"/>
        <v>9</v>
      </c>
      <c r="T351" s="36">
        <f t="shared" si="86"/>
        <v>2.16</v>
      </c>
      <c r="U351" s="36">
        <v>8</v>
      </c>
      <c r="V351" s="36">
        <v>1</v>
      </c>
      <c r="W351" s="36">
        <v>0</v>
      </c>
      <c r="X351" s="36">
        <f t="shared" si="87"/>
        <v>9</v>
      </c>
      <c r="Y351" s="36">
        <f t="shared" si="88"/>
        <v>2.16</v>
      </c>
      <c r="Z351" s="36">
        <v>14</v>
      </c>
      <c r="AA351" s="36">
        <v>1</v>
      </c>
      <c r="AB351" s="36">
        <v>0</v>
      </c>
      <c r="AC351" s="36">
        <v>1</v>
      </c>
      <c r="AD351" s="36">
        <f t="shared" si="89"/>
        <v>16</v>
      </c>
      <c r="AE351" s="36">
        <f t="shared" si="90"/>
        <v>3.84</v>
      </c>
      <c r="AF351" s="36">
        <f t="shared" si="81"/>
        <v>34</v>
      </c>
      <c r="AG351" s="36">
        <f t="shared" si="81"/>
        <v>8.16</v>
      </c>
      <c r="AH351" s="36">
        <f t="shared" si="91"/>
        <v>58</v>
      </c>
      <c r="AI351" s="36">
        <f t="shared" si="91"/>
        <v>13.92</v>
      </c>
    </row>
    <row r="352" spans="1:37">
      <c r="A352" s="33" t="s">
        <v>335</v>
      </c>
      <c r="B352" s="33" t="s">
        <v>361</v>
      </c>
      <c r="C352" s="50" t="s">
        <v>371</v>
      </c>
      <c r="D352" s="33" t="str">
        <f t="shared" si="92"/>
        <v>363267320395(D901)</v>
      </c>
      <c r="E352" s="33" t="s">
        <v>372</v>
      </c>
      <c r="F352" s="33" t="s">
        <v>7</v>
      </c>
      <c r="G352" s="35">
        <v>250</v>
      </c>
      <c r="H352" s="35">
        <v>19</v>
      </c>
      <c r="I352" s="36">
        <v>1</v>
      </c>
      <c r="J352" s="36">
        <v>1</v>
      </c>
      <c r="K352" s="36">
        <v>3</v>
      </c>
      <c r="L352" s="36">
        <f t="shared" si="83"/>
        <v>24</v>
      </c>
      <c r="M352" s="36">
        <f t="shared" si="84"/>
        <v>5.76</v>
      </c>
      <c r="N352" s="36">
        <v>7</v>
      </c>
      <c r="O352" s="36">
        <v>1</v>
      </c>
      <c r="P352" s="36">
        <v>1</v>
      </c>
      <c r="Q352" s="36">
        <v>0</v>
      </c>
      <c r="R352" s="36">
        <v>0</v>
      </c>
      <c r="S352" s="36">
        <f t="shared" si="85"/>
        <v>9</v>
      </c>
      <c r="T352" s="36">
        <f t="shared" si="86"/>
        <v>2.16</v>
      </c>
      <c r="U352" s="36">
        <v>8</v>
      </c>
      <c r="V352" s="36">
        <v>1</v>
      </c>
      <c r="W352" s="36">
        <v>0</v>
      </c>
      <c r="X352" s="36">
        <f t="shared" si="87"/>
        <v>9</v>
      </c>
      <c r="Y352" s="36">
        <f t="shared" si="88"/>
        <v>2.16</v>
      </c>
      <c r="Z352" s="36">
        <v>14</v>
      </c>
      <c r="AA352" s="36">
        <v>1</v>
      </c>
      <c r="AB352" s="36">
        <v>0</v>
      </c>
      <c r="AC352" s="36">
        <v>1</v>
      </c>
      <c r="AD352" s="36">
        <f t="shared" si="89"/>
        <v>16</v>
      </c>
      <c r="AE352" s="36">
        <f t="shared" si="90"/>
        <v>3.84</v>
      </c>
      <c r="AF352" s="36">
        <f t="shared" si="81"/>
        <v>34</v>
      </c>
      <c r="AG352" s="36">
        <f t="shared" si="81"/>
        <v>8.16</v>
      </c>
      <c r="AH352" s="36">
        <f t="shared" si="91"/>
        <v>58</v>
      </c>
      <c r="AI352" s="36">
        <f t="shared" si="91"/>
        <v>13.92</v>
      </c>
    </row>
    <row r="353" spans="1:35">
      <c r="A353" s="33" t="s">
        <v>335</v>
      </c>
      <c r="B353" s="33" t="s">
        <v>361</v>
      </c>
      <c r="C353" s="50" t="s">
        <v>371</v>
      </c>
      <c r="D353" s="33" t="str">
        <f t="shared" si="92"/>
        <v>363267320395(D902)</v>
      </c>
      <c r="E353" s="33" t="s">
        <v>10</v>
      </c>
      <c r="F353" s="33" t="s">
        <v>10</v>
      </c>
      <c r="G353" s="35">
        <v>250</v>
      </c>
      <c r="H353" s="35">
        <v>19</v>
      </c>
      <c r="I353" s="36">
        <v>1</v>
      </c>
      <c r="J353" s="36">
        <v>1</v>
      </c>
      <c r="K353" s="36">
        <v>3</v>
      </c>
      <c r="L353" s="36">
        <f t="shared" si="83"/>
        <v>24</v>
      </c>
      <c r="M353" s="36">
        <f t="shared" si="84"/>
        <v>5.76</v>
      </c>
      <c r="N353" s="36">
        <v>7</v>
      </c>
      <c r="O353" s="36">
        <v>1</v>
      </c>
      <c r="P353" s="36">
        <v>1</v>
      </c>
      <c r="Q353" s="36">
        <v>0</v>
      </c>
      <c r="R353" s="36">
        <v>0</v>
      </c>
      <c r="S353" s="36">
        <f t="shared" si="85"/>
        <v>9</v>
      </c>
      <c r="T353" s="36">
        <f t="shared" si="86"/>
        <v>2.16</v>
      </c>
      <c r="U353" s="36">
        <v>8</v>
      </c>
      <c r="V353" s="36">
        <v>1</v>
      </c>
      <c r="W353" s="36">
        <v>0</v>
      </c>
      <c r="X353" s="36">
        <f t="shared" si="87"/>
        <v>9</v>
      </c>
      <c r="Y353" s="36">
        <f t="shared" si="88"/>
        <v>2.16</v>
      </c>
      <c r="Z353" s="36">
        <v>14</v>
      </c>
      <c r="AA353" s="36">
        <v>1</v>
      </c>
      <c r="AB353" s="36">
        <v>0</v>
      </c>
      <c r="AC353" s="36">
        <v>1</v>
      </c>
      <c r="AD353" s="36">
        <f t="shared" si="89"/>
        <v>16</v>
      </c>
      <c r="AE353" s="36">
        <f t="shared" si="90"/>
        <v>3.84</v>
      </c>
      <c r="AF353" s="36">
        <f t="shared" ref="AF353:AG449" si="93">SUM(S353,X353,AD353)</f>
        <v>34</v>
      </c>
      <c r="AG353" s="36">
        <f t="shared" si="93"/>
        <v>8.16</v>
      </c>
      <c r="AH353" s="36">
        <f t="shared" si="91"/>
        <v>58</v>
      </c>
      <c r="AI353" s="36">
        <f t="shared" si="91"/>
        <v>13.92</v>
      </c>
    </row>
    <row r="354" spans="1:35">
      <c r="A354" s="33" t="s">
        <v>335</v>
      </c>
      <c r="B354" s="33" t="s">
        <v>361</v>
      </c>
      <c r="C354" s="51" t="s">
        <v>373</v>
      </c>
      <c r="D354" s="33" t="str">
        <f t="shared" si="92"/>
        <v>363269920395(D901)</v>
      </c>
      <c r="E354" s="33" t="s">
        <v>363</v>
      </c>
      <c r="F354" s="33" t="s">
        <v>7</v>
      </c>
      <c r="G354" s="35">
        <v>250</v>
      </c>
      <c r="H354" s="35">
        <v>19</v>
      </c>
      <c r="I354" s="36">
        <v>1</v>
      </c>
      <c r="J354" s="36">
        <v>1</v>
      </c>
      <c r="K354" s="36">
        <v>3</v>
      </c>
      <c r="L354" s="36">
        <f t="shared" si="83"/>
        <v>24</v>
      </c>
      <c r="M354" s="36">
        <f t="shared" si="84"/>
        <v>5.76</v>
      </c>
      <c r="N354" s="36">
        <v>7</v>
      </c>
      <c r="O354" s="36">
        <v>1</v>
      </c>
      <c r="P354" s="36">
        <v>1</v>
      </c>
      <c r="Q354" s="36">
        <v>0</v>
      </c>
      <c r="R354" s="36">
        <v>0</v>
      </c>
      <c r="S354" s="36">
        <f t="shared" si="85"/>
        <v>9</v>
      </c>
      <c r="T354" s="36">
        <f t="shared" si="86"/>
        <v>2.16</v>
      </c>
      <c r="U354" s="36">
        <v>8</v>
      </c>
      <c r="V354" s="36">
        <v>1</v>
      </c>
      <c r="W354" s="36">
        <v>0</v>
      </c>
      <c r="X354" s="36">
        <f t="shared" si="87"/>
        <v>9</v>
      </c>
      <c r="Y354" s="36">
        <f t="shared" si="88"/>
        <v>2.16</v>
      </c>
      <c r="Z354" s="36">
        <v>14</v>
      </c>
      <c r="AA354" s="36">
        <v>1</v>
      </c>
      <c r="AB354" s="36">
        <v>0</v>
      </c>
      <c r="AC354" s="36">
        <v>1</v>
      </c>
      <c r="AD354" s="36">
        <f t="shared" si="89"/>
        <v>16</v>
      </c>
      <c r="AE354" s="36">
        <f t="shared" si="90"/>
        <v>3.84</v>
      </c>
      <c r="AF354" s="36">
        <f t="shared" si="93"/>
        <v>34</v>
      </c>
      <c r="AG354" s="36">
        <f t="shared" si="93"/>
        <v>8.16</v>
      </c>
      <c r="AH354" s="36">
        <f t="shared" si="91"/>
        <v>58</v>
      </c>
      <c r="AI354" s="36">
        <f t="shared" si="91"/>
        <v>13.92</v>
      </c>
    </row>
    <row r="355" spans="1:35">
      <c r="A355" s="33" t="s">
        <v>335</v>
      </c>
      <c r="B355" s="33" t="s">
        <v>361</v>
      </c>
      <c r="C355" s="51" t="s">
        <v>373</v>
      </c>
      <c r="D355" s="33" t="str">
        <f t="shared" si="92"/>
        <v>363269920395(D902)</v>
      </c>
      <c r="E355" s="33" t="s">
        <v>10</v>
      </c>
      <c r="F355" s="33" t="s">
        <v>10</v>
      </c>
      <c r="G355" s="35">
        <v>250</v>
      </c>
      <c r="H355" s="35">
        <v>19</v>
      </c>
      <c r="I355" s="36">
        <v>1</v>
      </c>
      <c r="J355" s="36">
        <v>1</v>
      </c>
      <c r="K355" s="36">
        <v>3</v>
      </c>
      <c r="L355" s="36">
        <f t="shared" si="83"/>
        <v>24</v>
      </c>
      <c r="M355" s="36">
        <f t="shared" si="84"/>
        <v>5.76</v>
      </c>
      <c r="N355" s="36">
        <v>7</v>
      </c>
      <c r="O355" s="36">
        <v>1</v>
      </c>
      <c r="P355" s="36">
        <v>1</v>
      </c>
      <c r="Q355" s="36">
        <v>0</v>
      </c>
      <c r="R355" s="36">
        <v>0</v>
      </c>
      <c r="S355" s="36">
        <f t="shared" si="85"/>
        <v>9</v>
      </c>
      <c r="T355" s="36">
        <f t="shared" si="86"/>
        <v>2.16</v>
      </c>
      <c r="U355" s="36">
        <v>8</v>
      </c>
      <c r="V355" s="36">
        <v>1</v>
      </c>
      <c r="W355" s="36">
        <v>0</v>
      </c>
      <c r="X355" s="36">
        <f t="shared" si="87"/>
        <v>9</v>
      </c>
      <c r="Y355" s="36">
        <f t="shared" si="88"/>
        <v>2.16</v>
      </c>
      <c r="Z355" s="36">
        <v>14</v>
      </c>
      <c r="AA355" s="36">
        <v>1</v>
      </c>
      <c r="AB355" s="36">
        <v>0</v>
      </c>
      <c r="AC355" s="36">
        <v>1</v>
      </c>
      <c r="AD355" s="36">
        <f t="shared" si="89"/>
        <v>16</v>
      </c>
      <c r="AE355" s="36">
        <f t="shared" si="90"/>
        <v>3.84</v>
      </c>
      <c r="AF355" s="36">
        <f t="shared" si="93"/>
        <v>34</v>
      </c>
      <c r="AG355" s="36">
        <f>SUM(T355,Y355,AE355)</f>
        <v>8.16</v>
      </c>
      <c r="AH355" s="36">
        <f t="shared" si="91"/>
        <v>58</v>
      </c>
      <c r="AI355" s="36">
        <f>SUM(M355,AG355)</f>
        <v>13.92</v>
      </c>
    </row>
    <row r="356" spans="1:35">
      <c r="A356" s="33" t="s">
        <v>335</v>
      </c>
      <c r="B356" s="33" t="s">
        <v>361</v>
      </c>
      <c r="C356" s="51" t="s">
        <v>374</v>
      </c>
      <c r="D356" s="33" t="str">
        <f t="shared" si="92"/>
        <v>363271220395(D901)</v>
      </c>
      <c r="E356" s="33" t="s">
        <v>366</v>
      </c>
      <c r="F356" s="33" t="s">
        <v>7</v>
      </c>
      <c r="G356" s="35">
        <v>250</v>
      </c>
      <c r="H356" s="35">
        <v>19</v>
      </c>
      <c r="I356" s="36">
        <v>1</v>
      </c>
      <c r="J356" s="36">
        <v>1</v>
      </c>
      <c r="K356" s="36">
        <v>3</v>
      </c>
      <c r="L356" s="36">
        <f t="shared" si="83"/>
        <v>24</v>
      </c>
      <c r="M356" s="36">
        <f t="shared" si="84"/>
        <v>5.76</v>
      </c>
      <c r="N356" s="36">
        <v>7</v>
      </c>
      <c r="O356" s="36">
        <v>1</v>
      </c>
      <c r="P356" s="36">
        <v>1</v>
      </c>
      <c r="Q356" s="36">
        <v>0</v>
      </c>
      <c r="R356" s="36">
        <v>0</v>
      </c>
      <c r="S356" s="36">
        <f t="shared" si="85"/>
        <v>9</v>
      </c>
      <c r="T356" s="36">
        <f t="shared" si="86"/>
        <v>2.16</v>
      </c>
      <c r="U356" s="36">
        <v>8</v>
      </c>
      <c r="V356" s="36">
        <v>1</v>
      </c>
      <c r="W356" s="36">
        <v>0</v>
      </c>
      <c r="X356" s="36">
        <f t="shared" si="87"/>
        <v>9</v>
      </c>
      <c r="Y356" s="36">
        <f t="shared" si="88"/>
        <v>2.16</v>
      </c>
      <c r="Z356" s="36">
        <v>14</v>
      </c>
      <c r="AA356" s="36">
        <v>1</v>
      </c>
      <c r="AB356" s="36">
        <v>0</v>
      </c>
      <c r="AC356" s="36">
        <v>1</v>
      </c>
      <c r="AD356" s="36">
        <f t="shared" si="89"/>
        <v>16</v>
      </c>
      <c r="AE356" s="36">
        <f t="shared" si="90"/>
        <v>3.84</v>
      </c>
      <c r="AF356" s="36">
        <f t="shared" si="93"/>
        <v>34</v>
      </c>
      <c r="AG356" s="36">
        <f t="shared" si="93"/>
        <v>8.16</v>
      </c>
      <c r="AH356" s="36">
        <f t="shared" si="91"/>
        <v>58</v>
      </c>
      <c r="AI356" s="36">
        <f t="shared" si="91"/>
        <v>13.92</v>
      </c>
    </row>
    <row r="357" spans="1:35" ht="18" customHeight="1">
      <c r="A357" s="33" t="s">
        <v>335</v>
      </c>
      <c r="B357" s="33" t="s">
        <v>375</v>
      </c>
      <c r="C357" s="51" t="s">
        <v>376</v>
      </c>
      <c r="D357" s="33" t="str">
        <f t="shared" si="92"/>
        <v>363272320395(D901)</v>
      </c>
      <c r="E357" s="33" t="s">
        <v>377</v>
      </c>
      <c r="F357" s="33" t="s">
        <v>7</v>
      </c>
      <c r="G357" s="35">
        <v>250</v>
      </c>
      <c r="H357" s="35">
        <v>19</v>
      </c>
      <c r="I357" s="36">
        <v>1</v>
      </c>
      <c r="J357" s="36">
        <v>1</v>
      </c>
      <c r="K357" s="36">
        <v>3</v>
      </c>
      <c r="L357" s="36">
        <f t="shared" si="83"/>
        <v>24</v>
      </c>
      <c r="M357" s="36">
        <f t="shared" si="84"/>
        <v>5.76</v>
      </c>
      <c r="N357" s="36">
        <v>11</v>
      </c>
      <c r="O357" s="36">
        <v>1</v>
      </c>
      <c r="P357" s="36">
        <v>1</v>
      </c>
      <c r="Q357" s="36">
        <v>0</v>
      </c>
      <c r="R357" s="36">
        <v>0</v>
      </c>
      <c r="S357" s="36">
        <f t="shared" si="85"/>
        <v>13</v>
      </c>
      <c r="T357" s="36">
        <f t="shared" si="86"/>
        <v>3.12</v>
      </c>
      <c r="U357" s="36">
        <v>8</v>
      </c>
      <c r="V357" s="36">
        <v>1</v>
      </c>
      <c r="W357" s="36">
        <v>0</v>
      </c>
      <c r="X357" s="36">
        <f t="shared" si="87"/>
        <v>9</v>
      </c>
      <c r="Y357" s="36">
        <f t="shared" si="88"/>
        <v>2.16</v>
      </c>
      <c r="Z357" s="36">
        <v>14</v>
      </c>
      <c r="AA357" s="36">
        <v>1</v>
      </c>
      <c r="AB357" s="36">
        <v>0</v>
      </c>
      <c r="AC357" s="36">
        <v>1</v>
      </c>
      <c r="AD357" s="36">
        <f t="shared" si="89"/>
        <v>16</v>
      </c>
      <c r="AE357" s="36">
        <f t="shared" si="90"/>
        <v>3.84</v>
      </c>
      <c r="AF357" s="36">
        <f t="shared" si="93"/>
        <v>38</v>
      </c>
      <c r="AG357" s="36">
        <f t="shared" si="93"/>
        <v>9.120000000000001</v>
      </c>
      <c r="AH357" s="36">
        <f t="shared" si="91"/>
        <v>62</v>
      </c>
      <c r="AI357" s="36">
        <f t="shared" si="91"/>
        <v>14.88</v>
      </c>
    </row>
    <row r="358" spans="1:35">
      <c r="A358" s="33" t="s">
        <v>335</v>
      </c>
      <c r="B358" s="33" t="s">
        <v>375</v>
      </c>
      <c r="C358" s="51" t="s">
        <v>378</v>
      </c>
      <c r="D358" s="33" t="str">
        <f t="shared" si="92"/>
        <v>363272220395(D901)</v>
      </c>
      <c r="E358" s="33" t="s">
        <v>363</v>
      </c>
      <c r="F358" s="33" t="s">
        <v>7</v>
      </c>
      <c r="G358" s="35">
        <v>250</v>
      </c>
      <c r="H358" s="35">
        <v>19</v>
      </c>
      <c r="I358" s="36">
        <v>1</v>
      </c>
      <c r="J358" s="36">
        <v>1</v>
      </c>
      <c r="K358" s="36">
        <v>3</v>
      </c>
      <c r="L358" s="36">
        <f t="shared" si="83"/>
        <v>24</v>
      </c>
      <c r="M358" s="36">
        <f t="shared" si="84"/>
        <v>5.76</v>
      </c>
      <c r="N358" s="36">
        <v>11</v>
      </c>
      <c r="O358" s="36">
        <v>1</v>
      </c>
      <c r="P358" s="36">
        <v>1</v>
      </c>
      <c r="Q358" s="36">
        <v>0</v>
      </c>
      <c r="R358" s="36">
        <v>0</v>
      </c>
      <c r="S358" s="36">
        <f t="shared" si="85"/>
        <v>13</v>
      </c>
      <c r="T358" s="36">
        <f t="shared" si="86"/>
        <v>3.12</v>
      </c>
      <c r="U358" s="36">
        <v>8</v>
      </c>
      <c r="V358" s="36">
        <v>1</v>
      </c>
      <c r="W358" s="36">
        <v>0</v>
      </c>
      <c r="X358" s="36">
        <f t="shared" si="87"/>
        <v>9</v>
      </c>
      <c r="Y358" s="36">
        <f t="shared" si="88"/>
        <v>2.16</v>
      </c>
      <c r="Z358" s="36">
        <v>14</v>
      </c>
      <c r="AA358" s="36">
        <v>1</v>
      </c>
      <c r="AB358" s="36">
        <v>0</v>
      </c>
      <c r="AC358" s="36">
        <v>1</v>
      </c>
      <c r="AD358" s="36">
        <f t="shared" si="89"/>
        <v>16</v>
      </c>
      <c r="AE358" s="36">
        <f t="shared" si="90"/>
        <v>3.84</v>
      </c>
      <c r="AF358" s="36">
        <f t="shared" si="93"/>
        <v>38</v>
      </c>
      <c r="AG358" s="36">
        <f t="shared" si="93"/>
        <v>9.120000000000001</v>
      </c>
      <c r="AH358" s="36">
        <f t="shared" si="91"/>
        <v>62</v>
      </c>
      <c r="AI358" s="36">
        <f t="shared" si="91"/>
        <v>14.88</v>
      </c>
    </row>
    <row r="359" spans="1:35">
      <c r="A359" s="33" t="s">
        <v>299</v>
      </c>
      <c r="B359" s="33" t="s">
        <v>379</v>
      </c>
      <c r="C359" s="50" t="s">
        <v>380</v>
      </c>
      <c r="D359" s="33" t="str">
        <f t="shared" si="92"/>
        <v>363264420395(D901)</v>
      </c>
      <c r="E359" s="33" t="s">
        <v>363</v>
      </c>
      <c r="F359" s="33" t="s">
        <v>364</v>
      </c>
      <c r="G359" s="35">
        <v>250</v>
      </c>
      <c r="H359" s="35">
        <v>19</v>
      </c>
      <c r="I359" s="36">
        <v>1</v>
      </c>
      <c r="J359" s="36">
        <v>1</v>
      </c>
      <c r="K359" s="36">
        <v>3</v>
      </c>
      <c r="L359" s="36">
        <f t="shared" si="83"/>
        <v>24</v>
      </c>
      <c r="M359" s="36">
        <f t="shared" si="84"/>
        <v>5.76</v>
      </c>
      <c r="N359" s="36">
        <v>7</v>
      </c>
      <c r="O359" s="36">
        <v>1</v>
      </c>
      <c r="P359" s="36">
        <v>1</v>
      </c>
      <c r="Q359" s="36">
        <v>0</v>
      </c>
      <c r="R359" s="36">
        <v>0</v>
      </c>
      <c r="S359" s="36">
        <f t="shared" si="85"/>
        <v>9</v>
      </c>
      <c r="T359" s="36">
        <f t="shared" si="86"/>
        <v>2.16</v>
      </c>
      <c r="U359" s="36">
        <v>8</v>
      </c>
      <c r="V359" s="36">
        <v>1</v>
      </c>
      <c r="W359" s="36">
        <v>0</v>
      </c>
      <c r="X359" s="36">
        <f t="shared" si="87"/>
        <v>9</v>
      </c>
      <c r="Y359" s="36">
        <f t="shared" si="88"/>
        <v>2.16</v>
      </c>
      <c r="Z359" s="36">
        <v>14</v>
      </c>
      <c r="AA359" s="36">
        <v>1</v>
      </c>
      <c r="AB359" s="36">
        <v>0</v>
      </c>
      <c r="AC359" s="36">
        <v>1</v>
      </c>
      <c r="AD359" s="36">
        <f t="shared" si="89"/>
        <v>16</v>
      </c>
      <c r="AE359" s="36">
        <f t="shared" si="90"/>
        <v>3.84</v>
      </c>
      <c r="AF359" s="36">
        <f t="shared" si="93"/>
        <v>34</v>
      </c>
      <c r="AG359" s="36">
        <f t="shared" si="93"/>
        <v>8.16</v>
      </c>
      <c r="AH359" s="36">
        <f t="shared" si="91"/>
        <v>58</v>
      </c>
      <c r="AI359" s="36">
        <f t="shared" si="91"/>
        <v>13.92</v>
      </c>
    </row>
    <row r="360" spans="1:35">
      <c r="A360" s="33" t="s">
        <v>358</v>
      </c>
      <c r="B360" s="33" t="s">
        <v>379</v>
      </c>
      <c r="C360" s="50" t="s">
        <v>380</v>
      </c>
      <c r="D360" s="33" t="str">
        <f t="shared" si="92"/>
        <v>363264420395(D902)</v>
      </c>
      <c r="E360" s="33" t="s">
        <v>10</v>
      </c>
      <c r="F360" s="33" t="s">
        <v>10</v>
      </c>
      <c r="G360" s="35">
        <v>250</v>
      </c>
      <c r="H360" s="35">
        <v>19</v>
      </c>
      <c r="I360" s="36">
        <v>1</v>
      </c>
      <c r="J360" s="36">
        <v>1</v>
      </c>
      <c r="K360" s="36">
        <v>3</v>
      </c>
      <c r="L360" s="36">
        <f t="shared" si="83"/>
        <v>24</v>
      </c>
      <c r="M360" s="36">
        <f t="shared" si="84"/>
        <v>5.76</v>
      </c>
      <c r="N360" s="36">
        <v>7</v>
      </c>
      <c r="O360" s="36">
        <v>1</v>
      </c>
      <c r="P360" s="36">
        <v>1</v>
      </c>
      <c r="Q360" s="36">
        <v>0</v>
      </c>
      <c r="R360" s="36">
        <v>0</v>
      </c>
      <c r="S360" s="36">
        <f t="shared" si="85"/>
        <v>9</v>
      </c>
      <c r="T360" s="36">
        <f t="shared" si="86"/>
        <v>2.16</v>
      </c>
      <c r="U360" s="36">
        <v>8</v>
      </c>
      <c r="V360" s="36">
        <v>1</v>
      </c>
      <c r="W360" s="36">
        <v>0</v>
      </c>
      <c r="X360" s="36">
        <f t="shared" si="87"/>
        <v>9</v>
      </c>
      <c r="Y360" s="36">
        <f t="shared" si="88"/>
        <v>2.16</v>
      </c>
      <c r="Z360" s="36">
        <v>14</v>
      </c>
      <c r="AA360" s="36">
        <v>1</v>
      </c>
      <c r="AB360" s="36">
        <v>0</v>
      </c>
      <c r="AC360" s="36">
        <v>1</v>
      </c>
      <c r="AD360" s="36">
        <f t="shared" si="89"/>
        <v>16</v>
      </c>
      <c r="AE360" s="36">
        <f t="shared" si="90"/>
        <v>3.84</v>
      </c>
      <c r="AF360" s="36">
        <f t="shared" si="93"/>
        <v>34</v>
      </c>
      <c r="AG360" s="36">
        <f t="shared" si="93"/>
        <v>8.16</v>
      </c>
      <c r="AH360" s="36">
        <f t="shared" si="91"/>
        <v>58</v>
      </c>
      <c r="AI360" s="36">
        <f t="shared" si="91"/>
        <v>13.92</v>
      </c>
    </row>
    <row r="361" spans="1:35">
      <c r="A361" s="33" t="s">
        <v>320</v>
      </c>
      <c r="B361" s="33" t="s">
        <v>379</v>
      </c>
      <c r="C361" s="50" t="s">
        <v>381</v>
      </c>
      <c r="D361" s="33" t="str">
        <f t="shared" si="92"/>
        <v>363265220395(D901)</v>
      </c>
      <c r="E361" s="33" t="s">
        <v>382</v>
      </c>
      <c r="F361" s="33" t="s">
        <v>363</v>
      </c>
      <c r="G361" s="35">
        <v>250</v>
      </c>
      <c r="H361" s="35">
        <v>19</v>
      </c>
      <c r="I361" s="36">
        <v>1</v>
      </c>
      <c r="J361" s="36">
        <v>1</v>
      </c>
      <c r="K361" s="36">
        <v>3</v>
      </c>
      <c r="L361" s="36">
        <f t="shared" si="83"/>
        <v>24</v>
      </c>
      <c r="M361" s="36">
        <f t="shared" si="84"/>
        <v>5.76</v>
      </c>
      <c r="N361" s="36">
        <v>7</v>
      </c>
      <c r="O361" s="36">
        <v>1</v>
      </c>
      <c r="P361" s="36">
        <v>1</v>
      </c>
      <c r="Q361" s="36">
        <v>0</v>
      </c>
      <c r="R361" s="36">
        <v>0</v>
      </c>
      <c r="S361" s="36">
        <f t="shared" si="85"/>
        <v>9</v>
      </c>
      <c r="T361" s="36">
        <f t="shared" si="86"/>
        <v>2.16</v>
      </c>
      <c r="U361" s="36">
        <v>8</v>
      </c>
      <c r="V361" s="36">
        <v>1</v>
      </c>
      <c r="W361" s="36">
        <v>0</v>
      </c>
      <c r="X361" s="36">
        <f t="shared" si="87"/>
        <v>9</v>
      </c>
      <c r="Y361" s="36">
        <f t="shared" si="88"/>
        <v>2.16</v>
      </c>
      <c r="Z361" s="36">
        <v>14</v>
      </c>
      <c r="AA361" s="36">
        <v>1</v>
      </c>
      <c r="AB361" s="36">
        <v>0</v>
      </c>
      <c r="AC361" s="36">
        <v>1</v>
      </c>
      <c r="AD361" s="36">
        <f t="shared" si="89"/>
        <v>16</v>
      </c>
      <c r="AE361" s="36">
        <f t="shared" si="90"/>
        <v>3.84</v>
      </c>
      <c r="AF361" s="36">
        <f t="shared" si="93"/>
        <v>34</v>
      </c>
      <c r="AG361" s="36">
        <f t="shared" si="93"/>
        <v>8.16</v>
      </c>
      <c r="AH361" s="36">
        <f t="shared" si="91"/>
        <v>58</v>
      </c>
      <c r="AI361" s="36">
        <f t="shared" si="91"/>
        <v>13.92</v>
      </c>
    </row>
    <row r="362" spans="1:35">
      <c r="A362" s="33" t="s">
        <v>351</v>
      </c>
      <c r="B362" s="33" t="s">
        <v>379</v>
      </c>
      <c r="C362" s="50" t="s">
        <v>381</v>
      </c>
      <c r="D362" s="33" t="str">
        <f t="shared" si="92"/>
        <v>363265220395(D902)</v>
      </c>
      <c r="E362" s="33" t="s">
        <v>10</v>
      </c>
      <c r="F362" s="33" t="s">
        <v>10</v>
      </c>
      <c r="G362" s="35">
        <v>250</v>
      </c>
      <c r="H362" s="35">
        <v>19</v>
      </c>
      <c r="I362" s="36">
        <v>1</v>
      </c>
      <c r="J362" s="36">
        <v>1</v>
      </c>
      <c r="K362" s="36">
        <v>3</v>
      </c>
      <c r="L362" s="36">
        <f t="shared" si="83"/>
        <v>24</v>
      </c>
      <c r="M362" s="36">
        <f t="shared" si="84"/>
        <v>5.76</v>
      </c>
      <c r="N362" s="36">
        <v>7</v>
      </c>
      <c r="O362" s="36">
        <v>1</v>
      </c>
      <c r="P362" s="36">
        <v>1</v>
      </c>
      <c r="Q362" s="36">
        <v>0</v>
      </c>
      <c r="R362" s="36">
        <v>0</v>
      </c>
      <c r="S362" s="36">
        <f t="shared" si="85"/>
        <v>9</v>
      </c>
      <c r="T362" s="36">
        <f t="shared" si="86"/>
        <v>2.16</v>
      </c>
      <c r="U362" s="36">
        <v>8</v>
      </c>
      <c r="V362" s="36">
        <v>1</v>
      </c>
      <c r="W362" s="36">
        <v>0</v>
      </c>
      <c r="X362" s="36">
        <f t="shared" si="87"/>
        <v>9</v>
      </c>
      <c r="Y362" s="36">
        <f t="shared" si="88"/>
        <v>2.16</v>
      </c>
      <c r="Z362" s="36">
        <v>14</v>
      </c>
      <c r="AA362" s="36">
        <v>1</v>
      </c>
      <c r="AB362" s="36">
        <v>0</v>
      </c>
      <c r="AC362" s="36">
        <v>1</v>
      </c>
      <c r="AD362" s="36">
        <f t="shared" si="89"/>
        <v>16</v>
      </c>
      <c r="AE362" s="36">
        <f t="shared" si="90"/>
        <v>3.84</v>
      </c>
      <c r="AF362" s="36">
        <f t="shared" si="93"/>
        <v>34</v>
      </c>
      <c r="AG362" s="36">
        <f t="shared" si="93"/>
        <v>8.16</v>
      </c>
      <c r="AH362" s="36">
        <f t="shared" si="91"/>
        <v>58</v>
      </c>
      <c r="AI362" s="36">
        <f t="shared" si="91"/>
        <v>13.92</v>
      </c>
    </row>
    <row r="363" spans="1:35">
      <c r="A363" s="33" t="s">
        <v>320</v>
      </c>
      <c r="B363" s="33" t="s">
        <v>379</v>
      </c>
      <c r="C363" s="50" t="s">
        <v>383</v>
      </c>
      <c r="D363" s="33" t="str">
        <f t="shared" si="92"/>
        <v>363266220395(D901)</v>
      </c>
      <c r="E363" s="33" t="s">
        <v>7</v>
      </c>
      <c r="F363" s="33" t="s">
        <v>7</v>
      </c>
      <c r="G363" s="35">
        <v>250</v>
      </c>
      <c r="H363" s="35">
        <v>19</v>
      </c>
      <c r="I363" s="36">
        <v>1</v>
      </c>
      <c r="J363" s="36">
        <v>1</v>
      </c>
      <c r="K363" s="36">
        <v>3</v>
      </c>
      <c r="L363" s="36">
        <f t="shared" si="83"/>
        <v>24</v>
      </c>
      <c r="M363" s="36">
        <f t="shared" si="84"/>
        <v>5.76</v>
      </c>
      <c r="N363" s="36">
        <v>7</v>
      </c>
      <c r="O363" s="36">
        <v>1</v>
      </c>
      <c r="P363" s="36">
        <v>1</v>
      </c>
      <c r="Q363" s="36">
        <v>0</v>
      </c>
      <c r="R363" s="36">
        <v>0</v>
      </c>
      <c r="S363" s="36">
        <f t="shared" si="85"/>
        <v>9</v>
      </c>
      <c r="T363" s="36">
        <f t="shared" si="86"/>
        <v>2.16</v>
      </c>
      <c r="U363" s="36">
        <v>8</v>
      </c>
      <c r="V363" s="36">
        <v>1</v>
      </c>
      <c r="W363" s="36">
        <v>0</v>
      </c>
      <c r="X363" s="36">
        <f t="shared" si="87"/>
        <v>9</v>
      </c>
      <c r="Y363" s="36">
        <f t="shared" si="88"/>
        <v>2.16</v>
      </c>
      <c r="Z363" s="36">
        <v>14</v>
      </c>
      <c r="AA363" s="36">
        <v>1</v>
      </c>
      <c r="AB363" s="36">
        <v>0</v>
      </c>
      <c r="AC363" s="36">
        <v>1</v>
      </c>
      <c r="AD363" s="36">
        <f t="shared" si="89"/>
        <v>16</v>
      </c>
      <c r="AE363" s="36">
        <f t="shared" si="90"/>
        <v>3.84</v>
      </c>
      <c r="AF363" s="36">
        <f t="shared" si="93"/>
        <v>34</v>
      </c>
      <c r="AG363" s="36">
        <f t="shared" si="93"/>
        <v>8.16</v>
      </c>
      <c r="AH363" s="36">
        <f t="shared" si="91"/>
        <v>58</v>
      </c>
      <c r="AI363" s="36">
        <f t="shared" si="91"/>
        <v>13.92</v>
      </c>
    </row>
    <row r="364" spans="1:35">
      <c r="A364" s="33" t="s">
        <v>357</v>
      </c>
      <c r="B364" s="33" t="s">
        <v>379</v>
      </c>
      <c r="C364" s="50" t="s">
        <v>383</v>
      </c>
      <c r="D364" s="33" t="str">
        <f t="shared" si="92"/>
        <v>363266220395(D902)</v>
      </c>
      <c r="E364" s="33" t="s">
        <v>10</v>
      </c>
      <c r="F364" s="33" t="s">
        <v>10</v>
      </c>
      <c r="G364" s="35">
        <v>250</v>
      </c>
      <c r="H364" s="35">
        <v>19</v>
      </c>
      <c r="I364" s="36">
        <v>1</v>
      </c>
      <c r="J364" s="36">
        <v>1</v>
      </c>
      <c r="K364" s="36">
        <v>3</v>
      </c>
      <c r="L364" s="36">
        <f t="shared" ref="L364:L396" si="94">SUM(H364:K364)</f>
        <v>24</v>
      </c>
      <c r="M364" s="36">
        <f t="shared" si="84"/>
        <v>5.76</v>
      </c>
      <c r="N364" s="36">
        <v>7</v>
      </c>
      <c r="O364" s="36">
        <v>1</v>
      </c>
      <c r="P364" s="36">
        <v>1</v>
      </c>
      <c r="Q364" s="36">
        <v>0</v>
      </c>
      <c r="R364" s="36">
        <v>0</v>
      </c>
      <c r="S364" s="36">
        <f t="shared" si="85"/>
        <v>9</v>
      </c>
      <c r="T364" s="36">
        <f t="shared" si="86"/>
        <v>2.16</v>
      </c>
      <c r="U364" s="36">
        <v>8</v>
      </c>
      <c r="V364" s="36">
        <v>1</v>
      </c>
      <c r="W364" s="36">
        <v>0</v>
      </c>
      <c r="X364" s="36">
        <f t="shared" si="87"/>
        <v>9</v>
      </c>
      <c r="Y364" s="36">
        <f t="shared" si="88"/>
        <v>2.16</v>
      </c>
      <c r="Z364" s="36">
        <v>14</v>
      </c>
      <c r="AA364" s="36">
        <v>1</v>
      </c>
      <c r="AB364" s="36">
        <v>0</v>
      </c>
      <c r="AC364" s="36">
        <v>1</v>
      </c>
      <c r="AD364" s="36">
        <f t="shared" si="89"/>
        <v>16</v>
      </c>
      <c r="AE364" s="36">
        <f t="shared" si="90"/>
        <v>3.84</v>
      </c>
      <c r="AF364" s="36">
        <f t="shared" si="93"/>
        <v>34</v>
      </c>
      <c r="AG364" s="36">
        <f t="shared" si="93"/>
        <v>8.16</v>
      </c>
      <c r="AH364" s="36">
        <f t="shared" si="91"/>
        <v>58</v>
      </c>
      <c r="AI364" s="36">
        <f t="shared" si="91"/>
        <v>13.92</v>
      </c>
    </row>
    <row r="365" spans="1:35">
      <c r="A365" s="33" t="s">
        <v>335</v>
      </c>
      <c r="B365" s="33" t="s">
        <v>379</v>
      </c>
      <c r="C365" s="50" t="s">
        <v>384</v>
      </c>
      <c r="D365" s="33" t="str">
        <f t="shared" si="92"/>
        <v>363267420395(D901)</v>
      </c>
      <c r="E365" s="33" t="s">
        <v>385</v>
      </c>
      <c r="F365" s="33" t="s">
        <v>382</v>
      </c>
      <c r="G365" s="35">
        <v>250</v>
      </c>
      <c r="H365" s="35">
        <v>19</v>
      </c>
      <c r="I365" s="36">
        <v>1</v>
      </c>
      <c r="J365" s="36">
        <v>1</v>
      </c>
      <c r="K365" s="36">
        <v>3</v>
      </c>
      <c r="L365" s="36">
        <f t="shared" si="94"/>
        <v>24</v>
      </c>
      <c r="M365" s="36">
        <f t="shared" si="84"/>
        <v>5.76</v>
      </c>
      <c r="N365" s="36">
        <v>7</v>
      </c>
      <c r="O365" s="36">
        <v>1</v>
      </c>
      <c r="P365" s="36">
        <v>1</v>
      </c>
      <c r="Q365" s="36">
        <v>0</v>
      </c>
      <c r="R365" s="36">
        <v>0</v>
      </c>
      <c r="S365" s="36">
        <f t="shared" si="85"/>
        <v>9</v>
      </c>
      <c r="T365" s="36">
        <f t="shared" si="86"/>
        <v>2.16</v>
      </c>
      <c r="U365" s="36">
        <v>8</v>
      </c>
      <c r="V365" s="36">
        <v>1</v>
      </c>
      <c r="W365" s="36">
        <v>0</v>
      </c>
      <c r="X365" s="36">
        <f t="shared" si="87"/>
        <v>9</v>
      </c>
      <c r="Y365" s="36">
        <f t="shared" si="88"/>
        <v>2.16</v>
      </c>
      <c r="Z365" s="36">
        <v>14</v>
      </c>
      <c r="AA365" s="36">
        <v>1</v>
      </c>
      <c r="AB365" s="36">
        <v>0</v>
      </c>
      <c r="AC365" s="36">
        <v>1</v>
      </c>
      <c r="AD365" s="36">
        <f t="shared" si="89"/>
        <v>16</v>
      </c>
      <c r="AE365" s="36">
        <f t="shared" si="90"/>
        <v>3.84</v>
      </c>
      <c r="AF365" s="36">
        <f t="shared" si="93"/>
        <v>34</v>
      </c>
      <c r="AG365" s="36">
        <f t="shared" si="93"/>
        <v>8.16</v>
      </c>
      <c r="AH365" s="36">
        <f t="shared" si="91"/>
        <v>58</v>
      </c>
      <c r="AI365" s="36">
        <f t="shared" si="91"/>
        <v>13.92</v>
      </c>
    </row>
    <row r="366" spans="1:35">
      <c r="A366" s="33" t="s">
        <v>335</v>
      </c>
      <c r="B366" s="33" t="s">
        <v>379</v>
      </c>
      <c r="C366" s="50" t="s">
        <v>384</v>
      </c>
      <c r="D366" s="33" t="str">
        <f t="shared" si="92"/>
        <v>363267420395(D902)</v>
      </c>
      <c r="E366" s="33" t="s">
        <v>10</v>
      </c>
      <c r="F366" s="33" t="s">
        <v>10</v>
      </c>
      <c r="G366" s="35">
        <v>250</v>
      </c>
      <c r="H366" s="35">
        <v>19</v>
      </c>
      <c r="I366" s="36">
        <v>1</v>
      </c>
      <c r="J366" s="36">
        <v>1</v>
      </c>
      <c r="K366" s="36">
        <v>3</v>
      </c>
      <c r="L366" s="36">
        <f t="shared" si="94"/>
        <v>24</v>
      </c>
      <c r="M366" s="36">
        <f t="shared" si="84"/>
        <v>5.76</v>
      </c>
      <c r="N366" s="36">
        <v>7</v>
      </c>
      <c r="O366" s="36">
        <v>1</v>
      </c>
      <c r="P366" s="36">
        <v>1</v>
      </c>
      <c r="Q366" s="36">
        <v>0</v>
      </c>
      <c r="R366" s="36">
        <v>0</v>
      </c>
      <c r="S366" s="36">
        <f t="shared" si="85"/>
        <v>9</v>
      </c>
      <c r="T366" s="36">
        <f t="shared" si="86"/>
        <v>2.16</v>
      </c>
      <c r="U366" s="36">
        <v>8</v>
      </c>
      <c r="V366" s="36">
        <v>1</v>
      </c>
      <c r="W366" s="36">
        <v>0</v>
      </c>
      <c r="X366" s="36">
        <f t="shared" si="87"/>
        <v>9</v>
      </c>
      <c r="Y366" s="36">
        <f t="shared" si="88"/>
        <v>2.16</v>
      </c>
      <c r="Z366" s="36">
        <v>14</v>
      </c>
      <c r="AA366" s="36">
        <v>1</v>
      </c>
      <c r="AB366" s="36">
        <v>0</v>
      </c>
      <c r="AC366" s="36">
        <v>1</v>
      </c>
      <c r="AD366" s="36">
        <f t="shared" si="89"/>
        <v>16</v>
      </c>
      <c r="AE366" s="36">
        <f t="shared" si="90"/>
        <v>3.84</v>
      </c>
      <c r="AF366" s="36">
        <f t="shared" si="93"/>
        <v>34</v>
      </c>
      <c r="AG366" s="36">
        <f t="shared" si="93"/>
        <v>8.16</v>
      </c>
      <c r="AH366" s="36">
        <f t="shared" si="91"/>
        <v>58</v>
      </c>
      <c r="AI366" s="36">
        <f t="shared" si="91"/>
        <v>13.92</v>
      </c>
    </row>
    <row r="367" spans="1:35">
      <c r="A367" s="33" t="s">
        <v>335</v>
      </c>
      <c r="B367" s="33" t="s">
        <v>379</v>
      </c>
      <c r="C367" s="51" t="s">
        <v>386</v>
      </c>
      <c r="D367" s="33" t="str">
        <f t="shared" si="92"/>
        <v>363270020395(D901)</v>
      </c>
      <c r="E367" s="33" t="s">
        <v>387</v>
      </c>
      <c r="F367" s="33" t="s">
        <v>387</v>
      </c>
      <c r="G367" s="35">
        <v>250</v>
      </c>
      <c r="H367" s="35">
        <v>19</v>
      </c>
      <c r="I367" s="36">
        <v>1</v>
      </c>
      <c r="J367" s="36">
        <v>1</v>
      </c>
      <c r="K367" s="36">
        <v>3</v>
      </c>
      <c r="L367" s="36">
        <f t="shared" si="94"/>
        <v>24</v>
      </c>
      <c r="M367" s="36">
        <f t="shared" si="84"/>
        <v>5.76</v>
      </c>
      <c r="N367" s="36">
        <v>7</v>
      </c>
      <c r="O367" s="36">
        <v>1</v>
      </c>
      <c r="P367" s="36">
        <v>1</v>
      </c>
      <c r="Q367" s="36">
        <v>0</v>
      </c>
      <c r="R367" s="36">
        <v>0</v>
      </c>
      <c r="S367" s="36">
        <f t="shared" si="85"/>
        <v>9</v>
      </c>
      <c r="T367" s="36">
        <f t="shared" si="86"/>
        <v>2.16</v>
      </c>
      <c r="U367" s="36">
        <v>8</v>
      </c>
      <c r="V367" s="36">
        <v>1</v>
      </c>
      <c r="W367" s="36">
        <v>0</v>
      </c>
      <c r="X367" s="36">
        <f t="shared" si="87"/>
        <v>9</v>
      </c>
      <c r="Y367" s="36">
        <f t="shared" si="88"/>
        <v>2.16</v>
      </c>
      <c r="Z367" s="36">
        <v>14</v>
      </c>
      <c r="AA367" s="36">
        <v>1</v>
      </c>
      <c r="AB367" s="36">
        <v>0</v>
      </c>
      <c r="AC367" s="36">
        <v>1</v>
      </c>
      <c r="AD367" s="36">
        <f t="shared" si="89"/>
        <v>16</v>
      </c>
      <c r="AE367" s="36">
        <f t="shared" si="90"/>
        <v>3.84</v>
      </c>
      <c r="AF367" s="36">
        <f t="shared" si="93"/>
        <v>34</v>
      </c>
      <c r="AG367" s="36">
        <f t="shared" si="93"/>
        <v>8.16</v>
      </c>
      <c r="AH367" s="36">
        <f t="shared" si="91"/>
        <v>58</v>
      </c>
      <c r="AI367" s="36">
        <f t="shared" si="91"/>
        <v>13.92</v>
      </c>
    </row>
    <row r="368" spans="1:35">
      <c r="A368" s="33" t="s">
        <v>335</v>
      </c>
      <c r="B368" s="33" t="s">
        <v>379</v>
      </c>
      <c r="C368" s="51" t="s">
        <v>386</v>
      </c>
      <c r="D368" s="33" t="str">
        <f t="shared" si="92"/>
        <v>363270020395(D902)</v>
      </c>
      <c r="E368" s="33" t="s">
        <v>10</v>
      </c>
      <c r="F368" s="33" t="s">
        <v>10</v>
      </c>
      <c r="G368" s="35">
        <v>250</v>
      </c>
      <c r="H368" s="35">
        <v>19</v>
      </c>
      <c r="I368" s="36">
        <v>1</v>
      </c>
      <c r="J368" s="36">
        <v>1</v>
      </c>
      <c r="K368" s="36">
        <v>3</v>
      </c>
      <c r="L368" s="36">
        <f t="shared" si="94"/>
        <v>24</v>
      </c>
      <c r="M368" s="36">
        <f t="shared" si="84"/>
        <v>5.76</v>
      </c>
      <c r="N368" s="36">
        <v>7</v>
      </c>
      <c r="O368" s="36">
        <v>1</v>
      </c>
      <c r="P368" s="36">
        <v>1</v>
      </c>
      <c r="Q368" s="36">
        <v>0</v>
      </c>
      <c r="R368" s="36">
        <v>0</v>
      </c>
      <c r="S368" s="36">
        <f t="shared" si="85"/>
        <v>9</v>
      </c>
      <c r="T368" s="36">
        <f t="shared" si="86"/>
        <v>2.16</v>
      </c>
      <c r="U368" s="36">
        <v>8</v>
      </c>
      <c r="V368" s="36">
        <v>1</v>
      </c>
      <c r="W368" s="36">
        <v>0</v>
      </c>
      <c r="X368" s="36">
        <f t="shared" si="87"/>
        <v>9</v>
      </c>
      <c r="Y368" s="36">
        <f t="shared" si="88"/>
        <v>2.16</v>
      </c>
      <c r="Z368" s="36">
        <v>14</v>
      </c>
      <c r="AA368" s="36">
        <v>1</v>
      </c>
      <c r="AB368" s="36">
        <v>0</v>
      </c>
      <c r="AC368" s="36">
        <v>1</v>
      </c>
      <c r="AD368" s="36">
        <f t="shared" si="89"/>
        <v>16</v>
      </c>
      <c r="AE368" s="36">
        <f t="shared" si="90"/>
        <v>3.84</v>
      </c>
      <c r="AF368" s="36">
        <f t="shared" si="93"/>
        <v>34</v>
      </c>
      <c r="AG368" s="36">
        <f t="shared" si="93"/>
        <v>8.16</v>
      </c>
      <c r="AH368" s="36">
        <f t="shared" si="91"/>
        <v>58</v>
      </c>
      <c r="AI368" s="36">
        <f t="shared" si="91"/>
        <v>13.92</v>
      </c>
    </row>
    <row r="369" spans="1:35">
      <c r="A369" s="33" t="s">
        <v>335</v>
      </c>
      <c r="B369" s="33" t="s">
        <v>379</v>
      </c>
      <c r="C369" s="51" t="s">
        <v>388</v>
      </c>
      <c r="D369" s="33" t="str">
        <f t="shared" si="92"/>
        <v>363271320395(D901)</v>
      </c>
      <c r="E369" s="33" t="s">
        <v>364</v>
      </c>
      <c r="F369" s="33" t="s">
        <v>372</v>
      </c>
      <c r="G369" s="35">
        <v>250</v>
      </c>
      <c r="H369" s="35">
        <v>19</v>
      </c>
      <c r="I369" s="36">
        <v>1</v>
      </c>
      <c r="J369" s="36">
        <v>1</v>
      </c>
      <c r="K369" s="36">
        <v>3</v>
      </c>
      <c r="L369" s="36">
        <f t="shared" si="94"/>
        <v>24</v>
      </c>
      <c r="M369" s="36">
        <f t="shared" si="84"/>
        <v>5.76</v>
      </c>
      <c r="N369" s="36">
        <v>7</v>
      </c>
      <c r="O369" s="36">
        <v>1</v>
      </c>
      <c r="P369" s="36">
        <v>1</v>
      </c>
      <c r="Q369" s="36">
        <v>0</v>
      </c>
      <c r="R369" s="36">
        <v>0</v>
      </c>
      <c r="S369" s="36">
        <f t="shared" si="85"/>
        <v>9</v>
      </c>
      <c r="T369" s="36">
        <f t="shared" si="86"/>
        <v>2.16</v>
      </c>
      <c r="U369" s="36">
        <v>8</v>
      </c>
      <c r="V369" s="36">
        <v>1</v>
      </c>
      <c r="W369" s="36">
        <v>0</v>
      </c>
      <c r="X369" s="36">
        <f t="shared" si="87"/>
        <v>9</v>
      </c>
      <c r="Y369" s="36">
        <f t="shared" si="88"/>
        <v>2.16</v>
      </c>
      <c r="Z369" s="36">
        <v>14</v>
      </c>
      <c r="AA369" s="36">
        <v>1</v>
      </c>
      <c r="AB369" s="36">
        <v>0</v>
      </c>
      <c r="AC369" s="36">
        <v>1</v>
      </c>
      <c r="AD369" s="36">
        <f t="shared" si="89"/>
        <v>16</v>
      </c>
      <c r="AE369" s="36">
        <f t="shared" si="90"/>
        <v>3.84</v>
      </c>
      <c r="AF369" s="36">
        <f t="shared" si="93"/>
        <v>34</v>
      </c>
      <c r="AG369" s="36">
        <f t="shared" si="93"/>
        <v>8.16</v>
      </c>
      <c r="AH369" s="36">
        <f t="shared" si="91"/>
        <v>58</v>
      </c>
      <c r="AI369" s="36">
        <f t="shared" si="91"/>
        <v>13.92</v>
      </c>
    </row>
    <row r="370" spans="1:35">
      <c r="A370" s="33" t="s">
        <v>354</v>
      </c>
      <c r="B370" s="33" t="s">
        <v>389</v>
      </c>
      <c r="C370" s="50" t="s">
        <v>390</v>
      </c>
      <c r="D370" s="33" t="str">
        <f t="shared" si="92"/>
        <v>363264520395(D901)</v>
      </c>
      <c r="E370" s="33" t="s">
        <v>363</v>
      </c>
      <c r="F370" s="33" t="s">
        <v>363</v>
      </c>
      <c r="G370" s="35">
        <v>250</v>
      </c>
      <c r="H370" s="35">
        <v>19</v>
      </c>
      <c r="I370" s="36">
        <v>1</v>
      </c>
      <c r="J370" s="36">
        <v>1</v>
      </c>
      <c r="K370" s="36">
        <v>3</v>
      </c>
      <c r="L370" s="36">
        <f t="shared" si="94"/>
        <v>24</v>
      </c>
      <c r="M370" s="36">
        <f t="shared" si="84"/>
        <v>5.76</v>
      </c>
      <c r="N370" s="36">
        <v>7</v>
      </c>
      <c r="O370" s="36">
        <v>1</v>
      </c>
      <c r="P370" s="36">
        <v>1</v>
      </c>
      <c r="Q370" s="36">
        <v>0</v>
      </c>
      <c r="R370" s="36">
        <v>0</v>
      </c>
      <c r="S370" s="36">
        <f t="shared" si="85"/>
        <v>9</v>
      </c>
      <c r="T370" s="36">
        <f t="shared" si="86"/>
        <v>2.16</v>
      </c>
      <c r="U370" s="36">
        <v>8</v>
      </c>
      <c r="V370" s="36">
        <v>1</v>
      </c>
      <c r="W370" s="36">
        <v>0</v>
      </c>
      <c r="X370" s="36">
        <f t="shared" si="87"/>
        <v>9</v>
      </c>
      <c r="Y370" s="36">
        <f t="shared" si="88"/>
        <v>2.16</v>
      </c>
      <c r="Z370" s="36">
        <v>14</v>
      </c>
      <c r="AA370" s="36">
        <v>1</v>
      </c>
      <c r="AB370" s="36">
        <v>0</v>
      </c>
      <c r="AC370" s="36">
        <v>1</v>
      </c>
      <c r="AD370" s="36">
        <f t="shared" si="89"/>
        <v>16</v>
      </c>
      <c r="AE370" s="36">
        <f t="shared" si="90"/>
        <v>3.84</v>
      </c>
      <c r="AF370" s="36">
        <f t="shared" si="93"/>
        <v>34</v>
      </c>
      <c r="AG370" s="36">
        <f t="shared" si="93"/>
        <v>8.16</v>
      </c>
      <c r="AH370" s="36">
        <f t="shared" si="91"/>
        <v>58</v>
      </c>
      <c r="AI370" s="36">
        <f t="shared" si="91"/>
        <v>13.92</v>
      </c>
    </row>
    <row r="371" spans="1:35">
      <c r="A371" s="33" t="s">
        <v>391</v>
      </c>
      <c r="B371" s="33" t="s">
        <v>389</v>
      </c>
      <c r="C371" s="50" t="s">
        <v>390</v>
      </c>
      <c r="D371" s="33" t="str">
        <f t="shared" si="92"/>
        <v>363264520395(D902)</v>
      </c>
      <c r="E371" s="33" t="s">
        <v>10</v>
      </c>
      <c r="F371" s="33" t="s">
        <v>10</v>
      </c>
      <c r="G371" s="35">
        <v>250</v>
      </c>
      <c r="H371" s="35">
        <v>19</v>
      </c>
      <c r="I371" s="36">
        <v>1</v>
      </c>
      <c r="J371" s="36">
        <v>1</v>
      </c>
      <c r="K371" s="36">
        <v>3</v>
      </c>
      <c r="L371" s="36">
        <f t="shared" si="94"/>
        <v>24</v>
      </c>
      <c r="M371" s="36">
        <f t="shared" si="84"/>
        <v>5.76</v>
      </c>
      <c r="N371" s="36">
        <v>7</v>
      </c>
      <c r="O371" s="36">
        <v>1</v>
      </c>
      <c r="P371" s="36">
        <v>1</v>
      </c>
      <c r="Q371" s="36">
        <v>0</v>
      </c>
      <c r="R371" s="36">
        <v>0</v>
      </c>
      <c r="S371" s="36">
        <f t="shared" si="85"/>
        <v>9</v>
      </c>
      <c r="T371" s="36">
        <f t="shared" si="86"/>
        <v>2.16</v>
      </c>
      <c r="U371" s="36">
        <v>8</v>
      </c>
      <c r="V371" s="36">
        <v>1</v>
      </c>
      <c r="W371" s="36">
        <v>0</v>
      </c>
      <c r="X371" s="36">
        <f t="shared" si="87"/>
        <v>9</v>
      </c>
      <c r="Y371" s="36">
        <f t="shared" si="88"/>
        <v>2.16</v>
      </c>
      <c r="Z371" s="36">
        <v>14</v>
      </c>
      <c r="AA371" s="36">
        <v>1</v>
      </c>
      <c r="AB371" s="36">
        <v>0</v>
      </c>
      <c r="AC371" s="36">
        <v>1</v>
      </c>
      <c r="AD371" s="36">
        <f t="shared" si="89"/>
        <v>16</v>
      </c>
      <c r="AE371" s="36">
        <f t="shared" si="90"/>
        <v>3.84</v>
      </c>
      <c r="AF371" s="36">
        <f t="shared" si="93"/>
        <v>34</v>
      </c>
      <c r="AG371" s="36">
        <f t="shared" si="93"/>
        <v>8.16</v>
      </c>
      <c r="AH371" s="36">
        <f t="shared" si="91"/>
        <v>58</v>
      </c>
      <c r="AI371" s="36">
        <f t="shared" si="91"/>
        <v>13.92</v>
      </c>
    </row>
    <row r="372" spans="1:35">
      <c r="A372" s="33" t="s">
        <v>335</v>
      </c>
      <c r="B372" s="33" t="s">
        <v>389</v>
      </c>
      <c r="C372" s="50" t="s">
        <v>392</v>
      </c>
      <c r="D372" s="33" t="str">
        <f t="shared" si="92"/>
        <v>363264920395(D901)</v>
      </c>
      <c r="E372" s="33" t="s">
        <v>363</v>
      </c>
      <c r="F372" s="33" t="s">
        <v>372</v>
      </c>
      <c r="G372" s="35">
        <v>250</v>
      </c>
      <c r="H372" s="35">
        <v>19</v>
      </c>
      <c r="I372" s="36">
        <v>1</v>
      </c>
      <c r="J372" s="36">
        <v>1</v>
      </c>
      <c r="K372" s="36">
        <v>3</v>
      </c>
      <c r="L372" s="36">
        <f t="shared" si="94"/>
        <v>24</v>
      </c>
      <c r="M372" s="36">
        <f t="shared" si="84"/>
        <v>5.76</v>
      </c>
      <c r="N372" s="36">
        <v>7</v>
      </c>
      <c r="O372" s="36">
        <v>1</v>
      </c>
      <c r="P372" s="36">
        <v>1</v>
      </c>
      <c r="Q372" s="36">
        <v>0</v>
      </c>
      <c r="R372" s="36">
        <v>0</v>
      </c>
      <c r="S372" s="36">
        <f t="shared" si="85"/>
        <v>9</v>
      </c>
      <c r="T372" s="36">
        <f t="shared" si="86"/>
        <v>2.16</v>
      </c>
      <c r="U372" s="36">
        <v>8</v>
      </c>
      <c r="V372" s="36">
        <v>1</v>
      </c>
      <c r="W372" s="36">
        <v>0</v>
      </c>
      <c r="X372" s="36">
        <f t="shared" si="87"/>
        <v>9</v>
      </c>
      <c r="Y372" s="36">
        <f t="shared" si="88"/>
        <v>2.16</v>
      </c>
      <c r="Z372" s="36">
        <v>14</v>
      </c>
      <c r="AA372" s="36">
        <v>1</v>
      </c>
      <c r="AB372" s="36">
        <v>0</v>
      </c>
      <c r="AC372" s="36">
        <v>1</v>
      </c>
      <c r="AD372" s="36">
        <f t="shared" si="89"/>
        <v>16</v>
      </c>
      <c r="AE372" s="36">
        <f t="shared" si="90"/>
        <v>3.84</v>
      </c>
      <c r="AF372" s="36">
        <f t="shared" si="93"/>
        <v>34</v>
      </c>
      <c r="AG372" s="36">
        <f t="shared" si="93"/>
        <v>8.16</v>
      </c>
      <c r="AH372" s="36">
        <f t="shared" si="91"/>
        <v>58</v>
      </c>
      <c r="AI372" s="36">
        <f t="shared" si="91"/>
        <v>13.92</v>
      </c>
    </row>
    <row r="373" spans="1:35">
      <c r="A373" s="33" t="s">
        <v>335</v>
      </c>
      <c r="B373" s="33" t="s">
        <v>389</v>
      </c>
      <c r="C373" s="50" t="s">
        <v>392</v>
      </c>
      <c r="D373" s="33" t="str">
        <f t="shared" si="92"/>
        <v>363264920395(D902)</v>
      </c>
      <c r="E373" s="33" t="s">
        <v>10</v>
      </c>
      <c r="F373" s="33" t="s">
        <v>10</v>
      </c>
      <c r="G373" s="35">
        <v>250</v>
      </c>
      <c r="H373" s="35">
        <v>19</v>
      </c>
      <c r="I373" s="36">
        <v>1</v>
      </c>
      <c r="J373" s="36">
        <v>1</v>
      </c>
      <c r="K373" s="36">
        <v>3</v>
      </c>
      <c r="L373" s="36">
        <f t="shared" si="94"/>
        <v>24</v>
      </c>
      <c r="M373" s="36">
        <f t="shared" si="84"/>
        <v>5.76</v>
      </c>
      <c r="N373" s="36">
        <v>7</v>
      </c>
      <c r="O373" s="36">
        <v>1</v>
      </c>
      <c r="P373" s="36">
        <v>1</v>
      </c>
      <c r="Q373" s="36">
        <v>0</v>
      </c>
      <c r="R373" s="36">
        <v>0</v>
      </c>
      <c r="S373" s="36">
        <f t="shared" si="85"/>
        <v>9</v>
      </c>
      <c r="T373" s="36">
        <f t="shared" si="86"/>
        <v>2.16</v>
      </c>
      <c r="U373" s="36">
        <v>8</v>
      </c>
      <c r="V373" s="36">
        <v>1</v>
      </c>
      <c r="W373" s="36">
        <v>0</v>
      </c>
      <c r="X373" s="36">
        <f t="shared" si="87"/>
        <v>9</v>
      </c>
      <c r="Y373" s="36">
        <f t="shared" si="88"/>
        <v>2.16</v>
      </c>
      <c r="Z373" s="36">
        <v>14</v>
      </c>
      <c r="AA373" s="36">
        <v>1</v>
      </c>
      <c r="AB373" s="36">
        <v>0</v>
      </c>
      <c r="AC373" s="36">
        <v>1</v>
      </c>
      <c r="AD373" s="36">
        <f t="shared" si="89"/>
        <v>16</v>
      </c>
      <c r="AE373" s="36">
        <f t="shared" si="90"/>
        <v>3.84</v>
      </c>
      <c r="AF373" s="36">
        <f t="shared" si="93"/>
        <v>34</v>
      </c>
      <c r="AG373" s="36">
        <f t="shared" si="93"/>
        <v>8.16</v>
      </c>
      <c r="AH373" s="36">
        <f t="shared" si="91"/>
        <v>58</v>
      </c>
      <c r="AI373" s="36">
        <f t="shared" si="91"/>
        <v>13.92</v>
      </c>
    </row>
    <row r="374" spans="1:35">
      <c r="A374" s="33" t="s">
        <v>354</v>
      </c>
      <c r="B374" s="33" t="s">
        <v>389</v>
      </c>
      <c r="C374" s="50" t="s">
        <v>393</v>
      </c>
      <c r="D374" s="33" t="str">
        <f t="shared" si="92"/>
        <v>363265020395(D901)</v>
      </c>
      <c r="E374" s="33" t="s">
        <v>394</v>
      </c>
      <c r="F374" s="33" t="s">
        <v>395</v>
      </c>
      <c r="G374" s="35">
        <v>250</v>
      </c>
      <c r="H374" s="35">
        <v>19</v>
      </c>
      <c r="I374" s="36">
        <v>1</v>
      </c>
      <c r="J374" s="36">
        <v>1</v>
      </c>
      <c r="K374" s="36">
        <v>3</v>
      </c>
      <c r="L374" s="36">
        <f t="shared" si="94"/>
        <v>24</v>
      </c>
      <c r="M374" s="36">
        <f t="shared" si="84"/>
        <v>5.76</v>
      </c>
      <c r="N374" s="36">
        <v>7</v>
      </c>
      <c r="O374" s="36">
        <v>1</v>
      </c>
      <c r="P374" s="36">
        <v>1</v>
      </c>
      <c r="Q374" s="36">
        <v>0</v>
      </c>
      <c r="R374" s="36">
        <v>0</v>
      </c>
      <c r="S374" s="36">
        <f t="shared" si="85"/>
        <v>9</v>
      </c>
      <c r="T374" s="36">
        <f t="shared" si="86"/>
        <v>2.16</v>
      </c>
      <c r="U374" s="36">
        <v>8</v>
      </c>
      <c r="V374" s="36">
        <v>1</v>
      </c>
      <c r="W374" s="36">
        <v>0</v>
      </c>
      <c r="X374" s="36">
        <f t="shared" si="87"/>
        <v>9</v>
      </c>
      <c r="Y374" s="36">
        <f t="shared" si="88"/>
        <v>2.16</v>
      </c>
      <c r="Z374" s="36">
        <v>14</v>
      </c>
      <c r="AA374" s="36">
        <v>1</v>
      </c>
      <c r="AB374" s="36">
        <v>0</v>
      </c>
      <c r="AC374" s="36">
        <v>1</v>
      </c>
      <c r="AD374" s="36">
        <f t="shared" si="89"/>
        <v>16</v>
      </c>
      <c r="AE374" s="36">
        <f t="shared" si="90"/>
        <v>3.84</v>
      </c>
      <c r="AF374" s="36">
        <f t="shared" si="93"/>
        <v>34</v>
      </c>
      <c r="AG374" s="36">
        <f t="shared" si="93"/>
        <v>8.16</v>
      </c>
      <c r="AH374" s="36">
        <f t="shared" si="91"/>
        <v>58</v>
      </c>
      <c r="AI374" s="36">
        <f t="shared" si="91"/>
        <v>13.92</v>
      </c>
    </row>
    <row r="375" spans="1:35">
      <c r="A375" s="33" t="s">
        <v>351</v>
      </c>
      <c r="B375" s="33" t="s">
        <v>389</v>
      </c>
      <c r="C375" s="50" t="s">
        <v>393</v>
      </c>
      <c r="D375" s="33" t="str">
        <f t="shared" si="92"/>
        <v>363265020395(D902)</v>
      </c>
      <c r="E375" s="33" t="s">
        <v>10</v>
      </c>
      <c r="F375" s="33" t="s">
        <v>10</v>
      </c>
      <c r="G375" s="35">
        <v>250</v>
      </c>
      <c r="H375" s="35">
        <v>19</v>
      </c>
      <c r="I375" s="36">
        <v>1</v>
      </c>
      <c r="J375" s="36">
        <v>1</v>
      </c>
      <c r="K375" s="36">
        <v>3</v>
      </c>
      <c r="L375" s="36">
        <f t="shared" si="94"/>
        <v>24</v>
      </c>
      <c r="M375" s="36">
        <f t="shared" si="84"/>
        <v>5.76</v>
      </c>
      <c r="N375" s="36">
        <v>7</v>
      </c>
      <c r="O375" s="36">
        <v>1</v>
      </c>
      <c r="P375" s="36">
        <v>1</v>
      </c>
      <c r="Q375" s="36">
        <v>0</v>
      </c>
      <c r="R375" s="36">
        <v>0</v>
      </c>
      <c r="S375" s="36">
        <f t="shared" si="85"/>
        <v>9</v>
      </c>
      <c r="T375" s="36">
        <f t="shared" si="86"/>
        <v>2.16</v>
      </c>
      <c r="U375" s="36">
        <v>8</v>
      </c>
      <c r="V375" s="36">
        <v>1</v>
      </c>
      <c r="W375" s="36">
        <v>0</v>
      </c>
      <c r="X375" s="36">
        <f t="shared" si="87"/>
        <v>9</v>
      </c>
      <c r="Y375" s="36">
        <f t="shared" si="88"/>
        <v>2.16</v>
      </c>
      <c r="Z375" s="36">
        <v>14</v>
      </c>
      <c r="AA375" s="36">
        <v>1</v>
      </c>
      <c r="AB375" s="36">
        <v>0</v>
      </c>
      <c r="AC375" s="36">
        <v>1</v>
      </c>
      <c r="AD375" s="36">
        <f t="shared" si="89"/>
        <v>16</v>
      </c>
      <c r="AE375" s="36">
        <f t="shared" si="90"/>
        <v>3.84</v>
      </c>
      <c r="AF375" s="36">
        <f t="shared" si="93"/>
        <v>34</v>
      </c>
      <c r="AG375" s="36">
        <f t="shared" si="93"/>
        <v>8.16</v>
      </c>
      <c r="AH375" s="36">
        <f t="shared" si="91"/>
        <v>58</v>
      </c>
      <c r="AI375" s="36">
        <f t="shared" si="91"/>
        <v>13.92</v>
      </c>
    </row>
    <row r="376" spans="1:35">
      <c r="A376" s="33" t="s">
        <v>299</v>
      </c>
      <c r="B376" s="33" t="s">
        <v>389</v>
      </c>
      <c r="C376" s="50" t="s">
        <v>396</v>
      </c>
      <c r="D376" s="33" t="str">
        <f t="shared" si="92"/>
        <v>363265720395(D901)</v>
      </c>
      <c r="E376" s="33" t="s">
        <v>364</v>
      </c>
      <c r="F376" s="33" t="s">
        <v>367</v>
      </c>
      <c r="G376" s="35">
        <v>250</v>
      </c>
      <c r="H376" s="35">
        <v>19</v>
      </c>
      <c r="I376" s="36">
        <v>1</v>
      </c>
      <c r="J376" s="36">
        <v>1</v>
      </c>
      <c r="K376" s="36">
        <v>3</v>
      </c>
      <c r="L376" s="36">
        <f t="shared" si="94"/>
        <v>24</v>
      </c>
      <c r="M376" s="36">
        <f t="shared" si="84"/>
        <v>5.76</v>
      </c>
      <c r="N376" s="36">
        <v>7</v>
      </c>
      <c r="O376" s="36">
        <v>1</v>
      </c>
      <c r="P376" s="36">
        <v>1</v>
      </c>
      <c r="Q376" s="36">
        <v>0</v>
      </c>
      <c r="R376" s="36">
        <v>0</v>
      </c>
      <c r="S376" s="36">
        <f t="shared" si="85"/>
        <v>9</v>
      </c>
      <c r="T376" s="36">
        <f t="shared" si="86"/>
        <v>2.16</v>
      </c>
      <c r="U376" s="36">
        <v>8</v>
      </c>
      <c r="V376" s="36">
        <v>1</v>
      </c>
      <c r="W376" s="36">
        <v>0</v>
      </c>
      <c r="X376" s="36">
        <f t="shared" si="87"/>
        <v>9</v>
      </c>
      <c r="Y376" s="36">
        <f t="shared" si="88"/>
        <v>2.16</v>
      </c>
      <c r="Z376" s="36">
        <v>14</v>
      </c>
      <c r="AA376" s="36">
        <v>1</v>
      </c>
      <c r="AB376" s="36">
        <v>0</v>
      </c>
      <c r="AC376" s="36">
        <v>1</v>
      </c>
      <c r="AD376" s="36">
        <f t="shared" si="89"/>
        <v>16</v>
      </c>
      <c r="AE376" s="36">
        <f t="shared" si="90"/>
        <v>3.84</v>
      </c>
      <c r="AF376" s="36">
        <f t="shared" si="93"/>
        <v>34</v>
      </c>
      <c r="AG376" s="36">
        <f t="shared" si="93"/>
        <v>8.16</v>
      </c>
      <c r="AH376" s="36">
        <f t="shared" si="91"/>
        <v>58</v>
      </c>
      <c r="AI376" s="36">
        <f t="shared" si="91"/>
        <v>13.92</v>
      </c>
    </row>
    <row r="377" spans="1:35">
      <c r="A377" s="33" t="s">
        <v>352</v>
      </c>
      <c r="B377" s="33" t="s">
        <v>389</v>
      </c>
      <c r="C377" s="50" t="s">
        <v>396</v>
      </c>
      <c r="D377" s="33" t="str">
        <f t="shared" si="92"/>
        <v>363265720395(D902)</v>
      </c>
      <c r="E377" s="33" t="s">
        <v>10</v>
      </c>
      <c r="F377" s="33" t="s">
        <v>10</v>
      </c>
      <c r="G377" s="35">
        <v>250</v>
      </c>
      <c r="H377" s="35">
        <v>19</v>
      </c>
      <c r="I377" s="36">
        <v>1</v>
      </c>
      <c r="J377" s="36">
        <v>1</v>
      </c>
      <c r="K377" s="36">
        <v>3</v>
      </c>
      <c r="L377" s="36">
        <f t="shared" si="94"/>
        <v>24</v>
      </c>
      <c r="M377" s="36">
        <f t="shared" si="84"/>
        <v>5.76</v>
      </c>
      <c r="N377" s="36">
        <v>7</v>
      </c>
      <c r="O377" s="36">
        <v>1</v>
      </c>
      <c r="P377" s="36">
        <v>1</v>
      </c>
      <c r="Q377" s="36">
        <v>0</v>
      </c>
      <c r="R377" s="36">
        <v>0</v>
      </c>
      <c r="S377" s="36">
        <f t="shared" si="85"/>
        <v>9</v>
      </c>
      <c r="T377" s="36">
        <f t="shared" si="86"/>
        <v>2.16</v>
      </c>
      <c r="U377" s="36">
        <v>8</v>
      </c>
      <c r="V377" s="36">
        <v>1</v>
      </c>
      <c r="W377" s="36">
        <v>0</v>
      </c>
      <c r="X377" s="36">
        <f t="shared" si="87"/>
        <v>9</v>
      </c>
      <c r="Y377" s="36">
        <f t="shared" si="88"/>
        <v>2.16</v>
      </c>
      <c r="Z377" s="36">
        <v>14</v>
      </c>
      <c r="AA377" s="36">
        <v>1</v>
      </c>
      <c r="AB377" s="36">
        <v>0</v>
      </c>
      <c r="AC377" s="36">
        <v>1</v>
      </c>
      <c r="AD377" s="36">
        <f t="shared" si="89"/>
        <v>16</v>
      </c>
      <c r="AE377" s="36">
        <f t="shared" si="90"/>
        <v>3.84</v>
      </c>
      <c r="AF377" s="36">
        <f t="shared" si="93"/>
        <v>34</v>
      </c>
      <c r="AG377" s="36">
        <f t="shared" si="93"/>
        <v>8.16</v>
      </c>
      <c r="AH377" s="36">
        <f t="shared" si="91"/>
        <v>58</v>
      </c>
      <c r="AI377" s="36">
        <f t="shared" si="91"/>
        <v>13.92</v>
      </c>
    </row>
    <row r="378" spans="1:35">
      <c r="A378" s="33" t="s">
        <v>335</v>
      </c>
      <c r="B378" s="33" t="s">
        <v>389</v>
      </c>
      <c r="C378" s="50" t="s">
        <v>397</v>
      </c>
      <c r="D378" s="33" t="str">
        <f t="shared" si="92"/>
        <v>363268220395(D901)</v>
      </c>
      <c r="E378" s="33" t="s">
        <v>394</v>
      </c>
      <c r="F378" s="33" t="s">
        <v>7</v>
      </c>
      <c r="G378" s="35">
        <v>250</v>
      </c>
      <c r="H378" s="35">
        <v>19</v>
      </c>
      <c r="I378" s="36">
        <v>1</v>
      </c>
      <c r="J378" s="36">
        <v>1</v>
      </c>
      <c r="K378" s="36">
        <v>3</v>
      </c>
      <c r="L378" s="36">
        <f t="shared" si="94"/>
        <v>24</v>
      </c>
      <c r="M378" s="36">
        <f t="shared" si="84"/>
        <v>5.76</v>
      </c>
      <c r="N378" s="36">
        <v>7</v>
      </c>
      <c r="O378" s="36">
        <v>1</v>
      </c>
      <c r="P378" s="36">
        <v>1</v>
      </c>
      <c r="Q378" s="36">
        <v>0</v>
      </c>
      <c r="R378" s="36">
        <v>0</v>
      </c>
      <c r="S378" s="36">
        <f t="shared" si="85"/>
        <v>9</v>
      </c>
      <c r="T378" s="36">
        <f t="shared" si="86"/>
        <v>2.16</v>
      </c>
      <c r="U378" s="36">
        <v>8</v>
      </c>
      <c r="V378" s="36">
        <v>1</v>
      </c>
      <c r="W378" s="36">
        <v>0</v>
      </c>
      <c r="X378" s="36">
        <f t="shared" si="87"/>
        <v>9</v>
      </c>
      <c r="Y378" s="36">
        <f t="shared" si="88"/>
        <v>2.16</v>
      </c>
      <c r="Z378" s="36">
        <v>14</v>
      </c>
      <c r="AA378" s="36">
        <v>1</v>
      </c>
      <c r="AB378" s="36">
        <v>0</v>
      </c>
      <c r="AC378" s="36">
        <v>1</v>
      </c>
      <c r="AD378" s="36">
        <f t="shared" si="89"/>
        <v>16</v>
      </c>
      <c r="AE378" s="36">
        <f t="shared" si="90"/>
        <v>3.84</v>
      </c>
      <c r="AF378" s="36">
        <f t="shared" si="93"/>
        <v>34</v>
      </c>
      <c r="AG378" s="36">
        <f t="shared" si="93"/>
        <v>8.16</v>
      </c>
      <c r="AH378" s="36">
        <f t="shared" si="91"/>
        <v>58</v>
      </c>
      <c r="AI378" s="36">
        <f t="shared" si="91"/>
        <v>13.92</v>
      </c>
    </row>
    <row r="379" spans="1:35">
      <c r="A379" s="33" t="s">
        <v>335</v>
      </c>
      <c r="B379" s="33" t="s">
        <v>389</v>
      </c>
      <c r="C379" s="50" t="s">
        <v>397</v>
      </c>
      <c r="D379" s="33" t="str">
        <f t="shared" si="92"/>
        <v>363268220395(D902)</v>
      </c>
      <c r="E379" s="33" t="s">
        <v>10</v>
      </c>
      <c r="F379" s="33" t="s">
        <v>10</v>
      </c>
      <c r="G379" s="35">
        <v>250</v>
      </c>
      <c r="H379" s="35">
        <v>19</v>
      </c>
      <c r="I379" s="36">
        <v>1</v>
      </c>
      <c r="J379" s="36">
        <v>1</v>
      </c>
      <c r="K379" s="36">
        <v>3</v>
      </c>
      <c r="L379" s="36">
        <f t="shared" si="94"/>
        <v>24</v>
      </c>
      <c r="M379" s="36">
        <f t="shared" si="84"/>
        <v>5.76</v>
      </c>
      <c r="N379" s="36">
        <v>7</v>
      </c>
      <c r="O379" s="36">
        <v>1</v>
      </c>
      <c r="P379" s="36">
        <v>1</v>
      </c>
      <c r="Q379" s="36">
        <v>0</v>
      </c>
      <c r="R379" s="36">
        <v>0</v>
      </c>
      <c r="S379" s="36">
        <f t="shared" si="85"/>
        <v>9</v>
      </c>
      <c r="T379" s="36">
        <f t="shared" si="86"/>
        <v>2.16</v>
      </c>
      <c r="U379" s="36">
        <v>8</v>
      </c>
      <c r="V379" s="36">
        <v>1</v>
      </c>
      <c r="W379" s="36">
        <v>0</v>
      </c>
      <c r="X379" s="36">
        <f t="shared" si="87"/>
        <v>9</v>
      </c>
      <c r="Y379" s="36">
        <f t="shared" si="88"/>
        <v>2.16</v>
      </c>
      <c r="Z379" s="36">
        <v>14</v>
      </c>
      <c r="AA379" s="36">
        <v>1</v>
      </c>
      <c r="AB379" s="36">
        <v>0</v>
      </c>
      <c r="AC379" s="36">
        <v>1</v>
      </c>
      <c r="AD379" s="36">
        <f t="shared" si="89"/>
        <v>16</v>
      </c>
      <c r="AE379" s="36">
        <f t="shared" si="90"/>
        <v>3.84</v>
      </c>
      <c r="AF379" s="36">
        <f t="shared" si="93"/>
        <v>34</v>
      </c>
      <c r="AG379" s="36">
        <f t="shared" si="93"/>
        <v>8.16</v>
      </c>
      <c r="AH379" s="36">
        <f t="shared" si="91"/>
        <v>58</v>
      </c>
      <c r="AI379" s="36">
        <f t="shared" si="91"/>
        <v>13.92</v>
      </c>
    </row>
    <row r="380" spans="1:35">
      <c r="A380" s="33" t="s">
        <v>335</v>
      </c>
      <c r="B380" s="33" t="s">
        <v>389</v>
      </c>
      <c r="C380" s="51" t="s">
        <v>398</v>
      </c>
      <c r="D380" s="33" t="str">
        <f t="shared" si="92"/>
        <v>363271420395(D901)</v>
      </c>
      <c r="E380" s="33" t="s">
        <v>364</v>
      </c>
      <c r="F380" s="33" t="s">
        <v>7</v>
      </c>
      <c r="G380" s="35">
        <v>250</v>
      </c>
      <c r="H380" s="35">
        <v>19</v>
      </c>
      <c r="I380" s="36">
        <v>1</v>
      </c>
      <c r="J380" s="36">
        <v>1</v>
      </c>
      <c r="K380" s="36">
        <v>3</v>
      </c>
      <c r="L380" s="36">
        <f t="shared" si="94"/>
        <v>24</v>
      </c>
      <c r="M380" s="36">
        <f t="shared" si="84"/>
        <v>5.76</v>
      </c>
      <c r="N380" s="36">
        <v>7</v>
      </c>
      <c r="O380" s="36">
        <v>1</v>
      </c>
      <c r="P380" s="36">
        <v>1</v>
      </c>
      <c r="Q380" s="36">
        <v>0</v>
      </c>
      <c r="R380" s="36">
        <v>0</v>
      </c>
      <c r="S380" s="36">
        <f t="shared" si="85"/>
        <v>9</v>
      </c>
      <c r="T380" s="36">
        <f t="shared" si="86"/>
        <v>2.16</v>
      </c>
      <c r="U380" s="36">
        <v>8</v>
      </c>
      <c r="V380" s="36">
        <v>1</v>
      </c>
      <c r="W380" s="36">
        <v>0</v>
      </c>
      <c r="X380" s="36">
        <f t="shared" si="87"/>
        <v>9</v>
      </c>
      <c r="Y380" s="36">
        <f t="shared" si="88"/>
        <v>2.16</v>
      </c>
      <c r="Z380" s="36">
        <v>14</v>
      </c>
      <c r="AA380" s="36">
        <v>1</v>
      </c>
      <c r="AB380" s="36">
        <v>0</v>
      </c>
      <c r="AC380" s="36">
        <v>1</v>
      </c>
      <c r="AD380" s="36">
        <f t="shared" si="89"/>
        <v>16</v>
      </c>
      <c r="AE380" s="36">
        <f t="shared" si="90"/>
        <v>3.84</v>
      </c>
      <c r="AF380" s="36">
        <f t="shared" si="93"/>
        <v>34</v>
      </c>
      <c r="AG380" s="36">
        <f t="shared" si="93"/>
        <v>8.16</v>
      </c>
      <c r="AH380" s="36">
        <f t="shared" si="91"/>
        <v>58</v>
      </c>
      <c r="AI380" s="36">
        <f t="shared" si="91"/>
        <v>13.92</v>
      </c>
    </row>
    <row r="381" spans="1:35">
      <c r="A381" s="33" t="s">
        <v>335</v>
      </c>
      <c r="B381" s="33" t="s">
        <v>389</v>
      </c>
      <c r="C381" s="51" t="s">
        <v>398</v>
      </c>
      <c r="D381" s="33" t="str">
        <f t="shared" si="92"/>
        <v>363271420395(D902)</v>
      </c>
      <c r="E381" s="33" t="s">
        <v>10</v>
      </c>
      <c r="F381" s="33" t="s">
        <v>10</v>
      </c>
      <c r="G381" s="35">
        <v>250</v>
      </c>
      <c r="H381" s="35">
        <v>19</v>
      </c>
      <c r="I381" s="36">
        <v>1</v>
      </c>
      <c r="J381" s="36">
        <v>1</v>
      </c>
      <c r="K381" s="36">
        <v>3</v>
      </c>
      <c r="L381" s="36">
        <f t="shared" si="94"/>
        <v>24</v>
      </c>
      <c r="M381" s="36">
        <f t="shared" si="84"/>
        <v>5.76</v>
      </c>
      <c r="N381" s="36">
        <v>7</v>
      </c>
      <c r="O381" s="36">
        <v>1</v>
      </c>
      <c r="P381" s="36">
        <v>1</v>
      </c>
      <c r="Q381" s="36">
        <v>0</v>
      </c>
      <c r="R381" s="36">
        <v>0</v>
      </c>
      <c r="S381" s="36">
        <f t="shared" si="85"/>
        <v>9</v>
      </c>
      <c r="T381" s="36">
        <f t="shared" si="86"/>
        <v>2.16</v>
      </c>
      <c r="U381" s="36">
        <v>8</v>
      </c>
      <c r="V381" s="36">
        <v>1</v>
      </c>
      <c r="W381" s="36">
        <v>0</v>
      </c>
      <c r="X381" s="36">
        <f t="shared" si="87"/>
        <v>9</v>
      </c>
      <c r="Y381" s="36">
        <f t="shared" si="88"/>
        <v>2.16</v>
      </c>
      <c r="Z381" s="36">
        <v>14</v>
      </c>
      <c r="AA381" s="36">
        <v>1</v>
      </c>
      <c r="AB381" s="36">
        <v>0</v>
      </c>
      <c r="AC381" s="36">
        <v>1</v>
      </c>
      <c r="AD381" s="36">
        <f t="shared" si="89"/>
        <v>16</v>
      </c>
      <c r="AE381" s="36">
        <f t="shared" si="90"/>
        <v>3.84</v>
      </c>
      <c r="AF381" s="36">
        <f t="shared" si="93"/>
        <v>34</v>
      </c>
      <c r="AG381" s="36">
        <f t="shared" si="93"/>
        <v>8.16</v>
      </c>
      <c r="AH381" s="36">
        <f t="shared" si="91"/>
        <v>58</v>
      </c>
      <c r="AI381" s="36">
        <f t="shared" si="91"/>
        <v>13.92</v>
      </c>
    </row>
    <row r="382" spans="1:35">
      <c r="A382" s="33" t="s">
        <v>335</v>
      </c>
      <c r="B382" s="33" t="s">
        <v>399</v>
      </c>
      <c r="C382" s="50" t="s">
        <v>400</v>
      </c>
      <c r="D382" s="33" t="str">
        <f t="shared" si="92"/>
        <v>363269420395(D901)</v>
      </c>
      <c r="E382" s="33" t="s">
        <v>7</v>
      </c>
      <c r="F382" s="33" t="s">
        <v>7</v>
      </c>
      <c r="G382" s="35">
        <v>250</v>
      </c>
      <c r="H382" s="35">
        <v>19</v>
      </c>
      <c r="I382" s="36">
        <v>1</v>
      </c>
      <c r="J382" s="36">
        <v>1</v>
      </c>
      <c r="K382" s="36">
        <v>3</v>
      </c>
      <c r="L382" s="36">
        <f t="shared" si="94"/>
        <v>24</v>
      </c>
      <c r="M382" s="36">
        <f t="shared" si="84"/>
        <v>5.76</v>
      </c>
      <c r="N382" s="36">
        <v>7</v>
      </c>
      <c r="O382" s="36">
        <v>1</v>
      </c>
      <c r="P382" s="36">
        <v>1</v>
      </c>
      <c r="Q382" s="36">
        <v>0</v>
      </c>
      <c r="R382" s="36">
        <v>0</v>
      </c>
      <c r="S382" s="36">
        <f t="shared" si="85"/>
        <v>9</v>
      </c>
      <c r="T382" s="36">
        <f t="shared" si="86"/>
        <v>2.16</v>
      </c>
      <c r="U382" s="36">
        <v>8</v>
      </c>
      <c r="V382" s="36">
        <v>1</v>
      </c>
      <c r="W382" s="36">
        <v>0</v>
      </c>
      <c r="X382" s="36">
        <f t="shared" si="87"/>
        <v>9</v>
      </c>
      <c r="Y382" s="36">
        <f t="shared" si="88"/>
        <v>2.16</v>
      </c>
      <c r="Z382" s="36">
        <v>14</v>
      </c>
      <c r="AA382" s="36">
        <v>1</v>
      </c>
      <c r="AB382" s="36">
        <v>0</v>
      </c>
      <c r="AC382" s="36">
        <v>1</v>
      </c>
      <c r="AD382" s="36">
        <f t="shared" si="89"/>
        <v>16</v>
      </c>
      <c r="AE382" s="36">
        <f t="shared" si="90"/>
        <v>3.84</v>
      </c>
      <c r="AF382" s="36">
        <f t="shared" si="93"/>
        <v>34</v>
      </c>
      <c r="AG382" s="36">
        <f t="shared" si="93"/>
        <v>8.16</v>
      </c>
      <c r="AH382" s="36">
        <f t="shared" si="91"/>
        <v>58</v>
      </c>
      <c r="AI382" s="36">
        <f t="shared" si="91"/>
        <v>13.92</v>
      </c>
    </row>
    <row r="383" spans="1:35">
      <c r="A383" s="33" t="s">
        <v>335</v>
      </c>
      <c r="B383" s="33" t="s">
        <v>399</v>
      </c>
      <c r="C383" s="50" t="s">
        <v>400</v>
      </c>
      <c r="D383" s="33" t="str">
        <f t="shared" si="92"/>
        <v>363269420395(D902)</v>
      </c>
      <c r="E383" s="33" t="s">
        <v>10</v>
      </c>
      <c r="F383" s="33" t="s">
        <v>10</v>
      </c>
      <c r="G383" s="35">
        <v>250</v>
      </c>
      <c r="H383" s="35">
        <v>19</v>
      </c>
      <c r="I383" s="36">
        <v>1</v>
      </c>
      <c r="J383" s="36">
        <v>1</v>
      </c>
      <c r="K383" s="36">
        <v>3</v>
      </c>
      <c r="L383" s="36">
        <f t="shared" si="94"/>
        <v>24</v>
      </c>
      <c r="M383" s="36">
        <f t="shared" si="84"/>
        <v>5.76</v>
      </c>
      <c r="N383" s="36">
        <v>7</v>
      </c>
      <c r="O383" s="36">
        <v>1</v>
      </c>
      <c r="P383" s="36">
        <v>1</v>
      </c>
      <c r="Q383" s="36">
        <v>0</v>
      </c>
      <c r="R383" s="36">
        <v>0</v>
      </c>
      <c r="S383" s="36">
        <f t="shared" si="85"/>
        <v>9</v>
      </c>
      <c r="T383" s="36">
        <f t="shared" si="86"/>
        <v>2.16</v>
      </c>
      <c r="U383" s="36">
        <v>8</v>
      </c>
      <c r="V383" s="36">
        <v>1</v>
      </c>
      <c r="W383" s="36">
        <v>0</v>
      </c>
      <c r="X383" s="36">
        <f t="shared" si="87"/>
        <v>9</v>
      </c>
      <c r="Y383" s="36">
        <f t="shared" si="88"/>
        <v>2.16</v>
      </c>
      <c r="Z383" s="36">
        <v>14</v>
      </c>
      <c r="AA383" s="36">
        <v>1</v>
      </c>
      <c r="AB383" s="36">
        <v>0</v>
      </c>
      <c r="AC383" s="36">
        <v>1</v>
      </c>
      <c r="AD383" s="36">
        <f t="shared" si="89"/>
        <v>16</v>
      </c>
      <c r="AE383" s="36">
        <f t="shared" si="90"/>
        <v>3.84</v>
      </c>
      <c r="AF383" s="36">
        <f t="shared" si="93"/>
        <v>34</v>
      </c>
      <c r="AG383" s="36">
        <f t="shared" si="93"/>
        <v>8.16</v>
      </c>
      <c r="AH383" s="36">
        <f t="shared" si="91"/>
        <v>58</v>
      </c>
      <c r="AI383" s="36">
        <f t="shared" si="91"/>
        <v>13.92</v>
      </c>
    </row>
    <row r="384" spans="1:35">
      <c r="A384" s="33" t="s">
        <v>335</v>
      </c>
      <c r="B384" s="33" t="s">
        <v>399</v>
      </c>
      <c r="C384" s="51" t="s">
        <v>401</v>
      </c>
      <c r="D384" s="33" t="str">
        <f t="shared" si="92"/>
        <v>363270120395(D901)</v>
      </c>
      <c r="E384" s="33" t="s">
        <v>7</v>
      </c>
      <c r="F384" s="33" t="s">
        <v>7</v>
      </c>
      <c r="G384" s="35">
        <v>250</v>
      </c>
      <c r="H384" s="35">
        <v>19</v>
      </c>
      <c r="I384" s="36">
        <v>1</v>
      </c>
      <c r="J384" s="36">
        <v>1</v>
      </c>
      <c r="K384" s="36">
        <v>3</v>
      </c>
      <c r="L384" s="36">
        <f t="shared" si="94"/>
        <v>24</v>
      </c>
      <c r="M384" s="36">
        <f t="shared" si="84"/>
        <v>5.76</v>
      </c>
      <c r="N384" s="36">
        <v>7</v>
      </c>
      <c r="O384" s="36">
        <v>1</v>
      </c>
      <c r="P384" s="36">
        <v>1</v>
      </c>
      <c r="Q384" s="36">
        <v>0</v>
      </c>
      <c r="R384" s="36">
        <v>0</v>
      </c>
      <c r="S384" s="36">
        <f t="shared" si="85"/>
        <v>9</v>
      </c>
      <c r="T384" s="36">
        <f t="shared" si="86"/>
        <v>2.16</v>
      </c>
      <c r="U384" s="36">
        <v>8</v>
      </c>
      <c r="V384" s="36">
        <v>1</v>
      </c>
      <c r="W384" s="36">
        <v>0</v>
      </c>
      <c r="X384" s="36">
        <f t="shared" si="87"/>
        <v>9</v>
      </c>
      <c r="Y384" s="36">
        <f t="shared" si="88"/>
        <v>2.16</v>
      </c>
      <c r="Z384" s="36">
        <v>14</v>
      </c>
      <c r="AA384" s="36">
        <v>1</v>
      </c>
      <c r="AB384" s="36">
        <v>0</v>
      </c>
      <c r="AC384" s="36">
        <v>1</v>
      </c>
      <c r="AD384" s="36">
        <f t="shared" si="89"/>
        <v>16</v>
      </c>
      <c r="AE384" s="36">
        <f t="shared" si="90"/>
        <v>3.84</v>
      </c>
      <c r="AF384" s="36">
        <f t="shared" si="93"/>
        <v>34</v>
      </c>
      <c r="AG384" s="36">
        <f t="shared" si="93"/>
        <v>8.16</v>
      </c>
      <c r="AH384" s="36">
        <f t="shared" si="91"/>
        <v>58</v>
      </c>
      <c r="AI384" s="36">
        <f t="shared" si="91"/>
        <v>13.92</v>
      </c>
    </row>
    <row r="385" spans="1:36">
      <c r="A385" s="33" t="s">
        <v>335</v>
      </c>
      <c r="B385" s="33" t="s">
        <v>399</v>
      </c>
      <c r="C385" s="51" t="s">
        <v>401</v>
      </c>
      <c r="D385" s="33" t="str">
        <f t="shared" si="92"/>
        <v>363270120395(D902)</v>
      </c>
      <c r="E385" s="33" t="s">
        <v>10</v>
      </c>
      <c r="F385" s="33" t="s">
        <v>10</v>
      </c>
      <c r="G385" s="35">
        <v>250</v>
      </c>
      <c r="H385" s="35">
        <v>19</v>
      </c>
      <c r="I385" s="36">
        <v>1</v>
      </c>
      <c r="J385" s="36">
        <v>1</v>
      </c>
      <c r="K385" s="36">
        <v>3</v>
      </c>
      <c r="L385" s="36">
        <f t="shared" si="94"/>
        <v>24</v>
      </c>
      <c r="M385" s="36">
        <f t="shared" si="84"/>
        <v>5.76</v>
      </c>
      <c r="N385" s="36">
        <v>7</v>
      </c>
      <c r="O385" s="36">
        <v>1</v>
      </c>
      <c r="P385" s="36">
        <v>1</v>
      </c>
      <c r="Q385" s="36">
        <v>0</v>
      </c>
      <c r="R385" s="36">
        <v>0</v>
      </c>
      <c r="S385" s="36">
        <f t="shared" si="85"/>
        <v>9</v>
      </c>
      <c r="T385" s="36">
        <f t="shared" si="86"/>
        <v>2.16</v>
      </c>
      <c r="U385" s="36">
        <v>8</v>
      </c>
      <c r="V385" s="36">
        <v>1</v>
      </c>
      <c r="W385" s="36">
        <v>0</v>
      </c>
      <c r="X385" s="36">
        <f t="shared" si="87"/>
        <v>9</v>
      </c>
      <c r="Y385" s="36">
        <f t="shared" si="88"/>
        <v>2.16</v>
      </c>
      <c r="Z385" s="36">
        <v>14</v>
      </c>
      <c r="AA385" s="36">
        <v>1</v>
      </c>
      <c r="AB385" s="36">
        <v>0</v>
      </c>
      <c r="AC385" s="36">
        <v>1</v>
      </c>
      <c r="AD385" s="36">
        <f t="shared" si="89"/>
        <v>16</v>
      </c>
      <c r="AE385" s="36">
        <f t="shared" si="90"/>
        <v>3.84</v>
      </c>
      <c r="AF385" s="36">
        <f t="shared" si="93"/>
        <v>34</v>
      </c>
      <c r="AG385" s="36">
        <f t="shared" si="93"/>
        <v>8.16</v>
      </c>
      <c r="AH385" s="36">
        <f t="shared" si="91"/>
        <v>58</v>
      </c>
      <c r="AI385" s="36">
        <f t="shared" si="91"/>
        <v>13.92</v>
      </c>
    </row>
    <row r="386" spans="1:36">
      <c r="A386" s="33" t="s">
        <v>335</v>
      </c>
      <c r="B386" s="33" t="s">
        <v>399</v>
      </c>
      <c r="C386" s="51" t="s">
        <v>402</v>
      </c>
      <c r="D386" s="33" t="str">
        <f t="shared" si="92"/>
        <v>363269820395(D901)</v>
      </c>
      <c r="E386" s="33" t="s">
        <v>7</v>
      </c>
      <c r="F386" s="33" t="s">
        <v>7</v>
      </c>
      <c r="G386" s="35">
        <v>250</v>
      </c>
      <c r="H386" s="35">
        <v>19</v>
      </c>
      <c r="I386" s="36">
        <v>1</v>
      </c>
      <c r="J386" s="36">
        <v>1</v>
      </c>
      <c r="K386" s="36">
        <v>3</v>
      </c>
      <c r="L386" s="36">
        <f t="shared" si="94"/>
        <v>24</v>
      </c>
      <c r="M386" s="36">
        <f t="shared" si="84"/>
        <v>5.76</v>
      </c>
      <c r="N386" s="36">
        <v>7</v>
      </c>
      <c r="O386" s="36">
        <v>1</v>
      </c>
      <c r="P386" s="36">
        <v>1</v>
      </c>
      <c r="Q386" s="36">
        <v>0</v>
      </c>
      <c r="R386" s="36">
        <v>0</v>
      </c>
      <c r="S386" s="36">
        <f t="shared" si="85"/>
        <v>9</v>
      </c>
      <c r="T386" s="36">
        <f t="shared" si="86"/>
        <v>2.16</v>
      </c>
      <c r="U386" s="36">
        <v>8</v>
      </c>
      <c r="V386" s="36">
        <v>1</v>
      </c>
      <c r="W386" s="36">
        <v>0</v>
      </c>
      <c r="X386" s="36">
        <f t="shared" si="87"/>
        <v>9</v>
      </c>
      <c r="Y386" s="36">
        <f t="shared" si="88"/>
        <v>2.16</v>
      </c>
      <c r="Z386" s="36">
        <v>14</v>
      </c>
      <c r="AA386" s="36">
        <v>1</v>
      </c>
      <c r="AB386" s="36">
        <v>0</v>
      </c>
      <c r="AC386" s="36">
        <v>1</v>
      </c>
      <c r="AD386" s="36">
        <f t="shared" si="89"/>
        <v>16</v>
      </c>
      <c r="AE386" s="36">
        <f t="shared" si="90"/>
        <v>3.84</v>
      </c>
      <c r="AF386" s="36">
        <f t="shared" si="93"/>
        <v>34</v>
      </c>
      <c r="AG386" s="36">
        <f t="shared" si="93"/>
        <v>8.16</v>
      </c>
      <c r="AH386" s="36">
        <f t="shared" si="91"/>
        <v>58</v>
      </c>
      <c r="AI386" s="36">
        <f t="shared" si="91"/>
        <v>13.92</v>
      </c>
    </row>
    <row r="387" spans="1:36">
      <c r="A387" s="33" t="s">
        <v>335</v>
      </c>
      <c r="B387" s="33" t="s">
        <v>399</v>
      </c>
      <c r="C387" s="51" t="s">
        <v>402</v>
      </c>
      <c r="D387" s="33" t="str">
        <f t="shared" si="92"/>
        <v>363269820395(D902)</v>
      </c>
      <c r="E387" s="33" t="s">
        <v>10</v>
      </c>
      <c r="F387" s="33" t="s">
        <v>10</v>
      </c>
      <c r="G387" s="35">
        <v>250</v>
      </c>
      <c r="H387" s="35">
        <v>19</v>
      </c>
      <c r="I387" s="36">
        <v>1</v>
      </c>
      <c r="J387" s="36">
        <v>1</v>
      </c>
      <c r="K387" s="36">
        <v>3</v>
      </c>
      <c r="L387" s="36">
        <f t="shared" si="94"/>
        <v>24</v>
      </c>
      <c r="M387" s="36">
        <f t="shared" si="84"/>
        <v>5.76</v>
      </c>
      <c r="N387" s="36">
        <v>7</v>
      </c>
      <c r="O387" s="36">
        <v>1</v>
      </c>
      <c r="P387" s="36">
        <v>1</v>
      </c>
      <c r="Q387" s="36">
        <v>0</v>
      </c>
      <c r="R387" s="36">
        <v>0</v>
      </c>
      <c r="S387" s="36">
        <f t="shared" si="85"/>
        <v>9</v>
      </c>
      <c r="T387" s="36">
        <f t="shared" si="86"/>
        <v>2.16</v>
      </c>
      <c r="U387" s="36">
        <v>8</v>
      </c>
      <c r="V387" s="36">
        <v>1</v>
      </c>
      <c r="W387" s="36">
        <v>0</v>
      </c>
      <c r="X387" s="36">
        <f t="shared" si="87"/>
        <v>9</v>
      </c>
      <c r="Y387" s="36">
        <f t="shared" si="88"/>
        <v>2.16</v>
      </c>
      <c r="Z387" s="36">
        <v>14</v>
      </c>
      <c r="AA387" s="36">
        <v>1</v>
      </c>
      <c r="AB387" s="36">
        <v>0</v>
      </c>
      <c r="AC387" s="36">
        <v>1</v>
      </c>
      <c r="AD387" s="36">
        <f t="shared" si="89"/>
        <v>16</v>
      </c>
      <c r="AE387" s="36">
        <f t="shared" si="90"/>
        <v>3.84</v>
      </c>
      <c r="AF387" s="36">
        <f t="shared" si="93"/>
        <v>34</v>
      </c>
      <c r="AG387" s="36">
        <f t="shared" si="93"/>
        <v>8.16</v>
      </c>
      <c r="AH387" s="36">
        <f t="shared" si="91"/>
        <v>58</v>
      </c>
      <c r="AI387" s="36">
        <f t="shared" si="91"/>
        <v>13.92</v>
      </c>
    </row>
    <row r="388" spans="1:36">
      <c r="A388" s="33" t="s">
        <v>335</v>
      </c>
      <c r="B388" s="33" t="s">
        <v>399</v>
      </c>
      <c r="C388" s="51" t="s">
        <v>403</v>
      </c>
      <c r="D388" s="33" t="str">
        <f t="shared" si="92"/>
        <v>363270220395(D901)</v>
      </c>
      <c r="E388" s="33" t="s">
        <v>7</v>
      </c>
      <c r="F388" s="33" t="s">
        <v>7</v>
      </c>
      <c r="G388" s="35">
        <v>250</v>
      </c>
      <c r="H388" s="35">
        <v>19</v>
      </c>
      <c r="I388" s="36">
        <v>1</v>
      </c>
      <c r="J388" s="36">
        <v>1</v>
      </c>
      <c r="K388" s="36">
        <v>3</v>
      </c>
      <c r="L388" s="36">
        <f t="shared" si="94"/>
        <v>24</v>
      </c>
      <c r="M388" s="36">
        <f t="shared" si="84"/>
        <v>5.76</v>
      </c>
      <c r="N388" s="36">
        <v>7</v>
      </c>
      <c r="O388" s="36">
        <v>1</v>
      </c>
      <c r="P388" s="36">
        <v>1</v>
      </c>
      <c r="Q388" s="36">
        <v>0</v>
      </c>
      <c r="R388" s="36">
        <v>0</v>
      </c>
      <c r="S388" s="36">
        <f t="shared" si="85"/>
        <v>9</v>
      </c>
      <c r="T388" s="36">
        <f t="shared" si="86"/>
        <v>2.16</v>
      </c>
      <c r="U388" s="36">
        <v>8</v>
      </c>
      <c r="V388" s="36">
        <v>1</v>
      </c>
      <c r="W388" s="36">
        <v>0</v>
      </c>
      <c r="X388" s="36">
        <f t="shared" si="87"/>
        <v>9</v>
      </c>
      <c r="Y388" s="36">
        <f t="shared" si="88"/>
        <v>2.16</v>
      </c>
      <c r="Z388" s="36">
        <v>14</v>
      </c>
      <c r="AA388" s="36">
        <v>1</v>
      </c>
      <c r="AB388" s="36">
        <v>0</v>
      </c>
      <c r="AC388" s="36">
        <v>1</v>
      </c>
      <c r="AD388" s="36">
        <f t="shared" si="89"/>
        <v>16</v>
      </c>
      <c r="AE388" s="36">
        <f t="shared" si="90"/>
        <v>3.84</v>
      </c>
      <c r="AF388" s="36">
        <f t="shared" si="93"/>
        <v>34</v>
      </c>
      <c r="AG388" s="36">
        <f t="shared" si="93"/>
        <v>8.16</v>
      </c>
      <c r="AH388" s="36">
        <f t="shared" si="91"/>
        <v>58</v>
      </c>
      <c r="AI388" s="36">
        <f t="shared" si="91"/>
        <v>13.92</v>
      </c>
    </row>
    <row r="389" spans="1:36">
      <c r="A389" s="33" t="s">
        <v>335</v>
      </c>
      <c r="B389" s="33" t="s">
        <v>399</v>
      </c>
      <c r="C389" s="51" t="s">
        <v>404</v>
      </c>
      <c r="D389" s="33" t="str">
        <f t="shared" si="92"/>
        <v>363272120395(D901)</v>
      </c>
      <c r="E389" s="33" t="s">
        <v>7</v>
      </c>
      <c r="F389" s="33" t="s">
        <v>7</v>
      </c>
      <c r="G389" s="35">
        <v>250</v>
      </c>
      <c r="H389" s="35">
        <v>19</v>
      </c>
      <c r="I389" s="36">
        <v>1</v>
      </c>
      <c r="J389" s="36">
        <v>1</v>
      </c>
      <c r="K389" s="36">
        <v>3</v>
      </c>
      <c r="L389" s="36">
        <f>SUM(H389:K389)</f>
        <v>24</v>
      </c>
      <c r="M389" s="36">
        <f t="shared" si="84"/>
        <v>5.76</v>
      </c>
      <c r="N389" s="36">
        <v>7</v>
      </c>
      <c r="O389" s="36">
        <v>1</v>
      </c>
      <c r="P389" s="36">
        <v>1</v>
      </c>
      <c r="Q389" s="36">
        <v>0</v>
      </c>
      <c r="R389" s="36">
        <v>0</v>
      </c>
      <c r="S389" s="36">
        <f t="shared" si="85"/>
        <v>9</v>
      </c>
      <c r="T389" s="36">
        <f t="shared" si="86"/>
        <v>2.16</v>
      </c>
      <c r="U389" s="36">
        <v>8</v>
      </c>
      <c r="V389" s="36">
        <v>1</v>
      </c>
      <c r="W389" s="36">
        <v>0</v>
      </c>
      <c r="X389" s="36">
        <f t="shared" si="87"/>
        <v>9</v>
      </c>
      <c r="Y389" s="36">
        <f t="shared" si="88"/>
        <v>2.16</v>
      </c>
      <c r="Z389" s="36">
        <v>14</v>
      </c>
      <c r="AA389" s="36">
        <v>1</v>
      </c>
      <c r="AB389" s="36">
        <v>0</v>
      </c>
      <c r="AC389" s="36">
        <v>1</v>
      </c>
      <c r="AD389" s="36">
        <f t="shared" si="89"/>
        <v>16</v>
      </c>
      <c r="AE389" s="36">
        <f t="shared" si="90"/>
        <v>3.84</v>
      </c>
      <c r="AF389" s="36">
        <f t="shared" si="93"/>
        <v>34</v>
      </c>
      <c r="AG389" s="36">
        <f t="shared" si="93"/>
        <v>8.16</v>
      </c>
      <c r="AH389" s="36">
        <f t="shared" si="91"/>
        <v>58</v>
      </c>
      <c r="AI389" s="36">
        <f t="shared" si="91"/>
        <v>13.92</v>
      </c>
    </row>
    <row r="390" spans="1:36">
      <c r="A390" s="33" t="s">
        <v>335</v>
      </c>
      <c r="B390" s="33" t="s">
        <v>399</v>
      </c>
      <c r="C390" s="51" t="s">
        <v>405</v>
      </c>
      <c r="D390" s="33" t="str">
        <f t="shared" si="92"/>
        <v>363272020395(D901)</v>
      </c>
      <c r="E390" s="33" t="s">
        <v>7</v>
      </c>
      <c r="F390" s="33" t="s">
        <v>7</v>
      </c>
      <c r="G390" s="35">
        <v>250</v>
      </c>
      <c r="H390" s="35">
        <v>19</v>
      </c>
      <c r="I390" s="36">
        <v>1</v>
      </c>
      <c r="J390" s="36">
        <v>1</v>
      </c>
      <c r="K390" s="36">
        <v>3</v>
      </c>
      <c r="L390" s="36">
        <f>SUM(H390:K390)</f>
        <v>24</v>
      </c>
      <c r="M390" s="36">
        <f t="shared" si="84"/>
        <v>5.76</v>
      </c>
      <c r="N390" s="36">
        <v>7</v>
      </c>
      <c r="O390" s="36">
        <v>1</v>
      </c>
      <c r="P390" s="36">
        <v>1</v>
      </c>
      <c r="Q390" s="36">
        <v>0</v>
      </c>
      <c r="R390" s="36">
        <v>0</v>
      </c>
      <c r="S390" s="36">
        <f t="shared" si="85"/>
        <v>9</v>
      </c>
      <c r="T390" s="36">
        <f t="shared" si="86"/>
        <v>2.16</v>
      </c>
      <c r="U390" s="36">
        <v>8</v>
      </c>
      <c r="V390" s="36">
        <v>1</v>
      </c>
      <c r="W390" s="36">
        <v>0</v>
      </c>
      <c r="X390" s="36">
        <f t="shared" si="87"/>
        <v>9</v>
      </c>
      <c r="Y390" s="36">
        <f t="shared" si="88"/>
        <v>2.16</v>
      </c>
      <c r="Z390" s="36">
        <v>14</v>
      </c>
      <c r="AA390" s="36">
        <v>1</v>
      </c>
      <c r="AB390" s="36">
        <v>0</v>
      </c>
      <c r="AC390" s="36">
        <v>1</v>
      </c>
      <c r="AD390" s="36">
        <f t="shared" si="89"/>
        <v>16</v>
      </c>
      <c r="AE390" s="36">
        <f t="shared" si="90"/>
        <v>3.84</v>
      </c>
      <c r="AF390" s="36">
        <f t="shared" si="93"/>
        <v>34</v>
      </c>
      <c r="AG390" s="36">
        <f t="shared" si="93"/>
        <v>8.16</v>
      </c>
      <c r="AH390" s="36">
        <f t="shared" si="91"/>
        <v>58</v>
      </c>
      <c r="AI390" s="36">
        <f t="shared" si="91"/>
        <v>13.92</v>
      </c>
    </row>
    <row r="391" spans="1:36">
      <c r="A391" s="33" t="s">
        <v>353</v>
      </c>
      <c r="B391" s="33" t="s">
        <v>361</v>
      </c>
      <c r="C391" s="50" t="s">
        <v>369</v>
      </c>
      <c r="D391" s="33" t="str">
        <f t="shared" si="92"/>
        <v>363265320395(D903)</v>
      </c>
      <c r="E391" s="33" t="s">
        <v>9</v>
      </c>
      <c r="F391" s="33" t="s">
        <v>9</v>
      </c>
      <c r="G391" s="35">
        <v>120</v>
      </c>
      <c r="H391" s="35">
        <v>27</v>
      </c>
      <c r="I391" s="36">
        <v>1</v>
      </c>
      <c r="J391" s="36">
        <v>1</v>
      </c>
      <c r="K391" s="36">
        <v>3</v>
      </c>
      <c r="L391" s="36">
        <f t="shared" si="94"/>
        <v>32</v>
      </c>
      <c r="M391" s="36">
        <f t="shared" si="84"/>
        <v>16</v>
      </c>
      <c r="N391" s="36">
        <v>0</v>
      </c>
      <c r="O391" s="36">
        <v>0</v>
      </c>
      <c r="P391" s="36">
        <v>0</v>
      </c>
      <c r="Q391" s="36">
        <v>0</v>
      </c>
      <c r="R391" s="36">
        <v>0</v>
      </c>
      <c r="S391" s="36">
        <f t="shared" si="85"/>
        <v>0</v>
      </c>
      <c r="T391" s="36">
        <f t="shared" si="86"/>
        <v>0</v>
      </c>
      <c r="U391" s="36">
        <v>10</v>
      </c>
      <c r="V391" s="36">
        <v>0</v>
      </c>
      <c r="W391" s="36">
        <v>1</v>
      </c>
      <c r="X391" s="36">
        <f t="shared" si="87"/>
        <v>11</v>
      </c>
      <c r="Y391" s="36">
        <f t="shared" si="88"/>
        <v>5.5</v>
      </c>
      <c r="Z391" s="36">
        <v>12</v>
      </c>
      <c r="AA391" s="36">
        <v>1</v>
      </c>
      <c r="AB391" s="36">
        <v>1</v>
      </c>
      <c r="AC391" s="36">
        <v>1</v>
      </c>
      <c r="AD391" s="36">
        <f t="shared" si="89"/>
        <v>15</v>
      </c>
      <c r="AE391" s="36">
        <f t="shared" si="90"/>
        <v>7.5</v>
      </c>
      <c r="AF391" s="36">
        <f t="shared" si="93"/>
        <v>26</v>
      </c>
      <c r="AG391" s="36">
        <f t="shared" si="93"/>
        <v>13</v>
      </c>
      <c r="AH391" s="36">
        <f t="shared" si="91"/>
        <v>58</v>
      </c>
      <c r="AI391" s="36">
        <f t="shared" si="91"/>
        <v>29</v>
      </c>
    </row>
    <row r="392" spans="1:36">
      <c r="A392" s="33" t="s">
        <v>335</v>
      </c>
      <c r="B392" s="33" t="s">
        <v>361</v>
      </c>
      <c r="C392" s="50" t="s">
        <v>370</v>
      </c>
      <c r="D392" s="33" t="str">
        <f t="shared" si="92"/>
        <v>363266120395(D903)</v>
      </c>
      <c r="E392" s="33" t="s">
        <v>9</v>
      </c>
      <c r="F392" s="33" t="s">
        <v>9</v>
      </c>
      <c r="G392" s="35">
        <v>120</v>
      </c>
      <c r="H392" s="35">
        <v>24</v>
      </c>
      <c r="I392" s="36">
        <v>1</v>
      </c>
      <c r="J392" s="36">
        <v>1</v>
      </c>
      <c r="K392" s="36">
        <v>3</v>
      </c>
      <c r="L392" s="36">
        <f t="shared" si="94"/>
        <v>29</v>
      </c>
      <c r="M392" s="36">
        <f t="shared" si="84"/>
        <v>14.5</v>
      </c>
      <c r="N392" s="36">
        <v>0</v>
      </c>
      <c r="O392" s="36">
        <v>0</v>
      </c>
      <c r="P392" s="36">
        <v>0</v>
      </c>
      <c r="Q392" s="36">
        <v>0</v>
      </c>
      <c r="R392" s="36">
        <v>0</v>
      </c>
      <c r="S392" s="36">
        <f t="shared" si="85"/>
        <v>0</v>
      </c>
      <c r="T392" s="36">
        <f t="shared" si="86"/>
        <v>0</v>
      </c>
      <c r="U392" s="36">
        <v>8</v>
      </c>
      <c r="V392" s="36">
        <v>0</v>
      </c>
      <c r="W392" s="36">
        <v>1</v>
      </c>
      <c r="X392" s="36">
        <f t="shared" si="87"/>
        <v>9</v>
      </c>
      <c r="Y392" s="36">
        <f t="shared" si="88"/>
        <v>4.5</v>
      </c>
      <c r="Z392" s="36">
        <v>13</v>
      </c>
      <c r="AA392" s="36">
        <v>1</v>
      </c>
      <c r="AB392" s="36">
        <v>1</v>
      </c>
      <c r="AC392" s="36">
        <v>1</v>
      </c>
      <c r="AD392" s="36">
        <f t="shared" si="89"/>
        <v>16</v>
      </c>
      <c r="AE392" s="36">
        <f t="shared" si="90"/>
        <v>8</v>
      </c>
      <c r="AF392" s="36">
        <f t="shared" si="93"/>
        <v>25</v>
      </c>
      <c r="AG392" s="36">
        <f t="shared" si="93"/>
        <v>12.5</v>
      </c>
      <c r="AH392" s="36">
        <f t="shared" si="91"/>
        <v>54</v>
      </c>
      <c r="AI392" s="36">
        <f t="shared" si="91"/>
        <v>27</v>
      </c>
    </row>
    <row r="393" spans="1:36">
      <c r="A393" s="33" t="s">
        <v>335</v>
      </c>
      <c r="B393" s="33" t="s">
        <v>379</v>
      </c>
      <c r="C393" s="50" t="s">
        <v>365</v>
      </c>
      <c r="D393" s="33" t="str">
        <f t="shared" si="92"/>
        <v>363264720395(D903)</v>
      </c>
      <c r="E393" s="33" t="s">
        <v>9</v>
      </c>
      <c r="F393" s="33" t="s">
        <v>9</v>
      </c>
      <c r="G393" s="35">
        <v>120</v>
      </c>
      <c r="H393" s="35">
        <v>24</v>
      </c>
      <c r="I393" s="36">
        <v>1</v>
      </c>
      <c r="J393" s="36">
        <v>1</v>
      </c>
      <c r="K393" s="36">
        <v>3</v>
      </c>
      <c r="L393" s="36">
        <f t="shared" si="94"/>
        <v>29</v>
      </c>
      <c r="M393" s="36">
        <f t="shared" si="84"/>
        <v>14.5</v>
      </c>
      <c r="N393" s="36">
        <v>0</v>
      </c>
      <c r="O393" s="36">
        <v>0</v>
      </c>
      <c r="P393" s="36">
        <v>0</v>
      </c>
      <c r="Q393" s="36">
        <v>0</v>
      </c>
      <c r="R393" s="36">
        <v>0</v>
      </c>
      <c r="S393" s="36">
        <f t="shared" si="85"/>
        <v>0</v>
      </c>
      <c r="T393" s="36">
        <f t="shared" si="86"/>
        <v>0</v>
      </c>
      <c r="U393" s="36">
        <v>8</v>
      </c>
      <c r="V393" s="36">
        <v>0</v>
      </c>
      <c r="W393" s="36">
        <v>1</v>
      </c>
      <c r="X393" s="36">
        <f t="shared" si="87"/>
        <v>9</v>
      </c>
      <c r="Y393" s="36">
        <f t="shared" si="88"/>
        <v>4.5</v>
      </c>
      <c r="Z393" s="36">
        <v>13</v>
      </c>
      <c r="AA393" s="36">
        <v>1</v>
      </c>
      <c r="AB393" s="36">
        <v>1</v>
      </c>
      <c r="AC393" s="36">
        <v>1</v>
      </c>
      <c r="AD393" s="36">
        <f t="shared" si="89"/>
        <v>16</v>
      </c>
      <c r="AE393" s="36">
        <f t="shared" si="90"/>
        <v>8</v>
      </c>
      <c r="AF393" s="36">
        <f t="shared" si="93"/>
        <v>25</v>
      </c>
      <c r="AG393" s="36">
        <f t="shared" si="93"/>
        <v>12.5</v>
      </c>
      <c r="AH393" s="36">
        <f t="shared" si="91"/>
        <v>54</v>
      </c>
      <c r="AI393" s="36">
        <f t="shared" si="91"/>
        <v>27</v>
      </c>
    </row>
    <row r="394" spans="1:36">
      <c r="A394" s="33" t="s">
        <v>335</v>
      </c>
      <c r="B394" s="33" t="s">
        <v>379</v>
      </c>
      <c r="C394" s="50" t="s">
        <v>380</v>
      </c>
      <c r="D394" s="33" t="str">
        <f>C394&amp;"("&amp;F394&amp;")"</f>
        <v>363264420395(D903)</v>
      </c>
      <c r="E394" s="33" t="s">
        <v>9</v>
      </c>
      <c r="F394" s="33" t="s">
        <v>9</v>
      </c>
      <c r="G394" s="35">
        <v>120</v>
      </c>
      <c r="H394" s="35">
        <v>24</v>
      </c>
      <c r="I394" s="36">
        <v>1</v>
      </c>
      <c r="J394" s="36">
        <v>1</v>
      </c>
      <c r="K394" s="36">
        <v>3</v>
      </c>
      <c r="L394" s="36">
        <f t="shared" si="94"/>
        <v>29</v>
      </c>
      <c r="M394" s="36">
        <f t="shared" si="84"/>
        <v>14.5</v>
      </c>
      <c r="N394" s="36">
        <v>0</v>
      </c>
      <c r="O394" s="36">
        <v>0</v>
      </c>
      <c r="P394" s="36">
        <v>0</v>
      </c>
      <c r="Q394" s="36">
        <v>0</v>
      </c>
      <c r="R394" s="36">
        <v>0</v>
      </c>
      <c r="S394" s="36">
        <f t="shared" si="85"/>
        <v>0</v>
      </c>
      <c r="T394" s="36">
        <f t="shared" si="86"/>
        <v>0</v>
      </c>
      <c r="U394" s="36">
        <v>8</v>
      </c>
      <c r="V394" s="36">
        <v>0</v>
      </c>
      <c r="W394" s="36">
        <v>1</v>
      </c>
      <c r="X394" s="36">
        <f t="shared" si="87"/>
        <v>9</v>
      </c>
      <c r="Y394" s="36">
        <f t="shared" si="88"/>
        <v>4.5</v>
      </c>
      <c r="Z394" s="36">
        <v>13</v>
      </c>
      <c r="AA394" s="36">
        <v>1</v>
      </c>
      <c r="AB394" s="36">
        <v>1</v>
      </c>
      <c r="AC394" s="36">
        <v>1</v>
      </c>
      <c r="AD394" s="36">
        <f t="shared" si="89"/>
        <v>16</v>
      </c>
      <c r="AE394" s="36">
        <f t="shared" si="90"/>
        <v>8</v>
      </c>
      <c r="AF394" s="36">
        <f t="shared" si="93"/>
        <v>25</v>
      </c>
      <c r="AG394" s="36">
        <f t="shared" si="93"/>
        <v>12.5</v>
      </c>
      <c r="AH394" s="36">
        <f t="shared" si="91"/>
        <v>54</v>
      </c>
      <c r="AI394" s="36">
        <f t="shared" si="91"/>
        <v>27</v>
      </c>
    </row>
    <row r="395" spans="1:36">
      <c r="A395" s="33" t="s">
        <v>335</v>
      </c>
      <c r="B395" s="33" t="s">
        <v>389</v>
      </c>
      <c r="C395" s="50" t="s">
        <v>396</v>
      </c>
      <c r="D395" s="33" t="str">
        <f t="shared" si="92"/>
        <v>363265720395(D903)</v>
      </c>
      <c r="E395" s="33" t="s">
        <v>9</v>
      </c>
      <c r="F395" s="33" t="s">
        <v>9</v>
      </c>
      <c r="G395" s="35">
        <v>120</v>
      </c>
      <c r="H395" s="35">
        <v>24</v>
      </c>
      <c r="I395" s="36">
        <v>1</v>
      </c>
      <c r="J395" s="36">
        <v>1</v>
      </c>
      <c r="K395" s="36">
        <v>3</v>
      </c>
      <c r="L395" s="36">
        <f t="shared" si="94"/>
        <v>29</v>
      </c>
      <c r="M395" s="36">
        <f t="shared" si="84"/>
        <v>14.5</v>
      </c>
      <c r="N395" s="36">
        <v>0</v>
      </c>
      <c r="O395" s="36">
        <v>0</v>
      </c>
      <c r="P395" s="36">
        <v>0</v>
      </c>
      <c r="Q395" s="36">
        <v>0</v>
      </c>
      <c r="R395" s="36">
        <v>0</v>
      </c>
      <c r="S395" s="36">
        <f t="shared" si="85"/>
        <v>0</v>
      </c>
      <c r="T395" s="36">
        <f t="shared" si="86"/>
        <v>0</v>
      </c>
      <c r="U395" s="36">
        <v>8</v>
      </c>
      <c r="V395" s="36">
        <v>0</v>
      </c>
      <c r="W395" s="36">
        <v>1</v>
      </c>
      <c r="X395" s="36">
        <f t="shared" si="87"/>
        <v>9</v>
      </c>
      <c r="Y395" s="36">
        <f t="shared" si="88"/>
        <v>4.5</v>
      </c>
      <c r="Z395" s="36">
        <v>13</v>
      </c>
      <c r="AA395" s="36">
        <v>1</v>
      </c>
      <c r="AB395" s="36">
        <v>1</v>
      </c>
      <c r="AC395" s="36">
        <v>1</v>
      </c>
      <c r="AD395" s="36">
        <f t="shared" si="89"/>
        <v>16</v>
      </c>
      <c r="AE395" s="36">
        <f t="shared" si="90"/>
        <v>8</v>
      </c>
      <c r="AF395" s="36">
        <f t="shared" si="93"/>
        <v>25</v>
      </c>
      <c r="AG395" s="36">
        <f t="shared" si="93"/>
        <v>12.5</v>
      </c>
      <c r="AH395" s="36">
        <f t="shared" si="91"/>
        <v>54</v>
      </c>
      <c r="AI395" s="36">
        <f t="shared" si="91"/>
        <v>27</v>
      </c>
    </row>
    <row r="396" spans="1:36">
      <c r="A396" s="33" t="s">
        <v>335</v>
      </c>
      <c r="B396" s="33" t="s">
        <v>389</v>
      </c>
      <c r="C396" s="52" t="s">
        <v>393</v>
      </c>
      <c r="D396" s="33" t="str">
        <f t="shared" si="92"/>
        <v>363265020395(D903)</v>
      </c>
      <c r="E396" s="33" t="s">
        <v>9</v>
      </c>
      <c r="F396" s="33" t="s">
        <v>9</v>
      </c>
      <c r="G396" s="35">
        <v>120</v>
      </c>
      <c r="H396" s="35">
        <v>24</v>
      </c>
      <c r="I396" s="36">
        <v>1</v>
      </c>
      <c r="J396" s="36">
        <v>1</v>
      </c>
      <c r="K396" s="36">
        <v>3</v>
      </c>
      <c r="L396" s="36">
        <f t="shared" si="94"/>
        <v>29</v>
      </c>
      <c r="M396" s="36">
        <f t="shared" si="84"/>
        <v>14.5</v>
      </c>
      <c r="N396" s="36">
        <v>0</v>
      </c>
      <c r="O396" s="36">
        <v>0</v>
      </c>
      <c r="P396" s="36">
        <v>0</v>
      </c>
      <c r="Q396" s="36">
        <v>0</v>
      </c>
      <c r="R396" s="36">
        <v>0</v>
      </c>
      <c r="S396" s="36">
        <f t="shared" si="85"/>
        <v>0</v>
      </c>
      <c r="T396" s="36">
        <f t="shared" si="86"/>
        <v>0</v>
      </c>
      <c r="U396" s="36">
        <v>8</v>
      </c>
      <c r="V396" s="36">
        <v>0</v>
      </c>
      <c r="W396" s="36">
        <v>1</v>
      </c>
      <c r="X396" s="36">
        <f t="shared" si="87"/>
        <v>9</v>
      </c>
      <c r="Y396" s="36">
        <f t="shared" si="88"/>
        <v>4.5</v>
      </c>
      <c r="Z396" s="36">
        <v>13</v>
      </c>
      <c r="AA396" s="36">
        <v>1</v>
      </c>
      <c r="AB396" s="36">
        <v>1</v>
      </c>
      <c r="AC396" s="36">
        <v>1</v>
      </c>
      <c r="AD396" s="36">
        <f t="shared" si="89"/>
        <v>16</v>
      </c>
      <c r="AE396" s="36">
        <f t="shared" si="90"/>
        <v>8</v>
      </c>
      <c r="AF396" s="36">
        <f t="shared" si="93"/>
        <v>25</v>
      </c>
      <c r="AG396" s="36">
        <f t="shared" si="93"/>
        <v>12.5</v>
      </c>
      <c r="AH396" s="36">
        <f t="shared" si="91"/>
        <v>54</v>
      </c>
      <c r="AI396" s="36">
        <f t="shared" si="91"/>
        <v>27</v>
      </c>
    </row>
    <row r="397" spans="1:36">
      <c r="A397" s="38" t="s">
        <v>335</v>
      </c>
      <c r="B397" s="38" t="s">
        <v>406</v>
      </c>
      <c r="C397" s="53" t="s">
        <v>407</v>
      </c>
      <c r="D397" s="38" t="str">
        <f t="shared" si="92"/>
        <v>352768920395(D905)</v>
      </c>
      <c r="E397" s="38" t="s">
        <v>21</v>
      </c>
      <c r="F397" s="38" t="s">
        <v>21</v>
      </c>
      <c r="G397" s="40">
        <v>250</v>
      </c>
      <c r="H397" s="40">
        <v>22</v>
      </c>
      <c r="I397" s="41">
        <v>1</v>
      </c>
      <c r="J397" s="41">
        <v>1</v>
      </c>
      <c r="K397" s="41">
        <v>3</v>
      </c>
      <c r="L397" s="41">
        <f t="shared" ref="L397:L407" si="95">SUM(H397:K397)</f>
        <v>27</v>
      </c>
      <c r="M397" s="41">
        <f t="shared" si="84"/>
        <v>6.48</v>
      </c>
      <c r="N397" s="41">
        <v>9</v>
      </c>
      <c r="O397" s="41">
        <v>1</v>
      </c>
      <c r="P397" s="41">
        <v>1</v>
      </c>
      <c r="Q397" s="41">
        <v>0</v>
      </c>
      <c r="R397" s="41">
        <v>0</v>
      </c>
      <c r="S397" s="41">
        <f t="shared" si="85"/>
        <v>11</v>
      </c>
      <c r="T397" s="41">
        <f t="shared" si="86"/>
        <v>2.64</v>
      </c>
      <c r="U397" s="41">
        <v>8</v>
      </c>
      <c r="V397" s="41">
        <v>1</v>
      </c>
      <c r="W397" s="41">
        <v>0</v>
      </c>
      <c r="X397" s="41">
        <f t="shared" si="87"/>
        <v>9</v>
      </c>
      <c r="Y397" s="41">
        <f t="shared" si="88"/>
        <v>2.16</v>
      </c>
      <c r="Z397" s="41">
        <v>14</v>
      </c>
      <c r="AA397" s="41">
        <v>1</v>
      </c>
      <c r="AB397" s="41">
        <v>1</v>
      </c>
      <c r="AC397" s="41">
        <v>1</v>
      </c>
      <c r="AD397" s="41">
        <f t="shared" si="89"/>
        <v>17</v>
      </c>
      <c r="AE397" s="41">
        <f t="shared" si="90"/>
        <v>4.08</v>
      </c>
      <c r="AF397" s="41">
        <f t="shared" si="93"/>
        <v>37</v>
      </c>
      <c r="AG397" s="41">
        <f t="shared" si="93"/>
        <v>8.8800000000000008</v>
      </c>
      <c r="AH397" s="41">
        <f t="shared" si="91"/>
        <v>64</v>
      </c>
      <c r="AI397" s="41">
        <f t="shared" si="91"/>
        <v>15.360000000000001</v>
      </c>
      <c r="AJ397" s="29">
        <f>AI397/AH397</f>
        <v>0.24000000000000002</v>
      </c>
    </row>
    <row r="398" spans="1:36">
      <c r="A398" s="38" t="s">
        <v>335</v>
      </c>
      <c r="B398" s="38" t="s">
        <v>408</v>
      </c>
      <c r="C398" s="54" t="s">
        <v>409</v>
      </c>
      <c r="D398" s="38" t="str">
        <f t="shared" si="92"/>
        <v>353256520395(D905)</v>
      </c>
      <c r="E398" s="38" t="s">
        <v>21</v>
      </c>
      <c r="F398" s="38" t="s">
        <v>21</v>
      </c>
      <c r="G398" s="40">
        <v>240</v>
      </c>
      <c r="H398" s="40">
        <v>22</v>
      </c>
      <c r="I398" s="41">
        <v>1</v>
      </c>
      <c r="J398" s="41">
        <v>1</v>
      </c>
      <c r="K398" s="41">
        <v>3</v>
      </c>
      <c r="L398" s="41">
        <f t="shared" si="95"/>
        <v>27</v>
      </c>
      <c r="M398" s="41">
        <f t="shared" si="84"/>
        <v>6.75</v>
      </c>
      <c r="N398" s="41">
        <v>9</v>
      </c>
      <c r="O398" s="41">
        <v>1</v>
      </c>
      <c r="P398" s="41">
        <v>1</v>
      </c>
      <c r="Q398" s="41">
        <v>0</v>
      </c>
      <c r="R398" s="41">
        <v>0</v>
      </c>
      <c r="S398" s="41">
        <f t="shared" si="85"/>
        <v>11</v>
      </c>
      <c r="T398" s="41">
        <f t="shared" si="86"/>
        <v>2.75</v>
      </c>
      <c r="U398" s="41">
        <v>8</v>
      </c>
      <c r="V398" s="41">
        <v>1</v>
      </c>
      <c r="W398" s="41">
        <v>0</v>
      </c>
      <c r="X398" s="41">
        <f t="shared" si="87"/>
        <v>9</v>
      </c>
      <c r="Y398" s="41">
        <f t="shared" si="88"/>
        <v>2.25</v>
      </c>
      <c r="Z398" s="41">
        <v>14</v>
      </c>
      <c r="AA398" s="41">
        <v>1</v>
      </c>
      <c r="AB398" s="41">
        <v>1</v>
      </c>
      <c r="AC398" s="41">
        <v>1</v>
      </c>
      <c r="AD398" s="41">
        <f t="shared" si="89"/>
        <v>17</v>
      </c>
      <c r="AE398" s="41">
        <f t="shared" si="90"/>
        <v>4.25</v>
      </c>
      <c r="AF398" s="41">
        <f t="shared" si="93"/>
        <v>37</v>
      </c>
      <c r="AG398" s="41">
        <f t="shared" si="93"/>
        <v>9.25</v>
      </c>
      <c r="AH398" s="41">
        <f t="shared" si="91"/>
        <v>64</v>
      </c>
      <c r="AI398" s="41">
        <f t="shared" si="91"/>
        <v>16</v>
      </c>
      <c r="AJ398" s="29">
        <f>AI398/AH398</f>
        <v>0.25</v>
      </c>
    </row>
    <row r="399" spans="1:36">
      <c r="A399" s="33" t="s">
        <v>335</v>
      </c>
      <c r="B399" s="33" t="s">
        <v>410</v>
      </c>
      <c r="C399" s="51" t="s">
        <v>411</v>
      </c>
      <c r="D399" s="33" t="str">
        <f t="shared" si="92"/>
        <v>352452720395(D905)</v>
      </c>
      <c r="E399" s="33" t="s">
        <v>21</v>
      </c>
      <c r="F399" s="33" t="s">
        <v>21</v>
      </c>
      <c r="G399" s="35">
        <v>250</v>
      </c>
      <c r="H399" s="35">
        <v>22</v>
      </c>
      <c r="I399" s="36">
        <v>1</v>
      </c>
      <c r="J399" s="36">
        <v>1</v>
      </c>
      <c r="K399" s="36">
        <v>3</v>
      </c>
      <c r="L399" s="36">
        <f t="shared" si="95"/>
        <v>27</v>
      </c>
      <c r="M399" s="36">
        <f t="shared" si="84"/>
        <v>6.48</v>
      </c>
      <c r="N399" s="36">
        <v>9</v>
      </c>
      <c r="O399" s="36">
        <v>1</v>
      </c>
      <c r="P399" s="36">
        <v>1</v>
      </c>
      <c r="Q399" s="36">
        <v>0</v>
      </c>
      <c r="R399" s="36">
        <v>0</v>
      </c>
      <c r="S399" s="36">
        <f t="shared" si="85"/>
        <v>11</v>
      </c>
      <c r="T399" s="36">
        <f t="shared" si="86"/>
        <v>2.64</v>
      </c>
      <c r="U399" s="36">
        <v>8</v>
      </c>
      <c r="V399" s="36">
        <v>1</v>
      </c>
      <c r="W399" s="36">
        <v>0</v>
      </c>
      <c r="X399" s="36">
        <f t="shared" si="87"/>
        <v>9</v>
      </c>
      <c r="Y399" s="36">
        <f t="shared" si="88"/>
        <v>2.16</v>
      </c>
      <c r="Z399" s="36">
        <v>14</v>
      </c>
      <c r="AA399" s="36">
        <v>1</v>
      </c>
      <c r="AB399" s="36">
        <v>1</v>
      </c>
      <c r="AC399" s="36">
        <v>1</v>
      </c>
      <c r="AD399" s="36">
        <f t="shared" si="89"/>
        <v>17</v>
      </c>
      <c r="AE399" s="36">
        <f t="shared" si="90"/>
        <v>4.08</v>
      </c>
      <c r="AF399" s="36">
        <f t="shared" si="93"/>
        <v>37</v>
      </c>
      <c r="AG399" s="36">
        <f t="shared" si="93"/>
        <v>8.8800000000000008</v>
      </c>
      <c r="AH399" s="36">
        <f t="shared" si="91"/>
        <v>64</v>
      </c>
      <c r="AI399" s="36">
        <f t="shared" si="91"/>
        <v>15.360000000000001</v>
      </c>
    </row>
    <row r="400" spans="1:36">
      <c r="A400" s="33" t="s">
        <v>335</v>
      </c>
      <c r="B400" s="33" t="s">
        <v>410</v>
      </c>
      <c r="C400" s="51" t="s">
        <v>412</v>
      </c>
      <c r="D400" s="33" t="str">
        <f t="shared" si="92"/>
        <v>352452820395(D905)</v>
      </c>
      <c r="E400" s="33" t="s">
        <v>21</v>
      </c>
      <c r="F400" s="33" t="s">
        <v>21</v>
      </c>
      <c r="G400" s="35">
        <v>250</v>
      </c>
      <c r="H400" s="35">
        <v>22</v>
      </c>
      <c r="I400" s="36">
        <v>1</v>
      </c>
      <c r="J400" s="36">
        <v>1</v>
      </c>
      <c r="K400" s="36">
        <v>3</v>
      </c>
      <c r="L400" s="36">
        <f t="shared" si="95"/>
        <v>27</v>
      </c>
      <c r="M400" s="36">
        <f t="shared" si="84"/>
        <v>6.48</v>
      </c>
      <c r="N400" s="36">
        <v>9</v>
      </c>
      <c r="O400" s="36">
        <v>1</v>
      </c>
      <c r="P400" s="36">
        <v>1</v>
      </c>
      <c r="Q400" s="36">
        <v>0</v>
      </c>
      <c r="R400" s="36">
        <v>0</v>
      </c>
      <c r="S400" s="36">
        <f t="shared" si="85"/>
        <v>11</v>
      </c>
      <c r="T400" s="36">
        <f t="shared" si="86"/>
        <v>2.64</v>
      </c>
      <c r="U400" s="36">
        <v>8</v>
      </c>
      <c r="V400" s="36">
        <v>1</v>
      </c>
      <c r="W400" s="36">
        <v>0</v>
      </c>
      <c r="X400" s="36">
        <f t="shared" si="87"/>
        <v>9</v>
      </c>
      <c r="Y400" s="36">
        <f t="shared" si="88"/>
        <v>2.16</v>
      </c>
      <c r="Z400" s="36">
        <v>14</v>
      </c>
      <c r="AA400" s="36">
        <v>1</v>
      </c>
      <c r="AB400" s="36">
        <v>1</v>
      </c>
      <c r="AC400" s="36">
        <v>1</v>
      </c>
      <c r="AD400" s="36">
        <f t="shared" si="89"/>
        <v>17</v>
      </c>
      <c r="AE400" s="36">
        <f t="shared" si="90"/>
        <v>4.08</v>
      </c>
      <c r="AF400" s="36">
        <f t="shared" si="93"/>
        <v>37</v>
      </c>
      <c r="AG400" s="36">
        <f t="shared" si="93"/>
        <v>8.8800000000000008</v>
      </c>
      <c r="AH400" s="36">
        <f t="shared" si="91"/>
        <v>64</v>
      </c>
      <c r="AI400" s="36">
        <f t="shared" si="91"/>
        <v>15.360000000000001</v>
      </c>
      <c r="AJ400" s="29">
        <f>AI400/AH400</f>
        <v>0.24000000000000002</v>
      </c>
    </row>
    <row r="401" spans="1:36">
      <c r="A401" s="33" t="s">
        <v>335</v>
      </c>
      <c r="B401" s="33" t="s">
        <v>413</v>
      </c>
      <c r="C401" s="55" t="s">
        <v>414</v>
      </c>
      <c r="D401" s="33" t="str">
        <f t="shared" si="92"/>
        <v>352762020395(D905)</v>
      </c>
      <c r="E401" s="33" t="s">
        <v>21</v>
      </c>
      <c r="F401" s="33" t="s">
        <v>21</v>
      </c>
      <c r="G401" s="35">
        <v>240</v>
      </c>
      <c r="H401" s="35">
        <v>22</v>
      </c>
      <c r="I401" s="36">
        <v>1</v>
      </c>
      <c r="J401" s="36">
        <v>1</v>
      </c>
      <c r="K401" s="36">
        <v>3</v>
      </c>
      <c r="L401" s="36">
        <f t="shared" si="95"/>
        <v>27</v>
      </c>
      <c r="M401" s="36">
        <f t="shared" si="84"/>
        <v>6.75</v>
      </c>
      <c r="N401" s="36">
        <v>9</v>
      </c>
      <c r="O401" s="36">
        <v>1</v>
      </c>
      <c r="P401" s="36">
        <v>1</v>
      </c>
      <c r="Q401" s="36">
        <v>0</v>
      </c>
      <c r="R401" s="36">
        <v>0</v>
      </c>
      <c r="S401" s="36">
        <f t="shared" si="85"/>
        <v>11</v>
      </c>
      <c r="T401" s="36">
        <f t="shared" si="86"/>
        <v>2.75</v>
      </c>
      <c r="U401" s="36">
        <v>8</v>
      </c>
      <c r="V401" s="36">
        <v>1</v>
      </c>
      <c r="W401" s="36">
        <v>0</v>
      </c>
      <c r="X401" s="36">
        <f t="shared" si="87"/>
        <v>9</v>
      </c>
      <c r="Y401" s="36">
        <f t="shared" si="88"/>
        <v>2.25</v>
      </c>
      <c r="Z401" s="36">
        <v>14</v>
      </c>
      <c r="AA401" s="36">
        <v>1</v>
      </c>
      <c r="AB401" s="36">
        <v>1</v>
      </c>
      <c r="AC401" s="36">
        <v>1</v>
      </c>
      <c r="AD401" s="36">
        <f t="shared" si="89"/>
        <v>17</v>
      </c>
      <c r="AE401" s="36">
        <f t="shared" si="90"/>
        <v>4.25</v>
      </c>
      <c r="AF401" s="36">
        <f t="shared" si="93"/>
        <v>37</v>
      </c>
      <c r="AG401" s="36">
        <f t="shared" si="93"/>
        <v>9.25</v>
      </c>
      <c r="AH401" s="36">
        <f t="shared" si="91"/>
        <v>64</v>
      </c>
      <c r="AI401" s="36">
        <f t="shared" si="91"/>
        <v>16</v>
      </c>
      <c r="AJ401" s="29">
        <f>AI401/AH401</f>
        <v>0.25</v>
      </c>
    </row>
    <row r="402" spans="1:36">
      <c r="A402" s="33" t="s">
        <v>335</v>
      </c>
      <c r="B402" s="33" t="s">
        <v>413</v>
      </c>
      <c r="C402" s="55" t="s">
        <v>415</v>
      </c>
      <c r="D402" s="33" t="str">
        <f t="shared" si="92"/>
        <v>352762920395 (D905)</v>
      </c>
      <c r="E402" s="33" t="s">
        <v>21</v>
      </c>
      <c r="F402" s="33" t="s">
        <v>21</v>
      </c>
      <c r="G402" s="35">
        <v>240</v>
      </c>
      <c r="H402" s="35">
        <v>22</v>
      </c>
      <c r="I402" s="36">
        <v>1</v>
      </c>
      <c r="J402" s="36">
        <v>1</v>
      </c>
      <c r="K402" s="36">
        <v>3</v>
      </c>
      <c r="L402" s="36">
        <f t="shared" si="95"/>
        <v>27</v>
      </c>
      <c r="M402" s="36">
        <f t="shared" si="84"/>
        <v>6.75</v>
      </c>
      <c r="N402" s="36">
        <v>9</v>
      </c>
      <c r="O402" s="36">
        <v>1</v>
      </c>
      <c r="P402" s="36">
        <v>1</v>
      </c>
      <c r="Q402" s="36">
        <v>0</v>
      </c>
      <c r="R402" s="36">
        <v>0</v>
      </c>
      <c r="S402" s="36">
        <f t="shared" si="85"/>
        <v>11</v>
      </c>
      <c r="T402" s="36">
        <f t="shared" si="86"/>
        <v>2.75</v>
      </c>
      <c r="U402" s="36">
        <v>8</v>
      </c>
      <c r="V402" s="36">
        <v>1</v>
      </c>
      <c r="W402" s="36">
        <v>0</v>
      </c>
      <c r="X402" s="36">
        <f t="shared" si="87"/>
        <v>9</v>
      </c>
      <c r="Y402" s="36">
        <f t="shared" si="88"/>
        <v>2.25</v>
      </c>
      <c r="Z402" s="36">
        <v>14</v>
      </c>
      <c r="AA402" s="36">
        <v>1</v>
      </c>
      <c r="AB402" s="36">
        <v>1</v>
      </c>
      <c r="AC402" s="36">
        <v>1</v>
      </c>
      <c r="AD402" s="36">
        <f t="shared" si="89"/>
        <v>17</v>
      </c>
      <c r="AE402" s="36">
        <f t="shared" si="90"/>
        <v>4.25</v>
      </c>
      <c r="AF402" s="36">
        <f t="shared" si="93"/>
        <v>37</v>
      </c>
      <c r="AG402" s="36">
        <f t="shared" si="93"/>
        <v>9.25</v>
      </c>
      <c r="AH402" s="36">
        <f t="shared" si="91"/>
        <v>64</v>
      </c>
      <c r="AI402" s="36">
        <f t="shared" si="91"/>
        <v>16</v>
      </c>
    </row>
    <row r="403" spans="1:36">
      <c r="A403" s="33" t="s">
        <v>358</v>
      </c>
      <c r="B403" s="33" t="s">
        <v>416</v>
      </c>
      <c r="C403" s="51" t="s">
        <v>417</v>
      </c>
      <c r="D403" s="33" t="str">
        <f t="shared" si="92"/>
        <v>364357120395 (D902)</v>
      </c>
      <c r="E403" s="33" t="s">
        <v>10</v>
      </c>
      <c r="F403" s="33" t="s">
        <v>10</v>
      </c>
      <c r="G403" s="35">
        <v>160</v>
      </c>
      <c r="H403" s="35">
        <v>30</v>
      </c>
      <c r="I403" s="36">
        <v>1</v>
      </c>
      <c r="J403" s="36">
        <v>1</v>
      </c>
      <c r="K403" s="36">
        <v>3</v>
      </c>
      <c r="L403" s="36">
        <f t="shared" si="95"/>
        <v>35</v>
      </c>
      <c r="M403" s="36">
        <f>60*L403/G403</f>
        <v>13.125</v>
      </c>
      <c r="N403" s="36">
        <v>10</v>
      </c>
      <c r="O403" s="36">
        <v>1</v>
      </c>
      <c r="P403" s="36">
        <v>1</v>
      </c>
      <c r="Q403" s="36">
        <v>1</v>
      </c>
      <c r="R403" s="36">
        <v>2</v>
      </c>
      <c r="S403" s="36">
        <f>SUM(N403:R403)</f>
        <v>15</v>
      </c>
      <c r="T403" s="36">
        <f t="shared" ref="T403:T466" si="96">60*S403/G403</f>
        <v>5.625</v>
      </c>
      <c r="U403" s="36">
        <v>8</v>
      </c>
      <c r="V403" s="36">
        <v>1</v>
      </c>
      <c r="W403" s="36">
        <v>1</v>
      </c>
      <c r="X403" s="36">
        <f>SUM(U403:W403)</f>
        <v>10</v>
      </c>
      <c r="Y403" s="36">
        <f>60*X403/G403</f>
        <v>3.75</v>
      </c>
      <c r="Z403" s="36">
        <v>20</v>
      </c>
      <c r="AA403" s="36">
        <v>1</v>
      </c>
      <c r="AB403" s="36">
        <v>1</v>
      </c>
      <c r="AC403" s="36">
        <v>1</v>
      </c>
      <c r="AD403" s="36">
        <f>SUM(Z403:AC403)</f>
        <v>23</v>
      </c>
      <c r="AE403" s="36">
        <f>60*AD403/G403</f>
        <v>8.625</v>
      </c>
      <c r="AF403" s="36">
        <f t="shared" si="93"/>
        <v>48</v>
      </c>
      <c r="AG403" s="36">
        <f t="shared" si="93"/>
        <v>18</v>
      </c>
      <c r="AH403" s="36">
        <f t="shared" si="91"/>
        <v>83</v>
      </c>
      <c r="AI403" s="36">
        <f t="shared" si="91"/>
        <v>31.125</v>
      </c>
    </row>
    <row r="404" spans="1:36">
      <c r="A404" s="33" t="s">
        <v>299</v>
      </c>
      <c r="B404" s="33" t="s">
        <v>418</v>
      </c>
      <c r="C404" s="51" t="s">
        <v>419</v>
      </c>
      <c r="D404" s="33" t="str">
        <f t="shared" si="92"/>
        <v>365057120395(D902)</v>
      </c>
      <c r="E404" s="33" t="s">
        <v>10</v>
      </c>
      <c r="F404" s="33" t="s">
        <v>10</v>
      </c>
      <c r="G404" s="35">
        <v>135</v>
      </c>
      <c r="H404" s="35">
        <v>30</v>
      </c>
      <c r="I404" s="36">
        <v>1</v>
      </c>
      <c r="J404" s="36">
        <v>1</v>
      </c>
      <c r="K404" s="36">
        <v>3</v>
      </c>
      <c r="L404" s="36">
        <f t="shared" si="95"/>
        <v>35</v>
      </c>
      <c r="M404" s="36">
        <f>60*L404/G404</f>
        <v>15.555555555555555</v>
      </c>
      <c r="N404" s="36">
        <v>10</v>
      </c>
      <c r="O404" s="36">
        <v>1</v>
      </c>
      <c r="P404" s="36">
        <v>1</v>
      </c>
      <c r="Q404" s="36">
        <v>1</v>
      </c>
      <c r="R404" s="36">
        <v>2</v>
      </c>
      <c r="S404" s="36">
        <f>SUM(N404:R404)</f>
        <v>15</v>
      </c>
      <c r="T404" s="36">
        <f t="shared" si="96"/>
        <v>6.666666666666667</v>
      </c>
      <c r="U404" s="36">
        <v>8</v>
      </c>
      <c r="V404" s="36">
        <v>1</v>
      </c>
      <c r="W404" s="36">
        <v>1</v>
      </c>
      <c r="X404" s="36">
        <f>SUM(U404:W404)</f>
        <v>10</v>
      </c>
      <c r="Y404" s="36">
        <f>60*X404/G404</f>
        <v>4.4444444444444446</v>
      </c>
      <c r="Z404" s="36">
        <v>20</v>
      </c>
      <c r="AA404" s="36">
        <v>1</v>
      </c>
      <c r="AB404" s="36">
        <v>1</v>
      </c>
      <c r="AC404" s="36">
        <v>1</v>
      </c>
      <c r="AD404" s="36">
        <f>SUM(Z404:AC404)</f>
        <v>23</v>
      </c>
      <c r="AE404" s="36">
        <f>60*AD404/G404</f>
        <v>10.222222222222221</v>
      </c>
      <c r="AF404" s="36">
        <f t="shared" si="93"/>
        <v>48</v>
      </c>
      <c r="AG404" s="36">
        <f t="shared" si="93"/>
        <v>21.333333333333332</v>
      </c>
      <c r="AH404" s="36">
        <f t="shared" si="91"/>
        <v>83</v>
      </c>
      <c r="AI404" s="36">
        <f t="shared" si="91"/>
        <v>36.888888888888886</v>
      </c>
    </row>
    <row r="405" spans="1:36">
      <c r="A405" s="33" t="s">
        <v>357</v>
      </c>
      <c r="B405" s="33" t="s">
        <v>420</v>
      </c>
      <c r="C405" s="51" t="s">
        <v>421</v>
      </c>
      <c r="D405" s="33" t="str">
        <f t="shared" si="92"/>
        <v>365587320395(D902)</v>
      </c>
      <c r="E405" s="33" t="s">
        <v>10</v>
      </c>
      <c r="F405" s="33" t="s">
        <v>10</v>
      </c>
      <c r="G405" s="35">
        <v>125</v>
      </c>
      <c r="H405" s="35">
        <v>30</v>
      </c>
      <c r="I405" s="36">
        <v>1</v>
      </c>
      <c r="J405" s="36">
        <v>1</v>
      </c>
      <c r="K405" s="36">
        <v>3</v>
      </c>
      <c r="L405" s="36">
        <f t="shared" si="95"/>
        <v>35</v>
      </c>
      <c r="M405" s="36">
        <f>60*L405/G405</f>
        <v>16.8</v>
      </c>
      <c r="N405" s="36">
        <v>10</v>
      </c>
      <c r="O405" s="36">
        <v>1</v>
      </c>
      <c r="P405" s="36">
        <v>1</v>
      </c>
      <c r="Q405" s="36">
        <v>1</v>
      </c>
      <c r="R405" s="36">
        <v>2</v>
      </c>
      <c r="S405" s="36">
        <f>SUM(N405:R405)</f>
        <v>15</v>
      </c>
      <c r="T405" s="36">
        <f t="shared" si="96"/>
        <v>7.2</v>
      </c>
      <c r="U405" s="36">
        <v>8</v>
      </c>
      <c r="V405" s="36">
        <v>1</v>
      </c>
      <c r="W405" s="36">
        <v>1</v>
      </c>
      <c r="X405" s="36">
        <f>SUM(U405:W405)</f>
        <v>10</v>
      </c>
      <c r="Y405" s="36">
        <f>60*X405/G405</f>
        <v>4.8</v>
      </c>
      <c r="Z405" s="36">
        <v>20</v>
      </c>
      <c r="AA405" s="36">
        <v>1</v>
      </c>
      <c r="AB405" s="36">
        <v>1</v>
      </c>
      <c r="AC405" s="36">
        <v>1</v>
      </c>
      <c r="AD405" s="36">
        <f>SUM(Z405:AC405)</f>
        <v>23</v>
      </c>
      <c r="AE405" s="36">
        <f>60*AD405/G405</f>
        <v>11.04</v>
      </c>
      <c r="AF405" s="36">
        <f t="shared" si="93"/>
        <v>48</v>
      </c>
      <c r="AG405" s="36">
        <f t="shared" si="93"/>
        <v>23.04</v>
      </c>
      <c r="AH405" s="36">
        <f t="shared" si="91"/>
        <v>83</v>
      </c>
      <c r="AI405" s="36">
        <f t="shared" si="91"/>
        <v>39.840000000000003</v>
      </c>
    </row>
    <row r="406" spans="1:36">
      <c r="A406" s="33" t="s">
        <v>356</v>
      </c>
      <c r="B406" s="33" t="s">
        <v>420</v>
      </c>
      <c r="C406" s="51" t="s">
        <v>422</v>
      </c>
      <c r="D406" s="33" t="str">
        <f t="shared" si="92"/>
        <v>365587420395(D902)</v>
      </c>
      <c r="E406" s="33" t="s">
        <v>10</v>
      </c>
      <c r="F406" s="33" t="s">
        <v>10</v>
      </c>
      <c r="G406" s="35">
        <v>125</v>
      </c>
      <c r="H406" s="35">
        <v>30</v>
      </c>
      <c r="I406" s="36">
        <v>1</v>
      </c>
      <c r="J406" s="36">
        <v>1</v>
      </c>
      <c r="K406" s="36">
        <v>3</v>
      </c>
      <c r="L406" s="36">
        <f t="shared" si="95"/>
        <v>35</v>
      </c>
      <c r="M406" s="36">
        <f>60*L406/G406</f>
        <v>16.8</v>
      </c>
      <c r="N406" s="36">
        <v>10</v>
      </c>
      <c r="O406" s="36">
        <v>1</v>
      </c>
      <c r="P406" s="36">
        <v>1</v>
      </c>
      <c r="Q406" s="36">
        <v>1</v>
      </c>
      <c r="R406" s="36">
        <v>2</v>
      </c>
      <c r="S406" s="36">
        <f>SUM(N406:R406)</f>
        <v>15</v>
      </c>
      <c r="T406" s="36">
        <f t="shared" si="96"/>
        <v>7.2</v>
      </c>
      <c r="U406" s="36">
        <v>8</v>
      </c>
      <c r="V406" s="36">
        <v>1</v>
      </c>
      <c r="W406" s="36">
        <v>1</v>
      </c>
      <c r="X406" s="36">
        <f>SUM(U406:W406)</f>
        <v>10</v>
      </c>
      <c r="Y406" s="36">
        <f>60*X406/G406</f>
        <v>4.8</v>
      </c>
      <c r="Z406" s="36">
        <v>20</v>
      </c>
      <c r="AA406" s="36">
        <v>1</v>
      </c>
      <c r="AB406" s="36">
        <v>1</v>
      </c>
      <c r="AC406" s="36">
        <v>1</v>
      </c>
      <c r="AD406" s="36">
        <f>SUM(Z406:AC406)</f>
        <v>23</v>
      </c>
      <c r="AE406" s="36">
        <f>60*AD406/G406</f>
        <v>11.04</v>
      </c>
      <c r="AF406" s="36">
        <f t="shared" si="93"/>
        <v>48</v>
      </c>
      <c r="AG406" s="36">
        <f t="shared" si="93"/>
        <v>23.04</v>
      </c>
      <c r="AH406" s="36">
        <f t="shared" si="91"/>
        <v>83</v>
      </c>
      <c r="AI406" s="36">
        <f t="shared" si="91"/>
        <v>39.840000000000003</v>
      </c>
    </row>
    <row r="407" spans="1:36">
      <c r="A407" s="33" t="s">
        <v>299</v>
      </c>
      <c r="B407" s="33" t="s">
        <v>423</v>
      </c>
      <c r="C407" s="51" t="s">
        <v>424</v>
      </c>
      <c r="D407" s="33" t="str">
        <f t="shared" si="92"/>
        <v>366582020395(D903)</v>
      </c>
      <c r="E407" s="33" t="s">
        <v>9</v>
      </c>
      <c r="F407" s="33" t="s">
        <v>9</v>
      </c>
      <c r="G407" s="35">
        <v>80</v>
      </c>
      <c r="H407" s="35">
        <v>31</v>
      </c>
      <c r="I407" s="36">
        <v>1</v>
      </c>
      <c r="J407" s="36">
        <v>1</v>
      </c>
      <c r="K407" s="36">
        <v>3</v>
      </c>
      <c r="L407" s="36">
        <f t="shared" si="95"/>
        <v>36</v>
      </c>
      <c r="M407" s="36">
        <f>60*L407/G407</f>
        <v>27</v>
      </c>
      <c r="N407" s="36">
        <v>10</v>
      </c>
      <c r="O407" s="36">
        <v>1</v>
      </c>
      <c r="P407" s="36">
        <v>1</v>
      </c>
      <c r="Q407" s="36">
        <v>1</v>
      </c>
      <c r="R407" s="36">
        <v>2</v>
      </c>
      <c r="S407" s="36">
        <f>SUM(N407:R407)</f>
        <v>15</v>
      </c>
      <c r="T407" s="36">
        <f t="shared" si="96"/>
        <v>11.25</v>
      </c>
      <c r="U407" s="36">
        <v>8</v>
      </c>
      <c r="V407" s="36">
        <v>1</v>
      </c>
      <c r="W407" s="36">
        <v>1</v>
      </c>
      <c r="X407" s="36">
        <f>SUM(U407:W407)</f>
        <v>10</v>
      </c>
      <c r="Y407" s="36">
        <f>60*X407/G407</f>
        <v>7.5</v>
      </c>
      <c r="Z407" s="36">
        <v>20</v>
      </c>
      <c r="AA407" s="36">
        <v>1</v>
      </c>
      <c r="AB407" s="36">
        <v>1</v>
      </c>
      <c r="AC407" s="36">
        <v>1</v>
      </c>
      <c r="AD407" s="36">
        <f>SUM(Z407:AC407)</f>
        <v>23</v>
      </c>
      <c r="AE407" s="36">
        <f>60*AD407/G407</f>
        <v>17.25</v>
      </c>
      <c r="AF407" s="36">
        <f t="shared" si="93"/>
        <v>48</v>
      </c>
      <c r="AG407" s="36">
        <f t="shared" si="93"/>
        <v>36</v>
      </c>
      <c r="AH407" s="36">
        <f t="shared" si="91"/>
        <v>84</v>
      </c>
      <c r="AI407" s="36">
        <f t="shared" si="91"/>
        <v>63</v>
      </c>
    </row>
    <row r="408" spans="1:36">
      <c r="A408" s="33" t="s">
        <v>391</v>
      </c>
      <c r="B408" s="33" t="s">
        <v>425</v>
      </c>
      <c r="C408" s="56" t="s">
        <v>426</v>
      </c>
      <c r="D408" s="33"/>
      <c r="E408" s="33" t="s">
        <v>427</v>
      </c>
      <c r="F408" s="33" t="s">
        <v>427</v>
      </c>
      <c r="G408" s="35">
        <v>9</v>
      </c>
      <c r="H408" s="35"/>
      <c r="I408" s="36"/>
      <c r="J408" s="36"/>
      <c r="K408" s="36"/>
      <c r="L408" s="36"/>
      <c r="M408" s="36"/>
      <c r="N408" s="36">
        <v>1</v>
      </c>
      <c r="O408" s="36"/>
      <c r="P408" s="36"/>
      <c r="Q408" s="36"/>
      <c r="R408" s="36"/>
      <c r="S408" s="36">
        <f t="shared" ref="S408:S430" si="97">SUM(N408:R408)</f>
        <v>1</v>
      </c>
      <c r="T408" s="36">
        <f t="shared" si="96"/>
        <v>6.666666666666667</v>
      </c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>
        <f t="shared" si="93"/>
        <v>1</v>
      </c>
      <c r="AG408" s="36">
        <f t="shared" si="93"/>
        <v>6.666666666666667</v>
      </c>
      <c r="AH408" s="36">
        <f t="shared" si="91"/>
        <v>1</v>
      </c>
      <c r="AI408" s="36">
        <f t="shared" si="91"/>
        <v>6.666666666666667</v>
      </c>
    </row>
    <row r="409" spans="1:36">
      <c r="A409" s="33" t="s">
        <v>320</v>
      </c>
      <c r="B409" s="33" t="s">
        <v>425</v>
      </c>
      <c r="C409" s="56" t="s">
        <v>428</v>
      </c>
      <c r="D409" s="33"/>
      <c r="E409" s="33" t="s">
        <v>427</v>
      </c>
      <c r="F409" s="33" t="s">
        <v>427</v>
      </c>
      <c r="G409" s="35">
        <v>9</v>
      </c>
      <c r="H409" s="35"/>
      <c r="I409" s="36"/>
      <c r="J409" s="36"/>
      <c r="K409" s="36"/>
      <c r="L409" s="36"/>
      <c r="M409" s="36"/>
      <c r="N409" s="36">
        <v>1</v>
      </c>
      <c r="O409" s="36"/>
      <c r="P409" s="36"/>
      <c r="Q409" s="36"/>
      <c r="R409" s="36"/>
      <c r="S409" s="36">
        <f t="shared" si="97"/>
        <v>1</v>
      </c>
      <c r="T409" s="36">
        <f t="shared" si="96"/>
        <v>6.666666666666667</v>
      </c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>
        <f t="shared" si="93"/>
        <v>1</v>
      </c>
      <c r="AG409" s="36">
        <f t="shared" si="93"/>
        <v>6.666666666666667</v>
      </c>
      <c r="AH409" s="36">
        <f t="shared" si="91"/>
        <v>1</v>
      </c>
      <c r="AI409" s="36">
        <f t="shared" si="91"/>
        <v>6.666666666666667</v>
      </c>
    </row>
    <row r="410" spans="1:36">
      <c r="A410" s="33" t="s">
        <v>299</v>
      </c>
      <c r="B410" s="33" t="s">
        <v>425</v>
      </c>
      <c r="C410" s="56" t="s">
        <v>429</v>
      </c>
      <c r="D410" s="33"/>
      <c r="E410" s="33" t="s">
        <v>427</v>
      </c>
      <c r="F410" s="33" t="s">
        <v>427</v>
      </c>
      <c r="G410" s="35">
        <v>9</v>
      </c>
      <c r="H410" s="35"/>
      <c r="I410" s="36"/>
      <c r="J410" s="36"/>
      <c r="K410" s="36"/>
      <c r="L410" s="36"/>
      <c r="M410" s="36"/>
      <c r="N410" s="36">
        <v>1</v>
      </c>
      <c r="O410" s="36"/>
      <c r="P410" s="36"/>
      <c r="Q410" s="36"/>
      <c r="R410" s="36"/>
      <c r="S410" s="36">
        <f t="shared" si="97"/>
        <v>1</v>
      </c>
      <c r="T410" s="36">
        <f t="shared" si="96"/>
        <v>6.666666666666667</v>
      </c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>
        <f t="shared" si="93"/>
        <v>1</v>
      </c>
      <c r="AG410" s="36">
        <f t="shared" si="93"/>
        <v>6.666666666666667</v>
      </c>
      <c r="AH410" s="36">
        <f t="shared" si="91"/>
        <v>1</v>
      </c>
      <c r="AI410" s="36">
        <f t="shared" si="91"/>
        <v>6.666666666666667</v>
      </c>
    </row>
    <row r="411" spans="1:36">
      <c r="A411" s="33" t="s">
        <v>320</v>
      </c>
      <c r="B411" s="33" t="s">
        <v>425</v>
      </c>
      <c r="C411" s="56" t="s">
        <v>430</v>
      </c>
      <c r="D411" s="33"/>
      <c r="E411" s="33" t="s">
        <v>427</v>
      </c>
      <c r="F411" s="33" t="s">
        <v>427</v>
      </c>
      <c r="G411" s="35">
        <v>9</v>
      </c>
      <c r="H411" s="35"/>
      <c r="I411" s="36"/>
      <c r="J411" s="36"/>
      <c r="K411" s="36"/>
      <c r="L411" s="36"/>
      <c r="M411" s="36"/>
      <c r="N411" s="36">
        <v>1</v>
      </c>
      <c r="O411" s="36"/>
      <c r="P411" s="36"/>
      <c r="Q411" s="36"/>
      <c r="R411" s="36"/>
      <c r="S411" s="36">
        <f t="shared" si="97"/>
        <v>1</v>
      </c>
      <c r="T411" s="36">
        <f t="shared" si="96"/>
        <v>6.666666666666667</v>
      </c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>
        <f t="shared" si="93"/>
        <v>1</v>
      </c>
      <c r="AG411" s="36">
        <f t="shared" si="93"/>
        <v>6.666666666666667</v>
      </c>
      <c r="AH411" s="36">
        <f t="shared" si="91"/>
        <v>1</v>
      </c>
      <c r="AI411" s="36">
        <f t="shared" si="91"/>
        <v>6.666666666666667</v>
      </c>
    </row>
    <row r="412" spans="1:36">
      <c r="A412" s="33" t="s">
        <v>320</v>
      </c>
      <c r="B412" s="33" t="s">
        <v>425</v>
      </c>
      <c r="C412" s="56" t="s">
        <v>431</v>
      </c>
      <c r="D412" s="33"/>
      <c r="E412" s="33" t="s">
        <v>427</v>
      </c>
      <c r="F412" s="33" t="s">
        <v>427</v>
      </c>
      <c r="G412" s="35">
        <v>9</v>
      </c>
      <c r="H412" s="35"/>
      <c r="I412" s="36"/>
      <c r="J412" s="36"/>
      <c r="K412" s="36"/>
      <c r="L412" s="36"/>
      <c r="M412" s="36"/>
      <c r="N412" s="36">
        <v>1</v>
      </c>
      <c r="O412" s="36"/>
      <c r="P412" s="36"/>
      <c r="Q412" s="36"/>
      <c r="R412" s="36"/>
      <c r="S412" s="36">
        <f t="shared" si="97"/>
        <v>1</v>
      </c>
      <c r="T412" s="36">
        <f t="shared" si="96"/>
        <v>6.666666666666667</v>
      </c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>
        <f t="shared" si="93"/>
        <v>1</v>
      </c>
      <c r="AG412" s="36">
        <f t="shared" si="93"/>
        <v>6.666666666666667</v>
      </c>
      <c r="AH412" s="36">
        <f t="shared" si="91"/>
        <v>1</v>
      </c>
      <c r="AI412" s="36">
        <f t="shared" si="91"/>
        <v>6.666666666666667</v>
      </c>
    </row>
    <row r="413" spans="1:36">
      <c r="A413" s="33" t="s">
        <v>320</v>
      </c>
      <c r="B413" s="33" t="s">
        <v>425</v>
      </c>
      <c r="C413" s="56" t="s">
        <v>432</v>
      </c>
      <c r="D413" s="33"/>
      <c r="E413" s="33" t="s">
        <v>427</v>
      </c>
      <c r="F413" s="33" t="s">
        <v>427</v>
      </c>
      <c r="G413" s="35">
        <v>9</v>
      </c>
      <c r="H413" s="35"/>
      <c r="I413" s="36"/>
      <c r="J413" s="36"/>
      <c r="K413" s="36"/>
      <c r="L413" s="36"/>
      <c r="M413" s="36"/>
      <c r="N413" s="36">
        <v>1</v>
      </c>
      <c r="O413" s="36"/>
      <c r="P413" s="36"/>
      <c r="Q413" s="36"/>
      <c r="R413" s="36"/>
      <c r="S413" s="36">
        <f t="shared" si="97"/>
        <v>1</v>
      </c>
      <c r="T413" s="36">
        <f t="shared" si="96"/>
        <v>6.666666666666667</v>
      </c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>
        <f t="shared" si="93"/>
        <v>1</v>
      </c>
      <c r="AG413" s="36">
        <f t="shared" si="93"/>
        <v>6.666666666666667</v>
      </c>
      <c r="AH413" s="36">
        <f t="shared" si="91"/>
        <v>1</v>
      </c>
      <c r="AI413" s="36">
        <f t="shared" si="91"/>
        <v>6.666666666666667</v>
      </c>
    </row>
    <row r="414" spans="1:36">
      <c r="A414" s="33" t="s">
        <v>335</v>
      </c>
      <c r="B414" s="33" t="s">
        <v>425</v>
      </c>
      <c r="C414" s="56" t="s">
        <v>433</v>
      </c>
      <c r="D414" s="33"/>
      <c r="E414" s="33" t="s">
        <v>427</v>
      </c>
      <c r="F414" s="33" t="s">
        <v>427</v>
      </c>
      <c r="G414" s="35">
        <v>9</v>
      </c>
      <c r="H414" s="35"/>
      <c r="I414" s="36"/>
      <c r="J414" s="36"/>
      <c r="K414" s="36"/>
      <c r="L414" s="36"/>
      <c r="M414" s="36"/>
      <c r="N414" s="36">
        <v>1</v>
      </c>
      <c r="O414" s="36"/>
      <c r="P414" s="36"/>
      <c r="Q414" s="36"/>
      <c r="R414" s="36"/>
      <c r="S414" s="36">
        <f t="shared" si="97"/>
        <v>1</v>
      </c>
      <c r="T414" s="36">
        <f t="shared" si="96"/>
        <v>6.666666666666667</v>
      </c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>
        <f t="shared" si="93"/>
        <v>1</v>
      </c>
      <c r="AG414" s="36">
        <f t="shared" si="93"/>
        <v>6.666666666666667</v>
      </c>
      <c r="AH414" s="36">
        <f t="shared" si="91"/>
        <v>1</v>
      </c>
      <c r="AI414" s="36">
        <f t="shared" si="91"/>
        <v>6.666666666666667</v>
      </c>
    </row>
    <row r="415" spans="1:36">
      <c r="A415" s="33" t="s">
        <v>335</v>
      </c>
      <c r="B415" s="33" t="s">
        <v>425</v>
      </c>
      <c r="C415" s="56" t="s">
        <v>434</v>
      </c>
      <c r="D415" s="33"/>
      <c r="E415" s="33" t="s">
        <v>427</v>
      </c>
      <c r="F415" s="33" t="s">
        <v>427</v>
      </c>
      <c r="G415" s="35">
        <v>9</v>
      </c>
      <c r="H415" s="35"/>
      <c r="I415" s="36"/>
      <c r="J415" s="36"/>
      <c r="K415" s="36"/>
      <c r="L415" s="36"/>
      <c r="M415" s="36"/>
      <c r="N415" s="36">
        <v>1</v>
      </c>
      <c r="O415" s="36"/>
      <c r="P415" s="36"/>
      <c r="Q415" s="36"/>
      <c r="R415" s="36"/>
      <c r="S415" s="36">
        <f t="shared" si="97"/>
        <v>1</v>
      </c>
      <c r="T415" s="36">
        <f t="shared" si="96"/>
        <v>6.666666666666667</v>
      </c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>
        <f t="shared" si="93"/>
        <v>1</v>
      </c>
      <c r="AG415" s="36">
        <f t="shared" si="93"/>
        <v>6.666666666666667</v>
      </c>
      <c r="AH415" s="36">
        <f t="shared" si="91"/>
        <v>1</v>
      </c>
      <c r="AI415" s="36">
        <f t="shared" si="91"/>
        <v>6.666666666666667</v>
      </c>
    </row>
    <row r="416" spans="1:36">
      <c r="A416" s="33" t="s">
        <v>335</v>
      </c>
      <c r="B416" s="33" t="s">
        <v>425</v>
      </c>
      <c r="C416" s="56" t="s">
        <v>435</v>
      </c>
      <c r="D416" s="33"/>
      <c r="E416" s="33" t="s">
        <v>427</v>
      </c>
      <c r="F416" s="33" t="s">
        <v>427</v>
      </c>
      <c r="G416" s="35">
        <v>9</v>
      </c>
      <c r="H416" s="35"/>
      <c r="I416" s="36"/>
      <c r="J416" s="36"/>
      <c r="K416" s="36"/>
      <c r="L416" s="36"/>
      <c r="M416" s="36"/>
      <c r="N416" s="36">
        <v>1</v>
      </c>
      <c r="O416" s="36"/>
      <c r="P416" s="36"/>
      <c r="Q416" s="36"/>
      <c r="R416" s="36"/>
      <c r="S416" s="36">
        <f t="shared" si="97"/>
        <v>1</v>
      </c>
      <c r="T416" s="36">
        <f t="shared" si="96"/>
        <v>6.666666666666667</v>
      </c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>
        <f t="shared" si="93"/>
        <v>1</v>
      </c>
      <c r="AG416" s="36">
        <f t="shared" si="93"/>
        <v>6.666666666666667</v>
      </c>
      <c r="AH416" s="36">
        <f t="shared" si="91"/>
        <v>1</v>
      </c>
      <c r="AI416" s="36">
        <f t="shared" si="91"/>
        <v>6.666666666666667</v>
      </c>
    </row>
    <row r="417" spans="1:35">
      <c r="A417" s="33" t="s">
        <v>335</v>
      </c>
      <c r="B417" s="33" t="s">
        <v>425</v>
      </c>
      <c r="C417" s="56" t="s">
        <v>436</v>
      </c>
      <c r="D417" s="33"/>
      <c r="E417" s="33" t="s">
        <v>427</v>
      </c>
      <c r="F417" s="33" t="s">
        <v>427</v>
      </c>
      <c r="G417" s="35">
        <v>9</v>
      </c>
      <c r="H417" s="35"/>
      <c r="I417" s="36"/>
      <c r="J417" s="36"/>
      <c r="K417" s="36"/>
      <c r="L417" s="36"/>
      <c r="M417" s="36"/>
      <c r="N417" s="36">
        <v>1</v>
      </c>
      <c r="O417" s="36"/>
      <c r="P417" s="36"/>
      <c r="Q417" s="36"/>
      <c r="R417" s="36"/>
      <c r="S417" s="36">
        <f>SUM(N417:R417)</f>
        <v>1</v>
      </c>
      <c r="T417" s="36">
        <f t="shared" si="96"/>
        <v>6.666666666666667</v>
      </c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>
        <f t="shared" si="93"/>
        <v>1</v>
      </c>
      <c r="AG417" s="36">
        <f t="shared" si="93"/>
        <v>6.666666666666667</v>
      </c>
      <c r="AH417" s="36">
        <f t="shared" si="91"/>
        <v>1</v>
      </c>
      <c r="AI417" s="36">
        <f t="shared" si="91"/>
        <v>6.666666666666667</v>
      </c>
    </row>
    <row r="418" spans="1:35">
      <c r="A418" s="33" t="s">
        <v>335</v>
      </c>
      <c r="B418" s="33" t="s">
        <v>437</v>
      </c>
      <c r="C418" s="56" t="s">
        <v>438</v>
      </c>
      <c r="D418" s="33"/>
      <c r="E418" s="33" t="s">
        <v>427</v>
      </c>
      <c r="F418" s="33" t="s">
        <v>427</v>
      </c>
      <c r="G418" s="35">
        <v>20</v>
      </c>
      <c r="H418" s="35"/>
      <c r="I418" s="36"/>
      <c r="J418" s="36"/>
      <c r="K418" s="36"/>
      <c r="L418" s="36"/>
      <c r="M418" s="36"/>
      <c r="N418" s="36">
        <v>1</v>
      </c>
      <c r="O418" s="36"/>
      <c r="P418" s="36"/>
      <c r="Q418" s="36"/>
      <c r="R418" s="36"/>
      <c r="S418" s="36">
        <f>SUM(N418:R418)</f>
        <v>1</v>
      </c>
      <c r="T418" s="36">
        <f t="shared" si="96"/>
        <v>3</v>
      </c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>
        <f t="shared" si="93"/>
        <v>1</v>
      </c>
      <c r="AG418" s="36">
        <f t="shared" si="93"/>
        <v>3</v>
      </c>
      <c r="AH418" s="36">
        <f t="shared" si="91"/>
        <v>1</v>
      </c>
      <c r="AI418" s="36">
        <f t="shared" si="91"/>
        <v>3</v>
      </c>
    </row>
    <row r="419" spans="1:35">
      <c r="A419" s="33" t="s">
        <v>335</v>
      </c>
      <c r="B419" s="33" t="s">
        <v>439</v>
      </c>
      <c r="C419" s="56" t="s">
        <v>440</v>
      </c>
      <c r="D419" s="33"/>
      <c r="E419" s="33" t="s">
        <v>427</v>
      </c>
      <c r="F419" s="33" t="s">
        <v>427</v>
      </c>
      <c r="G419" s="35">
        <v>20</v>
      </c>
      <c r="H419" s="35"/>
      <c r="I419" s="36"/>
      <c r="J419" s="36"/>
      <c r="K419" s="36"/>
      <c r="L419" s="36"/>
      <c r="M419" s="36"/>
      <c r="N419" s="36">
        <v>1</v>
      </c>
      <c r="O419" s="36"/>
      <c r="P419" s="36"/>
      <c r="Q419" s="36"/>
      <c r="R419" s="36"/>
      <c r="S419" s="36">
        <f>SUM(N419:R419)</f>
        <v>1</v>
      </c>
      <c r="T419" s="36">
        <f t="shared" si="96"/>
        <v>3</v>
      </c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>
        <f t="shared" si="93"/>
        <v>1</v>
      </c>
      <c r="AG419" s="36">
        <f t="shared" si="93"/>
        <v>3</v>
      </c>
      <c r="AH419" s="36">
        <f t="shared" si="91"/>
        <v>1</v>
      </c>
      <c r="AI419" s="36">
        <f t="shared" si="91"/>
        <v>3</v>
      </c>
    </row>
    <row r="420" spans="1:35">
      <c r="A420" s="33" t="s">
        <v>335</v>
      </c>
      <c r="B420" s="33" t="s">
        <v>441</v>
      </c>
      <c r="C420" s="56" t="s">
        <v>442</v>
      </c>
      <c r="D420" s="33"/>
      <c r="E420" s="33" t="s">
        <v>427</v>
      </c>
      <c r="F420" s="33" t="s">
        <v>427</v>
      </c>
      <c r="G420" s="35">
        <v>20</v>
      </c>
      <c r="H420" s="35"/>
      <c r="I420" s="36"/>
      <c r="J420" s="36"/>
      <c r="K420" s="36"/>
      <c r="L420" s="36"/>
      <c r="M420" s="36"/>
      <c r="N420" s="36">
        <v>1</v>
      </c>
      <c r="O420" s="36"/>
      <c r="P420" s="36"/>
      <c r="Q420" s="36"/>
      <c r="R420" s="36"/>
      <c r="S420" s="36">
        <f t="shared" si="97"/>
        <v>1</v>
      </c>
      <c r="T420" s="36">
        <f t="shared" si="96"/>
        <v>3</v>
      </c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>
        <f t="shared" si="93"/>
        <v>1</v>
      </c>
      <c r="AG420" s="36">
        <f t="shared" si="93"/>
        <v>3</v>
      </c>
      <c r="AH420" s="36">
        <f t="shared" si="91"/>
        <v>1</v>
      </c>
      <c r="AI420" s="36">
        <f t="shared" si="91"/>
        <v>3</v>
      </c>
    </row>
    <row r="421" spans="1:35">
      <c r="A421" s="33" t="s">
        <v>335</v>
      </c>
      <c r="B421" s="33" t="s">
        <v>441</v>
      </c>
      <c r="C421" s="56" t="s">
        <v>442</v>
      </c>
      <c r="D421" s="33"/>
      <c r="E421" s="33" t="s">
        <v>427</v>
      </c>
      <c r="F421" s="33" t="s">
        <v>427</v>
      </c>
      <c r="G421" s="35">
        <v>20</v>
      </c>
      <c r="H421" s="35"/>
      <c r="I421" s="36"/>
      <c r="J421" s="36"/>
      <c r="K421" s="36"/>
      <c r="L421" s="36"/>
      <c r="M421" s="36"/>
      <c r="N421" s="36">
        <v>1</v>
      </c>
      <c r="O421" s="36"/>
      <c r="P421" s="36"/>
      <c r="Q421" s="36"/>
      <c r="R421" s="36"/>
      <c r="S421" s="36">
        <f t="shared" si="97"/>
        <v>1</v>
      </c>
      <c r="T421" s="36">
        <f t="shared" si="96"/>
        <v>3</v>
      </c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>
        <f t="shared" si="93"/>
        <v>1</v>
      </c>
      <c r="AG421" s="36">
        <f t="shared" si="93"/>
        <v>3</v>
      </c>
      <c r="AH421" s="36">
        <f t="shared" si="91"/>
        <v>1</v>
      </c>
      <c r="AI421" s="36">
        <f t="shared" si="91"/>
        <v>3</v>
      </c>
    </row>
    <row r="422" spans="1:35">
      <c r="A422" s="33" t="s">
        <v>335</v>
      </c>
      <c r="B422" s="33" t="s">
        <v>441</v>
      </c>
      <c r="C422" s="56" t="s">
        <v>443</v>
      </c>
      <c r="D422" s="33"/>
      <c r="E422" s="33" t="s">
        <v>427</v>
      </c>
      <c r="F422" s="33" t="s">
        <v>427</v>
      </c>
      <c r="G422" s="35">
        <v>20</v>
      </c>
      <c r="H422" s="35"/>
      <c r="I422" s="36"/>
      <c r="J422" s="36"/>
      <c r="K422" s="36"/>
      <c r="L422" s="36"/>
      <c r="M422" s="36"/>
      <c r="N422" s="36">
        <v>1</v>
      </c>
      <c r="O422" s="36"/>
      <c r="P422" s="36"/>
      <c r="Q422" s="36"/>
      <c r="R422" s="36"/>
      <c r="S422" s="36">
        <f t="shared" si="97"/>
        <v>1</v>
      </c>
      <c r="T422" s="36">
        <f t="shared" si="96"/>
        <v>3</v>
      </c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>
        <f t="shared" si="93"/>
        <v>1</v>
      </c>
      <c r="AG422" s="36">
        <f t="shared" si="93"/>
        <v>3</v>
      </c>
      <c r="AH422" s="36">
        <f t="shared" si="91"/>
        <v>1</v>
      </c>
      <c r="AI422" s="36">
        <f t="shared" si="91"/>
        <v>3</v>
      </c>
    </row>
    <row r="423" spans="1:35">
      <c r="A423" s="33" t="s">
        <v>335</v>
      </c>
      <c r="B423" s="33" t="s">
        <v>444</v>
      </c>
      <c r="C423" s="56" t="s">
        <v>445</v>
      </c>
      <c r="D423" s="33"/>
      <c r="E423" s="33" t="s">
        <v>427</v>
      </c>
      <c r="F423" s="33" t="s">
        <v>427</v>
      </c>
      <c r="G423" s="35">
        <v>20</v>
      </c>
      <c r="H423" s="35"/>
      <c r="I423" s="36"/>
      <c r="J423" s="36"/>
      <c r="K423" s="36"/>
      <c r="L423" s="36"/>
      <c r="M423" s="36"/>
      <c r="N423" s="36">
        <v>1</v>
      </c>
      <c r="O423" s="36"/>
      <c r="P423" s="36"/>
      <c r="Q423" s="36"/>
      <c r="R423" s="36"/>
      <c r="S423" s="36">
        <f t="shared" si="97"/>
        <v>1</v>
      </c>
      <c r="T423" s="36">
        <f t="shared" si="96"/>
        <v>3</v>
      </c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>
        <f t="shared" si="93"/>
        <v>1</v>
      </c>
      <c r="AG423" s="36">
        <f t="shared" si="93"/>
        <v>3</v>
      </c>
      <c r="AH423" s="36">
        <f t="shared" si="91"/>
        <v>1</v>
      </c>
      <c r="AI423" s="36">
        <f>SUM(M423,AG423)</f>
        <v>3</v>
      </c>
    </row>
    <row r="424" spans="1:35">
      <c r="A424" s="33" t="s">
        <v>299</v>
      </c>
      <c r="B424" s="33" t="s">
        <v>446</v>
      </c>
      <c r="C424" s="56" t="s">
        <v>447</v>
      </c>
      <c r="D424" s="33"/>
      <c r="E424" s="33" t="s">
        <v>427</v>
      </c>
      <c r="F424" s="33" t="s">
        <v>427</v>
      </c>
      <c r="G424" s="35">
        <v>9</v>
      </c>
      <c r="H424" s="35"/>
      <c r="I424" s="36"/>
      <c r="J424" s="36"/>
      <c r="K424" s="36"/>
      <c r="L424" s="36"/>
      <c r="M424" s="36"/>
      <c r="N424" s="36">
        <v>1</v>
      </c>
      <c r="O424" s="36"/>
      <c r="P424" s="36"/>
      <c r="Q424" s="36"/>
      <c r="R424" s="36"/>
      <c r="S424" s="36">
        <f t="shared" si="97"/>
        <v>1</v>
      </c>
      <c r="T424" s="36">
        <f t="shared" si="96"/>
        <v>6.666666666666667</v>
      </c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>
        <f t="shared" si="93"/>
        <v>1</v>
      </c>
      <c r="AG424" s="36">
        <f>SUM(T424,Y424,AE424)</f>
        <v>6.666666666666667</v>
      </c>
      <c r="AH424" s="36">
        <f t="shared" si="91"/>
        <v>1</v>
      </c>
      <c r="AI424" s="36">
        <f t="shared" si="91"/>
        <v>6.666666666666667</v>
      </c>
    </row>
    <row r="425" spans="1:35">
      <c r="A425" s="33" t="s">
        <v>335</v>
      </c>
      <c r="B425" s="33" t="s">
        <v>446</v>
      </c>
      <c r="C425" s="56" t="s">
        <v>448</v>
      </c>
      <c r="D425" s="33"/>
      <c r="E425" s="33" t="s">
        <v>427</v>
      </c>
      <c r="F425" s="33" t="s">
        <v>427</v>
      </c>
      <c r="G425" s="35">
        <v>9</v>
      </c>
      <c r="H425" s="35"/>
      <c r="I425" s="36"/>
      <c r="J425" s="36"/>
      <c r="K425" s="36"/>
      <c r="L425" s="36"/>
      <c r="M425" s="36"/>
      <c r="N425" s="36">
        <v>1</v>
      </c>
      <c r="O425" s="36"/>
      <c r="P425" s="36"/>
      <c r="Q425" s="36"/>
      <c r="R425" s="36"/>
      <c r="S425" s="36">
        <f t="shared" si="97"/>
        <v>1</v>
      </c>
      <c r="T425" s="36">
        <f t="shared" si="96"/>
        <v>6.666666666666667</v>
      </c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>
        <f t="shared" si="93"/>
        <v>1</v>
      </c>
      <c r="AG425" s="36">
        <f>SUM(T425,Y425,AE425)</f>
        <v>6.666666666666667</v>
      </c>
      <c r="AH425" s="36">
        <f t="shared" si="91"/>
        <v>1</v>
      </c>
      <c r="AI425" s="36">
        <f t="shared" si="91"/>
        <v>6.666666666666667</v>
      </c>
    </row>
    <row r="426" spans="1:35">
      <c r="A426" s="33" t="s">
        <v>335</v>
      </c>
      <c r="B426" s="33" t="s">
        <v>449</v>
      </c>
      <c r="C426" s="56" t="s">
        <v>450</v>
      </c>
      <c r="D426" s="33"/>
      <c r="E426" s="33" t="s">
        <v>427</v>
      </c>
      <c r="F426" s="33" t="s">
        <v>427</v>
      </c>
      <c r="G426" s="35">
        <v>9</v>
      </c>
      <c r="H426" s="35"/>
      <c r="I426" s="36"/>
      <c r="J426" s="36"/>
      <c r="K426" s="36"/>
      <c r="L426" s="36"/>
      <c r="M426" s="36"/>
      <c r="N426" s="36">
        <v>1</v>
      </c>
      <c r="O426" s="36"/>
      <c r="P426" s="36"/>
      <c r="Q426" s="36"/>
      <c r="R426" s="36"/>
      <c r="S426" s="36">
        <f t="shared" si="97"/>
        <v>1</v>
      </c>
      <c r="T426" s="36">
        <f t="shared" si="96"/>
        <v>6.666666666666667</v>
      </c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>
        <f t="shared" si="93"/>
        <v>1</v>
      </c>
      <c r="AG426" s="36">
        <f>SUM(T426,Y426,AE426)</f>
        <v>6.666666666666667</v>
      </c>
      <c r="AH426" s="36">
        <f t="shared" si="91"/>
        <v>1</v>
      </c>
      <c r="AI426" s="36">
        <f t="shared" si="91"/>
        <v>6.666666666666667</v>
      </c>
    </row>
    <row r="427" spans="1:35">
      <c r="A427" s="33" t="s">
        <v>335</v>
      </c>
      <c r="B427" s="33" t="s">
        <v>449</v>
      </c>
      <c r="C427" s="56" t="s">
        <v>451</v>
      </c>
      <c r="D427" s="33"/>
      <c r="E427" s="33" t="s">
        <v>427</v>
      </c>
      <c r="F427" s="33" t="s">
        <v>427</v>
      </c>
      <c r="G427" s="35">
        <v>9</v>
      </c>
      <c r="H427" s="35"/>
      <c r="I427" s="36"/>
      <c r="J427" s="36"/>
      <c r="K427" s="36"/>
      <c r="L427" s="36"/>
      <c r="M427" s="36"/>
      <c r="N427" s="36">
        <v>1</v>
      </c>
      <c r="O427" s="36"/>
      <c r="P427" s="36"/>
      <c r="Q427" s="36"/>
      <c r="R427" s="36"/>
      <c r="S427" s="36">
        <f>SUM(N427:R427)</f>
        <v>1</v>
      </c>
      <c r="T427" s="36">
        <f t="shared" si="96"/>
        <v>6.666666666666667</v>
      </c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>
        <f t="shared" si="93"/>
        <v>1</v>
      </c>
      <c r="AG427" s="36">
        <f>SUM(T427,Y427,AE427)</f>
        <v>6.666666666666667</v>
      </c>
      <c r="AH427" s="36">
        <f t="shared" si="91"/>
        <v>1</v>
      </c>
      <c r="AI427" s="36">
        <f t="shared" si="91"/>
        <v>6.666666666666667</v>
      </c>
    </row>
    <row r="428" spans="1:35">
      <c r="A428" s="33" t="s">
        <v>335</v>
      </c>
      <c r="B428" s="57" t="s">
        <v>452</v>
      </c>
      <c r="C428" s="56" t="s">
        <v>453</v>
      </c>
      <c r="D428" s="33"/>
      <c r="E428" s="33" t="s">
        <v>427</v>
      </c>
      <c r="F428" s="33" t="s">
        <v>427</v>
      </c>
      <c r="G428" s="35">
        <v>4</v>
      </c>
      <c r="H428" s="35"/>
      <c r="I428" s="36"/>
      <c r="J428" s="36"/>
      <c r="K428" s="36"/>
      <c r="L428" s="36"/>
      <c r="M428" s="36"/>
      <c r="N428" s="36">
        <v>4</v>
      </c>
      <c r="O428" s="36"/>
      <c r="P428" s="36">
        <v>1</v>
      </c>
      <c r="Q428" s="36"/>
      <c r="R428" s="36"/>
      <c r="S428" s="36">
        <f>SUM(N428:R428)</f>
        <v>5</v>
      </c>
      <c r="T428" s="36">
        <f t="shared" si="96"/>
        <v>75</v>
      </c>
      <c r="U428" s="36">
        <v>2</v>
      </c>
      <c r="V428" s="36"/>
      <c r="W428" s="36"/>
      <c r="X428" s="36"/>
      <c r="Y428" s="36"/>
      <c r="Z428" s="36">
        <v>2</v>
      </c>
      <c r="AA428" s="36"/>
      <c r="AB428" s="36"/>
      <c r="AC428" s="36"/>
      <c r="AD428" s="36">
        <f t="shared" ref="AD428:AD459" si="98">SUM(Z428:AC428)</f>
        <v>2</v>
      </c>
      <c r="AE428" s="36">
        <f>AD428*60/G428</f>
        <v>30</v>
      </c>
      <c r="AF428" s="36">
        <f>SUM(S428,X428,AD428)</f>
        <v>7</v>
      </c>
      <c r="AG428" s="36">
        <f>SUM(T428,Y428,AE428)</f>
        <v>105</v>
      </c>
      <c r="AH428" s="36">
        <f>SUM(L428,AF428)</f>
        <v>7</v>
      </c>
      <c r="AI428" s="36">
        <f>SUM(M428,AG428)</f>
        <v>105</v>
      </c>
    </row>
    <row r="429" spans="1:35">
      <c r="A429" s="33" t="s">
        <v>335</v>
      </c>
      <c r="B429" s="33" t="s">
        <v>454</v>
      </c>
      <c r="C429" s="34" t="s">
        <v>455</v>
      </c>
      <c r="D429" s="33" t="str">
        <f t="shared" ref="D429:D438" si="99">C429&amp;"("&amp;F429&amp;")"</f>
        <v>P75USCV22EO-.K75VE21(D903)</v>
      </c>
      <c r="E429" s="33" t="s">
        <v>9</v>
      </c>
      <c r="F429" s="33" t="s">
        <v>9</v>
      </c>
      <c r="G429" s="35">
        <v>25</v>
      </c>
      <c r="H429" s="58">
        <v>42</v>
      </c>
      <c r="I429" s="36">
        <v>1</v>
      </c>
      <c r="J429" s="36">
        <v>0</v>
      </c>
      <c r="K429" s="36">
        <v>3</v>
      </c>
      <c r="L429" s="36">
        <f t="shared" ref="L429:L434" si="100">SUM(H429:K429)</f>
        <v>46</v>
      </c>
      <c r="M429" s="36">
        <f>60*L429/G429</f>
        <v>110.4</v>
      </c>
      <c r="N429" s="59">
        <v>21</v>
      </c>
      <c r="O429" s="36">
        <v>1</v>
      </c>
      <c r="P429" s="36">
        <v>1</v>
      </c>
      <c r="Q429" s="36">
        <v>0</v>
      </c>
      <c r="R429" s="36">
        <v>2</v>
      </c>
      <c r="S429" s="36">
        <f t="shared" si="97"/>
        <v>25</v>
      </c>
      <c r="T429" s="36">
        <f t="shared" si="96"/>
        <v>60</v>
      </c>
      <c r="U429" s="59">
        <v>10</v>
      </c>
      <c r="V429" s="36">
        <v>1</v>
      </c>
      <c r="W429" s="36">
        <v>0</v>
      </c>
      <c r="X429" s="36">
        <f t="shared" ref="X429:X455" si="101">SUM(U429:W429)</f>
        <v>11</v>
      </c>
      <c r="Y429" s="36">
        <f t="shared" ref="Y429:Y543" si="102">60*X429/G429</f>
        <v>26.4</v>
      </c>
      <c r="Z429" s="36">
        <v>16</v>
      </c>
      <c r="AA429" s="36">
        <v>1</v>
      </c>
      <c r="AB429" s="36">
        <v>0</v>
      </c>
      <c r="AC429" s="36">
        <v>2</v>
      </c>
      <c r="AD429" s="36">
        <f t="shared" si="98"/>
        <v>19</v>
      </c>
      <c r="AE429" s="36">
        <f t="shared" ref="AE429:AE549" si="103">60*AD429/G429</f>
        <v>45.6</v>
      </c>
      <c r="AF429" s="36">
        <f t="shared" si="93"/>
        <v>55</v>
      </c>
      <c r="AG429" s="36">
        <f t="shared" si="93"/>
        <v>132</v>
      </c>
      <c r="AH429" s="36">
        <f t="shared" si="91"/>
        <v>101</v>
      </c>
      <c r="AI429" s="36">
        <f t="shared" si="91"/>
        <v>242.4</v>
      </c>
    </row>
    <row r="430" spans="1:35">
      <c r="A430" s="33" t="s">
        <v>456</v>
      </c>
      <c r="B430" s="33" t="s">
        <v>457</v>
      </c>
      <c r="C430" s="60" t="s">
        <v>458</v>
      </c>
      <c r="D430" s="33" t="str">
        <f t="shared" si="99"/>
        <v>P65USCV22EO-.K65VE21(D903)</v>
      </c>
      <c r="E430" s="33" t="s">
        <v>9</v>
      </c>
      <c r="F430" s="33" t="s">
        <v>9</v>
      </c>
      <c r="G430" s="35">
        <v>30</v>
      </c>
      <c r="H430" s="58">
        <v>43</v>
      </c>
      <c r="I430" s="36">
        <v>1</v>
      </c>
      <c r="J430" s="36">
        <v>0</v>
      </c>
      <c r="K430" s="36">
        <v>3</v>
      </c>
      <c r="L430" s="36">
        <f t="shared" si="100"/>
        <v>47</v>
      </c>
      <c r="M430" s="36">
        <f t="shared" ref="M430:M543" si="104">60*L430/G430</f>
        <v>94</v>
      </c>
      <c r="N430" s="59">
        <v>21</v>
      </c>
      <c r="O430" s="36">
        <v>1</v>
      </c>
      <c r="P430" s="36">
        <v>1</v>
      </c>
      <c r="Q430" s="36">
        <v>0</v>
      </c>
      <c r="R430" s="36">
        <v>2</v>
      </c>
      <c r="S430" s="36">
        <f t="shared" si="97"/>
        <v>25</v>
      </c>
      <c r="T430" s="36">
        <f t="shared" si="96"/>
        <v>50</v>
      </c>
      <c r="U430" s="59">
        <v>10</v>
      </c>
      <c r="V430" s="36">
        <v>1</v>
      </c>
      <c r="W430" s="36">
        <v>0</v>
      </c>
      <c r="X430" s="36">
        <f t="shared" si="101"/>
        <v>11</v>
      </c>
      <c r="Y430" s="36">
        <f t="shared" si="102"/>
        <v>22</v>
      </c>
      <c r="Z430" s="36">
        <v>15</v>
      </c>
      <c r="AA430" s="36">
        <v>1</v>
      </c>
      <c r="AB430" s="36">
        <v>0</v>
      </c>
      <c r="AC430" s="36">
        <v>2</v>
      </c>
      <c r="AD430" s="36">
        <f t="shared" si="98"/>
        <v>18</v>
      </c>
      <c r="AE430" s="36">
        <f t="shared" si="103"/>
        <v>36</v>
      </c>
      <c r="AF430" s="36">
        <f t="shared" si="93"/>
        <v>54</v>
      </c>
      <c r="AG430" s="36">
        <f t="shared" si="93"/>
        <v>108</v>
      </c>
      <c r="AH430" s="36">
        <f t="shared" si="91"/>
        <v>101</v>
      </c>
      <c r="AI430" s="36">
        <f t="shared" si="91"/>
        <v>202</v>
      </c>
    </row>
    <row r="431" spans="1:35">
      <c r="A431" s="33" t="s">
        <v>335</v>
      </c>
      <c r="B431" s="33" t="s">
        <v>459</v>
      </c>
      <c r="C431" s="60" t="s">
        <v>460</v>
      </c>
      <c r="D431" s="33" t="str">
        <f t="shared" si="99"/>
        <v>P65USCV22EO-.K65VE22(D903)</v>
      </c>
      <c r="E431" s="33" t="s">
        <v>9</v>
      </c>
      <c r="F431" s="33" t="s">
        <v>9</v>
      </c>
      <c r="G431" s="35">
        <v>30</v>
      </c>
      <c r="H431" s="58">
        <v>42</v>
      </c>
      <c r="I431" s="36">
        <v>1</v>
      </c>
      <c r="J431" s="36">
        <v>0</v>
      </c>
      <c r="K431" s="36">
        <v>3</v>
      </c>
      <c r="L431" s="36">
        <f t="shared" si="100"/>
        <v>46</v>
      </c>
      <c r="M431" s="36">
        <f t="shared" si="104"/>
        <v>92</v>
      </c>
      <c r="N431" s="59">
        <v>21</v>
      </c>
      <c r="O431" s="36">
        <v>1</v>
      </c>
      <c r="P431" s="36">
        <v>1</v>
      </c>
      <c r="Q431" s="36">
        <v>0</v>
      </c>
      <c r="R431" s="36">
        <v>2</v>
      </c>
      <c r="S431" s="36">
        <f t="shared" ref="S431:S549" si="105">SUM(N431:R431)</f>
        <v>25</v>
      </c>
      <c r="T431" s="36">
        <f t="shared" si="96"/>
        <v>50</v>
      </c>
      <c r="U431" s="59">
        <v>10</v>
      </c>
      <c r="V431" s="36">
        <v>1</v>
      </c>
      <c r="W431" s="36">
        <v>0</v>
      </c>
      <c r="X431" s="36">
        <f t="shared" si="101"/>
        <v>11</v>
      </c>
      <c r="Y431" s="36">
        <f t="shared" si="102"/>
        <v>22</v>
      </c>
      <c r="Z431" s="36">
        <v>16</v>
      </c>
      <c r="AA431" s="36">
        <v>1</v>
      </c>
      <c r="AB431" s="36">
        <v>0</v>
      </c>
      <c r="AC431" s="36">
        <v>2</v>
      </c>
      <c r="AD431" s="36">
        <f t="shared" si="98"/>
        <v>19</v>
      </c>
      <c r="AE431" s="36">
        <f t="shared" si="103"/>
        <v>38</v>
      </c>
      <c r="AF431" s="36">
        <f t="shared" si="93"/>
        <v>55</v>
      </c>
      <c r="AG431" s="36">
        <f t="shared" si="93"/>
        <v>110</v>
      </c>
      <c r="AH431" s="36">
        <f t="shared" si="91"/>
        <v>101</v>
      </c>
      <c r="AI431" s="36">
        <f t="shared" si="91"/>
        <v>202</v>
      </c>
    </row>
    <row r="432" spans="1:35">
      <c r="A432" s="33" t="s">
        <v>335</v>
      </c>
      <c r="B432" s="33" t="s">
        <v>459</v>
      </c>
      <c r="C432" s="34" t="s">
        <v>461</v>
      </c>
      <c r="D432" s="33" t="str">
        <f>C432&amp;"("&amp;F432&amp;")"</f>
        <v>P65USCV22EO-.K65VE23(D903)</v>
      </c>
      <c r="E432" s="33" t="s">
        <v>9</v>
      </c>
      <c r="F432" s="33" t="s">
        <v>9</v>
      </c>
      <c r="G432" s="35">
        <v>30</v>
      </c>
      <c r="H432" s="58">
        <v>42</v>
      </c>
      <c r="I432" s="36">
        <v>1</v>
      </c>
      <c r="J432" s="36">
        <v>0</v>
      </c>
      <c r="K432" s="36">
        <v>3</v>
      </c>
      <c r="L432" s="36">
        <f t="shared" si="100"/>
        <v>46</v>
      </c>
      <c r="M432" s="36">
        <f>60*L432/G432</f>
        <v>92</v>
      </c>
      <c r="N432" s="59">
        <v>21</v>
      </c>
      <c r="O432" s="36">
        <v>1</v>
      </c>
      <c r="P432" s="36">
        <v>1</v>
      </c>
      <c r="Q432" s="36">
        <v>0</v>
      </c>
      <c r="R432" s="36">
        <v>2</v>
      </c>
      <c r="S432" s="36">
        <f t="shared" si="105"/>
        <v>25</v>
      </c>
      <c r="T432" s="36">
        <f t="shared" si="96"/>
        <v>50</v>
      </c>
      <c r="U432" s="59">
        <v>10</v>
      </c>
      <c r="V432" s="36">
        <v>1</v>
      </c>
      <c r="W432" s="36">
        <v>0</v>
      </c>
      <c r="X432" s="36">
        <f t="shared" si="101"/>
        <v>11</v>
      </c>
      <c r="Y432" s="36">
        <f>60*X432/G432</f>
        <v>22</v>
      </c>
      <c r="Z432" s="36">
        <v>17</v>
      </c>
      <c r="AA432" s="36">
        <v>1</v>
      </c>
      <c r="AB432" s="36">
        <v>0</v>
      </c>
      <c r="AC432" s="36">
        <v>2</v>
      </c>
      <c r="AD432" s="36">
        <f t="shared" si="98"/>
        <v>20</v>
      </c>
      <c r="AE432" s="36">
        <f>60*AD432/G432</f>
        <v>40</v>
      </c>
      <c r="AF432" s="36">
        <f t="shared" si="93"/>
        <v>56</v>
      </c>
      <c r="AG432" s="36">
        <f t="shared" si="93"/>
        <v>112</v>
      </c>
      <c r="AH432" s="36">
        <f t="shared" si="91"/>
        <v>102</v>
      </c>
      <c r="AI432" s="36">
        <f t="shared" si="91"/>
        <v>204</v>
      </c>
    </row>
    <row r="433" spans="1:35">
      <c r="A433" s="33" t="s">
        <v>335</v>
      </c>
      <c r="B433" s="33" t="s">
        <v>454</v>
      </c>
      <c r="C433" s="34" t="s">
        <v>462</v>
      </c>
      <c r="D433" s="33" t="str">
        <f t="shared" si="99"/>
        <v>P75USCV22EO-.K75VE22(D903)</v>
      </c>
      <c r="E433" s="33" t="s">
        <v>9</v>
      </c>
      <c r="F433" s="33" t="s">
        <v>9</v>
      </c>
      <c r="G433" s="35">
        <v>25</v>
      </c>
      <c r="H433" s="58">
        <v>43</v>
      </c>
      <c r="I433" s="36">
        <v>1</v>
      </c>
      <c r="J433" s="36">
        <v>0</v>
      </c>
      <c r="K433" s="36">
        <v>3</v>
      </c>
      <c r="L433" s="36">
        <f t="shared" si="100"/>
        <v>47</v>
      </c>
      <c r="M433" s="36">
        <f t="shared" si="104"/>
        <v>112.8</v>
      </c>
      <c r="N433" s="59">
        <v>21</v>
      </c>
      <c r="O433" s="36">
        <v>1</v>
      </c>
      <c r="P433" s="36">
        <v>1</v>
      </c>
      <c r="Q433" s="36">
        <v>0</v>
      </c>
      <c r="R433" s="36">
        <v>2</v>
      </c>
      <c r="S433" s="36">
        <f t="shared" si="105"/>
        <v>25</v>
      </c>
      <c r="T433" s="36">
        <f t="shared" si="96"/>
        <v>60</v>
      </c>
      <c r="U433" s="59">
        <v>10</v>
      </c>
      <c r="V433" s="36">
        <v>1</v>
      </c>
      <c r="W433" s="36">
        <v>0</v>
      </c>
      <c r="X433" s="36">
        <f t="shared" si="101"/>
        <v>11</v>
      </c>
      <c r="Y433" s="36">
        <f t="shared" si="102"/>
        <v>26.4</v>
      </c>
      <c r="Z433" s="36">
        <v>15</v>
      </c>
      <c r="AA433" s="36">
        <v>1</v>
      </c>
      <c r="AB433" s="36">
        <v>0</v>
      </c>
      <c r="AC433" s="36">
        <v>2</v>
      </c>
      <c r="AD433" s="36">
        <f t="shared" si="98"/>
        <v>18</v>
      </c>
      <c r="AE433" s="36">
        <f t="shared" si="103"/>
        <v>43.2</v>
      </c>
      <c r="AF433" s="36">
        <f t="shared" si="93"/>
        <v>54</v>
      </c>
      <c r="AG433" s="36">
        <f t="shared" si="93"/>
        <v>129.60000000000002</v>
      </c>
      <c r="AH433" s="36">
        <f t="shared" si="91"/>
        <v>101</v>
      </c>
      <c r="AI433" s="36">
        <f t="shared" si="91"/>
        <v>242.40000000000003</v>
      </c>
    </row>
    <row r="434" spans="1:35">
      <c r="A434" s="33" t="s">
        <v>335</v>
      </c>
      <c r="B434" s="33" t="s">
        <v>459</v>
      </c>
      <c r="C434" s="34" t="s">
        <v>463</v>
      </c>
      <c r="D434" s="33" t="str">
        <f t="shared" si="99"/>
        <v>P65INCV22EO-.K65VF11(D903)</v>
      </c>
      <c r="E434" s="33" t="s">
        <v>9</v>
      </c>
      <c r="F434" s="33" t="s">
        <v>9</v>
      </c>
      <c r="G434" s="35">
        <v>30</v>
      </c>
      <c r="H434" s="58">
        <v>46</v>
      </c>
      <c r="I434" s="36">
        <v>1</v>
      </c>
      <c r="J434" s="36">
        <v>0</v>
      </c>
      <c r="K434" s="36">
        <v>3</v>
      </c>
      <c r="L434" s="36">
        <f t="shared" si="100"/>
        <v>50</v>
      </c>
      <c r="M434" s="36">
        <f t="shared" si="104"/>
        <v>100</v>
      </c>
      <c r="N434" s="59">
        <v>16</v>
      </c>
      <c r="O434" s="36">
        <v>1</v>
      </c>
      <c r="P434" s="36">
        <v>1</v>
      </c>
      <c r="Q434" s="36">
        <v>0</v>
      </c>
      <c r="R434" s="36">
        <v>2</v>
      </c>
      <c r="S434" s="36">
        <f t="shared" si="105"/>
        <v>20</v>
      </c>
      <c r="T434" s="36">
        <f t="shared" si="96"/>
        <v>40</v>
      </c>
      <c r="U434" s="59">
        <v>10</v>
      </c>
      <c r="V434" s="36">
        <v>1</v>
      </c>
      <c r="W434" s="36">
        <v>0</v>
      </c>
      <c r="X434" s="36">
        <f t="shared" si="101"/>
        <v>11</v>
      </c>
      <c r="Y434" s="36">
        <f t="shared" si="102"/>
        <v>22</v>
      </c>
      <c r="Z434" s="36">
        <v>17</v>
      </c>
      <c r="AA434" s="36">
        <v>1</v>
      </c>
      <c r="AB434" s="36">
        <v>0</v>
      </c>
      <c r="AC434" s="36">
        <v>2</v>
      </c>
      <c r="AD434" s="36">
        <f t="shared" si="98"/>
        <v>20</v>
      </c>
      <c r="AE434" s="36">
        <f t="shared" si="103"/>
        <v>40</v>
      </c>
      <c r="AF434" s="36">
        <f t="shared" si="93"/>
        <v>51</v>
      </c>
      <c r="AG434" s="36">
        <f t="shared" si="93"/>
        <v>102</v>
      </c>
      <c r="AH434" s="36">
        <f t="shared" si="91"/>
        <v>101</v>
      </c>
      <c r="AI434" s="36">
        <f t="shared" si="91"/>
        <v>202</v>
      </c>
    </row>
    <row r="435" spans="1:35">
      <c r="A435" s="33" t="s">
        <v>335</v>
      </c>
      <c r="B435" s="33" t="s">
        <v>459</v>
      </c>
      <c r="C435" s="34" t="s">
        <v>464</v>
      </c>
      <c r="D435" s="33" t="str">
        <f t="shared" si="99"/>
        <v>P65INCV22EO-.K65VF12(D903)</v>
      </c>
      <c r="E435" s="33" t="s">
        <v>9</v>
      </c>
      <c r="F435" s="33" t="s">
        <v>9</v>
      </c>
      <c r="G435" s="35">
        <v>30</v>
      </c>
      <c r="H435" s="58">
        <v>46</v>
      </c>
      <c r="I435" s="36">
        <v>1</v>
      </c>
      <c r="J435" s="36">
        <v>0</v>
      </c>
      <c r="K435" s="36">
        <v>3</v>
      </c>
      <c r="L435" s="36">
        <f t="shared" ref="L435:L445" si="106">SUM(H435:K435)</f>
        <v>50</v>
      </c>
      <c r="M435" s="36">
        <f t="shared" si="104"/>
        <v>100</v>
      </c>
      <c r="N435" s="59">
        <v>16</v>
      </c>
      <c r="O435" s="36">
        <v>1</v>
      </c>
      <c r="P435" s="36">
        <v>1</v>
      </c>
      <c r="Q435" s="36">
        <v>0</v>
      </c>
      <c r="R435" s="36">
        <v>2</v>
      </c>
      <c r="S435" s="36">
        <f t="shared" si="105"/>
        <v>20</v>
      </c>
      <c r="T435" s="36">
        <f t="shared" si="96"/>
        <v>40</v>
      </c>
      <c r="U435" s="59">
        <v>10</v>
      </c>
      <c r="V435" s="36">
        <v>1</v>
      </c>
      <c r="W435" s="36">
        <v>0</v>
      </c>
      <c r="X435" s="36">
        <f t="shared" si="101"/>
        <v>11</v>
      </c>
      <c r="Y435" s="36">
        <f t="shared" si="102"/>
        <v>22</v>
      </c>
      <c r="Z435" s="36">
        <v>17</v>
      </c>
      <c r="AA435" s="36">
        <v>1</v>
      </c>
      <c r="AB435" s="36">
        <v>0</v>
      </c>
      <c r="AC435" s="36">
        <v>2</v>
      </c>
      <c r="AD435" s="36">
        <f t="shared" si="98"/>
        <v>20</v>
      </c>
      <c r="AE435" s="36">
        <f t="shared" si="103"/>
        <v>40</v>
      </c>
      <c r="AF435" s="36">
        <f t="shared" si="93"/>
        <v>51</v>
      </c>
      <c r="AG435" s="36">
        <f t="shared" si="93"/>
        <v>102</v>
      </c>
      <c r="AH435" s="36">
        <f t="shared" si="91"/>
        <v>101</v>
      </c>
      <c r="AI435" s="36">
        <f t="shared" si="91"/>
        <v>202</v>
      </c>
    </row>
    <row r="436" spans="1:35">
      <c r="A436" s="33" t="s">
        <v>335</v>
      </c>
      <c r="B436" s="33" t="s">
        <v>465</v>
      </c>
      <c r="C436" s="34" t="s">
        <v>466</v>
      </c>
      <c r="D436" s="33" t="str">
        <f t="shared" si="99"/>
        <v>P75INCV22EO-.K75VF11(D903)</v>
      </c>
      <c r="E436" s="33" t="s">
        <v>9</v>
      </c>
      <c r="F436" s="33" t="s">
        <v>9</v>
      </c>
      <c r="G436" s="35">
        <v>25</v>
      </c>
      <c r="H436" s="58">
        <v>46</v>
      </c>
      <c r="I436" s="36">
        <v>1</v>
      </c>
      <c r="J436" s="36">
        <v>0</v>
      </c>
      <c r="K436" s="36">
        <v>3</v>
      </c>
      <c r="L436" s="36">
        <f t="shared" si="106"/>
        <v>50</v>
      </c>
      <c r="M436" s="36">
        <f t="shared" si="104"/>
        <v>120</v>
      </c>
      <c r="N436" s="59">
        <v>16</v>
      </c>
      <c r="O436" s="36">
        <v>1</v>
      </c>
      <c r="P436" s="36">
        <v>1</v>
      </c>
      <c r="Q436" s="36">
        <v>0</v>
      </c>
      <c r="R436" s="36">
        <v>2</v>
      </c>
      <c r="S436" s="36">
        <f t="shared" si="105"/>
        <v>20</v>
      </c>
      <c r="T436" s="36">
        <f t="shared" si="96"/>
        <v>48</v>
      </c>
      <c r="U436" s="59">
        <v>10</v>
      </c>
      <c r="V436" s="36">
        <v>1</v>
      </c>
      <c r="W436" s="36">
        <v>0</v>
      </c>
      <c r="X436" s="36">
        <f t="shared" si="101"/>
        <v>11</v>
      </c>
      <c r="Y436" s="36">
        <f t="shared" si="102"/>
        <v>26.4</v>
      </c>
      <c r="Z436" s="36">
        <v>17</v>
      </c>
      <c r="AA436" s="36">
        <v>1</v>
      </c>
      <c r="AB436" s="36">
        <v>0</v>
      </c>
      <c r="AC436" s="36">
        <v>2</v>
      </c>
      <c r="AD436" s="36">
        <f t="shared" si="98"/>
        <v>20</v>
      </c>
      <c r="AE436" s="36">
        <f t="shared" si="103"/>
        <v>48</v>
      </c>
      <c r="AF436" s="36">
        <f t="shared" si="93"/>
        <v>51</v>
      </c>
      <c r="AG436" s="36">
        <f t="shared" si="93"/>
        <v>122.4</v>
      </c>
      <c r="AH436" s="36">
        <f t="shared" si="91"/>
        <v>101</v>
      </c>
      <c r="AI436" s="36">
        <f t="shared" si="91"/>
        <v>242.4</v>
      </c>
    </row>
    <row r="437" spans="1:35">
      <c r="A437" s="33" t="s">
        <v>335</v>
      </c>
      <c r="B437" s="33" t="s">
        <v>465</v>
      </c>
      <c r="C437" s="34" t="s">
        <v>467</v>
      </c>
      <c r="D437" s="33" t="str">
        <f t="shared" si="99"/>
        <v>P75USCV22EO-.K75VE23(D903)</v>
      </c>
      <c r="E437" s="33" t="s">
        <v>9</v>
      </c>
      <c r="F437" s="33" t="s">
        <v>9</v>
      </c>
      <c r="G437" s="35">
        <v>25</v>
      </c>
      <c r="H437" s="58">
        <v>43</v>
      </c>
      <c r="I437" s="36">
        <v>1</v>
      </c>
      <c r="J437" s="36">
        <v>0</v>
      </c>
      <c r="K437" s="36">
        <v>3</v>
      </c>
      <c r="L437" s="36">
        <f t="shared" si="106"/>
        <v>47</v>
      </c>
      <c r="M437" s="36">
        <f t="shared" si="104"/>
        <v>112.8</v>
      </c>
      <c r="N437" s="59">
        <v>21</v>
      </c>
      <c r="O437" s="36">
        <v>1</v>
      </c>
      <c r="P437" s="36">
        <v>1</v>
      </c>
      <c r="Q437" s="36">
        <v>0</v>
      </c>
      <c r="R437" s="36">
        <v>2</v>
      </c>
      <c r="S437" s="36">
        <f t="shared" si="105"/>
        <v>25</v>
      </c>
      <c r="T437" s="36">
        <f t="shared" si="96"/>
        <v>60</v>
      </c>
      <c r="U437" s="59">
        <v>10</v>
      </c>
      <c r="V437" s="36">
        <v>1</v>
      </c>
      <c r="W437" s="36">
        <v>0</v>
      </c>
      <c r="X437" s="36">
        <f t="shared" si="101"/>
        <v>11</v>
      </c>
      <c r="Y437" s="36">
        <f t="shared" si="102"/>
        <v>26.4</v>
      </c>
      <c r="Z437" s="36">
        <v>16</v>
      </c>
      <c r="AA437" s="36">
        <v>1</v>
      </c>
      <c r="AB437" s="36">
        <v>0</v>
      </c>
      <c r="AC437" s="36">
        <v>2</v>
      </c>
      <c r="AD437" s="36">
        <f t="shared" si="98"/>
        <v>19</v>
      </c>
      <c r="AE437" s="36">
        <f t="shared" si="103"/>
        <v>45.6</v>
      </c>
      <c r="AF437" s="36">
        <f t="shared" si="93"/>
        <v>55</v>
      </c>
      <c r="AG437" s="36">
        <f t="shared" si="93"/>
        <v>132</v>
      </c>
      <c r="AH437" s="36">
        <f t="shared" si="91"/>
        <v>102</v>
      </c>
      <c r="AI437" s="36">
        <f t="shared" si="91"/>
        <v>244.8</v>
      </c>
    </row>
    <row r="438" spans="1:35">
      <c r="A438" s="33" t="s">
        <v>335</v>
      </c>
      <c r="B438" s="33" t="s">
        <v>468</v>
      </c>
      <c r="C438" s="34" t="s">
        <v>469</v>
      </c>
      <c r="D438" s="33" t="str">
        <f t="shared" si="99"/>
        <v>P75USCV22EO-.K75VG11(D903)</v>
      </c>
      <c r="E438" s="33" t="s">
        <v>9</v>
      </c>
      <c r="F438" s="33" t="s">
        <v>9</v>
      </c>
      <c r="G438" s="35">
        <v>25</v>
      </c>
      <c r="H438" s="58">
        <v>43</v>
      </c>
      <c r="I438" s="36">
        <v>1</v>
      </c>
      <c r="J438" s="36">
        <v>0</v>
      </c>
      <c r="K438" s="36">
        <v>3</v>
      </c>
      <c r="L438" s="36">
        <f t="shared" si="106"/>
        <v>47</v>
      </c>
      <c r="M438" s="36">
        <f t="shared" si="104"/>
        <v>112.8</v>
      </c>
      <c r="N438" s="59">
        <v>20</v>
      </c>
      <c r="O438" s="36">
        <v>1</v>
      </c>
      <c r="P438" s="36">
        <v>1</v>
      </c>
      <c r="Q438" s="36">
        <v>0</v>
      </c>
      <c r="R438" s="36">
        <v>2</v>
      </c>
      <c r="S438" s="36">
        <f t="shared" si="105"/>
        <v>24</v>
      </c>
      <c r="T438" s="36">
        <f t="shared" si="96"/>
        <v>57.6</v>
      </c>
      <c r="U438" s="59">
        <v>12</v>
      </c>
      <c r="V438" s="36">
        <v>1</v>
      </c>
      <c r="W438" s="36">
        <v>0</v>
      </c>
      <c r="X438" s="36">
        <f t="shared" si="101"/>
        <v>13</v>
      </c>
      <c r="Y438" s="36">
        <f t="shared" si="102"/>
        <v>31.2</v>
      </c>
      <c r="Z438" s="36">
        <v>18</v>
      </c>
      <c r="AA438" s="36">
        <v>1</v>
      </c>
      <c r="AB438" s="36">
        <v>0</v>
      </c>
      <c r="AC438" s="36">
        <v>2</v>
      </c>
      <c r="AD438" s="36">
        <f t="shared" si="98"/>
        <v>21</v>
      </c>
      <c r="AE438" s="36">
        <f t="shared" si="103"/>
        <v>50.4</v>
      </c>
      <c r="AF438" s="36">
        <f t="shared" si="93"/>
        <v>58</v>
      </c>
      <c r="AG438" s="36">
        <f t="shared" si="93"/>
        <v>139.19999999999999</v>
      </c>
      <c r="AH438" s="36">
        <f t="shared" si="91"/>
        <v>105</v>
      </c>
      <c r="AI438" s="36">
        <f t="shared" si="91"/>
        <v>252</v>
      </c>
    </row>
    <row r="439" spans="1:35">
      <c r="A439" s="33" t="s">
        <v>335</v>
      </c>
      <c r="B439" s="33" t="s">
        <v>81</v>
      </c>
      <c r="C439" s="34" t="s">
        <v>470</v>
      </c>
      <c r="D439" s="33" t="str">
        <f>C439&amp;"("&amp;F439&amp;")"</f>
        <v>P86INCV22EO-.K86VG11(D903)</v>
      </c>
      <c r="E439" s="33" t="s">
        <v>9</v>
      </c>
      <c r="F439" s="33" t="s">
        <v>9</v>
      </c>
      <c r="G439" s="35">
        <v>20</v>
      </c>
      <c r="H439" s="58">
        <v>45</v>
      </c>
      <c r="I439" s="36">
        <v>1</v>
      </c>
      <c r="J439" s="36">
        <v>0</v>
      </c>
      <c r="K439" s="36">
        <v>3</v>
      </c>
      <c r="L439" s="36">
        <f t="shared" si="106"/>
        <v>49</v>
      </c>
      <c r="M439" s="36">
        <f t="shared" si="104"/>
        <v>147</v>
      </c>
      <c r="N439" s="59">
        <v>25</v>
      </c>
      <c r="O439" s="36">
        <v>1</v>
      </c>
      <c r="P439" s="36">
        <v>1</v>
      </c>
      <c r="Q439" s="36">
        <v>0</v>
      </c>
      <c r="R439" s="36">
        <v>2</v>
      </c>
      <c r="S439" s="36">
        <f t="shared" si="105"/>
        <v>29</v>
      </c>
      <c r="T439" s="36">
        <f t="shared" si="96"/>
        <v>87</v>
      </c>
      <c r="U439" s="59">
        <v>11</v>
      </c>
      <c r="V439" s="36">
        <v>1</v>
      </c>
      <c r="W439" s="36">
        <v>0</v>
      </c>
      <c r="X439" s="36">
        <f t="shared" si="101"/>
        <v>12</v>
      </c>
      <c r="Y439" s="36">
        <f t="shared" si="102"/>
        <v>36</v>
      </c>
      <c r="Z439" s="36">
        <v>15</v>
      </c>
      <c r="AA439" s="36">
        <v>1</v>
      </c>
      <c r="AB439" s="36">
        <v>0</v>
      </c>
      <c r="AC439" s="36">
        <v>2</v>
      </c>
      <c r="AD439" s="36">
        <f t="shared" si="98"/>
        <v>18</v>
      </c>
      <c r="AE439" s="36">
        <f t="shared" si="103"/>
        <v>54</v>
      </c>
      <c r="AF439" s="36">
        <f t="shared" si="93"/>
        <v>59</v>
      </c>
      <c r="AG439" s="36">
        <f t="shared" si="93"/>
        <v>177</v>
      </c>
      <c r="AH439" s="36">
        <f t="shared" si="91"/>
        <v>108</v>
      </c>
      <c r="AI439" s="36">
        <f t="shared" si="91"/>
        <v>324</v>
      </c>
    </row>
    <row r="440" spans="1:35">
      <c r="A440" s="33" t="s">
        <v>335</v>
      </c>
      <c r="B440" s="33" t="s">
        <v>81</v>
      </c>
      <c r="C440" s="34" t="s">
        <v>38</v>
      </c>
      <c r="D440" s="33" t="str">
        <f>C440&amp;"("&amp;F440&amp;")"</f>
        <v>P86INCV22EO-.K86VG12(D903)</v>
      </c>
      <c r="E440" s="33" t="s">
        <v>9</v>
      </c>
      <c r="F440" s="33" t="s">
        <v>9</v>
      </c>
      <c r="G440" s="35">
        <v>20</v>
      </c>
      <c r="H440" s="58">
        <v>45</v>
      </c>
      <c r="I440" s="36">
        <v>1</v>
      </c>
      <c r="J440" s="36">
        <v>0</v>
      </c>
      <c r="K440" s="36">
        <v>3</v>
      </c>
      <c r="L440" s="36">
        <f>SUM(H440:K440)</f>
        <v>49</v>
      </c>
      <c r="M440" s="36">
        <f>60*L440/G440</f>
        <v>147</v>
      </c>
      <c r="N440" s="59">
        <v>25</v>
      </c>
      <c r="O440" s="36">
        <v>1</v>
      </c>
      <c r="P440" s="36">
        <v>1</v>
      </c>
      <c r="Q440" s="36">
        <v>0</v>
      </c>
      <c r="R440" s="36">
        <v>2</v>
      </c>
      <c r="S440" s="36">
        <f t="shared" si="105"/>
        <v>29</v>
      </c>
      <c r="T440" s="36">
        <f t="shared" si="96"/>
        <v>87</v>
      </c>
      <c r="U440" s="59">
        <v>11</v>
      </c>
      <c r="V440" s="36">
        <v>1</v>
      </c>
      <c r="W440" s="36">
        <v>0</v>
      </c>
      <c r="X440" s="36">
        <f t="shared" si="101"/>
        <v>12</v>
      </c>
      <c r="Y440" s="36">
        <f>60*X440/G440</f>
        <v>36</v>
      </c>
      <c r="Z440" s="36">
        <v>15</v>
      </c>
      <c r="AA440" s="36">
        <v>1</v>
      </c>
      <c r="AB440" s="36">
        <v>0</v>
      </c>
      <c r="AC440" s="36">
        <v>2</v>
      </c>
      <c r="AD440" s="36">
        <f t="shared" si="98"/>
        <v>18</v>
      </c>
      <c r="AE440" s="36">
        <f>60*AD440/G440</f>
        <v>54</v>
      </c>
      <c r="AF440" s="36">
        <f t="shared" si="93"/>
        <v>59</v>
      </c>
      <c r="AG440" s="36">
        <f t="shared" si="93"/>
        <v>177</v>
      </c>
      <c r="AH440" s="36">
        <f t="shared" ref="AH440:AI472" si="107">SUM(L440,AF440)</f>
        <v>108</v>
      </c>
      <c r="AI440" s="36">
        <f t="shared" si="107"/>
        <v>324</v>
      </c>
    </row>
    <row r="441" spans="1:35">
      <c r="A441" s="33" t="s">
        <v>335</v>
      </c>
      <c r="B441" s="33" t="s">
        <v>85</v>
      </c>
      <c r="C441" s="34" t="s">
        <v>84</v>
      </c>
      <c r="D441" s="33" t="str">
        <f t="shared" ref="D441:D467" si="108">C441&amp;"("&amp;F441&amp;")"</f>
        <v>P55USCV22FO-.EH55VH1(D903)</v>
      </c>
      <c r="E441" s="33" t="s">
        <v>9</v>
      </c>
      <c r="F441" s="33" t="s">
        <v>9</v>
      </c>
      <c r="G441" s="35">
        <v>40</v>
      </c>
      <c r="H441" s="58">
        <v>49</v>
      </c>
      <c r="I441" s="36">
        <v>1</v>
      </c>
      <c r="J441" s="36">
        <v>1</v>
      </c>
      <c r="K441" s="36">
        <v>3</v>
      </c>
      <c r="L441" s="36">
        <f>SUM(H441:K441)</f>
        <v>54</v>
      </c>
      <c r="M441" s="36">
        <f>60*L441/G441</f>
        <v>81</v>
      </c>
      <c r="N441" s="59">
        <v>22</v>
      </c>
      <c r="O441" s="36">
        <v>1</v>
      </c>
      <c r="P441" s="36">
        <v>1</v>
      </c>
      <c r="Q441" s="36">
        <v>1</v>
      </c>
      <c r="R441" s="36">
        <v>2</v>
      </c>
      <c r="S441" s="36">
        <f t="shared" si="105"/>
        <v>27</v>
      </c>
      <c r="T441" s="36">
        <f t="shared" si="96"/>
        <v>40.5</v>
      </c>
      <c r="U441" s="59">
        <v>12</v>
      </c>
      <c r="V441" s="36">
        <v>1</v>
      </c>
      <c r="W441" s="36">
        <v>0</v>
      </c>
      <c r="X441" s="36">
        <f t="shared" si="101"/>
        <v>13</v>
      </c>
      <c r="Y441" s="36">
        <f>60*X441/G441</f>
        <v>19.5</v>
      </c>
      <c r="Z441" s="36">
        <v>17</v>
      </c>
      <c r="AA441" s="36">
        <v>1</v>
      </c>
      <c r="AB441" s="36">
        <v>0</v>
      </c>
      <c r="AC441" s="36">
        <v>2</v>
      </c>
      <c r="AD441" s="36">
        <f t="shared" si="98"/>
        <v>20</v>
      </c>
      <c r="AE441" s="36">
        <f>60*AD441/G441</f>
        <v>30</v>
      </c>
      <c r="AF441" s="36">
        <f t="shared" si="93"/>
        <v>60</v>
      </c>
      <c r="AG441" s="36">
        <f t="shared" si="93"/>
        <v>90</v>
      </c>
      <c r="AH441" s="36">
        <f t="shared" si="107"/>
        <v>114</v>
      </c>
      <c r="AI441" s="36">
        <f t="shared" si="107"/>
        <v>171</v>
      </c>
    </row>
    <row r="442" spans="1:35">
      <c r="A442" s="33" t="s">
        <v>335</v>
      </c>
      <c r="B442" s="33" t="s">
        <v>85</v>
      </c>
      <c r="C442" s="34" t="s">
        <v>192</v>
      </c>
      <c r="D442" s="33" t="str">
        <f t="shared" si="108"/>
        <v>P55USCV22FO-.EH55VH2(D903)</v>
      </c>
      <c r="E442" s="33" t="s">
        <v>9</v>
      </c>
      <c r="F442" s="33" t="s">
        <v>9</v>
      </c>
      <c r="G442" s="35">
        <v>40</v>
      </c>
      <c r="H442" s="58">
        <v>49</v>
      </c>
      <c r="I442" s="36">
        <v>1</v>
      </c>
      <c r="J442" s="36">
        <v>1</v>
      </c>
      <c r="K442" s="36">
        <v>3</v>
      </c>
      <c r="L442" s="36">
        <f>SUM(H442:K442)</f>
        <v>54</v>
      </c>
      <c r="M442" s="36">
        <f>60*L442/G442</f>
        <v>81</v>
      </c>
      <c r="N442" s="59">
        <v>22</v>
      </c>
      <c r="O442" s="36">
        <v>1</v>
      </c>
      <c r="P442" s="36">
        <v>1</v>
      </c>
      <c r="Q442" s="36">
        <v>1</v>
      </c>
      <c r="R442" s="36">
        <v>2</v>
      </c>
      <c r="S442" s="36">
        <f t="shared" si="105"/>
        <v>27</v>
      </c>
      <c r="T442" s="36">
        <f t="shared" si="96"/>
        <v>40.5</v>
      </c>
      <c r="U442" s="59">
        <v>12</v>
      </c>
      <c r="V442" s="36">
        <v>1</v>
      </c>
      <c r="W442" s="36">
        <v>0</v>
      </c>
      <c r="X442" s="36">
        <f t="shared" si="101"/>
        <v>13</v>
      </c>
      <c r="Y442" s="36">
        <f>60*X442/G442</f>
        <v>19.5</v>
      </c>
      <c r="Z442" s="36">
        <v>17</v>
      </c>
      <c r="AA442" s="36">
        <v>1</v>
      </c>
      <c r="AB442" s="36">
        <v>0</v>
      </c>
      <c r="AC442" s="36">
        <v>2</v>
      </c>
      <c r="AD442" s="36">
        <f t="shared" si="98"/>
        <v>20</v>
      </c>
      <c r="AE442" s="36">
        <f>60*AD442/G442</f>
        <v>30</v>
      </c>
      <c r="AF442" s="36">
        <f t="shared" si="93"/>
        <v>60</v>
      </c>
      <c r="AG442" s="36">
        <f t="shared" si="93"/>
        <v>90</v>
      </c>
      <c r="AH442" s="36">
        <f t="shared" si="107"/>
        <v>114</v>
      </c>
      <c r="AI442" s="36">
        <f t="shared" si="107"/>
        <v>171</v>
      </c>
    </row>
    <row r="443" spans="1:35">
      <c r="A443" s="33" t="s">
        <v>335</v>
      </c>
      <c r="B443" s="33" t="s">
        <v>85</v>
      </c>
      <c r="C443" s="34" t="s">
        <v>192</v>
      </c>
      <c r="D443" s="33" t="str">
        <f t="shared" si="108"/>
        <v>P55USCV22FO-.EH55VH2(D902)</v>
      </c>
      <c r="E443" s="33" t="s">
        <v>10</v>
      </c>
      <c r="F443" s="33" t="s">
        <v>10</v>
      </c>
      <c r="G443" s="35">
        <v>40</v>
      </c>
      <c r="H443" s="58">
        <v>40</v>
      </c>
      <c r="I443" s="36">
        <v>1</v>
      </c>
      <c r="J443" s="36">
        <v>1</v>
      </c>
      <c r="K443" s="36">
        <v>3</v>
      </c>
      <c r="L443" s="36">
        <f>SUM(H443:K443)</f>
        <v>45</v>
      </c>
      <c r="M443" s="36">
        <f>60*L443/G443</f>
        <v>67.5</v>
      </c>
      <c r="N443" s="59">
        <v>30</v>
      </c>
      <c r="O443" s="36">
        <v>1</v>
      </c>
      <c r="P443" s="36">
        <v>1</v>
      </c>
      <c r="Q443" s="36">
        <v>1</v>
      </c>
      <c r="R443" s="36">
        <v>2</v>
      </c>
      <c r="S443" s="36">
        <f t="shared" si="105"/>
        <v>35</v>
      </c>
      <c r="T443" s="36">
        <f t="shared" si="96"/>
        <v>52.5</v>
      </c>
      <c r="U443" s="59">
        <v>19</v>
      </c>
      <c r="V443" s="36">
        <v>1</v>
      </c>
      <c r="W443" s="36">
        <v>0</v>
      </c>
      <c r="X443" s="36">
        <f t="shared" si="101"/>
        <v>20</v>
      </c>
      <c r="Y443" s="36">
        <f>60*X443/G443</f>
        <v>30</v>
      </c>
      <c r="Z443" s="36">
        <v>20</v>
      </c>
      <c r="AA443" s="36">
        <v>1</v>
      </c>
      <c r="AB443" s="36">
        <v>0</v>
      </c>
      <c r="AC443" s="36">
        <v>2</v>
      </c>
      <c r="AD443" s="36">
        <f t="shared" si="98"/>
        <v>23</v>
      </c>
      <c r="AE443" s="36">
        <f>60*AD443/G443</f>
        <v>34.5</v>
      </c>
      <c r="AF443" s="36">
        <f t="shared" si="93"/>
        <v>78</v>
      </c>
      <c r="AG443" s="36">
        <f t="shared" si="93"/>
        <v>117</v>
      </c>
      <c r="AH443" s="36">
        <f t="shared" si="107"/>
        <v>123</v>
      </c>
      <c r="AI443" s="36">
        <f t="shared" si="107"/>
        <v>184.5</v>
      </c>
    </row>
    <row r="444" spans="1:35">
      <c r="A444" s="33" t="s">
        <v>335</v>
      </c>
      <c r="B444" s="33" t="s">
        <v>77</v>
      </c>
      <c r="C444" s="34" t="s">
        <v>471</v>
      </c>
      <c r="D444" s="33" t="str">
        <f t="shared" si="108"/>
        <v>P65USCV22EO-.EH65VH1(D903)</v>
      </c>
      <c r="E444" s="33" t="s">
        <v>9</v>
      </c>
      <c r="F444" s="33" t="s">
        <v>9</v>
      </c>
      <c r="G444" s="35">
        <v>35</v>
      </c>
      <c r="H444" s="58">
        <v>44</v>
      </c>
      <c r="I444" s="36">
        <v>1</v>
      </c>
      <c r="J444" s="36">
        <v>1</v>
      </c>
      <c r="K444" s="36">
        <v>3</v>
      </c>
      <c r="L444" s="36">
        <f t="shared" si="106"/>
        <v>49</v>
      </c>
      <c r="M444" s="36">
        <f t="shared" si="104"/>
        <v>84</v>
      </c>
      <c r="N444" s="59">
        <v>20</v>
      </c>
      <c r="O444" s="36">
        <v>1</v>
      </c>
      <c r="P444" s="36">
        <v>1</v>
      </c>
      <c r="Q444" s="36">
        <v>1</v>
      </c>
      <c r="R444" s="36">
        <v>2</v>
      </c>
      <c r="S444" s="36">
        <f t="shared" si="105"/>
        <v>25</v>
      </c>
      <c r="T444" s="36">
        <f t="shared" si="96"/>
        <v>42.857142857142854</v>
      </c>
      <c r="U444" s="59">
        <v>11</v>
      </c>
      <c r="V444" s="36">
        <v>1</v>
      </c>
      <c r="W444" s="36">
        <v>0</v>
      </c>
      <c r="X444" s="36">
        <f t="shared" si="101"/>
        <v>12</v>
      </c>
      <c r="Y444" s="36">
        <f t="shared" si="102"/>
        <v>20.571428571428573</v>
      </c>
      <c r="Z444" s="36">
        <v>16</v>
      </c>
      <c r="AA444" s="36">
        <v>1</v>
      </c>
      <c r="AB444" s="36">
        <v>0</v>
      </c>
      <c r="AC444" s="36">
        <v>2</v>
      </c>
      <c r="AD444" s="36">
        <f t="shared" si="98"/>
        <v>19</v>
      </c>
      <c r="AE444" s="36">
        <f t="shared" si="103"/>
        <v>32.571428571428569</v>
      </c>
      <c r="AF444" s="36">
        <f t="shared" si="93"/>
        <v>56</v>
      </c>
      <c r="AG444" s="36">
        <f t="shared" si="93"/>
        <v>96</v>
      </c>
      <c r="AH444" s="36">
        <f t="shared" si="107"/>
        <v>105</v>
      </c>
      <c r="AI444" s="36">
        <f t="shared" si="107"/>
        <v>180</v>
      </c>
    </row>
    <row r="445" spans="1:35">
      <c r="A445" s="33" t="s">
        <v>335</v>
      </c>
      <c r="B445" s="33" t="s">
        <v>77</v>
      </c>
      <c r="C445" s="34" t="s">
        <v>24</v>
      </c>
      <c r="D445" s="33" t="str">
        <f t="shared" si="108"/>
        <v>P65USCV22EO-.EH65VH2(D903)</v>
      </c>
      <c r="E445" s="33" t="s">
        <v>9</v>
      </c>
      <c r="F445" s="33" t="s">
        <v>9</v>
      </c>
      <c r="G445" s="35">
        <v>40</v>
      </c>
      <c r="H445" s="58">
        <v>48</v>
      </c>
      <c r="I445" s="36">
        <v>1</v>
      </c>
      <c r="J445" s="36">
        <v>1</v>
      </c>
      <c r="K445" s="36">
        <v>3</v>
      </c>
      <c r="L445" s="36">
        <f t="shared" si="106"/>
        <v>53</v>
      </c>
      <c r="M445" s="36">
        <f t="shared" si="104"/>
        <v>79.5</v>
      </c>
      <c r="N445" s="59">
        <v>21</v>
      </c>
      <c r="O445" s="36">
        <v>1</v>
      </c>
      <c r="P445" s="36">
        <v>1</v>
      </c>
      <c r="Q445" s="36">
        <v>1</v>
      </c>
      <c r="R445" s="36">
        <v>2</v>
      </c>
      <c r="S445" s="36">
        <f t="shared" si="105"/>
        <v>26</v>
      </c>
      <c r="T445" s="36">
        <f t="shared" si="96"/>
        <v>39</v>
      </c>
      <c r="U445" s="59">
        <v>12</v>
      </c>
      <c r="V445" s="36">
        <v>1</v>
      </c>
      <c r="W445" s="36">
        <v>0</v>
      </c>
      <c r="X445" s="36">
        <f t="shared" si="101"/>
        <v>13</v>
      </c>
      <c r="Y445" s="36">
        <f t="shared" si="102"/>
        <v>19.5</v>
      </c>
      <c r="Z445" s="36">
        <v>18</v>
      </c>
      <c r="AA445" s="36">
        <v>1</v>
      </c>
      <c r="AB445" s="36">
        <v>0</v>
      </c>
      <c r="AC445" s="36">
        <v>2</v>
      </c>
      <c r="AD445" s="36">
        <f t="shared" si="98"/>
        <v>21</v>
      </c>
      <c r="AE445" s="36">
        <f t="shared" si="103"/>
        <v>31.5</v>
      </c>
      <c r="AF445" s="36">
        <f t="shared" si="93"/>
        <v>60</v>
      </c>
      <c r="AG445" s="36">
        <f t="shared" si="93"/>
        <v>90</v>
      </c>
      <c r="AH445" s="36">
        <f t="shared" si="107"/>
        <v>113</v>
      </c>
      <c r="AI445" s="36">
        <f t="shared" si="107"/>
        <v>169.5</v>
      </c>
    </row>
    <row r="446" spans="1:35">
      <c r="A446" s="33" t="s">
        <v>335</v>
      </c>
      <c r="B446" s="33" t="s">
        <v>77</v>
      </c>
      <c r="C446" s="34" t="s">
        <v>193</v>
      </c>
      <c r="D446" s="33" t="str">
        <f t="shared" si="108"/>
        <v>P65USCV22EO-.EH65VH3(D903)</v>
      </c>
      <c r="E446" s="33" t="s">
        <v>9</v>
      </c>
      <c r="F446" s="33" t="s">
        <v>9</v>
      </c>
      <c r="G446" s="35">
        <v>40</v>
      </c>
      <c r="H446" s="58">
        <v>48</v>
      </c>
      <c r="I446" s="36">
        <v>1</v>
      </c>
      <c r="J446" s="36">
        <v>1</v>
      </c>
      <c r="K446" s="36">
        <v>3</v>
      </c>
      <c r="L446" s="36">
        <f t="shared" ref="L446:L468" si="109">SUM(H446:K446)</f>
        <v>53</v>
      </c>
      <c r="M446" s="36">
        <f t="shared" si="104"/>
        <v>79.5</v>
      </c>
      <c r="N446" s="59">
        <v>21</v>
      </c>
      <c r="O446" s="36">
        <v>1</v>
      </c>
      <c r="P446" s="36">
        <v>1</v>
      </c>
      <c r="Q446" s="36">
        <v>1</v>
      </c>
      <c r="R446" s="36">
        <v>2</v>
      </c>
      <c r="S446" s="36">
        <f t="shared" si="105"/>
        <v>26</v>
      </c>
      <c r="T446" s="36">
        <f t="shared" si="96"/>
        <v>39</v>
      </c>
      <c r="U446" s="59">
        <v>12</v>
      </c>
      <c r="V446" s="36">
        <v>1</v>
      </c>
      <c r="W446" s="36">
        <v>0</v>
      </c>
      <c r="X446" s="36">
        <f t="shared" si="101"/>
        <v>13</v>
      </c>
      <c r="Y446" s="36">
        <f t="shared" si="102"/>
        <v>19.5</v>
      </c>
      <c r="Z446" s="36">
        <v>18</v>
      </c>
      <c r="AA446" s="36">
        <v>1</v>
      </c>
      <c r="AB446" s="36">
        <v>0</v>
      </c>
      <c r="AC446" s="36">
        <v>2</v>
      </c>
      <c r="AD446" s="36">
        <f t="shared" si="98"/>
        <v>21</v>
      </c>
      <c r="AE446" s="36">
        <f t="shared" si="103"/>
        <v>31.5</v>
      </c>
      <c r="AF446" s="36">
        <f t="shared" si="93"/>
        <v>60</v>
      </c>
      <c r="AG446" s="36">
        <f t="shared" si="93"/>
        <v>90</v>
      </c>
      <c r="AH446" s="36">
        <f t="shared" si="107"/>
        <v>113</v>
      </c>
      <c r="AI446" s="36">
        <f t="shared" si="107"/>
        <v>169.5</v>
      </c>
    </row>
    <row r="447" spans="1:35">
      <c r="A447" s="33" t="s">
        <v>335</v>
      </c>
      <c r="B447" s="33" t="s">
        <v>77</v>
      </c>
      <c r="C447" s="34" t="s">
        <v>193</v>
      </c>
      <c r="D447" s="33" t="str">
        <f t="shared" si="108"/>
        <v>P65USCV22EO-.EH65VH3(D902)</v>
      </c>
      <c r="E447" s="33" t="s">
        <v>10</v>
      </c>
      <c r="F447" s="33" t="s">
        <v>10</v>
      </c>
      <c r="G447" s="35">
        <v>40</v>
      </c>
      <c r="H447" s="58">
        <v>74</v>
      </c>
      <c r="I447" s="36">
        <v>2</v>
      </c>
      <c r="J447" s="36">
        <v>2</v>
      </c>
      <c r="K447" s="36">
        <v>6</v>
      </c>
      <c r="L447" s="36">
        <f t="shared" si="109"/>
        <v>84</v>
      </c>
      <c r="M447" s="36">
        <f t="shared" si="104"/>
        <v>126</v>
      </c>
      <c r="N447" s="59">
        <v>27</v>
      </c>
      <c r="O447" s="36">
        <v>1</v>
      </c>
      <c r="P447" s="36">
        <v>1</v>
      </c>
      <c r="Q447" s="36">
        <v>1</v>
      </c>
      <c r="R447" s="36">
        <v>2</v>
      </c>
      <c r="S447" s="36">
        <f t="shared" si="105"/>
        <v>32</v>
      </c>
      <c r="T447" s="36">
        <f t="shared" si="96"/>
        <v>48</v>
      </c>
      <c r="U447" s="59">
        <v>16</v>
      </c>
      <c r="V447" s="36">
        <v>1</v>
      </c>
      <c r="W447" s="36">
        <v>0</v>
      </c>
      <c r="X447" s="36">
        <f t="shared" si="101"/>
        <v>17</v>
      </c>
      <c r="Y447" s="36">
        <f t="shared" si="102"/>
        <v>25.5</v>
      </c>
      <c r="Z447" s="36">
        <v>22</v>
      </c>
      <c r="AA447" s="36">
        <v>1</v>
      </c>
      <c r="AB447" s="36">
        <v>0</v>
      </c>
      <c r="AC447" s="36">
        <v>2</v>
      </c>
      <c r="AD447" s="36">
        <f t="shared" si="98"/>
        <v>25</v>
      </c>
      <c r="AE447" s="36">
        <f t="shared" si="103"/>
        <v>37.5</v>
      </c>
      <c r="AF447" s="36">
        <f t="shared" si="93"/>
        <v>74</v>
      </c>
      <c r="AG447" s="36">
        <f t="shared" si="93"/>
        <v>111</v>
      </c>
      <c r="AH447" s="36">
        <f t="shared" si="107"/>
        <v>158</v>
      </c>
      <c r="AI447" s="36">
        <f t="shared" si="107"/>
        <v>237</v>
      </c>
    </row>
    <row r="448" spans="1:35">
      <c r="A448" s="33" t="s">
        <v>335</v>
      </c>
      <c r="B448" s="33" t="s">
        <v>78</v>
      </c>
      <c r="C448" s="34" t="s">
        <v>472</v>
      </c>
      <c r="D448" s="33" t="str">
        <f t="shared" si="108"/>
        <v>P75USCV22EO-.EH75VH1(D903)</v>
      </c>
      <c r="E448" s="33" t="s">
        <v>9</v>
      </c>
      <c r="F448" s="33" t="s">
        <v>9</v>
      </c>
      <c r="G448" s="35">
        <v>30</v>
      </c>
      <c r="H448" s="58">
        <v>44</v>
      </c>
      <c r="I448" s="36">
        <v>1</v>
      </c>
      <c r="J448" s="36">
        <v>1</v>
      </c>
      <c r="K448" s="36">
        <v>3</v>
      </c>
      <c r="L448" s="36">
        <f t="shared" si="109"/>
        <v>49</v>
      </c>
      <c r="M448" s="36">
        <f t="shared" si="104"/>
        <v>98</v>
      </c>
      <c r="N448" s="59">
        <v>20</v>
      </c>
      <c r="O448" s="36">
        <v>1</v>
      </c>
      <c r="P448" s="36">
        <v>1</v>
      </c>
      <c r="Q448" s="36">
        <v>1</v>
      </c>
      <c r="R448" s="36">
        <v>2</v>
      </c>
      <c r="S448" s="36">
        <f t="shared" si="105"/>
        <v>25</v>
      </c>
      <c r="T448" s="36">
        <f t="shared" si="96"/>
        <v>50</v>
      </c>
      <c r="U448" s="59">
        <v>11</v>
      </c>
      <c r="V448" s="36">
        <v>1</v>
      </c>
      <c r="W448" s="36">
        <v>0</v>
      </c>
      <c r="X448" s="36">
        <f t="shared" si="101"/>
        <v>12</v>
      </c>
      <c r="Y448" s="36">
        <f t="shared" si="102"/>
        <v>24</v>
      </c>
      <c r="Z448" s="36">
        <v>16</v>
      </c>
      <c r="AA448" s="36">
        <v>1</v>
      </c>
      <c r="AB448" s="36">
        <v>0</v>
      </c>
      <c r="AC448" s="36">
        <v>2</v>
      </c>
      <c r="AD448" s="36">
        <f t="shared" si="98"/>
        <v>19</v>
      </c>
      <c r="AE448" s="36">
        <f t="shared" si="103"/>
        <v>38</v>
      </c>
      <c r="AF448" s="36">
        <f t="shared" si="93"/>
        <v>56</v>
      </c>
      <c r="AG448" s="36">
        <f t="shared" si="93"/>
        <v>112</v>
      </c>
      <c r="AH448" s="36">
        <f t="shared" si="107"/>
        <v>105</v>
      </c>
      <c r="AI448" s="36">
        <f t="shared" si="107"/>
        <v>210</v>
      </c>
    </row>
    <row r="449" spans="1:36">
      <c r="A449" s="33" t="s">
        <v>335</v>
      </c>
      <c r="B449" s="33" t="s">
        <v>78</v>
      </c>
      <c r="C449" s="34" t="s">
        <v>25</v>
      </c>
      <c r="D449" s="33" t="str">
        <f t="shared" si="108"/>
        <v>P75USCV22EO-.EH75VH2(D903)</v>
      </c>
      <c r="E449" s="33" t="s">
        <v>9</v>
      </c>
      <c r="F449" s="33" t="s">
        <v>9</v>
      </c>
      <c r="G449" s="35">
        <v>35</v>
      </c>
      <c r="H449" s="58">
        <v>48</v>
      </c>
      <c r="I449" s="36">
        <v>1</v>
      </c>
      <c r="J449" s="36">
        <v>1</v>
      </c>
      <c r="K449" s="36">
        <v>3</v>
      </c>
      <c r="L449" s="36">
        <f t="shared" si="109"/>
        <v>53</v>
      </c>
      <c r="M449" s="36">
        <f t="shared" si="104"/>
        <v>90.857142857142861</v>
      </c>
      <c r="N449" s="59">
        <v>21</v>
      </c>
      <c r="O449" s="36">
        <v>1</v>
      </c>
      <c r="P449" s="36">
        <v>1</v>
      </c>
      <c r="Q449" s="36">
        <v>1</v>
      </c>
      <c r="R449" s="36">
        <v>2</v>
      </c>
      <c r="S449" s="36">
        <f t="shared" si="105"/>
        <v>26</v>
      </c>
      <c r="T449" s="36">
        <f t="shared" si="96"/>
        <v>44.571428571428569</v>
      </c>
      <c r="U449" s="59">
        <v>12</v>
      </c>
      <c r="V449" s="36">
        <v>1</v>
      </c>
      <c r="W449" s="36">
        <v>0</v>
      </c>
      <c r="X449" s="36">
        <f t="shared" si="101"/>
        <v>13</v>
      </c>
      <c r="Y449" s="36">
        <f t="shared" si="102"/>
        <v>22.285714285714285</v>
      </c>
      <c r="Z449" s="36">
        <v>18</v>
      </c>
      <c r="AA449" s="36">
        <v>1</v>
      </c>
      <c r="AB449" s="36">
        <v>0</v>
      </c>
      <c r="AC449" s="36">
        <v>2</v>
      </c>
      <c r="AD449" s="36">
        <f t="shared" si="98"/>
        <v>21</v>
      </c>
      <c r="AE449" s="36">
        <f t="shared" si="103"/>
        <v>36</v>
      </c>
      <c r="AF449" s="36">
        <f t="shared" si="93"/>
        <v>60</v>
      </c>
      <c r="AG449" s="36">
        <f t="shared" si="93"/>
        <v>102.85714285714286</v>
      </c>
      <c r="AH449" s="36">
        <f t="shared" si="107"/>
        <v>113</v>
      </c>
      <c r="AI449" s="36">
        <f t="shared" si="107"/>
        <v>193.71428571428572</v>
      </c>
    </row>
    <row r="450" spans="1:36">
      <c r="A450" s="33" t="s">
        <v>335</v>
      </c>
      <c r="B450" s="33" t="s">
        <v>78</v>
      </c>
      <c r="C450" s="34" t="s">
        <v>194</v>
      </c>
      <c r="D450" s="33" t="str">
        <f t="shared" si="108"/>
        <v>P75USCV22EO-.EH75VH3(D903)</v>
      </c>
      <c r="E450" s="33" t="s">
        <v>9</v>
      </c>
      <c r="F450" s="33" t="s">
        <v>9</v>
      </c>
      <c r="G450" s="35">
        <v>35</v>
      </c>
      <c r="H450" s="58">
        <v>48</v>
      </c>
      <c r="I450" s="36">
        <v>1</v>
      </c>
      <c r="J450" s="36">
        <v>1</v>
      </c>
      <c r="K450" s="36">
        <v>3</v>
      </c>
      <c r="L450" s="36">
        <f t="shared" si="109"/>
        <v>53</v>
      </c>
      <c r="M450" s="36">
        <f t="shared" si="104"/>
        <v>90.857142857142861</v>
      </c>
      <c r="N450" s="59">
        <v>21</v>
      </c>
      <c r="O450" s="36">
        <v>1</v>
      </c>
      <c r="P450" s="36">
        <v>1</v>
      </c>
      <c r="Q450" s="36">
        <v>1</v>
      </c>
      <c r="R450" s="36">
        <v>2</v>
      </c>
      <c r="S450" s="36">
        <f t="shared" si="105"/>
        <v>26</v>
      </c>
      <c r="T450" s="36">
        <f t="shared" si="96"/>
        <v>44.571428571428569</v>
      </c>
      <c r="U450" s="59">
        <v>12</v>
      </c>
      <c r="V450" s="36">
        <v>1</v>
      </c>
      <c r="W450" s="36">
        <v>0</v>
      </c>
      <c r="X450" s="36">
        <f t="shared" si="101"/>
        <v>13</v>
      </c>
      <c r="Y450" s="36">
        <f t="shared" si="102"/>
        <v>22.285714285714285</v>
      </c>
      <c r="Z450" s="36">
        <v>18</v>
      </c>
      <c r="AA450" s="36">
        <v>1</v>
      </c>
      <c r="AB450" s="36">
        <v>0</v>
      </c>
      <c r="AC450" s="36">
        <v>2</v>
      </c>
      <c r="AD450" s="36">
        <f t="shared" si="98"/>
        <v>21</v>
      </c>
      <c r="AE450" s="36">
        <f t="shared" si="103"/>
        <v>36</v>
      </c>
      <c r="AF450" s="36">
        <f t="shared" ref="AF450:AG465" si="110">SUM(S450,X450,AD450)</f>
        <v>60</v>
      </c>
      <c r="AG450" s="36">
        <f t="shared" si="110"/>
        <v>102.85714285714286</v>
      </c>
      <c r="AH450" s="36">
        <f t="shared" si="107"/>
        <v>113</v>
      </c>
      <c r="AI450" s="36">
        <f t="shared" si="107"/>
        <v>193.71428571428572</v>
      </c>
    </row>
    <row r="451" spans="1:36">
      <c r="A451" s="33" t="s">
        <v>335</v>
      </c>
      <c r="B451" s="33" t="s">
        <v>79</v>
      </c>
      <c r="C451" s="34" t="s">
        <v>473</v>
      </c>
      <c r="D451" s="33" t="str">
        <f t="shared" si="108"/>
        <v>P86USCV22EO-.EH86VH1(D903)</v>
      </c>
      <c r="E451" s="33" t="s">
        <v>9</v>
      </c>
      <c r="F451" s="33" t="s">
        <v>9</v>
      </c>
      <c r="G451" s="35">
        <v>25</v>
      </c>
      <c r="H451" s="58">
        <v>44</v>
      </c>
      <c r="I451" s="36">
        <v>1</v>
      </c>
      <c r="J451" s="36">
        <v>1</v>
      </c>
      <c r="K451" s="36">
        <v>3</v>
      </c>
      <c r="L451" s="36">
        <f t="shared" si="109"/>
        <v>49</v>
      </c>
      <c r="M451" s="36">
        <f t="shared" si="104"/>
        <v>117.6</v>
      </c>
      <c r="N451" s="59">
        <v>20</v>
      </c>
      <c r="O451" s="36">
        <v>1</v>
      </c>
      <c r="P451" s="36">
        <v>1</v>
      </c>
      <c r="Q451" s="36">
        <v>1</v>
      </c>
      <c r="R451" s="36">
        <v>2</v>
      </c>
      <c r="S451" s="36">
        <f t="shared" si="105"/>
        <v>25</v>
      </c>
      <c r="T451" s="36">
        <f t="shared" si="96"/>
        <v>60</v>
      </c>
      <c r="U451" s="59">
        <v>11</v>
      </c>
      <c r="V451" s="36">
        <v>1</v>
      </c>
      <c r="W451" s="36">
        <v>0</v>
      </c>
      <c r="X451" s="36">
        <f t="shared" si="101"/>
        <v>12</v>
      </c>
      <c r="Y451" s="36">
        <f t="shared" si="102"/>
        <v>28.8</v>
      </c>
      <c r="Z451" s="36">
        <v>16</v>
      </c>
      <c r="AA451" s="36">
        <v>1</v>
      </c>
      <c r="AB451" s="36">
        <v>0</v>
      </c>
      <c r="AC451" s="36">
        <v>2</v>
      </c>
      <c r="AD451" s="36">
        <f t="shared" si="98"/>
        <v>19</v>
      </c>
      <c r="AE451" s="36">
        <f t="shared" si="103"/>
        <v>45.6</v>
      </c>
      <c r="AF451" s="36">
        <f t="shared" si="110"/>
        <v>56</v>
      </c>
      <c r="AG451" s="36">
        <f t="shared" si="110"/>
        <v>134.4</v>
      </c>
      <c r="AH451" s="36">
        <f t="shared" si="107"/>
        <v>105</v>
      </c>
      <c r="AI451" s="36">
        <f t="shared" si="107"/>
        <v>252</v>
      </c>
    </row>
    <row r="452" spans="1:36">
      <c r="A452" s="33" t="s">
        <v>335</v>
      </c>
      <c r="B452" s="33" t="s">
        <v>79</v>
      </c>
      <c r="C452" s="34" t="s">
        <v>26</v>
      </c>
      <c r="D452" s="33" t="str">
        <f t="shared" si="108"/>
        <v>P86USCV22EO-.EH86VH2(D903)</v>
      </c>
      <c r="E452" s="33" t="s">
        <v>9</v>
      </c>
      <c r="F452" s="33" t="s">
        <v>9</v>
      </c>
      <c r="G452" s="35">
        <v>30</v>
      </c>
      <c r="H452" s="58">
        <v>48</v>
      </c>
      <c r="I452" s="36">
        <v>1</v>
      </c>
      <c r="J452" s="36">
        <v>1</v>
      </c>
      <c r="K452" s="36">
        <v>3</v>
      </c>
      <c r="L452" s="36">
        <f t="shared" si="109"/>
        <v>53</v>
      </c>
      <c r="M452" s="36">
        <f t="shared" si="104"/>
        <v>106</v>
      </c>
      <c r="N452" s="59">
        <v>21</v>
      </c>
      <c r="O452" s="36">
        <v>1</v>
      </c>
      <c r="P452" s="36">
        <v>1</v>
      </c>
      <c r="Q452" s="36">
        <v>1</v>
      </c>
      <c r="R452" s="36">
        <v>2</v>
      </c>
      <c r="S452" s="36">
        <f t="shared" si="105"/>
        <v>26</v>
      </c>
      <c r="T452" s="36">
        <f t="shared" si="96"/>
        <v>52</v>
      </c>
      <c r="U452" s="59">
        <v>12</v>
      </c>
      <c r="V452" s="36">
        <v>1</v>
      </c>
      <c r="W452" s="36">
        <v>0</v>
      </c>
      <c r="X452" s="36">
        <f t="shared" si="101"/>
        <v>13</v>
      </c>
      <c r="Y452" s="36">
        <f t="shared" si="102"/>
        <v>26</v>
      </c>
      <c r="Z452" s="36">
        <v>18</v>
      </c>
      <c r="AA452" s="36">
        <v>1</v>
      </c>
      <c r="AB452" s="36">
        <v>0</v>
      </c>
      <c r="AC452" s="36">
        <v>2</v>
      </c>
      <c r="AD452" s="36">
        <f t="shared" si="98"/>
        <v>21</v>
      </c>
      <c r="AE452" s="36">
        <f t="shared" si="103"/>
        <v>42</v>
      </c>
      <c r="AF452" s="36">
        <f t="shared" si="110"/>
        <v>60</v>
      </c>
      <c r="AG452" s="36">
        <f t="shared" si="110"/>
        <v>120</v>
      </c>
      <c r="AH452" s="36">
        <f t="shared" si="107"/>
        <v>113</v>
      </c>
      <c r="AI452" s="36">
        <f t="shared" si="107"/>
        <v>226</v>
      </c>
    </row>
    <row r="453" spans="1:36">
      <c r="A453" s="33" t="s">
        <v>335</v>
      </c>
      <c r="B453" s="33" t="s">
        <v>79</v>
      </c>
      <c r="C453" s="34" t="s">
        <v>195</v>
      </c>
      <c r="D453" s="33" t="str">
        <f t="shared" si="108"/>
        <v>P86USCV22EO-.EH86VH3(D903)</v>
      </c>
      <c r="E453" s="33" t="s">
        <v>9</v>
      </c>
      <c r="F453" s="33" t="s">
        <v>9</v>
      </c>
      <c r="G453" s="35">
        <v>30</v>
      </c>
      <c r="H453" s="58">
        <v>48</v>
      </c>
      <c r="I453" s="36">
        <v>1</v>
      </c>
      <c r="J453" s="36">
        <v>1</v>
      </c>
      <c r="K453" s="36">
        <v>3</v>
      </c>
      <c r="L453" s="36">
        <f t="shared" si="109"/>
        <v>53</v>
      </c>
      <c r="M453" s="36">
        <f t="shared" si="104"/>
        <v>106</v>
      </c>
      <c r="N453" s="59">
        <v>21</v>
      </c>
      <c r="O453" s="36">
        <v>1</v>
      </c>
      <c r="P453" s="36">
        <v>1</v>
      </c>
      <c r="Q453" s="36">
        <v>1</v>
      </c>
      <c r="R453" s="36">
        <v>2</v>
      </c>
      <c r="S453" s="36">
        <f t="shared" si="105"/>
        <v>26</v>
      </c>
      <c r="T453" s="36">
        <f t="shared" si="96"/>
        <v>52</v>
      </c>
      <c r="U453" s="59">
        <v>12</v>
      </c>
      <c r="V453" s="36">
        <v>1</v>
      </c>
      <c r="W453" s="36">
        <v>0</v>
      </c>
      <c r="X453" s="36">
        <f t="shared" si="101"/>
        <v>13</v>
      </c>
      <c r="Y453" s="36">
        <f t="shared" si="102"/>
        <v>26</v>
      </c>
      <c r="Z453" s="36">
        <v>18</v>
      </c>
      <c r="AA453" s="36">
        <v>1</v>
      </c>
      <c r="AB453" s="36">
        <v>0</v>
      </c>
      <c r="AC453" s="36">
        <v>2</v>
      </c>
      <c r="AD453" s="36">
        <f t="shared" si="98"/>
        <v>21</v>
      </c>
      <c r="AE453" s="36">
        <f t="shared" si="103"/>
        <v>42</v>
      </c>
      <c r="AF453" s="36">
        <f t="shared" si="110"/>
        <v>60</v>
      </c>
      <c r="AG453" s="36">
        <f t="shared" si="110"/>
        <v>120</v>
      </c>
      <c r="AH453" s="36">
        <f t="shared" si="107"/>
        <v>113</v>
      </c>
      <c r="AI453" s="36">
        <f t="shared" si="107"/>
        <v>226</v>
      </c>
    </row>
    <row r="454" spans="1:36">
      <c r="A454" s="33" t="s">
        <v>335</v>
      </c>
      <c r="B454" s="33" t="s">
        <v>231</v>
      </c>
      <c r="C454" s="34" t="s">
        <v>213</v>
      </c>
      <c r="D454" s="33" t="str">
        <f t="shared" si="108"/>
        <v>P65USCV22FO-.CE65VK1(D902)</v>
      </c>
      <c r="E454" s="33" t="s">
        <v>10</v>
      </c>
      <c r="F454" s="33" t="s">
        <v>10</v>
      </c>
      <c r="G454" s="35">
        <v>40</v>
      </c>
      <c r="H454" s="58">
        <v>74</v>
      </c>
      <c r="I454" s="36">
        <v>2</v>
      </c>
      <c r="J454" s="36">
        <v>2</v>
      </c>
      <c r="K454" s="36">
        <v>6</v>
      </c>
      <c r="L454" s="36">
        <f t="shared" si="109"/>
        <v>84</v>
      </c>
      <c r="M454" s="36">
        <f t="shared" si="104"/>
        <v>126</v>
      </c>
      <c r="N454" s="59">
        <v>27</v>
      </c>
      <c r="O454" s="36">
        <v>1</v>
      </c>
      <c r="P454" s="36">
        <v>1</v>
      </c>
      <c r="Q454" s="36">
        <v>1</v>
      </c>
      <c r="R454" s="36">
        <v>2</v>
      </c>
      <c r="S454" s="36">
        <f t="shared" si="105"/>
        <v>32</v>
      </c>
      <c r="T454" s="36">
        <f t="shared" si="96"/>
        <v>48</v>
      </c>
      <c r="U454" s="59">
        <v>16</v>
      </c>
      <c r="V454" s="36">
        <v>1</v>
      </c>
      <c r="W454" s="36">
        <v>0</v>
      </c>
      <c r="X454" s="36">
        <f t="shared" si="101"/>
        <v>17</v>
      </c>
      <c r="Y454" s="36">
        <f t="shared" si="102"/>
        <v>25.5</v>
      </c>
      <c r="Z454" s="36">
        <v>22</v>
      </c>
      <c r="AA454" s="36">
        <v>1</v>
      </c>
      <c r="AB454" s="36">
        <v>0</v>
      </c>
      <c r="AC454" s="36">
        <v>2</v>
      </c>
      <c r="AD454" s="36">
        <f t="shared" si="98"/>
        <v>25</v>
      </c>
      <c r="AE454" s="36">
        <f t="shared" si="103"/>
        <v>37.5</v>
      </c>
      <c r="AF454" s="36">
        <f t="shared" si="110"/>
        <v>74</v>
      </c>
      <c r="AG454" s="36">
        <f t="shared" si="110"/>
        <v>111</v>
      </c>
      <c r="AH454" s="36">
        <f t="shared" si="107"/>
        <v>158</v>
      </c>
      <c r="AI454" s="36">
        <f t="shared" si="107"/>
        <v>237</v>
      </c>
    </row>
    <row r="455" spans="1:36">
      <c r="A455" s="33" t="s">
        <v>335</v>
      </c>
      <c r="B455" s="33" t="s">
        <v>231</v>
      </c>
      <c r="C455" s="34" t="s">
        <v>213</v>
      </c>
      <c r="D455" s="33" t="str">
        <f t="shared" si="108"/>
        <v>P65USCV22FO-.CE65VK1(D903)</v>
      </c>
      <c r="E455" s="33" t="s">
        <v>9</v>
      </c>
      <c r="F455" s="33" t="s">
        <v>9</v>
      </c>
      <c r="G455" s="35">
        <v>40</v>
      </c>
      <c r="H455" s="58">
        <v>48</v>
      </c>
      <c r="I455" s="36">
        <v>1</v>
      </c>
      <c r="J455" s="36">
        <v>1</v>
      </c>
      <c r="K455" s="36">
        <v>3</v>
      </c>
      <c r="L455" s="36">
        <f t="shared" si="109"/>
        <v>53</v>
      </c>
      <c r="M455" s="36">
        <f t="shared" si="104"/>
        <v>79.5</v>
      </c>
      <c r="N455" s="59">
        <v>21</v>
      </c>
      <c r="O455" s="36">
        <v>1</v>
      </c>
      <c r="P455" s="36">
        <v>1</v>
      </c>
      <c r="Q455" s="36">
        <v>1</v>
      </c>
      <c r="R455" s="36">
        <v>2</v>
      </c>
      <c r="S455" s="36">
        <f t="shared" si="105"/>
        <v>26</v>
      </c>
      <c r="T455" s="36">
        <f t="shared" si="96"/>
        <v>39</v>
      </c>
      <c r="U455" s="59">
        <v>12</v>
      </c>
      <c r="V455" s="36">
        <v>1</v>
      </c>
      <c r="W455" s="36">
        <v>0</v>
      </c>
      <c r="X455" s="36">
        <f t="shared" si="101"/>
        <v>13</v>
      </c>
      <c r="Y455" s="36">
        <f t="shared" si="102"/>
        <v>19.5</v>
      </c>
      <c r="Z455" s="36">
        <v>18</v>
      </c>
      <c r="AA455" s="36">
        <v>1</v>
      </c>
      <c r="AB455" s="36">
        <v>0</v>
      </c>
      <c r="AC455" s="36">
        <v>2</v>
      </c>
      <c r="AD455" s="36">
        <f t="shared" si="98"/>
        <v>21</v>
      </c>
      <c r="AE455" s="36">
        <f t="shared" si="103"/>
        <v>31.5</v>
      </c>
      <c r="AF455" s="36">
        <f t="shared" si="110"/>
        <v>60</v>
      </c>
      <c r="AG455" s="36">
        <f t="shared" si="110"/>
        <v>90</v>
      </c>
      <c r="AH455" s="36">
        <f t="shared" si="107"/>
        <v>113</v>
      </c>
      <c r="AI455" s="36">
        <f t="shared" si="107"/>
        <v>169.5</v>
      </c>
    </row>
    <row r="456" spans="1:36">
      <c r="A456" s="33" t="s">
        <v>335</v>
      </c>
      <c r="B456" s="33" t="s">
        <v>474</v>
      </c>
      <c r="C456" s="34" t="s">
        <v>475</v>
      </c>
      <c r="D456" s="33" t="str">
        <f t="shared" si="108"/>
        <v>P75USCV22FO-.CE75VK1(D903)</v>
      </c>
      <c r="E456" s="33" t="s">
        <v>9</v>
      </c>
      <c r="F456" s="33" t="s">
        <v>9</v>
      </c>
      <c r="G456" s="35">
        <v>35</v>
      </c>
      <c r="H456" s="58">
        <v>48</v>
      </c>
      <c r="I456" s="36">
        <v>1</v>
      </c>
      <c r="J456" s="36">
        <v>1</v>
      </c>
      <c r="K456" s="36">
        <v>3</v>
      </c>
      <c r="L456" s="36">
        <f t="shared" si="109"/>
        <v>53</v>
      </c>
      <c r="M456" s="36">
        <f t="shared" si="104"/>
        <v>90.857142857142861</v>
      </c>
      <c r="N456" s="59">
        <v>21</v>
      </c>
      <c r="O456" s="36">
        <v>1</v>
      </c>
      <c r="P456" s="36">
        <v>1</v>
      </c>
      <c r="Q456" s="36">
        <v>1</v>
      </c>
      <c r="R456" s="36">
        <v>2</v>
      </c>
      <c r="S456" s="36">
        <f t="shared" si="105"/>
        <v>26</v>
      </c>
      <c r="T456" s="36">
        <f t="shared" si="96"/>
        <v>44.571428571428569</v>
      </c>
      <c r="U456" s="59">
        <v>12</v>
      </c>
      <c r="V456" s="36">
        <v>1</v>
      </c>
      <c r="W456" s="36">
        <v>0</v>
      </c>
      <c r="X456" s="36">
        <f t="shared" ref="X456:X462" si="111">SUM(U456:W456)</f>
        <v>13</v>
      </c>
      <c r="Y456" s="36">
        <f t="shared" si="102"/>
        <v>22.285714285714285</v>
      </c>
      <c r="Z456" s="36">
        <v>18</v>
      </c>
      <c r="AA456" s="36">
        <v>1</v>
      </c>
      <c r="AB456" s="36">
        <v>0</v>
      </c>
      <c r="AC456" s="36">
        <v>2</v>
      </c>
      <c r="AD456" s="36">
        <f t="shared" si="98"/>
        <v>21</v>
      </c>
      <c r="AE456" s="36">
        <f t="shared" si="103"/>
        <v>36</v>
      </c>
      <c r="AF456" s="36">
        <f t="shared" si="110"/>
        <v>60</v>
      </c>
      <c r="AG456" s="36">
        <f t="shared" si="110"/>
        <v>102.85714285714286</v>
      </c>
      <c r="AH456" s="36">
        <f t="shared" si="107"/>
        <v>113</v>
      </c>
      <c r="AI456" s="36">
        <f t="shared" si="107"/>
        <v>193.71428571428572</v>
      </c>
    </row>
    <row r="457" spans="1:36">
      <c r="A457" s="33" t="s">
        <v>335</v>
      </c>
      <c r="B457" s="33" t="s">
        <v>80</v>
      </c>
      <c r="C457" s="34" t="s">
        <v>23</v>
      </c>
      <c r="D457" s="33" t="str">
        <f t="shared" si="108"/>
        <v>P86USCV22EO-.CE86VK1(D903)</v>
      </c>
      <c r="E457" s="33" t="s">
        <v>9</v>
      </c>
      <c r="F457" s="33" t="s">
        <v>9</v>
      </c>
      <c r="G457" s="35">
        <v>30</v>
      </c>
      <c r="H457" s="58">
        <v>48</v>
      </c>
      <c r="I457" s="36">
        <v>1</v>
      </c>
      <c r="J457" s="36">
        <v>1</v>
      </c>
      <c r="K457" s="36">
        <v>3</v>
      </c>
      <c r="L457" s="36">
        <f t="shared" si="109"/>
        <v>53</v>
      </c>
      <c r="M457" s="36">
        <f t="shared" si="104"/>
        <v>106</v>
      </c>
      <c r="N457" s="59">
        <v>21</v>
      </c>
      <c r="O457" s="36">
        <v>1</v>
      </c>
      <c r="P457" s="36">
        <v>1</v>
      </c>
      <c r="Q457" s="36">
        <v>1</v>
      </c>
      <c r="R457" s="36">
        <v>2</v>
      </c>
      <c r="S457" s="36">
        <f t="shared" si="105"/>
        <v>26</v>
      </c>
      <c r="T457" s="36">
        <f t="shared" si="96"/>
        <v>52</v>
      </c>
      <c r="U457" s="59">
        <v>12</v>
      </c>
      <c r="V457" s="36">
        <v>1</v>
      </c>
      <c r="W457" s="36">
        <v>0</v>
      </c>
      <c r="X457" s="36">
        <f t="shared" si="111"/>
        <v>13</v>
      </c>
      <c r="Y457" s="36">
        <f t="shared" si="102"/>
        <v>26</v>
      </c>
      <c r="Z457" s="36">
        <v>18</v>
      </c>
      <c r="AA457" s="36">
        <v>1</v>
      </c>
      <c r="AB457" s="36">
        <v>0</v>
      </c>
      <c r="AC457" s="36">
        <v>2</v>
      </c>
      <c r="AD457" s="36">
        <f t="shared" si="98"/>
        <v>21</v>
      </c>
      <c r="AE457" s="36">
        <f t="shared" si="103"/>
        <v>42</v>
      </c>
      <c r="AF457" s="36">
        <f t="shared" si="110"/>
        <v>60</v>
      </c>
      <c r="AG457" s="36">
        <f t="shared" si="110"/>
        <v>120</v>
      </c>
      <c r="AH457" s="36">
        <f t="shared" si="107"/>
        <v>113</v>
      </c>
      <c r="AI457" s="36">
        <f t="shared" si="107"/>
        <v>226</v>
      </c>
    </row>
    <row r="458" spans="1:36" s="64" customFormat="1">
      <c r="A458" s="46" t="s">
        <v>335</v>
      </c>
      <c r="B458" s="46" t="s">
        <v>476</v>
      </c>
      <c r="C458" s="47" t="s">
        <v>477</v>
      </c>
      <c r="D458" s="46" t="str">
        <f t="shared" si="108"/>
        <v>P43USCV22EO-.W43PNC1(D902)</v>
      </c>
      <c r="E458" s="46" t="s">
        <v>10</v>
      </c>
      <c r="F458" s="46" t="s">
        <v>10</v>
      </c>
      <c r="G458" s="48">
        <v>80</v>
      </c>
      <c r="H458" s="61">
        <v>33</v>
      </c>
      <c r="I458" s="49">
        <v>1</v>
      </c>
      <c r="J458" s="49">
        <v>1</v>
      </c>
      <c r="K458" s="49">
        <v>3</v>
      </c>
      <c r="L458" s="49">
        <f t="shared" si="109"/>
        <v>38</v>
      </c>
      <c r="M458" s="49">
        <f t="shared" si="104"/>
        <v>28.5</v>
      </c>
      <c r="N458" s="62">
        <v>31</v>
      </c>
      <c r="O458" s="49">
        <v>1</v>
      </c>
      <c r="P458" s="49">
        <v>1</v>
      </c>
      <c r="Q458" s="49">
        <v>1</v>
      </c>
      <c r="R458" s="49">
        <v>2</v>
      </c>
      <c r="S458" s="49">
        <f t="shared" si="105"/>
        <v>36</v>
      </c>
      <c r="T458" s="49">
        <f t="shared" si="96"/>
        <v>27</v>
      </c>
      <c r="U458" s="62">
        <v>14</v>
      </c>
      <c r="V458" s="49">
        <v>1</v>
      </c>
      <c r="W458" s="49">
        <v>0</v>
      </c>
      <c r="X458" s="49">
        <f t="shared" si="111"/>
        <v>15</v>
      </c>
      <c r="Y458" s="49">
        <f t="shared" si="102"/>
        <v>11.25</v>
      </c>
      <c r="Z458" s="49">
        <v>25</v>
      </c>
      <c r="AA458" s="49">
        <v>1</v>
      </c>
      <c r="AB458" s="49">
        <v>1</v>
      </c>
      <c r="AC458" s="49">
        <v>2</v>
      </c>
      <c r="AD458" s="49">
        <f t="shared" si="98"/>
        <v>29</v>
      </c>
      <c r="AE458" s="49">
        <f t="shared" si="103"/>
        <v>21.75</v>
      </c>
      <c r="AF458" s="49">
        <f t="shared" si="110"/>
        <v>80</v>
      </c>
      <c r="AG458" s="49">
        <f t="shared" si="110"/>
        <v>60</v>
      </c>
      <c r="AH458" s="49">
        <f t="shared" si="107"/>
        <v>118</v>
      </c>
      <c r="AI458" s="49">
        <f t="shared" si="107"/>
        <v>88.5</v>
      </c>
      <c r="AJ458" s="63"/>
    </row>
    <row r="459" spans="1:36" s="64" customFormat="1">
      <c r="A459" s="46" t="s">
        <v>335</v>
      </c>
      <c r="B459" s="46" t="s">
        <v>478</v>
      </c>
      <c r="C459" s="47" t="s">
        <v>479</v>
      </c>
      <c r="D459" s="46" t="str">
        <f t="shared" si="108"/>
        <v>P55USCV22EO-.W55PNC1(D902)</v>
      </c>
      <c r="E459" s="46" t="s">
        <v>10</v>
      </c>
      <c r="F459" s="46" t="s">
        <v>10</v>
      </c>
      <c r="G459" s="48">
        <v>70</v>
      </c>
      <c r="H459" s="61">
        <v>33</v>
      </c>
      <c r="I459" s="49">
        <v>1</v>
      </c>
      <c r="J459" s="49">
        <v>1</v>
      </c>
      <c r="K459" s="49">
        <v>3</v>
      </c>
      <c r="L459" s="49">
        <f t="shared" si="109"/>
        <v>38</v>
      </c>
      <c r="M459" s="49">
        <f t="shared" si="104"/>
        <v>32.571428571428569</v>
      </c>
      <c r="N459" s="62">
        <v>30</v>
      </c>
      <c r="O459" s="49">
        <v>1</v>
      </c>
      <c r="P459" s="49">
        <v>1</v>
      </c>
      <c r="Q459" s="49">
        <v>1</v>
      </c>
      <c r="R459" s="49">
        <v>2</v>
      </c>
      <c r="S459" s="49">
        <f t="shared" si="105"/>
        <v>35</v>
      </c>
      <c r="T459" s="49">
        <f t="shared" si="96"/>
        <v>30</v>
      </c>
      <c r="U459" s="62">
        <v>14</v>
      </c>
      <c r="V459" s="49">
        <v>1</v>
      </c>
      <c r="W459" s="49">
        <v>0</v>
      </c>
      <c r="X459" s="49">
        <f t="shared" si="111"/>
        <v>15</v>
      </c>
      <c r="Y459" s="49">
        <f t="shared" si="102"/>
        <v>12.857142857142858</v>
      </c>
      <c r="Z459" s="49">
        <v>25</v>
      </c>
      <c r="AA459" s="49">
        <v>1</v>
      </c>
      <c r="AB459" s="49">
        <v>1</v>
      </c>
      <c r="AC459" s="49">
        <v>2</v>
      </c>
      <c r="AD459" s="49">
        <f t="shared" si="98"/>
        <v>29</v>
      </c>
      <c r="AE459" s="49">
        <f t="shared" si="103"/>
        <v>24.857142857142858</v>
      </c>
      <c r="AF459" s="49">
        <f t="shared" si="110"/>
        <v>79</v>
      </c>
      <c r="AG459" s="49">
        <f t="shared" si="110"/>
        <v>67.714285714285722</v>
      </c>
      <c r="AH459" s="49">
        <f t="shared" si="107"/>
        <v>117</v>
      </c>
      <c r="AI459" s="49">
        <f t="shared" si="107"/>
        <v>100.28571428571429</v>
      </c>
      <c r="AJ459" s="63"/>
    </row>
    <row r="460" spans="1:36" s="64" customFormat="1">
      <c r="A460" s="46" t="s">
        <v>335</v>
      </c>
      <c r="B460" s="46" t="s">
        <v>480</v>
      </c>
      <c r="C460" s="47" t="s">
        <v>481</v>
      </c>
      <c r="D460" s="46" t="str">
        <f t="shared" si="108"/>
        <v>P65USCV22FO-.W65PNC1(D903)</v>
      </c>
      <c r="E460" s="46" t="s">
        <v>9</v>
      </c>
      <c r="F460" s="46" t="s">
        <v>9</v>
      </c>
      <c r="G460" s="48">
        <v>40</v>
      </c>
      <c r="H460" s="61">
        <v>32</v>
      </c>
      <c r="I460" s="49">
        <v>1</v>
      </c>
      <c r="J460" s="49">
        <v>1</v>
      </c>
      <c r="K460" s="49">
        <v>3</v>
      </c>
      <c r="L460" s="49">
        <f t="shared" si="109"/>
        <v>37</v>
      </c>
      <c r="M460" s="49">
        <f t="shared" si="104"/>
        <v>55.5</v>
      </c>
      <c r="N460" s="62">
        <v>19</v>
      </c>
      <c r="O460" s="49">
        <v>1</v>
      </c>
      <c r="P460" s="49">
        <v>1</v>
      </c>
      <c r="Q460" s="49">
        <v>1</v>
      </c>
      <c r="R460" s="49">
        <v>2</v>
      </c>
      <c r="S460" s="49">
        <f t="shared" si="105"/>
        <v>24</v>
      </c>
      <c r="T460" s="49">
        <f t="shared" si="96"/>
        <v>36</v>
      </c>
      <c r="U460" s="62">
        <v>11</v>
      </c>
      <c r="V460" s="49">
        <v>1</v>
      </c>
      <c r="W460" s="49">
        <v>0</v>
      </c>
      <c r="X460" s="49">
        <f t="shared" si="111"/>
        <v>12</v>
      </c>
      <c r="Y460" s="49">
        <f t="shared" si="102"/>
        <v>18</v>
      </c>
      <c r="Z460" s="49">
        <v>22</v>
      </c>
      <c r="AA460" s="49">
        <v>1</v>
      </c>
      <c r="AB460" s="49">
        <v>0</v>
      </c>
      <c r="AC460" s="49">
        <v>2</v>
      </c>
      <c r="AD460" s="49">
        <f t="shared" ref="AD460:AD483" si="112">SUM(Z460:AC460)</f>
        <v>25</v>
      </c>
      <c r="AE460" s="49">
        <f t="shared" si="103"/>
        <v>37.5</v>
      </c>
      <c r="AF460" s="49">
        <f t="shared" si="110"/>
        <v>61</v>
      </c>
      <c r="AG460" s="49">
        <f t="shared" si="110"/>
        <v>91.5</v>
      </c>
      <c r="AH460" s="49">
        <f t="shared" si="107"/>
        <v>98</v>
      </c>
      <c r="AI460" s="49">
        <f t="shared" si="107"/>
        <v>147</v>
      </c>
      <c r="AJ460" s="63"/>
    </row>
    <row r="461" spans="1:36" s="64" customFormat="1">
      <c r="A461" s="46" t="s">
        <v>335</v>
      </c>
      <c r="B461" s="46" t="s">
        <v>482</v>
      </c>
      <c r="C461" s="47" t="s">
        <v>483</v>
      </c>
      <c r="D461" s="46" t="str">
        <f t="shared" si="108"/>
        <v>P75USCV22FO-.W75PNC1(D903)</v>
      </c>
      <c r="E461" s="46" t="s">
        <v>9</v>
      </c>
      <c r="F461" s="46" t="s">
        <v>9</v>
      </c>
      <c r="G461" s="48">
        <v>35</v>
      </c>
      <c r="H461" s="61">
        <v>32</v>
      </c>
      <c r="I461" s="49">
        <v>1</v>
      </c>
      <c r="J461" s="49">
        <v>1</v>
      </c>
      <c r="K461" s="49">
        <v>3</v>
      </c>
      <c r="L461" s="49">
        <f t="shared" si="109"/>
        <v>37</v>
      </c>
      <c r="M461" s="49">
        <f t="shared" si="104"/>
        <v>63.428571428571431</v>
      </c>
      <c r="N461" s="62">
        <v>19</v>
      </c>
      <c r="O461" s="49">
        <v>1</v>
      </c>
      <c r="P461" s="49">
        <v>1</v>
      </c>
      <c r="Q461" s="49">
        <v>1</v>
      </c>
      <c r="R461" s="49">
        <v>2</v>
      </c>
      <c r="S461" s="49">
        <f t="shared" si="105"/>
        <v>24</v>
      </c>
      <c r="T461" s="49">
        <f t="shared" si="96"/>
        <v>41.142857142857146</v>
      </c>
      <c r="U461" s="62">
        <v>11</v>
      </c>
      <c r="V461" s="49">
        <v>1</v>
      </c>
      <c r="W461" s="49">
        <v>0</v>
      </c>
      <c r="X461" s="49">
        <f t="shared" si="111"/>
        <v>12</v>
      </c>
      <c r="Y461" s="49">
        <f t="shared" si="102"/>
        <v>20.571428571428573</v>
      </c>
      <c r="Z461" s="49">
        <v>22</v>
      </c>
      <c r="AA461" s="49">
        <v>1</v>
      </c>
      <c r="AB461" s="49">
        <v>0</v>
      </c>
      <c r="AC461" s="49">
        <v>2</v>
      </c>
      <c r="AD461" s="49">
        <f t="shared" si="112"/>
        <v>25</v>
      </c>
      <c r="AE461" s="49">
        <f t="shared" si="103"/>
        <v>42.857142857142854</v>
      </c>
      <c r="AF461" s="49">
        <f t="shared" si="110"/>
        <v>61</v>
      </c>
      <c r="AG461" s="49">
        <f t="shared" si="110"/>
        <v>104.57142857142858</v>
      </c>
      <c r="AH461" s="49">
        <f t="shared" si="107"/>
        <v>98</v>
      </c>
      <c r="AI461" s="49">
        <f t="shared" si="107"/>
        <v>168</v>
      </c>
      <c r="AJ461" s="63"/>
    </row>
    <row r="462" spans="1:36" s="64" customFormat="1">
      <c r="A462" s="46" t="s">
        <v>335</v>
      </c>
      <c r="B462" s="46" t="s">
        <v>484</v>
      </c>
      <c r="C462" s="47" t="s">
        <v>485</v>
      </c>
      <c r="D462" s="46" t="str">
        <f t="shared" si="108"/>
        <v>P86USCV22FO-.W86PNC1(D903)</v>
      </c>
      <c r="E462" s="46" t="s">
        <v>9</v>
      </c>
      <c r="F462" s="46" t="s">
        <v>9</v>
      </c>
      <c r="G462" s="48">
        <v>30</v>
      </c>
      <c r="H462" s="61">
        <v>32</v>
      </c>
      <c r="I462" s="49">
        <v>1</v>
      </c>
      <c r="J462" s="49">
        <v>1</v>
      </c>
      <c r="K462" s="49">
        <v>3</v>
      </c>
      <c r="L462" s="49">
        <f t="shared" si="109"/>
        <v>37</v>
      </c>
      <c r="M462" s="49">
        <f t="shared" si="104"/>
        <v>74</v>
      </c>
      <c r="N462" s="62">
        <v>19</v>
      </c>
      <c r="O462" s="49">
        <v>1</v>
      </c>
      <c r="P462" s="49">
        <v>1</v>
      </c>
      <c r="Q462" s="49">
        <v>1</v>
      </c>
      <c r="R462" s="49">
        <v>2</v>
      </c>
      <c r="S462" s="49">
        <f t="shared" si="105"/>
        <v>24</v>
      </c>
      <c r="T462" s="49">
        <f t="shared" si="96"/>
        <v>48</v>
      </c>
      <c r="U462" s="62">
        <v>11</v>
      </c>
      <c r="V462" s="49">
        <v>1</v>
      </c>
      <c r="W462" s="49">
        <v>0</v>
      </c>
      <c r="X462" s="49">
        <f t="shared" si="111"/>
        <v>12</v>
      </c>
      <c r="Y462" s="49">
        <f t="shared" si="102"/>
        <v>24</v>
      </c>
      <c r="Z462" s="49">
        <v>22</v>
      </c>
      <c r="AA462" s="49">
        <v>1</v>
      </c>
      <c r="AB462" s="49">
        <v>0</v>
      </c>
      <c r="AC462" s="49">
        <v>2</v>
      </c>
      <c r="AD462" s="49">
        <f t="shared" si="112"/>
        <v>25</v>
      </c>
      <c r="AE462" s="49">
        <f t="shared" si="103"/>
        <v>50</v>
      </c>
      <c r="AF462" s="49">
        <f t="shared" si="110"/>
        <v>61</v>
      </c>
      <c r="AG462" s="49">
        <f t="shared" si="110"/>
        <v>122</v>
      </c>
      <c r="AH462" s="49">
        <f t="shared" si="107"/>
        <v>98</v>
      </c>
      <c r="AI462" s="49">
        <f t="shared" si="107"/>
        <v>196</v>
      </c>
      <c r="AJ462" s="63"/>
    </row>
    <row r="463" spans="1:36" s="64" customFormat="1">
      <c r="A463" s="42" t="s">
        <v>335</v>
      </c>
      <c r="B463" s="42" t="s">
        <v>486</v>
      </c>
      <c r="C463" s="43" t="s">
        <v>487</v>
      </c>
      <c r="D463" s="42" t="str">
        <f t="shared" si="108"/>
        <v>P65USCV22EO-.EK65XG1(D903)</v>
      </c>
      <c r="E463" s="42" t="s">
        <v>9</v>
      </c>
      <c r="F463" s="42" t="s">
        <v>9</v>
      </c>
      <c r="G463" s="44">
        <v>25</v>
      </c>
      <c r="H463" s="65">
        <v>49</v>
      </c>
      <c r="I463" s="45">
        <v>1</v>
      </c>
      <c r="J463" s="45">
        <v>1</v>
      </c>
      <c r="K463" s="45">
        <v>3</v>
      </c>
      <c r="L463" s="45">
        <f t="shared" si="109"/>
        <v>54</v>
      </c>
      <c r="M463" s="45">
        <f t="shared" si="104"/>
        <v>129.6</v>
      </c>
      <c r="N463" s="66">
        <v>23</v>
      </c>
      <c r="O463" s="45">
        <v>1</v>
      </c>
      <c r="P463" s="45">
        <v>1</v>
      </c>
      <c r="Q463" s="45">
        <v>1</v>
      </c>
      <c r="R463" s="45">
        <v>2</v>
      </c>
      <c r="S463" s="45">
        <f t="shared" si="105"/>
        <v>28</v>
      </c>
      <c r="T463" s="45">
        <f t="shared" si="96"/>
        <v>67.2</v>
      </c>
      <c r="U463" s="66">
        <v>15</v>
      </c>
      <c r="V463" s="45">
        <v>1</v>
      </c>
      <c r="W463" s="45">
        <v>0</v>
      </c>
      <c r="X463" s="45">
        <f>SUM(U463:W463)</f>
        <v>16</v>
      </c>
      <c r="Y463" s="45">
        <f t="shared" si="102"/>
        <v>38.4</v>
      </c>
      <c r="Z463" s="45">
        <v>19</v>
      </c>
      <c r="AA463" s="45">
        <v>1</v>
      </c>
      <c r="AB463" s="45">
        <v>0</v>
      </c>
      <c r="AC463" s="45">
        <v>2</v>
      </c>
      <c r="AD463" s="45">
        <f t="shared" si="112"/>
        <v>22</v>
      </c>
      <c r="AE463" s="45">
        <f t="shared" si="103"/>
        <v>52.8</v>
      </c>
      <c r="AF463" s="45">
        <f t="shared" si="110"/>
        <v>66</v>
      </c>
      <c r="AG463" s="45">
        <f t="shared" si="110"/>
        <v>158.39999999999998</v>
      </c>
      <c r="AH463" s="45">
        <f t="shared" si="107"/>
        <v>120</v>
      </c>
      <c r="AI463" s="45">
        <f t="shared" si="107"/>
        <v>288</v>
      </c>
      <c r="AJ463" s="63">
        <f t="shared" ref="AJ463:AJ471" si="113">AI463/AH463</f>
        <v>2.4</v>
      </c>
    </row>
    <row r="464" spans="1:36" s="64" customFormat="1">
      <c r="A464" s="42" t="s">
        <v>335</v>
      </c>
      <c r="B464" s="42" t="s">
        <v>488</v>
      </c>
      <c r="C464" s="43" t="s">
        <v>489</v>
      </c>
      <c r="D464" s="42" t="str">
        <f t="shared" si="108"/>
        <v>P75USCV22EO-.EK75XG1(D903)</v>
      </c>
      <c r="E464" s="42" t="s">
        <v>9</v>
      </c>
      <c r="F464" s="42" t="s">
        <v>9</v>
      </c>
      <c r="G464" s="44">
        <v>20</v>
      </c>
      <c r="H464" s="65">
        <v>49</v>
      </c>
      <c r="I464" s="45">
        <v>1</v>
      </c>
      <c r="J464" s="45">
        <v>1</v>
      </c>
      <c r="K464" s="45">
        <v>3</v>
      </c>
      <c r="L464" s="45">
        <f t="shared" si="109"/>
        <v>54</v>
      </c>
      <c r="M464" s="45">
        <f t="shared" si="104"/>
        <v>162</v>
      </c>
      <c r="N464" s="66">
        <v>23</v>
      </c>
      <c r="O464" s="45">
        <v>1</v>
      </c>
      <c r="P464" s="45">
        <v>1</v>
      </c>
      <c r="Q464" s="45">
        <v>1</v>
      </c>
      <c r="R464" s="45">
        <v>2</v>
      </c>
      <c r="S464" s="45">
        <f t="shared" si="105"/>
        <v>28</v>
      </c>
      <c r="T464" s="45">
        <f t="shared" si="96"/>
        <v>84</v>
      </c>
      <c r="U464" s="66">
        <v>15</v>
      </c>
      <c r="V464" s="45">
        <v>1</v>
      </c>
      <c r="W464" s="45">
        <v>0</v>
      </c>
      <c r="X464" s="45">
        <f>SUM(U464:W464)</f>
        <v>16</v>
      </c>
      <c r="Y464" s="45">
        <f t="shared" si="102"/>
        <v>48</v>
      </c>
      <c r="Z464" s="45">
        <v>19</v>
      </c>
      <c r="AA464" s="45">
        <v>1</v>
      </c>
      <c r="AB464" s="45">
        <v>0</v>
      </c>
      <c r="AC464" s="45">
        <v>2</v>
      </c>
      <c r="AD464" s="45">
        <f t="shared" si="112"/>
        <v>22</v>
      </c>
      <c r="AE464" s="45">
        <f t="shared" si="103"/>
        <v>66</v>
      </c>
      <c r="AF464" s="45">
        <f t="shared" si="110"/>
        <v>66</v>
      </c>
      <c r="AG464" s="45">
        <f t="shared" si="110"/>
        <v>198</v>
      </c>
      <c r="AH464" s="45">
        <f t="shared" si="107"/>
        <v>120</v>
      </c>
      <c r="AI464" s="45">
        <f t="shared" si="107"/>
        <v>360</v>
      </c>
      <c r="AJ464" s="63">
        <f t="shared" si="113"/>
        <v>3</v>
      </c>
    </row>
    <row r="465" spans="1:36" s="64" customFormat="1">
      <c r="A465" s="42" t="s">
        <v>335</v>
      </c>
      <c r="B465" s="42" t="s">
        <v>490</v>
      </c>
      <c r="C465" s="43" t="s">
        <v>491</v>
      </c>
      <c r="D465" s="42" t="str">
        <f t="shared" si="108"/>
        <v>P86USCV22EO-.EK86XG1(D903)</v>
      </c>
      <c r="E465" s="42" t="s">
        <v>9</v>
      </c>
      <c r="F465" s="42" t="s">
        <v>9</v>
      </c>
      <c r="G465" s="44">
        <v>18</v>
      </c>
      <c r="H465" s="65">
        <v>49</v>
      </c>
      <c r="I465" s="45">
        <v>1</v>
      </c>
      <c r="J465" s="45">
        <v>1</v>
      </c>
      <c r="K465" s="45">
        <v>3</v>
      </c>
      <c r="L465" s="45">
        <f t="shared" si="109"/>
        <v>54</v>
      </c>
      <c r="M465" s="45">
        <f t="shared" si="104"/>
        <v>180</v>
      </c>
      <c r="N465" s="66">
        <v>23</v>
      </c>
      <c r="O465" s="45">
        <v>1</v>
      </c>
      <c r="P465" s="45">
        <v>1</v>
      </c>
      <c r="Q465" s="45">
        <v>1</v>
      </c>
      <c r="R465" s="45">
        <v>2</v>
      </c>
      <c r="S465" s="45">
        <f t="shared" si="105"/>
        <v>28</v>
      </c>
      <c r="T465" s="45">
        <f t="shared" si="96"/>
        <v>93.333333333333329</v>
      </c>
      <c r="U465" s="66">
        <v>15</v>
      </c>
      <c r="V465" s="45">
        <v>1</v>
      </c>
      <c r="W465" s="45">
        <v>0</v>
      </c>
      <c r="X465" s="45">
        <f>SUM(U465:W465)</f>
        <v>16</v>
      </c>
      <c r="Y465" s="45">
        <f t="shared" si="102"/>
        <v>53.333333333333336</v>
      </c>
      <c r="Z465" s="45">
        <v>19</v>
      </c>
      <c r="AA465" s="45">
        <v>1</v>
      </c>
      <c r="AB465" s="45">
        <v>0</v>
      </c>
      <c r="AC465" s="45">
        <v>2</v>
      </c>
      <c r="AD465" s="45">
        <f t="shared" si="112"/>
        <v>22</v>
      </c>
      <c r="AE465" s="45">
        <f t="shared" si="103"/>
        <v>73.333333333333329</v>
      </c>
      <c r="AF465" s="45">
        <f t="shared" si="110"/>
        <v>66</v>
      </c>
      <c r="AG465" s="45">
        <f t="shared" si="110"/>
        <v>220</v>
      </c>
      <c r="AH465" s="45">
        <f t="shared" si="107"/>
        <v>120</v>
      </c>
      <c r="AI465" s="45">
        <f t="shared" si="107"/>
        <v>400</v>
      </c>
      <c r="AJ465" s="63">
        <f t="shared" si="113"/>
        <v>3.3333333333333335</v>
      </c>
    </row>
    <row r="466" spans="1:36" s="64" customFormat="1">
      <c r="A466" s="42" t="s">
        <v>335</v>
      </c>
      <c r="B466" s="42" t="s">
        <v>492</v>
      </c>
      <c r="C466" s="43" t="s">
        <v>493</v>
      </c>
      <c r="D466" s="42" t="str">
        <f t="shared" si="108"/>
        <v>P65USCV22EO-.EK65CC1(D903)</v>
      </c>
      <c r="E466" s="42" t="s">
        <v>9</v>
      </c>
      <c r="F466" s="42" t="s">
        <v>9</v>
      </c>
      <c r="G466" s="44">
        <v>25</v>
      </c>
      <c r="H466" s="65">
        <v>49</v>
      </c>
      <c r="I466" s="45">
        <v>1</v>
      </c>
      <c r="J466" s="45">
        <v>1</v>
      </c>
      <c r="K466" s="45">
        <v>3</v>
      </c>
      <c r="L466" s="45">
        <f t="shared" si="109"/>
        <v>54</v>
      </c>
      <c r="M466" s="45">
        <f t="shared" si="104"/>
        <v>129.6</v>
      </c>
      <c r="N466" s="66">
        <v>23</v>
      </c>
      <c r="O466" s="45">
        <v>1</v>
      </c>
      <c r="P466" s="45">
        <v>1</v>
      </c>
      <c r="Q466" s="45">
        <v>1</v>
      </c>
      <c r="R466" s="45">
        <v>2</v>
      </c>
      <c r="S466" s="45">
        <f t="shared" si="105"/>
        <v>28</v>
      </c>
      <c r="T466" s="45">
        <f t="shared" si="96"/>
        <v>67.2</v>
      </c>
      <c r="U466" s="66">
        <v>15</v>
      </c>
      <c r="V466" s="45">
        <v>1</v>
      </c>
      <c r="W466" s="45">
        <v>0</v>
      </c>
      <c r="X466" s="45">
        <f t="shared" ref="X466:X525" si="114">SUM(U466:W466)</f>
        <v>16</v>
      </c>
      <c r="Y466" s="45">
        <f t="shared" si="102"/>
        <v>38.4</v>
      </c>
      <c r="Z466" s="45">
        <v>19</v>
      </c>
      <c r="AA466" s="45">
        <v>1</v>
      </c>
      <c r="AB466" s="45">
        <v>0</v>
      </c>
      <c r="AC466" s="45">
        <v>2</v>
      </c>
      <c r="AD466" s="45">
        <f t="shared" si="112"/>
        <v>22</v>
      </c>
      <c r="AE466" s="45">
        <f t="shared" si="103"/>
        <v>52.8</v>
      </c>
      <c r="AF466" s="45">
        <f t="shared" ref="AF466:AG483" si="115">SUM(S466,X466,AD466)</f>
        <v>66</v>
      </c>
      <c r="AG466" s="45">
        <f t="shared" si="115"/>
        <v>158.39999999999998</v>
      </c>
      <c r="AH466" s="45">
        <f t="shared" si="107"/>
        <v>120</v>
      </c>
      <c r="AI466" s="45">
        <f t="shared" si="107"/>
        <v>288</v>
      </c>
      <c r="AJ466" s="63">
        <f t="shared" si="113"/>
        <v>2.4</v>
      </c>
    </row>
    <row r="467" spans="1:36" s="64" customFormat="1">
      <c r="A467" s="42" t="s">
        <v>335</v>
      </c>
      <c r="B467" s="42" t="s">
        <v>494</v>
      </c>
      <c r="C467" s="43" t="s">
        <v>495</v>
      </c>
      <c r="D467" s="42" t="str">
        <f t="shared" si="108"/>
        <v>P75USCV22EO-.EK75CC1(D903)</v>
      </c>
      <c r="E467" s="42" t="s">
        <v>9</v>
      </c>
      <c r="F467" s="42" t="s">
        <v>9</v>
      </c>
      <c r="G467" s="44">
        <v>20</v>
      </c>
      <c r="H467" s="65">
        <v>49</v>
      </c>
      <c r="I467" s="45">
        <v>1</v>
      </c>
      <c r="J467" s="45">
        <v>1</v>
      </c>
      <c r="K467" s="45">
        <v>3</v>
      </c>
      <c r="L467" s="45">
        <f t="shared" si="109"/>
        <v>54</v>
      </c>
      <c r="M467" s="45">
        <f t="shared" si="104"/>
        <v>162</v>
      </c>
      <c r="N467" s="66">
        <v>23</v>
      </c>
      <c r="O467" s="45">
        <v>1</v>
      </c>
      <c r="P467" s="45">
        <v>1</v>
      </c>
      <c r="Q467" s="45">
        <v>1</v>
      </c>
      <c r="R467" s="45">
        <v>2</v>
      </c>
      <c r="S467" s="45">
        <f t="shared" si="105"/>
        <v>28</v>
      </c>
      <c r="T467" s="45">
        <f t="shared" ref="T467:T530" si="116">60*S467/G467</f>
        <v>84</v>
      </c>
      <c r="U467" s="66">
        <v>15</v>
      </c>
      <c r="V467" s="45">
        <v>1</v>
      </c>
      <c r="W467" s="45">
        <v>0</v>
      </c>
      <c r="X467" s="45">
        <f t="shared" si="114"/>
        <v>16</v>
      </c>
      <c r="Y467" s="45">
        <f t="shared" si="102"/>
        <v>48</v>
      </c>
      <c r="Z467" s="45">
        <v>19</v>
      </c>
      <c r="AA467" s="45">
        <v>1</v>
      </c>
      <c r="AB467" s="45">
        <v>0</v>
      </c>
      <c r="AC467" s="45">
        <v>2</v>
      </c>
      <c r="AD467" s="45">
        <f t="shared" si="112"/>
        <v>22</v>
      </c>
      <c r="AE467" s="45">
        <f t="shared" si="103"/>
        <v>66</v>
      </c>
      <c r="AF467" s="45">
        <f t="shared" si="115"/>
        <v>66</v>
      </c>
      <c r="AG467" s="45">
        <f t="shared" si="115"/>
        <v>198</v>
      </c>
      <c r="AH467" s="45">
        <f t="shared" si="107"/>
        <v>120</v>
      </c>
      <c r="AI467" s="45">
        <f t="shared" si="107"/>
        <v>360</v>
      </c>
      <c r="AJ467" s="63">
        <f t="shared" si="113"/>
        <v>3</v>
      </c>
    </row>
    <row r="468" spans="1:36" s="64" customFormat="1">
      <c r="A468" s="42" t="s">
        <v>335</v>
      </c>
      <c r="B468" s="42" t="s">
        <v>496</v>
      </c>
      <c r="C468" s="43" t="s">
        <v>497</v>
      </c>
      <c r="D468" s="42" t="str">
        <f>C468&amp;"("&amp;F468&amp;")"</f>
        <v>P86USCV22EO-.EK86CC1(D903)</v>
      </c>
      <c r="E468" s="42" t="s">
        <v>9</v>
      </c>
      <c r="F468" s="42" t="s">
        <v>9</v>
      </c>
      <c r="G468" s="44">
        <v>18</v>
      </c>
      <c r="H468" s="65">
        <v>49</v>
      </c>
      <c r="I468" s="45">
        <v>1</v>
      </c>
      <c r="J468" s="45">
        <v>1</v>
      </c>
      <c r="K468" s="45">
        <v>3</v>
      </c>
      <c r="L468" s="45">
        <f t="shared" si="109"/>
        <v>54</v>
      </c>
      <c r="M468" s="45">
        <f t="shared" si="104"/>
        <v>180</v>
      </c>
      <c r="N468" s="66">
        <v>23</v>
      </c>
      <c r="O468" s="45">
        <v>1</v>
      </c>
      <c r="P468" s="45">
        <v>1</v>
      </c>
      <c r="Q468" s="45">
        <v>1</v>
      </c>
      <c r="R468" s="45">
        <v>2</v>
      </c>
      <c r="S468" s="45">
        <f t="shared" si="105"/>
        <v>28</v>
      </c>
      <c r="T468" s="45">
        <f t="shared" si="116"/>
        <v>93.333333333333329</v>
      </c>
      <c r="U468" s="66">
        <v>15</v>
      </c>
      <c r="V468" s="45">
        <v>1</v>
      </c>
      <c r="W468" s="45">
        <v>0</v>
      </c>
      <c r="X468" s="45">
        <f t="shared" si="114"/>
        <v>16</v>
      </c>
      <c r="Y468" s="45">
        <f t="shared" si="102"/>
        <v>53.333333333333336</v>
      </c>
      <c r="Z468" s="45">
        <v>19</v>
      </c>
      <c r="AA468" s="45">
        <v>1</v>
      </c>
      <c r="AB468" s="45">
        <v>0</v>
      </c>
      <c r="AC468" s="45">
        <v>2</v>
      </c>
      <c r="AD468" s="45">
        <f t="shared" si="112"/>
        <v>22</v>
      </c>
      <c r="AE468" s="45">
        <f t="shared" si="103"/>
        <v>73.333333333333329</v>
      </c>
      <c r="AF468" s="45">
        <f t="shared" si="115"/>
        <v>66</v>
      </c>
      <c r="AG468" s="45">
        <f t="shared" si="115"/>
        <v>220</v>
      </c>
      <c r="AH468" s="45">
        <f t="shared" si="107"/>
        <v>120</v>
      </c>
      <c r="AI468" s="45">
        <f t="shared" si="107"/>
        <v>400</v>
      </c>
      <c r="AJ468" s="63">
        <f t="shared" si="113"/>
        <v>3.3333333333333335</v>
      </c>
    </row>
    <row r="469" spans="1:36" s="64" customFormat="1">
      <c r="A469" s="46" t="s">
        <v>335</v>
      </c>
      <c r="B469" s="46" t="s">
        <v>498</v>
      </c>
      <c r="C469" s="47" t="s">
        <v>139</v>
      </c>
      <c r="D469" s="46" t="str">
        <f>C469&amp;"("&amp;F469&amp;")"</f>
        <v>P43USCV22EO-.2182CG1(D902)</v>
      </c>
      <c r="E469" s="46" t="s">
        <v>10</v>
      </c>
      <c r="F469" s="46" t="s">
        <v>10</v>
      </c>
      <c r="G469" s="48">
        <v>80</v>
      </c>
      <c r="H469" s="61">
        <v>33</v>
      </c>
      <c r="I469" s="49">
        <v>1</v>
      </c>
      <c r="J469" s="49">
        <v>1</v>
      </c>
      <c r="K469" s="49">
        <v>3</v>
      </c>
      <c r="L469" s="49">
        <f t="shared" ref="L469:L486" si="117">SUM(H469:K469)</f>
        <v>38</v>
      </c>
      <c r="M469" s="49">
        <f t="shared" si="104"/>
        <v>28.5</v>
      </c>
      <c r="N469" s="62">
        <v>31</v>
      </c>
      <c r="O469" s="49">
        <v>1</v>
      </c>
      <c r="P469" s="49">
        <v>1</v>
      </c>
      <c r="Q469" s="49">
        <v>1</v>
      </c>
      <c r="R469" s="49">
        <v>2</v>
      </c>
      <c r="S469" s="49">
        <f t="shared" si="105"/>
        <v>36</v>
      </c>
      <c r="T469" s="49">
        <f t="shared" si="116"/>
        <v>27</v>
      </c>
      <c r="U469" s="62">
        <v>14</v>
      </c>
      <c r="V469" s="49">
        <v>1</v>
      </c>
      <c r="W469" s="49">
        <v>0</v>
      </c>
      <c r="X469" s="49">
        <f t="shared" si="114"/>
        <v>15</v>
      </c>
      <c r="Y469" s="49">
        <f t="shared" si="102"/>
        <v>11.25</v>
      </c>
      <c r="Z469" s="49">
        <v>25</v>
      </c>
      <c r="AA469" s="49">
        <v>1</v>
      </c>
      <c r="AB469" s="49">
        <v>1</v>
      </c>
      <c r="AC469" s="49">
        <v>2</v>
      </c>
      <c r="AD469" s="49">
        <f t="shared" si="112"/>
        <v>29</v>
      </c>
      <c r="AE469" s="49">
        <f t="shared" si="103"/>
        <v>21.75</v>
      </c>
      <c r="AF469" s="49">
        <f t="shared" si="115"/>
        <v>80</v>
      </c>
      <c r="AG469" s="49">
        <f t="shared" si="115"/>
        <v>60</v>
      </c>
      <c r="AH469" s="49">
        <f t="shared" si="107"/>
        <v>118</v>
      </c>
      <c r="AI469" s="49">
        <f t="shared" si="107"/>
        <v>88.5</v>
      </c>
      <c r="AJ469" s="63">
        <f t="shared" si="113"/>
        <v>0.75</v>
      </c>
    </row>
    <row r="470" spans="1:36" s="64" customFormat="1">
      <c r="A470" s="46" t="s">
        <v>335</v>
      </c>
      <c r="B470" s="46" t="s">
        <v>499</v>
      </c>
      <c r="C470" s="47" t="s">
        <v>140</v>
      </c>
      <c r="D470" s="46" t="str">
        <f t="shared" ref="D470:D486" si="118">C470&amp;"("&amp;F470&amp;")"</f>
        <v>P55USCV22EO-.1382BG1(D902)</v>
      </c>
      <c r="E470" s="46" t="s">
        <v>10</v>
      </c>
      <c r="F470" s="46" t="s">
        <v>10</v>
      </c>
      <c r="G470" s="48">
        <v>70</v>
      </c>
      <c r="H470" s="61">
        <v>33</v>
      </c>
      <c r="I470" s="49">
        <v>1</v>
      </c>
      <c r="J470" s="49">
        <v>1</v>
      </c>
      <c r="K470" s="49">
        <v>3</v>
      </c>
      <c r="L470" s="49">
        <f t="shared" si="117"/>
        <v>38</v>
      </c>
      <c r="M470" s="49">
        <f t="shared" si="104"/>
        <v>32.571428571428569</v>
      </c>
      <c r="N470" s="62">
        <v>30</v>
      </c>
      <c r="O470" s="49">
        <v>1</v>
      </c>
      <c r="P470" s="49">
        <v>1</v>
      </c>
      <c r="Q470" s="49">
        <v>1</v>
      </c>
      <c r="R470" s="49">
        <v>2</v>
      </c>
      <c r="S470" s="49">
        <f t="shared" si="105"/>
        <v>35</v>
      </c>
      <c r="T470" s="49">
        <f t="shared" si="116"/>
        <v>30</v>
      </c>
      <c r="U470" s="62">
        <v>14</v>
      </c>
      <c r="V470" s="49">
        <v>1</v>
      </c>
      <c r="W470" s="49">
        <v>0</v>
      </c>
      <c r="X470" s="49">
        <f t="shared" si="114"/>
        <v>15</v>
      </c>
      <c r="Y470" s="49">
        <f t="shared" si="102"/>
        <v>12.857142857142858</v>
      </c>
      <c r="Z470" s="49">
        <v>25</v>
      </c>
      <c r="AA470" s="49">
        <v>1</v>
      </c>
      <c r="AB470" s="49">
        <v>1</v>
      </c>
      <c r="AC470" s="49">
        <v>2</v>
      </c>
      <c r="AD470" s="49">
        <f t="shared" si="112"/>
        <v>29</v>
      </c>
      <c r="AE470" s="49">
        <f t="shared" si="103"/>
        <v>24.857142857142858</v>
      </c>
      <c r="AF470" s="49">
        <f t="shared" si="115"/>
        <v>79</v>
      </c>
      <c r="AG470" s="49">
        <f t="shared" si="115"/>
        <v>67.714285714285722</v>
      </c>
      <c r="AH470" s="49">
        <f t="shared" si="107"/>
        <v>117</v>
      </c>
      <c r="AI470" s="49">
        <f t="shared" si="107"/>
        <v>100.28571428571429</v>
      </c>
      <c r="AJ470" s="63">
        <f t="shared" si="113"/>
        <v>0.85714285714285721</v>
      </c>
    </row>
    <row r="471" spans="1:36" s="64" customFormat="1">
      <c r="A471" s="42" t="s">
        <v>335</v>
      </c>
      <c r="B471" s="42" t="s">
        <v>499</v>
      </c>
      <c r="C471" s="43" t="s">
        <v>259</v>
      </c>
      <c r="D471" s="42" t="str">
        <f t="shared" si="118"/>
        <v>P55USCV22FO-.1382BG1(D902)</v>
      </c>
      <c r="E471" s="42" t="s">
        <v>10</v>
      </c>
      <c r="F471" s="42" t="s">
        <v>10</v>
      </c>
      <c r="G471" s="44">
        <v>70</v>
      </c>
      <c r="H471" s="65">
        <v>33</v>
      </c>
      <c r="I471" s="45">
        <v>1</v>
      </c>
      <c r="J471" s="45">
        <v>1</v>
      </c>
      <c r="K471" s="45">
        <v>3</v>
      </c>
      <c r="L471" s="45">
        <f t="shared" si="117"/>
        <v>38</v>
      </c>
      <c r="M471" s="45">
        <f t="shared" si="104"/>
        <v>32.571428571428569</v>
      </c>
      <c r="N471" s="66">
        <v>30</v>
      </c>
      <c r="O471" s="45">
        <v>1</v>
      </c>
      <c r="P471" s="45">
        <v>1</v>
      </c>
      <c r="Q471" s="45">
        <v>1</v>
      </c>
      <c r="R471" s="45">
        <v>2</v>
      </c>
      <c r="S471" s="45">
        <f t="shared" si="105"/>
        <v>35</v>
      </c>
      <c r="T471" s="45">
        <f t="shared" si="116"/>
        <v>30</v>
      </c>
      <c r="U471" s="66">
        <v>14</v>
      </c>
      <c r="V471" s="45">
        <v>1</v>
      </c>
      <c r="W471" s="45">
        <v>0</v>
      </c>
      <c r="X471" s="45">
        <f t="shared" si="114"/>
        <v>15</v>
      </c>
      <c r="Y471" s="45">
        <f t="shared" si="102"/>
        <v>12.857142857142858</v>
      </c>
      <c r="Z471" s="45">
        <v>25</v>
      </c>
      <c r="AA471" s="45">
        <v>1</v>
      </c>
      <c r="AB471" s="45">
        <v>1</v>
      </c>
      <c r="AC471" s="45">
        <v>2</v>
      </c>
      <c r="AD471" s="45">
        <f t="shared" si="112"/>
        <v>29</v>
      </c>
      <c r="AE471" s="45">
        <f t="shared" si="103"/>
        <v>24.857142857142858</v>
      </c>
      <c r="AF471" s="45">
        <f t="shared" si="115"/>
        <v>79</v>
      </c>
      <c r="AG471" s="45">
        <f t="shared" si="115"/>
        <v>67.714285714285722</v>
      </c>
      <c r="AH471" s="45">
        <f t="shared" si="107"/>
        <v>117</v>
      </c>
      <c r="AI471" s="45">
        <f t="shared" si="107"/>
        <v>100.28571428571429</v>
      </c>
      <c r="AJ471" s="63">
        <f t="shared" si="113"/>
        <v>0.85714285714285721</v>
      </c>
    </row>
    <row r="472" spans="1:36" s="64" customFormat="1">
      <c r="A472" s="46" t="s">
        <v>335</v>
      </c>
      <c r="B472" s="46" t="s">
        <v>500</v>
      </c>
      <c r="C472" s="47" t="s">
        <v>141</v>
      </c>
      <c r="D472" s="46" t="str">
        <f t="shared" si="118"/>
        <v>P65USCV22EO-.3182CG1(D903)</v>
      </c>
      <c r="E472" s="46" t="s">
        <v>9</v>
      </c>
      <c r="F472" s="46" t="s">
        <v>9</v>
      </c>
      <c r="G472" s="48">
        <v>40</v>
      </c>
      <c r="H472" s="61">
        <v>32</v>
      </c>
      <c r="I472" s="49">
        <v>1</v>
      </c>
      <c r="J472" s="49">
        <v>1</v>
      </c>
      <c r="K472" s="49">
        <v>3</v>
      </c>
      <c r="L472" s="49">
        <f t="shared" si="117"/>
        <v>37</v>
      </c>
      <c r="M472" s="49">
        <f t="shared" si="104"/>
        <v>55.5</v>
      </c>
      <c r="N472" s="62">
        <v>19</v>
      </c>
      <c r="O472" s="49">
        <v>1</v>
      </c>
      <c r="P472" s="49">
        <v>1</v>
      </c>
      <c r="Q472" s="49">
        <v>1</v>
      </c>
      <c r="R472" s="49">
        <v>2</v>
      </c>
      <c r="S472" s="49">
        <f t="shared" si="105"/>
        <v>24</v>
      </c>
      <c r="T472" s="49">
        <f t="shared" si="116"/>
        <v>36</v>
      </c>
      <c r="U472" s="62">
        <v>11</v>
      </c>
      <c r="V472" s="49">
        <v>1</v>
      </c>
      <c r="W472" s="49">
        <v>0</v>
      </c>
      <c r="X472" s="49">
        <f t="shared" si="114"/>
        <v>12</v>
      </c>
      <c r="Y472" s="49">
        <f t="shared" si="102"/>
        <v>18</v>
      </c>
      <c r="Z472" s="49">
        <v>22</v>
      </c>
      <c r="AA472" s="49">
        <v>1</v>
      </c>
      <c r="AB472" s="49">
        <v>0</v>
      </c>
      <c r="AC472" s="49">
        <v>2</v>
      </c>
      <c r="AD472" s="49">
        <f t="shared" si="112"/>
        <v>25</v>
      </c>
      <c r="AE472" s="49">
        <f t="shared" si="103"/>
        <v>37.5</v>
      </c>
      <c r="AF472" s="49">
        <f t="shared" si="115"/>
        <v>61</v>
      </c>
      <c r="AG472" s="49">
        <f t="shared" si="115"/>
        <v>91.5</v>
      </c>
      <c r="AH472" s="49">
        <f t="shared" si="107"/>
        <v>98</v>
      </c>
      <c r="AI472" s="49">
        <f t="shared" si="107"/>
        <v>147</v>
      </c>
      <c r="AJ472" s="63">
        <f t="shared" ref="AJ472:AJ491" si="119">AI472/AH472</f>
        <v>1.5</v>
      </c>
    </row>
    <row r="473" spans="1:36" s="64" customFormat="1">
      <c r="A473" s="46" t="s">
        <v>335</v>
      </c>
      <c r="B473" s="46" t="s">
        <v>501</v>
      </c>
      <c r="C473" s="47" t="s">
        <v>142</v>
      </c>
      <c r="D473" s="46" t="str">
        <f t="shared" si="118"/>
        <v>P75USCV22EO-.3182CG1(D903)</v>
      </c>
      <c r="E473" s="46" t="s">
        <v>9</v>
      </c>
      <c r="F473" s="46" t="s">
        <v>9</v>
      </c>
      <c r="G473" s="48">
        <v>35</v>
      </c>
      <c r="H473" s="61">
        <v>32</v>
      </c>
      <c r="I473" s="49">
        <v>1</v>
      </c>
      <c r="J473" s="49">
        <v>1</v>
      </c>
      <c r="K473" s="49">
        <v>3</v>
      </c>
      <c r="L473" s="49">
        <f t="shared" si="117"/>
        <v>37</v>
      </c>
      <c r="M473" s="49">
        <f t="shared" si="104"/>
        <v>63.428571428571431</v>
      </c>
      <c r="N473" s="62">
        <v>19</v>
      </c>
      <c r="O473" s="49">
        <v>1</v>
      </c>
      <c r="P473" s="49">
        <v>1</v>
      </c>
      <c r="Q473" s="49">
        <v>1</v>
      </c>
      <c r="R473" s="49">
        <v>2</v>
      </c>
      <c r="S473" s="49">
        <f t="shared" si="105"/>
        <v>24</v>
      </c>
      <c r="T473" s="49">
        <f t="shared" si="116"/>
        <v>41.142857142857146</v>
      </c>
      <c r="U473" s="62">
        <v>11</v>
      </c>
      <c r="V473" s="49">
        <v>1</v>
      </c>
      <c r="W473" s="49">
        <v>0</v>
      </c>
      <c r="X473" s="49">
        <f t="shared" si="114"/>
        <v>12</v>
      </c>
      <c r="Y473" s="49">
        <f t="shared" si="102"/>
        <v>20.571428571428573</v>
      </c>
      <c r="Z473" s="49">
        <v>22</v>
      </c>
      <c r="AA473" s="49">
        <v>1</v>
      </c>
      <c r="AB473" s="49">
        <v>0</v>
      </c>
      <c r="AC473" s="49">
        <v>2</v>
      </c>
      <c r="AD473" s="49">
        <f t="shared" si="112"/>
        <v>25</v>
      </c>
      <c r="AE473" s="49">
        <f t="shared" si="103"/>
        <v>42.857142857142854</v>
      </c>
      <c r="AF473" s="49">
        <f t="shared" si="115"/>
        <v>61</v>
      </c>
      <c r="AG473" s="49">
        <f t="shared" si="115"/>
        <v>104.57142857142858</v>
      </c>
      <c r="AH473" s="49">
        <f t="shared" ref="AH473:AI488" si="120">SUM(L473,AF473)</f>
        <v>98</v>
      </c>
      <c r="AI473" s="49">
        <f t="shared" si="120"/>
        <v>168</v>
      </c>
      <c r="AJ473" s="63">
        <f t="shared" si="119"/>
        <v>1.7142857142857142</v>
      </c>
    </row>
    <row r="474" spans="1:36" s="64" customFormat="1">
      <c r="A474" s="46" t="s">
        <v>335</v>
      </c>
      <c r="B474" s="46" t="s">
        <v>502</v>
      </c>
      <c r="C474" s="47" t="s">
        <v>143</v>
      </c>
      <c r="D474" s="46" t="str">
        <f t="shared" si="118"/>
        <v>P86USCV22FO-.1082BG1(D903)</v>
      </c>
      <c r="E474" s="46" t="s">
        <v>9</v>
      </c>
      <c r="F474" s="46" t="s">
        <v>9</v>
      </c>
      <c r="G474" s="48">
        <v>30</v>
      </c>
      <c r="H474" s="61">
        <v>32</v>
      </c>
      <c r="I474" s="49">
        <v>1</v>
      </c>
      <c r="J474" s="49">
        <v>1</v>
      </c>
      <c r="K474" s="49">
        <v>3</v>
      </c>
      <c r="L474" s="49">
        <f t="shared" si="117"/>
        <v>37</v>
      </c>
      <c r="M474" s="49">
        <f t="shared" si="104"/>
        <v>74</v>
      </c>
      <c r="N474" s="62">
        <v>19</v>
      </c>
      <c r="O474" s="49">
        <v>1</v>
      </c>
      <c r="P474" s="49">
        <v>1</v>
      </c>
      <c r="Q474" s="49">
        <v>1</v>
      </c>
      <c r="R474" s="49">
        <v>2</v>
      </c>
      <c r="S474" s="49">
        <f t="shared" si="105"/>
        <v>24</v>
      </c>
      <c r="T474" s="49">
        <f t="shared" si="116"/>
        <v>48</v>
      </c>
      <c r="U474" s="62">
        <v>11</v>
      </c>
      <c r="V474" s="49">
        <v>1</v>
      </c>
      <c r="W474" s="49">
        <v>0</v>
      </c>
      <c r="X474" s="49">
        <f t="shared" si="114"/>
        <v>12</v>
      </c>
      <c r="Y474" s="49">
        <f t="shared" si="102"/>
        <v>24</v>
      </c>
      <c r="Z474" s="49">
        <v>22</v>
      </c>
      <c r="AA474" s="49">
        <v>1</v>
      </c>
      <c r="AB474" s="49">
        <v>0</v>
      </c>
      <c r="AC474" s="49">
        <v>2</v>
      </c>
      <c r="AD474" s="49">
        <f t="shared" si="112"/>
        <v>25</v>
      </c>
      <c r="AE474" s="49">
        <f t="shared" si="103"/>
        <v>50</v>
      </c>
      <c r="AF474" s="49">
        <f t="shared" si="115"/>
        <v>61</v>
      </c>
      <c r="AG474" s="49">
        <f t="shared" si="115"/>
        <v>122</v>
      </c>
      <c r="AH474" s="49">
        <f t="shared" si="120"/>
        <v>98</v>
      </c>
      <c r="AI474" s="49">
        <f t="shared" si="120"/>
        <v>196</v>
      </c>
      <c r="AJ474" s="63">
        <f t="shared" si="119"/>
        <v>2</v>
      </c>
    </row>
    <row r="475" spans="1:36" s="68" customFormat="1">
      <c r="A475" s="42" t="s">
        <v>335</v>
      </c>
      <c r="B475" s="42" t="s">
        <v>503</v>
      </c>
      <c r="C475" s="43" t="s">
        <v>270</v>
      </c>
      <c r="D475" s="42" t="str">
        <f t="shared" ref="D475:D480" si="121">C475&amp;"("&amp;F475&amp;")"</f>
        <v>P43USCV22FO-.NT43ND1(D902)</v>
      </c>
      <c r="E475" s="42" t="s">
        <v>10</v>
      </c>
      <c r="F475" s="42" t="s">
        <v>10</v>
      </c>
      <c r="G475" s="44">
        <v>80</v>
      </c>
      <c r="H475" s="65">
        <v>33</v>
      </c>
      <c r="I475" s="45">
        <v>1</v>
      </c>
      <c r="J475" s="45">
        <v>1</v>
      </c>
      <c r="K475" s="45">
        <v>3</v>
      </c>
      <c r="L475" s="45">
        <f t="shared" si="117"/>
        <v>38</v>
      </c>
      <c r="M475" s="45">
        <f t="shared" si="104"/>
        <v>28.5</v>
      </c>
      <c r="N475" s="66">
        <v>31</v>
      </c>
      <c r="O475" s="45">
        <v>1</v>
      </c>
      <c r="P475" s="45">
        <v>1</v>
      </c>
      <c r="Q475" s="45">
        <v>1</v>
      </c>
      <c r="R475" s="45">
        <v>2</v>
      </c>
      <c r="S475" s="45">
        <f t="shared" si="105"/>
        <v>36</v>
      </c>
      <c r="T475" s="45">
        <f t="shared" si="116"/>
        <v>27</v>
      </c>
      <c r="U475" s="66">
        <v>14</v>
      </c>
      <c r="V475" s="45">
        <v>1</v>
      </c>
      <c r="W475" s="45">
        <v>0</v>
      </c>
      <c r="X475" s="45">
        <f t="shared" si="114"/>
        <v>15</v>
      </c>
      <c r="Y475" s="45">
        <f t="shared" si="102"/>
        <v>11.25</v>
      </c>
      <c r="Z475" s="45">
        <v>25</v>
      </c>
      <c r="AA475" s="45">
        <v>1</v>
      </c>
      <c r="AB475" s="45">
        <v>1</v>
      </c>
      <c r="AC475" s="45">
        <v>2</v>
      </c>
      <c r="AD475" s="45">
        <f t="shared" si="112"/>
        <v>29</v>
      </c>
      <c r="AE475" s="45">
        <f t="shared" si="103"/>
        <v>21.75</v>
      </c>
      <c r="AF475" s="45">
        <f t="shared" si="115"/>
        <v>80</v>
      </c>
      <c r="AG475" s="45">
        <f t="shared" si="115"/>
        <v>60</v>
      </c>
      <c r="AH475" s="45">
        <f t="shared" si="120"/>
        <v>118</v>
      </c>
      <c r="AI475" s="45">
        <f t="shared" si="120"/>
        <v>88.5</v>
      </c>
      <c r="AJ475" s="67">
        <f>AI475/AH475</f>
        <v>0.75</v>
      </c>
    </row>
    <row r="476" spans="1:36" s="68" customFormat="1">
      <c r="A476" s="42" t="s">
        <v>335</v>
      </c>
      <c r="B476" s="42" t="s">
        <v>504</v>
      </c>
      <c r="C476" s="43" t="s">
        <v>271</v>
      </c>
      <c r="D476" s="42" t="str">
        <f t="shared" si="121"/>
        <v>P50USCV22FO-.NT50ND1(D902)</v>
      </c>
      <c r="E476" s="42" t="s">
        <v>10</v>
      </c>
      <c r="F476" s="42" t="s">
        <v>10</v>
      </c>
      <c r="G476" s="44">
        <v>80</v>
      </c>
      <c r="H476" s="65">
        <v>33</v>
      </c>
      <c r="I476" s="45">
        <v>1</v>
      </c>
      <c r="J476" s="45">
        <v>1</v>
      </c>
      <c r="K476" s="45">
        <v>3</v>
      </c>
      <c r="L476" s="45">
        <f t="shared" si="117"/>
        <v>38</v>
      </c>
      <c r="M476" s="45">
        <f t="shared" si="104"/>
        <v>28.5</v>
      </c>
      <c r="N476" s="66">
        <v>31</v>
      </c>
      <c r="O476" s="45">
        <v>1</v>
      </c>
      <c r="P476" s="45">
        <v>1</v>
      </c>
      <c r="Q476" s="45">
        <v>1</v>
      </c>
      <c r="R476" s="45">
        <v>2</v>
      </c>
      <c r="S476" s="45">
        <f t="shared" si="105"/>
        <v>36</v>
      </c>
      <c r="T476" s="45">
        <f t="shared" si="116"/>
        <v>27</v>
      </c>
      <c r="U476" s="66">
        <v>14</v>
      </c>
      <c r="V476" s="45">
        <v>1</v>
      </c>
      <c r="W476" s="45">
        <v>0</v>
      </c>
      <c r="X476" s="45">
        <f t="shared" si="114"/>
        <v>15</v>
      </c>
      <c r="Y476" s="45">
        <f t="shared" si="102"/>
        <v>11.25</v>
      </c>
      <c r="Z476" s="45">
        <v>25</v>
      </c>
      <c r="AA476" s="45">
        <v>1</v>
      </c>
      <c r="AB476" s="45">
        <v>1</v>
      </c>
      <c r="AC476" s="45">
        <v>2</v>
      </c>
      <c r="AD476" s="45">
        <f t="shared" si="112"/>
        <v>29</v>
      </c>
      <c r="AE476" s="45">
        <f t="shared" si="103"/>
        <v>21.75</v>
      </c>
      <c r="AF476" s="45">
        <f t="shared" si="115"/>
        <v>80</v>
      </c>
      <c r="AG476" s="45">
        <f t="shared" si="115"/>
        <v>60</v>
      </c>
      <c r="AH476" s="45">
        <f t="shared" si="120"/>
        <v>118</v>
      </c>
      <c r="AI476" s="45">
        <f t="shared" si="120"/>
        <v>88.5</v>
      </c>
      <c r="AJ476" s="67">
        <f>AI476/AH476</f>
        <v>0.75</v>
      </c>
    </row>
    <row r="477" spans="1:36" s="68" customFormat="1">
      <c r="A477" s="42" t="s">
        <v>335</v>
      </c>
      <c r="B477" s="42" t="s">
        <v>505</v>
      </c>
      <c r="C477" s="43" t="s">
        <v>268</v>
      </c>
      <c r="D477" s="42" t="str">
        <f t="shared" si="121"/>
        <v>P55USCV22FO-.NT55ND1(D902)</v>
      </c>
      <c r="E477" s="42" t="s">
        <v>10</v>
      </c>
      <c r="F477" s="42" t="s">
        <v>10</v>
      </c>
      <c r="G477" s="44">
        <v>70</v>
      </c>
      <c r="H477" s="65">
        <v>33</v>
      </c>
      <c r="I477" s="45">
        <v>1</v>
      </c>
      <c r="J477" s="45">
        <v>1</v>
      </c>
      <c r="K477" s="45">
        <v>3</v>
      </c>
      <c r="L477" s="45">
        <f t="shared" si="117"/>
        <v>38</v>
      </c>
      <c r="M477" s="45">
        <f t="shared" si="104"/>
        <v>32.571428571428569</v>
      </c>
      <c r="N477" s="66">
        <v>30</v>
      </c>
      <c r="O477" s="45">
        <v>1</v>
      </c>
      <c r="P477" s="45">
        <v>1</v>
      </c>
      <c r="Q477" s="45">
        <v>1</v>
      </c>
      <c r="R477" s="45">
        <v>2</v>
      </c>
      <c r="S477" s="45">
        <f t="shared" si="105"/>
        <v>35</v>
      </c>
      <c r="T477" s="45">
        <f t="shared" si="116"/>
        <v>30</v>
      </c>
      <c r="U477" s="66">
        <v>14</v>
      </c>
      <c r="V477" s="45">
        <v>1</v>
      </c>
      <c r="W477" s="45">
        <v>0</v>
      </c>
      <c r="X477" s="45">
        <f t="shared" si="114"/>
        <v>15</v>
      </c>
      <c r="Y477" s="45">
        <f t="shared" si="102"/>
        <v>12.857142857142858</v>
      </c>
      <c r="Z477" s="45">
        <v>25</v>
      </c>
      <c r="AA477" s="45">
        <v>1</v>
      </c>
      <c r="AB477" s="45">
        <v>1</v>
      </c>
      <c r="AC477" s="45">
        <v>2</v>
      </c>
      <c r="AD477" s="45">
        <f t="shared" si="112"/>
        <v>29</v>
      </c>
      <c r="AE477" s="45">
        <f t="shared" si="103"/>
        <v>24.857142857142858</v>
      </c>
      <c r="AF477" s="45">
        <f t="shared" si="115"/>
        <v>79</v>
      </c>
      <c r="AG477" s="45">
        <f t="shared" si="115"/>
        <v>67.714285714285722</v>
      </c>
      <c r="AH477" s="45">
        <f t="shared" si="120"/>
        <v>117</v>
      </c>
      <c r="AI477" s="45">
        <f t="shared" si="120"/>
        <v>100.28571428571429</v>
      </c>
      <c r="AJ477" s="67">
        <f>AI477/AH477</f>
        <v>0.85714285714285721</v>
      </c>
    </row>
    <row r="478" spans="1:36" s="68" customFormat="1">
      <c r="A478" s="42" t="s">
        <v>335</v>
      </c>
      <c r="B478" s="42" t="s">
        <v>506</v>
      </c>
      <c r="C478" s="43" t="s">
        <v>272</v>
      </c>
      <c r="D478" s="42" t="str">
        <f t="shared" si="121"/>
        <v>P65USCV22FO-.NT65ND1(D903)</v>
      </c>
      <c r="E478" s="42" t="s">
        <v>9</v>
      </c>
      <c r="F478" s="42" t="s">
        <v>9</v>
      </c>
      <c r="G478" s="44">
        <v>40</v>
      </c>
      <c r="H478" s="65">
        <v>32</v>
      </c>
      <c r="I478" s="45">
        <v>1</v>
      </c>
      <c r="J478" s="45">
        <v>1</v>
      </c>
      <c r="K478" s="45">
        <v>3</v>
      </c>
      <c r="L478" s="45">
        <f t="shared" si="117"/>
        <v>37</v>
      </c>
      <c r="M478" s="45">
        <f t="shared" si="104"/>
        <v>55.5</v>
      </c>
      <c r="N478" s="66">
        <v>19</v>
      </c>
      <c r="O478" s="45">
        <v>1</v>
      </c>
      <c r="P478" s="45">
        <v>1</v>
      </c>
      <c r="Q478" s="45">
        <v>1</v>
      </c>
      <c r="R478" s="45">
        <v>2</v>
      </c>
      <c r="S478" s="45">
        <f t="shared" si="105"/>
        <v>24</v>
      </c>
      <c r="T478" s="45">
        <f t="shared" si="116"/>
        <v>36</v>
      </c>
      <c r="U478" s="66">
        <v>11</v>
      </c>
      <c r="V478" s="45">
        <v>1</v>
      </c>
      <c r="W478" s="45">
        <v>0</v>
      </c>
      <c r="X478" s="45">
        <f t="shared" si="114"/>
        <v>12</v>
      </c>
      <c r="Y478" s="45">
        <f t="shared" si="102"/>
        <v>18</v>
      </c>
      <c r="Z478" s="45">
        <v>22</v>
      </c>
      <c r="AA478" s="45">
        <v>1</v>
      </c>
      <c r="AB478" s="45">
        <v>0</v>
      </c>
      <c r="AC478" s="45">
        <v>2</v>
      </c>
      <c r="AD478" s="45">
        <f t="shared" si="112"/>
        <v>25</v>
      </c>
      <c r="AE478" s="45">
        <f t="shared" si="103"/>
        <v>37.5</v>
      </c>
      <c r="AF478" s="45">
        <f t="shared" si="115"/>
        <v>61</v>
      </c>
      <c r="AG478" s="45">
        <f t="shared" si="115"/>
        <v>91.5</v>
      </c>
      <c r="AH478" s="45">
        <f t="shared" si="120"/>
        <v>98</v>
      </c>
      <c r="AI478" s="45">
        <f t="shared" si="120"/>
        <v>147</v>
      </c>
      <c r="AJ478" s="67">
        <f t="shared" ref="AJ478:AJ484" si="122">AI478/AH478</f>
        <v>1.5</v>
      </c>
    </row>
    <row r="479" spans="1:36" s="64" customFormat="1">
      <c r="A479" s="42" t="s">
        <v>335</v>
      </c>
      <c r="B479" s="42" t="s">
        <v>507</v>
      </c>
      <c r="C479" s="43" t="s">
        <v>131</v>
      </c>
      <c r="D479" s="42" t="str">
        <f t="shared" si="121"/>
        <v>P65USCV22FO-.EL65BE1(D903)</v>
      </c>
      <c r="E479" s="42" t="s">
        <v>9</v>
      </c>
      <c r="F479" s="42" t="s">
        <v>9</v>
      </c>
      <c r="G479" s="44">
        <v>20</v>
      </c>
      <c r="H479" s="65">
        <v>46</v>
      </c>
      <c r="I479" s="45">
        <v>1</v>
      </c>
      <c r="J479" s="45">
        <v>1</v>
      </c>
      <c r="K479" s="45">
        <v>3</v>
      </c>
      <c r="L479" s="45">
        <f t="shared" si="117"/>
        <v>51</v>
      </c>
      <c r="M479" s="45">
        <f t="shared" si="104"/>
        <v>153</v>
      </c>
      <c r="N479" s="66">
        <v>22</v>
      </c>
      <c r="O479" s="45">
        <v>1</v>
      </c>
      <c r="P479" s="45">
        <v>1</v>
      </c>
      <c r="Q479" s="45">
        <v>1</v>
      </c>
      <c r="R479" s="45">
        <v>2</v>
      </c>
      <c r="S479" s="45">
        <f t="shared" si="105"/>
        <v>27</v>
      </c>
      <c r="T479" s="45">
        <f t="shared" si="116"/>
        <v>81</v>
      </c>
      <c r="U479" s="66">
        <v>15</v>
      </c>
      <c r="V479" s="45">
        <v>1</v>
      </c>
      <c r="W479" s="45">
        <v>0</v>
      </c>
      <c r="X479" s="45">
        <f t="shared" si="114"/>
        <v>16</v>
      </c>
      <c r="Y479" s="45">
        <f t="shared" si="102"/>
        <v>48</v>
      </c>
      <c r="Z479" s="45">
        <v>19</v>
      </c>
      <c r="AA479" s="45">
        <v>1</v>
      </c>
      <c r="AB479" s="45">
        <v>0</v>
      </c>
      <c r="AC479" s="45">
        <v>2</v>
      </c>
      <c r="AD479" s="45">
        <f t="shared" si="112"/>
        <v>22</v>
      </c>
      <c r="AE479" s="45">
        <f t="shared" si="103"/>
        <v>66</v>
      </c>
      <c r="AF479" s="45">
        <f t="shared" si="115"/>
        <v>65</v>
      </c>
      <c r="AG479" s="45">
        <f t="shared" si="115"/>
        <v>195</v>
      </c>
      <c r="AH479" s="45">
        <f t="shared" si="120"/>
        <v>116</v>
      </c>
      <c r="AI479" s="45">
        <f t="shared" si="120"/>
        <v>348</v>
      </c>
      <c r="AJ479" s="63">
        <f t="shared" si="122"/>
        <v>3</v>
      </c>
    </row>
    <row r="480" spans="1:36" s="64" customFormat="1">
      <c r="A480" s="42" t="s">
        <v>335</v>
      </c>
      <c r="B480" s="42" t="s">
        <v>507</v>
      </c>
      <c r="C480" s="43" t="s">
        <v>167</v>
      </c>
      <c r="D480" s="42" t="str">
        <f t="shared" si="121"/>
        <v>P65USCV22FO-.EL65BE2(D903)</v>
      </c>
      <c r="E480" s="42" t="s">
        <v>9</v>
      </c>
      <c r="F480" s="42" t="s">
        <v>9</v>
      </c>
      <c r="G480" s="44">
        <v>20</v>
      </c>
      <c r="H480" s="65">
        <v>46</v>
      </c>
      <c r="I480" s="45">
        <v>1</v>
      </c>
      <c r="J480" s="45">
        <v>1</v>
      </c>
      <c r="K480" s="45">
        <v>3</v>
      </c>
      <c r="L480" s="45">
        <f t="shared" si="117"/>
        <v>51</v>
      </c>
      <c r="M480" s="45">
        <f t="shared" si="104"/>
        <v>153</v>
      </c>
      <c r="N480" s="66">
        <v>22</v>
      </c>
      <c r="O480" s="45">
        <v>1</v>
      </c>
      <c r="P480" s="45">
        <v>1</v>
      </c>
      <c r="Q480" s="45">
        <v>1</v>
      </c>
      <c r="R480" s="45">
        <v>2</v>
      </c>
      <c r="S480" s="45">
        <f t="shared" si="105"/>
        <v>27</v>
      </c>
      <c r="T480" s="45">
        <f t="shared" si="116"/>
        <v>81</v>
      </c>
      <c r="U480" s="66">
        <v>15</v>
      </c>
      <c r="V480" s="45">
        <v>1</v>
      </c>
      <c r="W480" s="45">
        <v>0</v>
      </c>
      <c r="X480" s="45">
        <f t="shared" si="114"/>
        <v>16</v>
      </c>
      <c r="Y480" s="45">
        <f t="shared" si="102"/>
        <v>48</v>
      </c>
      <c r="Z480" s="45">
        <v>19</v>
      </c>
      <c r="AA480" s="45">
        <v>1</v>
      </c>
      <c r="AB480" s="45">
        <v>0</v>
      </c>
      <c r="AC480" s="45">
        <v>2</v>
      </c>
      <c r="AD480" s="45">
        <f t="shared" si="112"/>
        <v>22</v>
      </c>
      <c r="AE480" s="45">
        <f t="shared" si="103"/>
        <v>66</v>
      </c>
      <c r="AF480" s="45">
        <f t="shared" si="115"/>
        <v>65</v>
      </c>
      <c r="AG480" s="45">
        <f t="shared" si="115"/>
        <v>195</v>
      </c>
      <c r="AH480" s="45">
        <f t="shared" si="120"/>
        <v>116</v>
      </c>
      <c r="AI480" s="45">
        <f t="shared" si="120"/>
        <v>348</v>
      </c>
      <c r="AJ480" s="63">
        <f t="shared" si="122"/>
        <v>3</v>
      </c>
    </row>
    <row r="481" spans="1:36" s="64" customFormat="1">
      <c r="A481" s="42" t="s">
        <v>335</v>
      </c>
      <c r="B481" s="42" t="s">
        <v>508</v>
      </c>
      <c r="C481" s="43" t="s">
        <v>162</v>
      </c>
      <c r="D481" s="42" t="str">
        <f t="shared" si="118"/>
        <v>P75USCV22FO-.EL75BE1(D903)</v>
      </c>
      <c r="E481" s="42" t="s">
        <v>9</v>
      </c>
      <c r="F481" s="42" t="s">
        <v>9</v>
      </c>
      <c r="G481" s="44">
        <v>18</v>
      </c>
      <c r="H481" s="65">
        <v>46</v>
      </c>
      <c r="I481" s="45">
        <v>1</v>
      </c>
      <c r="J481" s="45">
        <v>1</v>
      </c>
      <c r="K481" s="45">
        <v>3</v>
      </c>
      <c r="L481" s="45">
        <f t="shared" si="117"/>
        <v>51</v>
      </c>
      <c r="M481" s="45">
        <f t="shared" si="104"/>
        <v>170</v>
      </c>
      <c r="N481" s="66">
        <v>22</v>
      </c>
      <c r="O481" s="45">
        <v>1</v>
      </c>
      <c r="P481" s="45">
        <v>1</v>
      </c>
      <c r="Q481" s="45">
        <v>1</v>
      </c>
      <c r="R481" s="45">
        <v>2</v>
      </c>
      <c r="S481" s="45">
        <f t="shared" si="105"/>
        <v>27</v>
      </c>
      <c r="T481" s="45">
        <f t="shared" si="116"/>
        <v>90</v>
      </c>
      <c r="U481" s="66">
        <v>15</v>
      </c>
      <c r="V481" s="45">
        <v>1</v>
      </c>
      <c r="W481" s="45">
        <v>0</v>
      </c>
      <c r="X481" s="45">
        <f t="shared" si="114"/>
        <v>16</v>
      </c>
      <c r="Y481" s="45">
        <f t="shared" si="102"/>
        <v>53.333333333333336</v>
      </c>
      <c r="Z481" s="45">
        <v>19</v>
      </c>
      <c r="AA481" s="45">
        <v>1</v>
      </c>
      <c r="AB481" s="45">
        <v>0</v>
      </c>
      <c r="AC481" s="45">
        <v>2</v>
      </c>
      <c r="AD481" s="45">
        <f t="shared" si="112"/>
        <v>22</v>
      </c>
      <c r="AE481" s="45">
        <f t="shared" si="103"/>
        <v>73.333333333333329</v>
      </c>
      <c r="AF481" s="45">
        <f t="shared" si="115"/>
        <v>65</v>
      </c>
      <c r="AG481" s="45">
        <f t="shared" si="115"/>
        <v>216.66666666666669</v>
      </c>
      <c r="AH481" s="45">
        <f t="shared" si="120"/>
        <v>116</v>
      </c>
      <c r="AI481" s="45">
        <f t="shared" si="120"/>
        <v>386.66666666666669</v>
      </c>
      <c r="AJ481" s="63">
        <f t="shared" si="122"/>
        <v>3.3333333333333335</v>
      </c>
    </row>
    <row r="482" spans="1:36" s="64" customFormat="1">
      <c r="A482" s="42" t="s">
        <v>335</v>
      </c>
      <c r="B482" s="42" t="s">
        <v>508</v>
      </c>
      <c r="C482" s="43" t="s">
        <v>168</v>
      </c>
      <c r="D482" s="42" t="str">
        <f t="shared" si="118"/>
        <v>P75USCV22FO-.EL75BE2(D903)</v>
      </c>
      <c r="E482" s="42" t="s">
        <v>9</v>
      </c>
      <c r="F482" s="42" t="s">
        <v>9</v>
      </c>
      <c r="G482" s="44">
        <v>18</v>
      </c>
      <c r="H482" s="65">
        <v>46</v>
      </c>
      <c r="I482" s="45">
        <v>1</v>
      </c>
      <c r="J482" s="45">
        <v>1</v>
      </c>
      <c r="K482" s="45">
        <v>3</v>
      </c>
      <c r="L482" s="45">
        <f t="shared" si="117"/>
        <v>51</v>
      </c>
      <c r="M482" s="45">
        <f t="shared" si="104"/>
        <v>170</v>
      </c>
      <c r="N482" s="66">
        <v>22</v>
      </c>
      <c r="O482" s="45">
        <v>1</v>
      </c>
      <c r="P482" s="45">
        <v>1</v>
      </c>
      <c r="Q482" s="45">
        <v>1</v>
      </c>
      <c r="R482" s="45">
        <v>2</v>
      </c>
      <c r="S482" s="45">
        <f t="shared" si="105"/>
        <v>27</v>
      </c>
      <c r="T482" s="45">
        <f t="shared" si="116"/>
        <v>90</v>
      </c>
      <c r="U482" s="66">
        <v>15</v>
      </c>
      <c r="V482" s="45">
        <v>1</v>
      </c>
      <c r="W482" s="45">
        <v>0</v>
      </c>
      <c r="X482" s="45">
        <f t="shared" si="114"/>
        <v>16</v>
      </c>
      <c r="Y482" s="45">
        <f t="shared" si="102"/>
        <v>53.333333333333336</v>
      </c>
      <c r="Z482" s="45">
        <v>19</v>
      </c>
      <c r="AA482" s="45">
        <v>1</v>
      </c>
      <c r="AB482" s="45">
        <v>0</v>
      </c>
      <c r="AC482" s="45">
        <v>2</v>
      </c>
      <c r="AD482" s="45">
        <f t="shared" si="112"/>
        <v>22</v>
      </c>
      <c r="AE482" s="45">
        <f t="shared" si="103"/>
        <v>73.333333333333329</v>
      </c>
      <c r="AF482" s="45">
        <f t="shared" si="115"/>
        <v>65</v>
      </c>
      <c r="AG482" s="45">
        <f t="shared" si="115"/>
        <v>216.66666666666669</v>
      </c>
      <c r="AH482" s="45">
        <f t="shared" si="120"/>
        <v>116</v>
      </c>
      <c r="AI482" s="45">
        <f t="shared" si="120"/>
        <v>386.66666666666669</v>
      </c>
      <c r="AJ482" s="63">
        <f t="shared" si="122"/>
        <v>3.3333333333333335</v>
      </c>
    </row>
    <row r="483" spans="1:36" s="64" customFormat="1">
      <c r="A483" s="42" t="s">
        <v>335</v>
      </c>
      <c r="B483" s="42" t="s">
        <v>509</v>
      </c>
      <c r="C483" s="43" t="s">
        <v>132</v>
      </c>
      <c r="D483" s="42" t="str">
        <f>C483&amp;"("&amp;F483&amp;")"</f>
        <v>P86USCV22FO-.EL86BE1(D903)</v>
      </c>
      <c r="E483" s="42" t="s">
        <v>9</v>
      </c>
      <c r="F483" s="42" t="s">
        <v>9</v>
      </c>
      <c r="G483" s="44">
        <v>15</v>
      </c>
      <c r="H483" s="65">
        <v>46</v>
      </c>
      <c r="I483" s="45">
        <v>1</v>
      </c>
      <c r="J483" s="45">
        <v>1</v>
      </c>
      <c r="K483" s="45">
        <v>3</v>
      </c>
      <c r="L483" s="45">
        <f>SUM(H483:K483)</f>
        <v>51</v>
      </c>
      <c r="M483" s="45">
        <f t="shared" si="104"/>
        <v>204</v>
      </c>
      <c r="N483" s="66">
        <v>22</v>
      </c>
      <c r="O483" s="45">
        <v>1</v>
      </c>
      <c r="P483" s="45">
        <v>1</v>
      </c>
      <c r="Q483" s="45">
        <v>1</v>
      </c>
      <c r="R483" s="45">
        <v>2</v>
      </c>
      <c r="S483" s="45">
        <f t="shared" si="105"/>
        <v>27</v>
      </c>
      <c r="T483" s="45">
        <f t="shared" si="116"/>
        <v>108</v>
      </c>
      <c r="U483" s="66">
        <v>15</v>
      </c>
      <c r="V483" s="45">
        <v>1</v>
      </c>
      <c r="W483" s="45">
        <v>0</v>
      </c>
      <c r="X483" s="45">
        <f t="shared" si="114"/>
        <v>16</v>
      </c>
      <c r="Y483" s="45">
        <f t="shared" si="102"/>
        <v>64</v>
      </c>
      <c r="Z483" s="45">
        <v>19</v>
      </c>
      <c r="AA483" s="45">
        <v>1</v>
      </c>
      <c r="AB483" s="45">
        <v>0</v>
      </c>
      <c r="AC483" s="45">
        <v>2</v>
      </c>
      <c r="AD483" s="45">
        <f t="shared" si="112"/>
        <v>22</v>
      </c>
      <c r="AE483" s="45">
        <f t="shared" si="103"/>
        <v>88</v>
      </c>
      <c r="AF483" s="45">
        <f t="shared" si="115"/>
        <v>65</v>
      </c>
      <c r="AG483" s="45">
        <f t="shared" si="115"/>
        <v>260</v>
      </c>
      <c r="AH483" s="45">
        <f t="shared" si="120"/>
        <v>116</v>
      </c>
      <c r="AI483" s="45">
        <f t="shared" si="120"/>
        <v>464</v>
      </c>
      <c r="AJ483" s="63">
        <f t="shared" si="122"/>
        <v>4</v>
      </c>
    </row>
    <row r="484" spans="1:36" s="64" customFormat="1">
      <c r="A484" s="42" t="s">
        <v>335</v>
      </c>
      <c r="B484" s="42" t="s">
        <v>509</v>
      </c>
      <c r="C484" s="43" t="s">
        <v>169</v>
      </c>
      <c r="D484" s="42" t="str">
        <f>C484&amp;"("&amp;F484&amp;")"</f>
        <v>P86USCV22FO-.EL86BE2(D903)</v>
      </c>
      <c r="E484" s="42" t="s">
        <v>9</v>
      </c>
      <c r="F484" s="42" t="s">
        <v>9</v>
      </c>
      <c r="G484" s="44">
        <v>15</v>
      </c>
      <c r="H484" s="65">
        <v>46</v>
      </c>
      <c r="I484" s="45">
        <v>1</v>
      </c>
      <c r="J484" s="45">
        <v>1</v>
      </c>
      <c r="K484" s="45">
        <v>3</v>
      </c>
      <c r="L484" s="45">
        <f>SUM(H484:K484)</f>
        <v>51</v>
      </c>
      <c r="M484" s="45">
        <f t="shared" si="104"/>
        <v>204</v>
      </c>
      <c r="N484" s="66">
        <v>22</v>
      </c>
      <c r="O484" s="45">
        <v>1</v>
      </c>
      <c r="P484" s="45">
        <v>1</v>
      </c>
      <c r="Q484" s="45">
        <v>1</v>
      </c>
      <c r="R484" s="45">
        <v>2</v>
      </c>
      <c r="S484" s="45">
        <f t="shared" si="105"/>
        <v>27</v>
      </c>
      <c r="T484" s="45">
        <f t="shared" si="116"/>
        <v>108</v>
      </c>
      <c r="U484" s="66">
        <v>15</v>
      </c>
      <c r="V484" s="45">
        <v>1</v>
      </c>
      <c r="W484" s="45">
        <v>0</v>
      </c>
      <c r="X484" s="45">
        <f t="shared" si="114"/>
        <v>16</v>
      </c>
      <c r="Y484" s="45">
        <f t="shared" si="102"/>
        <v>64</v>
      </c>
      <c r="Z484" s="45">
        <v>19</v>
      </c>
      <c r="AA484" s="45">
        <v>1</v>
      </c>
      <c r="AB484" s="45">
        <v>0</v>
      </c>
      <c r="AC484" s="45">
        <v>2</v>
      </c>
      <c r="AD484" s="45">
        <f t="shared" ref="AD484:AD521" si="123">SUM(Z484:AC484)</f>
        <v>22</v>
      </c>
      <c r="AE484" s="45">
        <f t="shared" si="103"/>
        <v>88</v>
      </c>
      <c r="AF484" s="45">
        <f t="shared" ref="AF484:AG499" si="124">SUM(S484,X484,AD484)</f>
        <v>65</v>
      </c>
      <c r="AG484" s="45">
        <f t="shared" si="124"/>
        <v>260</v>
      </c>
      <c r="AH484" s="45">
        <f t="shared" si="120"/>
        <v>116</v>
      </c>
      <c r="AI484" s="45">
        <f t="shared" si="120"/>
        <v>464</v>
      </c>
      <c r="AJ484" s="63">
        <f t="shared" si="122"/>
        <v>4</v>
      </c>
    </row>
    <row r="485" spans="1:36" s="64" customFormat="1">
      <c r="A485" s="46" t="s">
        <v>335</v>
      </c>
      <c r="B485" s="46" t="s">
        <v>510</v>
      </c>
      <c r="C485" s="47" t="s">
        <v>238</v>
      </c>
      <c r="D485" s="46" t="str">
        <f t="shared" si="118"/>
        <v>P65USCV22EO-.EK65LE1(D903)</v>
      </c>
      <c r="E485" s="46" t="s">
        <v>9</v>
      </c>
      <c r="F485" s="46" t="s">
        <v>9</v>
      </c>
      <c r="G485" s="48">
        <v>25</v>
      </c>
      <c r="H485" s="61">
        <v>43</v>
      </c>
      <c r="I485" s="49">
        <v>1</v>
      </c>
      <c r="J485" s="49">
        <v>1</v>
      </c>
      <c r="K485" s="49">
        <v>3</v>
      </c>
      <c r="L485" s="49">
        <f t="shared" si="117"/>
        <v>48</v>
      </c>
      <c r="M485" s="49">
        <f t="shared" si="104"/>
        <v>115.2</v>
      </c>
      <c r="N485" s="62">
        <v>21</v>
      </c>
      <c r="O485" s="49">
        <v>1</v>
      </c>
      <c r="P485" s="49">
        <v>1</v>
      </c>
      <c r="Q485" s="49">
        <v>1</v>
      </c>
      <c r="R485" s="49">
        <v>2</v>
      </c>
      <c r="S485" s="49">
        <f t="shared" si="105"/>
        <v>26</v>
      </c>
      <c r="T485" s="49">
        <f t="shared" si="116"/>
        <v>62.4</v>
      </c>
      <c r="U485" s="62">
        <v>15</v>
      </c>
      <c r="V485" s="49">
        <v>1</v>
      </c>
      <c r="W485" s="49">
        <v>0</v>
      </c>
      <c r="X485" s="49">
        <f t="shared" si="114"/>
        <v>16</v>
      </c>
      <c r="Y485" s="49">
        <f t="shared" si="102"/>
        <v>38.4</v>
      </c>
      <c r="Z485" s="49">
        <v>19</v>
      </c>
      <c r="AA485" s="49">
        <v>1</v>
      </c>
      <c r="AB485" s="49">
        <v>0</v>
      </c>
      <c r="AC485" s="49">
        <v>2</v>
      </c>
      <c r="AD485" s="49">
        <f t="shared" si="123"/>
        <v>22</v>
      </c>
      <c r="AE485" s="49">
        <f t="shared" si="103"/>
        <v>52.8</v>
      </c>
      <c r="AF485" s="49">
        <f t="shared" si="124"/>
        <v>64</v>
      </c>
      <c r="AG485" s="49">
        <f t="shared" si="124"/>
        <v>153.6</v>
      </c>
      <c r="AH485" s="49">
        <f t="shared" si="120"/>
        <v>112</v>
      </c>
      <c r="AI485" s="49">
        <f t="shared" si="120"/>
        <v>268.8</v>
      </c>
      <c r="AJ485" s="63">
        <f t="shared" si="119"/>
        <v>2.4</v>
      </c>
    </row>
    <row r="486" spans="1:36" s="64" customFormat="1">
      <c r="A486" s="46" t="s">
        <v>335</v>
      </c>
      <c r="B486" s="46" t="s">
        <v>511</v>
      </c>
      <c r="C486" s="47" t="s">
        <v>239</v>
      </c>
      <c r="D486" s="46" t="str">
        <f t="shared" si="118"/>
        <v>P75USCV22EO-.EK75LE1(D903)</v>
      </c>
      <c r="E486" s="46" t="s">
        <v>9</v>
      </c>
      <c r="F486" s="46" t="s">
        <v>9</v>
      </c>
      <c r="G486" s="48">
        <v>20</v>
      </c>
      <c r="H486" s="61">
        <v>43</v>
      </c>
      <c r="I486" s="49">
        <v>1</v>
      </c>
      <c r="J486" s="49">
        <v>1</v>
      </c>
      <c r="K486" s="49">
        <v>3</v>
      </c>
      <c r="L486" s="49">
        <f t="shared" si="117"/>
        <v>48</v>
      </c>
      <c r="M486" s="49">
        <f t="shared" si="104"/>
        <v>144</v>
      </c>
      <c r="N486" s="62">
        <v>21</v>
      </c>
      <c r="O486" s="49">
        <v>1</v>
      </c>
      <c r="P486" s="49">
        <v>1</v>
      </c>
      <c r="Q486" s="49">
        <v>1</v>
      </c>
      <c r="R486" s="49">
        <v>2</v>
      </c>
      <c r="S486" s="49">
        <f t="shared" si="105"/>
        <v>26</v>
      </c>
      <c r="T486" s="49">
        <f t="shared" si="116"/>
        <v>78</v>
      </c>
      <c r="U486" s="62">
        <v>15</v>
      </c>
      <c r="V486" s="49">
        <v>1</v>
      </c>
      <c r="W486" s="49">
        <v>0</v>
      </c>
      <c r="X486" s="49">
        <f t="shared" si="114"/>
        <v>16</v>
      </c>
      <c r="Y486" s="49">
        <f t="shared" si="102"/>
        <v>48</v>
      </c>
      <c r="Z486" s="49">
        <v>19</v>
      </c>
      <c r="AA486" s="49">
        <v>1</v>
      </c>
      <c r="AB486" s="49">
        <v>0</v>
      </c>
      <c r="AC486" s="49">
        <v>2</v>
      </c>
      <c r="AD486" s="49">
        <f t="shared" si="123"/>
        <v>22</v>
      </c>
      <c r="AE486" s="49">
        <f t="shared" si="103"/>
        <v>66</v>
      </c>
      <c r="AF486" s="49">
        <f t="shared" si="124"/>
        <v>64</v>
      </c>
      <c r="AG486" s="49">
        <f t="shared" si="124"/>
        <v>192</v>
      </c>
      <c r="AH486" s="49">
        <f t="shared" si="120"/>
        <v>112</v>
      </c>
      <c r="AI486" s="49">
        <f t="shared" si="120"/>
        <v>336</v>
      </c>
      <c r="AJ486" s="63">
        <f t="shared" si="119"/>
        <v>3</v>
      </c>
    </row>
    <row r="487" spans="1:36" s="64" customFormat="1">
      <c r="A487" s="46" t="s">
        <v>335</v>
      </c>
      <c r="B487" s="46" t="s">
        <v>512</v>
      </c>
      <c r="C487" s="47" t="s">
        <v>240</v>
      </c>
      <c r="D487" s="46" t="str">
        <f>C487&amp;"("&amp;F487&amp;")"</f>
        <v>P86USCV22EO-.EK86LE1(D903)</v>
      </c>
      <c r="E487" s="46" t="s">
        <v>9</v>
      </c>
      <c r="F487" s="46" t="s">
        <v>9</v>
      </c>
      <c r="G487" s="48">
        <v>18</v>
      </c>
      <c r="H487" s="61">
        <v>43</v>
      </c>
      <c r="I487" s="49">
        <v>1</v>
      </c>
      <c r="J487" s="49">
        <v>1</v>
      </c>
      <c r="K487" s="49">
        <v>3</v>
      </c>
      <c r="L487" s="49">
        <f>SUM(H487:K487)</f>
        <v>48</v>
      </c>
      <c r="M487" s="49">
        <f t="shared" si="104"/>
        <v>160</v>
      </c>
      <c r="N487" s="62">
        <v>21</v>
      </c>
      <c r="O487" s="49">
        <v>1</v>
      </c>
      <c r="P487" s="49">
        <v>1</v>
      </c>
      <c r="Q487" s="49">
        <v>1</v>
      </c>
      <c r="R487" s="49">
        <v>2</v>
      </c>
      <c r="S487" s="49">
        <f t="shared" si="105"/>
        <v>26</v>
      </c>
      <c r="T487" s="49">
        <f t="shared" si="116"/>
        <v>86.666666666666671</v>
      </c>
      <c r="U487" s="62">
        <v>15</v>
      </c>
      <c r="V487" s="49">
        <v>1</v>
      </c>
      <c r="W487" s="49">
        <v>0</v>
      </c>
      <c r="X487" s="49">
        <f t="shared" si="114"/>
        <v>16</v>
      </c>
      <c r="Y487" s="49">
        <f t="shared" si="102"/>
        <v>53.333333333333336</v>
      </c>
      <c r="Z487" s="49">
        <v>19</v>
      </c>
      <c r="AA487" s="49">
        <v>1</v>
      </c>
      <c r="AB487" s="49">
        <v>0</v>
      </c>
      <c r="AC487" s="49">
        <v>2</v>
      </c>
      <c r="AD487" s="49">
        <f t="shared" si="123"/>
        <v>22</v>
      </c>
      <c r="AE487" s="49">
        <f t="shared" si="103"/>
        <v>73.333333333333329</v>
      </c>
      <c r="AF487" s="49">
        <f t="shared" si="124"/>
        <v>64</v>
      </c>
      <c r="AG487" s="49">
        <f t="shared" si="124"/>
        <v>213.33333333333331</v>
      </c>
      <c r="AH487" s="49">
        <f t="shared" si="120"/>
        <v>112</v>
      </c>
      <c r="AI487" s="49">
        <f t="shared" si="120"/>
        <v>373.33333333333331</v>
      </c>
      <c r="AJ487" s="63">
        <f t="shared" si="119"/>
        <v>3.333333333333333</v>
      </c>
    </row>
    <row r="488" spans="1:36" s="64" customFormat="1">
      <c r="A488" s="46" t="s">
        <v>335</v>
      </c>
      <c r="B488" s="46" t="s">
        <v>513</v>
      </c>
      <c r="C488" s="47" t="s">
        <v>211</v>
      </c>
      <c r="D488" s="46" t="str">
        <f>C488&amp;"("&amp;F488&amp;")"</f>
        <v>P55USCV22EO-.EH55LG1(D902)</v>
      </c>
      <c r="E488" s="46" t="s">
        <v>10</v>
      </c>
      <c r="F488" s="46" t="s">
        <v>10</v>
      </c>
      <c r="G488" s="48">
        <v>30</v>
      </c>
      <c r="H488" s="61">
        <v>34</v>
      </c>
      <c r="I488" s="49">
        <v>1</v>
      </c>
      <c r="J488" s="49">
        <v>1</v>
      </c>
      <c r="K488" s="49">
        <v>3</v>
      </c>
      <c r="L488" s="49">
        <f>SUM(H488:K488)</f>
        <v>39</v>
      </c>
      <c r="M488" s="49">
        <f t="shared" si="104"/>
        <v>78</v>
      </c>
      <c r="N488" s="62">
        <v>30</v>
      </c>
      <c r="O488" s="49">
        <v>1</v>
      </c>
      <c r="P488" s="49">
        <v>1</v>
      </c>
      <c r="Q488" s="49">
        <v>1</v>
      </c>
      <c r="R488" s="49">
        <v>2</v>
      </c>
      <c r="S488" s="49">
        <f t="shared" si="105"/>
        <v>35</v>
      </c>
      <c r="T488" s="49">
        <f t="shared" si="116"/>
        <v>70</v>
      </c>
      <c r="U488" s="62">
        <v>19</v>
      </c>
      <c r="V488" s="49">
        <v>1</v>
      </c>
      <c r="W488" s="49">
        <v>0</v>
      </c>
      <c r="X488" s="49">
        <f t="shared" si="114"/>
        <v>20</v>
      </c>
      <c r="Y488" s="49">
        <f t="shared" si="102"/>
        <v>40</v>
      </c>
      <c r="Z488" s="49">
        <v>20</v>
      </c>
      <c r="AA488" s="49">
        <v>1</v>
      </c>
      <c r="AB488" s="49">
        <v>0</v>
      </c>
      <c r="AC488" s="49">
        <v>2</v>
      </c>
      <c r="AD488" s="49">
        <f t="shared" si="123"/>
        <v>23</v>
      </c>
      <c r="AE488" s="49">
        <f t="shared" si="103"/>
        <v>46</v>
      </c>
      <c r="AF488" s="49">
        <f t="shared" si="124"/>
        <v>78</v>
      </c>
      <c r="AG488" s="49">
        <f t="shared" si="124"/>
        <v>156</v>
      </c>
      <c r="AH488" s="49">
        <f t="shared" si="120"/>
        <v>117</v>
      </c>
      <c r="AI488" s="49">
        <f t="shared" si="120"/>
        <v>234</v>
      </c>
      <c r="AJ488" s="63">
        <f t="shared" si="119"/>
        <v>2</v>
      </c>
    </row>
    <row r="489" spans="1:36" s="64" customFormat="1">
      <c r="A489" s="46" t="s">
        <v>335</v>
      </c>
      <c r="B489" s="46" t="s">
        <v>514</v>
      </c>
      <c r="C489" s="47" t="s">
        <v>210</v>
      </c>
      <c r="D489" s="46" t="str">
        <f>C489&amp;"("&amp;F489&amp;")"</f>
        <v>P65USCV22EO-.EH65LG1(D903)</v>
      </c>
      <c r="E489" s="46" t="s">
        <v>9</v>
      </c>
      <c r="F489" s="46" t="s">
        <v>9</v>
      </c>
      <c r="G489" s="48">
        <v>25</v>
      </c>
      <c r="H489" s="61">
        <v>45</v>
      </c>
      <c r="I489" s="49">
        <v>1</v>
      </c>
      <c r="J489" s="49">
        <v>1</v>
      </c>
      <c r="K489" s="49">
        <v>3</v>
      </c>
      <c r="L489" s="49">
        <f>SUM(H489:K489)</f>
        <v>50</v>
      </c>
      <c r="M489" s="49">
        <f t="shared" si="104"/>
        <v>120</v>
      </c>
      <c r="N489" s="62">
        <v>25</v>
      </c>
      <c r="O489" s="49">
        <v>1</v>
      </c>
      <c r="P489" s="49">
        <v>1</v>
      </c>
      <c r="Q489" s="49">
        <v>1</v>
      </c>
      <c r="R489" s="49">
        <v>2</v>
      </c>
      <c r="S489" s="49">
        <f t="shared" si="105"/>
        <v>30</v>
      </c>
      <c r="T489" s="49">
        <f t="shared" si="116"/>
        <v>72</v>
      </c>
      <c r="U489" s="62">
        <v>11</v>
      </c>
      <c r="V489" s="49">
        <v>1</v>
      </c>
      <c r="W489" s="49">
        <v>0</v>
      </c>
      <c r="X489" s="49">
        <f t="shared" si="114"/>
        <v>12</v>
      </c>
      <c r="Y489" s="49">
        <f t="shared" si="102"/>
        <v>28.8</v>
      </c>
      <c r="Z489" s="49">
        <v>20</v>
      </c>
      <c r="AA489" s="49">
        <v>1</v>
      </c>
      <c r="AB489" s="49">
        <v>0</v>
      </c>
      <c r="AC489" s="49">
        <v>2</v>
      </c>
      <c r="AD489" s="49">
        <f t="shared" si="123"/>
        <v>23</v>
      </c>
      <c r="AE489" s="49">
        <f t="shared" si="103"/>
        <v>55.2</v>
      </c>
      <c r="AF489" s="49">
        <f t="shared" si="124"/>
        <v>65</v>
      </c>
      <c r="AG489" s="49">
        <f t="shared" si="124"/>
        <v>156</v>
      </c>
      <c r="AH489" s="49">
        <f t="shared" ref="AH489:AI508" si="125">SUM(L489,AF489)</f>
        <v>115</v>
      </c>
      <c r="AI489" s="49">
        <f t="shared" si="125"/>
        <v>276</v>
      </c>
      <c r="AJ489" s="63">
        <f t="shared" si="119"/>
        <v>2.4</v>
      </c>
    </row>
    <row r="490" spans="1:36" s="64" customFormat="1">
      <c r="A490" s="46" t="s">
        <v>335</v>
      </c>
      <c r="B490" s="46" t="s">
        <v>515</v>
      </c>
      <c r="C490" s="47" t="s">
        <v>209</v>
      </c>
      <c r="D490" s="46" t="str">
        <f>C490&amp;"("&amp;F490&amp;")"</f>
        <v>P75USCV22EO-.EH75LG1(D903)</v>
      </c>
      <c r="E490" s="46" t="s">
        <v>9</v>
      </c>
      <c r="F490" s="46" t="s">
        <v>9</v>
      </c>
      <c r="G490" s="48">
        <v>20</v>
      </c>
      <c r="H490" s="61">
        <v>45</v>
      </c>
      <c r="I490" s="49">
        <v>1</v>
      </c>
      <c r="J490" s="49">
        <v>1</v>
      </c>
      <c r="K490" s="49">
        <v>3</v>
      </c>
      <c r="L490" s="49">
        <f>SUM(H490:K490)</f>
        <v>50</v>
      </c>
      <c r="M490" s="49">
        <f t="shared" si="104"/>
        <v>150</v>
      </c>
      <c r="N490" s="62">
        <v>25</v>
      </c>
      <c r="O490" s="49">
        <v>1</v>
      </c>
      <c r="P490" s="49">
        <v>1</v>
      </c>
      <c r="Q490" s="49">
        <v>1</v>
      </c>
      <c r="R490" s="49">
        <v>2</v>
      </c>
      <c r="S490" s="49">
        <f t="shared" si="105"/>
        <v>30</v>
      </c>
      <c r="T490" s="49">
        <f t="shared" si="116"/>
        <v>90</v>
      </c>
      <c r="U490" s="62">
        <v>11</v>
      </c>
      <c r="V490" s="49">
        <v>1</v>
      </c>
      <c r="W490" s="49">
        <v>0</v>
      </c>
      <c r="X490" s="49">
        <f t="shared" si="114"/>
        <v>12</v>
      </c>
      <c r="Y490" s="49">
        <f>60*X490/G490</f>
        <v>36</v>
      </c>
      <c r="Z490" s="49">
        <v>20</v>
      </c>
      <c r="AA490" s="49">
        <v>1</v>
      </c>
      <c r="AB490" s="49">
        <v>0</v>
      </c>
      <c r="AC490" s="49">
        <v>2</v>
      </c>
      <c r="AD490" s="49">
        <f t="shared" si="123"/>
        <v>23</v>
      </c>
      <c r="AE490" s="49">
        <f t="shared" si="103"/>
        <v>69</v>
      </c>
      <c r="AF490" s="49">
        <f t="shared" si="124"/>
        <v>65</v>
      </c>
      <c r="AG490" s="49">
        <f t="shared" si="124"/>
        <v>195</v>
      </c>
      <c r="AH490" s="49">
        <f t="shared" si="125"/>
        <v>115</v>
      </c>
      <c r="AI490" s="49">
        <f t="shared" si="125"/>
        <v>345</v>
      </c>
      <c r="AJ490" s="63">
        <f t="shared" si="119"/>
        <v>3</v>
      </c>
    </row>
    <row r="491" spans="1:36" s="64" customFormat="1">
      <c r="A491" s="46" t="s">
        <v>335</v>
      </c>
      <c r="B491" s="46" t="s">
        <v>516</v>
      </c>
      <c r="C491" s="47" t="s">
        <v>208</v>
      </c>
      <c r="D491" s="46" t="str">
        <f>C491&amp;"("&amp;F491&amp;")"</f>
        <v>P86USCV22EO-.EH86LG1(D903)</v>
      </c>
      <c r="E491" s="46" t="s">
        <v>9</v>
      </c>
      <c r="F491" s="46" t="s">
        <v>9</v>
      </c>
      <c r="G491" s="48">
        <v>18</v>
      </c>
      <c r="H491" s="61">
        <v>45</v>
      </c>
      <c r="I491" s="49">
        <v>1</v>
      </c>
      <c r="J491" s="49">
        <v>1</v>
      </c>
      <c r="K491" s="49">
        <v>3</v>
      </c>
      <c r="L491" s="49">
        <f>SUM(H491:K491)</f>
        <v>50</v>
      </c>
      <c r="M491" s="49">
        <f t="shared" si="104"/>
        <v>166.66666666666666</v>
      </c>
      <c r="N491" s="62">
        <v>25</v>
      </c>
      <c r="O491" s="49">
        <v>1</v>
      </c>
      <c r="P491" s="49">
        <v>1</v>
      </c>
      <c r="Q491" s="49">
        <v>1</v>
      </c>
      <c r="R491" s="49">
        <v>2</v>
      </c>
      <c r="S491" s="49">
        <f t="shared" si="105"/>
        <v>30</v>
      </c>
      <c r="T491" s="49">
        <f t="shared" si="116"/>
        <v>100</v>
      </c>
      <c r="U491" s="62">
        <v>11</v>
      </c>
      <c r="V491" s="49">
        <v>1</v>
      </c>
      <c r="W491" s="49">
        <v>0</v>
      </c>
      <c r="X491" s="49">
        <f t="shared" si="114"/>
        <v>12</v>
      </c>
      <c r="Y491" s="49">
        <f>60*X491/G491</f>
        <v>40</v>
      </c>
      <c r="Z491" s="49">
        <v>20</v>
      </c>
      <c r="AA491" s="49">
        <v>1</v>
      </c>
      <c r="AB491" s="49">
        <v>0</v>
      </c>
      <c r="AC491" s="49">
        <v>2</v>
      </c>
      <c r="AD491" s="49">
        <f t="shared" si="123"/>
        <v>23</v>
      </c>
      <c r="AE491" s="49">
        <f t="shared" si="103"/>
        <v>76.666666666666671</v>
      </c>
      <c r="AF491" s="49">
        <f t="shared" si="124"/>
        <v>65</v>
      </c>
      <c r="AG491" s="49">
        <f t="shared" si="124"/>
        <v>216.66666666666669</v>
      </c>
      <c r="AH491" s="49">
        <f t="shared" si="125"/>
        <v>115</v>
      </c>
      <c r="AI491" s="49">
        <f t="shared" si="125"/>
        <v>383.33333333333337</v>
      </c>
      <c r="AJ491" s="63">
        <f t="shared" si="119"/>
        <v>3.3333333333333335</v>
      </c>
    </row>
    <row r="492" spans="1:36" s="64" customFormat="1">
      <c r="A492" s="46" t="s">
        <v>335</v>
      </c>
      <c r="B492" s="46" t="s">
        <v>517</v>
      </c>
      <c r="C492" s="47" t="s">
        <v>153</v>
      </c>
      <c r="D492" s="46" t="str">
        <f t="shared" ref="D492:D498" si="126">C492&amp;"("&amp;F492&amp;")"</f>
        <v>P43USCV22EO-.ND43CM1(D902)</v>
      </c>
      <c r="E492" s="46" t="s">
        <v>10</v>
      </c>
      <c r="F492" s="46" t="s">
        <v>10</v>
      </c>
      <c r="G492" s="48">
        <v>80</v>
      </c>
      <c r="H492" s="61">
        <v>33</v>
      </c>
      <c r="I492" s="49">
        <v>1</v>
      </c>
      <c r="J492" s="49">
        <v>1</v>
      </c>
      <c r="K492" s="49">
        <v>3</v>
      </c>
      <c r="L492" s="49">
        <f t="shared" ref="L492:L498" si="127">SUM(H492:K492)</f>
        <v>38</v>
      </c>
      <c r="M492" s="49">
        <f t="shared" si="104"/>
        <v>28.5</v>
      </c>
      <c r="N492" s="62">
        <v>31</v>
      </c>
      <c r="O492" s="49">
        <v>1</v>
      </c>
      <c r="P492" s="49">
        <v>1</v>
      </c>
      <c r="Q492" s="49">
        <v>1</v>
      </c>
      <c r="R492" s="49">
        <v>2</v>
      </c>
      <c r="S492" s="49">
        <f t="shared" si="105"/>
        <v>36</v>
      </c>
      <c r="T492" s="49">
        <f t="shared" si="116"/>
        <v>27</v>
      </c>
      <c r="U492" s="62">
        <v>14</v>
      </c>
      <c r="V492" s="49">
        <v>1</v>
      </c>
      <c r="W492" s="49">
        <v>0</v>
      </c>
      <c r="X492" s="49">
        <f t="shared" si="114"/>
        <v>15</v>
      </c>
      <c r="Y492" s="49">
        <f t="shared" si="102"/>
        <v>11.25</v>
      </c>
      <c r="Z492" s="49">
        <v>25</v>
      </c>
      <c r="AA492" s="49">
        <v>1</v>
      </c>
      <c r="AB492" s="49">
        <v>1</v>
      </c>
      <c r="AC492" s="49">
        <v>2</v>
      </c>
      <c r="AD492" s="49">
        <f t="shared" si="123"/>
        <v>29</v>
      </c>
      <c r="AE492" s="49">
        <f t="shared" si="103"/>
        <v>21.75</v>
      </c>
      <c r="AF492" s="49">
        <f t="shared" si="124"/>
        <v>80</v>
      </c>
      <c r="AG492" s="49">
        <f t="shared" si="124"/>
        <v>60</v>
      </c>
      <c r="AH492" s="49">
        <f t="shared" si="125"/>
        <v>118</v>
      </c>
      <c r="AI492" s="49">
        <f t="shared" si="125"/>
        <v>88.5</v>
      </c>
      <c r="AJ492" s="63"/>
    </row>
    <row r="493" spans="1:36" s="64" customFormat="1">
      <c r="A493" s="46" t="s">
        <v>335</v>
      </c>
      <c r="B493" s="46" t="s">
        <v>518</v>
      </c>
      <c r="C493" s="47" t="s">
        <v>154</v>
      </c>
      <c r="D493" s="46" t="str">
        <f t="shared" si="126"/>
        <v>P55USCV22EO-.ND55CM1(D902)</v>
      </c>
      <c r="E493" s="46" t="s">
        <v>10</v>
      </c>
      <c r="F493" s="46" t="s">
        <v>10</v>
      </c>
      <c r="G493" s="48">
        <v>70</v>
      </c>
      <c r="H493" s="61">
        <v>33</v>
      </c>
      <c r="I493" s="49">
        <v>1</v>
      </c>
      <c r="J493" s="49">
        <v>1</v>
      </c>
      <c r="K493" s="49">
        <v>3</v>
      </c>
      <c r="L493" s="49">
        <f t="shared" si="127"/>
        <v>38</v>
      </c>
      <c r="M493" s="49">
        <f t="shared" si="104"/>
        <v>32.571428571428569</v>
      </c>
      <c r="N493" s="62">
        <v>30</v>
      </c>
      <c r="O493" s="49">
        <v>1</v>
      </c>
      <c r="P493" s="49">
        <v>1</v>
      </c>
      <c r="Q493" s="49">
        <v>1</v>
      </c>
      <c r="R493" s="49">
        <v>2</v>
      </c>
      <c r="S493" s="49">
        <f t="shared" si="105"/>
        <v>35</v>
      </c>
      <c r="T493" s="49">
        <f t="shared" si="116"/>
        <v>30</v>
      </c>
      <c r="U493" s="62">
        <v>14</v>
      </c>
      <c r="V493" s="49">
        <v>1</v>
      </c>
      <c r="W493" s="49">
        <v>0</v>
      </c>
      <c r="X493" s="49">
        <f t="shared" si="114"/>
        <v>15</v>
      </c>
      <c r="Y493" s="49">
        <f t="shared" si="102"/>
        <v>12.857142857142858</v>
      </c>
      <c r="Z493" s="49">
        <v>25</v>
      </c>
      <c r="AA493" s="49">
        <v>1</v>
      </c>
      <c r="AB493" s="49">
        <v>1</v>
      </c>
      <c r="AC493" s="49">
        <v>2</v>
      </c>
      <c r="AD493" s="49">
        <f t="shared" si="123"/>
        <v>29</v>
      </c>
      <c r="AE493" s="49">
        <f t="shared" si="103"/>
        <v>24.857142857142858</v>
      </c>
      <c r="AF493" s="49">
        <f t="shared" si="124"/>
        <v>79</v>
      </c>
      <c r="AG493" s="49">
        <f t="shared" si="124"/>
        <v>67.714285714285722</v>
      </c>
      <c r="AH493" s="49">
        <f t="shared" si="125"/>
        <v>117</v>
      </c>
      <c r="AI493" s="49">
        <f t="shared" si="125"/>
        <v>100.28571428571429</v>
      </c>
      <c r="AJ493" s="63"/>
    </row>
    <row r="494" spans="1:36" s="64" customFormat="1">
      <c r="A494" s="69" t="s">
        <v>335</v>
      </c>
      <c r="B494" s="69" t="s">
        <v>519</v>
      </c>
      <c r="C494" s="70" t="s">
        <v>155</v>
      </c>
      <c r="D494" s="69" t="str">
        <f t="shared" si="126"/>
        <v>P65USCV22FO-.ND65CM1(D903)</v>
      </c>
      <c r="E494" s="69" t="s">
        <v>9</v>
      </c>
      <c r="F494" s="69" t="s">
        <v>9</v>
      </c>
      <c r="G494" s="71">
        <v>40</v>
      </c>
      <c r="H494" s="72">
        <v>32</v>
      </c>
      <c r="I494" s="73">
        <v>1</v>
      </c>
      <c r="J494" s="73">
        <v>1</v>
      </c>
      <c r="K494" s="73">
        <v>3</v>
      </c>
      <c r="L494" s="73">
        <f t="shared" si="127"/>
        <v>37</v>
      </c>
      <c r="M494" s="73">
        <f t="shared" si="104"/>
        <v>55.5</v>
      </c>
      <c r="N494" s="74">
        <v>19</v>
      </c>
      <c r="O494" s="73">
        <v>1</v>
      </c>
      <c r="P494" s="73">
        <v>1</v>
      </c>
      <c r="Q494" s="73">
        <v>1</v>
      </c>
      <c r="R494" s="73">
        <v>2</v>
      </c>
      <c r="S494" s="73">
        <f t="shared" si="105"/>
        <v>24</v>
      </c>
      <c r="T494" s="73">
        <f t="shared" si="116"/>
        <v>36</v>
      </c>
      <c r="U494" s="74">
        <v>11</v>
      </c>
      <c r="V494" s="73">
        <v>1</v>
      </c>
      <c r="W494" s="73">
        <v>0</v>
      </c>
      <c r="X494" s="73">
        <f t="shared" si="114"/>
        <v>12</v>
      </c>
      <c r="Y494" s="73">
        <f t="shared" si="102"/>
        <v>18</v>
      </c>
      <c r="Z494" s="73">
        <v>22</v>
      </c>
      <c r="AA494" s="73">
        <v>1</v>
      </c>
      <c r="AB494" s="73">
        <v>0</v>
      </c>
      <c r="AC494" s="73">
        <v>2</v>
      </c>
      <c r="AD494" s="73">
        <f t="shared" si="123"/>
        <v>25</v>
      </c>
      <c r="AE494" s="73">
        <f t="shared" si="103"/>
        <v>37.5</v>
      </c>
      <c r="AF494" s="73">
        <f t="shared" si="124"/>
        <v>61</v>
      </c>
      <c r="AG494" s="73">
        <f t="shared" si="124"/>
        <v>91.5</v>
      </c>
      <c r="AH494" s="73">
        <f t="shared" si="125"/>
        <v>98</v>
      </c>
      <c r="AI494" s="73">
        <f t="shared" si="125"/>
        <v>147</v>
      </c>
      <c r="AJ494" s="63"/>
    </row>
    <row r="495" spans="1:36" s="64" customFormat="1">
      <c r="A495" s="69" t="s">
        <v>335</v>
      </c>
      <c r="B495" s="69" t="s">
        <v>520</v>
      </c>
      <c r="C495" s="70" t="s">
        <v>137</v>
      </c>
      <c r="D495" s="69" t="str">
        <f t="shared" si="126"/>
        <v>P75USCV22FO-.ND75CM1(D903)</v>
      </c>
      <c r="E495" s="69" t="s">
        <v>9</v>
      </c>
      <c r="F495" s="69" t="s">
        <v>9</v>
      </c>
      <c r="G495" s="71">
        <v>35</v>
      </c>
      <c r="H495" s="72">
        <v>32</v>
      </c>
      <c r="I495" s="73">
        <v>1</v>
      </c>
      <c r="J495" s="73">
        <v>1</v>
      </c>
      <c r="K495" s="73">
        <v>3</v>
      </c>
      <c r="L495" s="73">
        <f t="shared" si="127"/>
        <v>37</v>
      </c>
      <c r="M495" s="73">
        <f t="shared" si="104"/>
        <v>63.428571428571431</v>
      </c>
      <c r="N495" s="74">
        <v>19</v>
      </c>
      <c r="O495" s="73">
        <v>1</v>
      </c>
      <c r="P495" s="73">
        <v>1</v>
      </c>
      <c r="Q495" s="73">
        <v>1</v>
      </c>
      <c r="R495" s="73">
        <v>2</v>
      </c>
      <c r="S495" s="73">
        <f t="shared" si="105"/>
        <v>24</v>
      </c>
      <c r="T495" s="73">
        <f t="shared" si="116"/>
        <v>41.142857142857146</v>
      </c>
      <c r="U495" s="74">
        <v>11</v>
      </c>
      <c r="V495" s="73">
        <v>1</v>
      </c>
      <c r="W495" s="73">
        <v>0</v>
      </c>
      <c r="X495" s="73">
        <f t="shared" si="114"/>
        <v>12</v>
      </c>
      <c r="Y495" s="73">
        <f t="shared" si="102"/>
        <v>20.571428571428573</v>
      </c>
      <c r="Z495" s="73">
        <v>22</v>
      </c>
      <c r="AA495" s="73">
        <v>1</v>
      </c>
      <c r="AB495" s="73">
        <v>0</v>
      </c>
      <c r="AC495" s="73">
        <v>2</v>
      </c>
      <c r="AD495" s="73">
        <f>SUM(Z495:AC495)</f>
        <v>25</v>
      </c>
      <c r="AE495" s="73">
        <f t="shared" si="103"/>
        <v>42.857142857142854</v>
      </c>
      <c r="AF495" s="73">
        <f t="shared" si="124"/>
        <v>61</v>
      </c>
      <c r="AG495" s="73">
        <f t="shared" si="124"/>
        <v>104.57142857142858</v>
      </c>
      <c r="AH495" s="73">
        <f t="shared" si="125"/>
        <v>98</v>
      </c>
      <c r="AI495" s="73">
        <f t="shared" si="125"/>
        <v>168</v>
      </c>
      <c r="AJ495" s="63">
        <f t="shared" ref="AJ495:AJ525" si="128">AI495/AH495</f>
        <v>1.7142857142857142</v>
      </c>
    </row>
    <row r="496" spans="1:36" s="64" customFormat="1">
      <c r="A496" s="69" t="s">
        <v>335</v>
      </c>
      <c r="B496" s="69" t="s">
        <v>521</v>
      </c>
      <c r="C496" s="70" t="s">
        <v>138</v>
      </c>
      <c r="D496" s="69" t="str">
        <f t="shared" si="126"/>
        <v>P86USCV22FO-.ND86CM1(D903)</v>
      </c>
      <c r="E496" s="69" t="s">
        <v>9</v>
      </c>
      <c r="F496" s="69" t="s">
        <v>9</v>
      </c>
      <c r="G496" s="71">
        <v>30</v>
      </c>
      <c r="H496" s="72">
        <v>32</v>
      </c>
      <c r="I496" s="73">
        <v>1</v>
      </c>
      <c r="J496" s="73">
        <v>1</v>
      </c>
      <c r="K496" s="73">
        <v>3</v>
      </c>
      <c r="L496" s="73">
        <f t="shared" si="127"/>
        <v>37</v>
      </c>
      <c r="M496" s="73">
        <f t="shared" si="104"/>
        <v>74</v>
      </c>
      <c r="N496" s="74">
        <v>19</v>
      </c>
      <c r="O496" s="73">
        <v>1</v>
      </c>
      <c r="P496" s="73">
        <v>1</v>
      </c>
      <c r="Q496" s="73">
        <v>1</v>
      </c>
      <c r="R496" s="73">
        <v>2</v>
      </c>
      <c r="S496" s="73">
        <f t="shared" si="105"/>
        <v>24</v>
      </c>
      <c r="T496" s="73">
        <f t="shared" si="116"/>
        <v>48</v>
      </c>
      <c r="U496" s="74">
        <v>11</v>
      </c>
      <c r="V496" s="73">
        <v>1</v>
      </c>
      <c r="W496" s="73">
        <v>0</v>
      </c>
      <c r="X496" s="73">
        <f t="shared" si="114"/>
        <v>12</v>
      </c>
      <c r="Y496" s="73">
        <f t="shared" si="102"/>
        <v>24</v>
      </c>
      <c r="Z496" s="73">
        <v>22</v>
      </c>
      <c r="AA496" s="73">
        <v>1</v>
      </c>
      <c r="AB496" s="73">
        <v>0</v>
      </c>
      <c r="AC496" s="73">
        <v>2</v>
      </c>
      <c r="AD496" s="73">
        <f t="shared" ref="AD496:AD504" si="129">SUM(Z496:AC496)</f>
        <v>25</v>
      </c>
      <c r="AE496" s="73">
        <f t="shared" si="103"/>
        <v>50</v>
      </c>
      <c r="AF496" s="73">
        <f t="shared" si="124"/>
        <v>61</v>
      </c>
      <c r="AG496" s="73">
        <f t="shared" si="124"/>
        <v>122</v>
      </c>
      <c r="AH496" s="73">
        <f t="shared" si="125"/>
        <v>98</v>
      </c>
      <c r="AI496" s="73">
        <f t="shared" si="125"/>
        <v>196</v>
      </c>
      <c r="AJ496" s="63">
        <f t="shared" si="128"/>
        <v>2</v>
      </c>
    </row>
    <row r="497" spans="1:36" s="64" customFormat="1">
      <c r="A497" s="46" t="s">
        <v>335</v>
      </c>
      <c r="B497" s="46" t="s">
        <v>522</v>
      </c>
      <c r="C497" s="47" t="s">
        <v>173</v>
      </c>
      <c r="D497" s="46" t="str">
        <f t="shared" si="126"/>
        <v>P65USCV22EO-.VG65FA1(D903)</v>
      </c>
      <c r="E497" s="46" t="s">
        <v>9</v>
      </c>
      <c r="F497" s="46" t="s">
        <v>9</v>
      </c>
      <c r="G497" s="48">
        <v>25</v>
      </c>
      <c r="H497" s="61">
        <v>38</v>
      </c>
      <c r="I497" s="49">
        <v>1</v>
      </c>
      <c r="J497" s="49">
        <v>1</v>
      </c>
      <c r="K497" s="49">
        <v>3</v>
      </c>
      <c r="L497" s="49">
        <f t="shared" si="127"/>
        <v>43</v>
      </c>
      <c r="M497" s="49">
        <f t="shared" si="104"/>
        <v>103.2</v>
      </c>
      <c r="N497" s="62">
        <v>24</v>
      </c>
      <c r="O497" s="49">
        <v>1</v>
      </c>
      <c r="P497" s="49">
        <v>1</v>
      </c>
      <c r="Q497" s="49">
        <v>1</v>
      </c>
      <c r="R497" s="49">
        <v>2</v>
      </c>
      <c r="S497" s="49">
        <f t="shared" si="105"/>
        <v>29</v>
      </c>
      <c r="T497" s="49">
        <f t="shared" si="116"/>
        <v>69.599999999999994</v>
      </c>
      <c r="U497" s="62">
        <v>10</v>
      </c>
      <c r="V497" s="49">
        <v>1</v>
      </c>
      <c r="W497" s="49">
        <v>0</v>
      </c>
      <c r="X497" s="49">
        <f t="shared" si="114"/>
        <v>11</v>
      </c>
      <c r="Y497" s="49">
        <f t="shared" si="102"/>
        <v>26.4</v>
      </c>
      <c r="Z497" s="49">
        <v>19</v>
      </c>
      <c r="AA497" s="49">
        <v>1</v>
      </c>
      <c r="AB497" s="49">
        <v>0</v>
      </c>
      <c r="AC497" s="49">
        <v>2</v>
      </c>
      <c r="AD497" s="49">
        <f t="shared" si="129"/>
        <v>22</v>
      </c>
      <c r="AE497" s="49">
        <f t="shared" si="103"/>
        <v>52.8</v>
      </c>
      <c r="AF497" s="49">
        <f t="shared" si="124"/>
        <v>62</v>
      </c>
      <c r="AG497" s="49">
        <f t="shared" si="124"/>
        <v>148.80000000000001</v>
      </c>
      <c r="AH497" s="49">
        <f t="shared" si="125"/>
        <v>105</v>
      </c>
      <c r="AI497" s="49">
        <f t="shared" si="125"/>
        <v>252</v>
      </c>
      <c r="AJ497" s="63">
        <f t="shared" si="128"/>
        <v>2.4</v>
      </c>
    </row>
    <row r="498" spans="1:36" s="64" customFormat="1">
      <c r="A498" s="46" t="s">
        <v>335</v>
      </c>
      <c r="B498" s="46" t="s">
        <v>523</v>
      </c>
      <c r="C498" s="47" t="s">
        <v>174</v>
      </c>
      <c r="D498" s="46" t="str">
        <f t="shared" si="126"/>
        <v>P75USCV22EO-.VG75FA1(D903)</v>
      </c>
      <c r="E498" s="46" t="s">
        <v>9</v>
      </c>
      <c r="F498" s="46" t="s">
        <v>9</v>
      </c>
      <c r="G498" s="48">
        <v>20</v>
      </c>
      <c r="H498" s="61">
        <v>38</v>
      </c>
      <c r="I498" s="49">
        <v>1</v>
      </c>
      <c r="J498" s="49">
        <v>1</v>
      </c>
      <c r="K498" s="49">
        <v>3</v>
      </c>
      <c r="L498" s="49">
        <f t="shared" si="127"/>
        <v>43</v>
      </c>
      <c r="M498" s="49">
        <f t="shared" si="104"/>
        <v>129</v>
      </c>
      <c r="N498" s="62">
        <v>24</v>
      </c>
      <c r="O498" s="49">
        <v>1</v>
      </c>
      <c r="P498" s="49">
        <v>1</v>
      </c>
      <c r="Q498" s="49">
        <v>1</v>
      </c>
      <c r="R498" s="49">
        <v>2</v>
      </c>
      <c r="S498" s="49">
        <f t="shared" si="105"/>
        <v>29</v>
      </c>
      <c r="T498" s="49">
        <f t="shared" si="116"/>
        <v>87</v>
      </c>
      <c r="U498" s="62">
        <v>10</v>
      </c>
      <c r="V498" s="49">
        <v>1</v>
      </c>
      <c r="W498" s="49">
        <v>0</v>
      </c>
      <c r="X498" s="49">
        <f t="shared" si="114"/>
        <v>11</v>
      </c>
      <c r="Y498" s="49">
        <f t="shared" si="102"/>
        <v>33</v>
      </c>
      <c r="Z498" s="49">
        <v>19</v>
      </c>
      <c r="AA498" s="49">
        <v>1</v>
      </c>
      <c r="AB498" s="49">
        <v>0</v>
      </c>
      <c r="AC498" s="49">
        <v>2</v>
      </c>
      <c r="AD498" s="49">
        <f t="shared" si="129"/>
        <v>22</v>
      </c>
      <c r="AE498" s="49">
        <f t="shared" si="103"/>
        <v>66</v>
      </c>
      <c r="AF498" s="49">
        <f t="shared" si="124"/>
        <v>62</v>
      </c>
      <c r="AG498" s="49">
        <f t="shared" si="124"/>
        <v>186</v>
      </c>
      <c r="AH498" s="49">
        <f t="shared" si="125"/>
        <v>105</v>
      </c>
      <c r="AI498" s="49">
        <f t="shared" si="125"/>
        <v>315</v>
      </c>
      <c r="AJ498" s="63">
        <f t="shared" si="128"/>
        <v>3</v>
      </c>
    </row>
    <row r="499" spans="1:36" s="64" customFormat="1">
      <c r="A499" s="46" t="s">
        <v>335</v>
      </c>
      <c r="B499" s="46" t="s">
        <v>524</v>
      </c>
      <c r="C499" s="47" t="s">
        <v>175</v>
      </c>
      <c r="D499" s="46" t="str">
        <f t="shared" ref="D499:D525" si="130">C499&amp;"("&amp;F499&amp;")"</f>
        <v>P86USCV22EO-.VG86FA1(D903)</v>
      </c>
      <c r="E499" s="46" t="s">
        <v>9</v>
      </c>
      <c r="F499" s="46" t="s">
        <v>9</v>
      </c>
      <c r="G499" s="48">
        <v>18</v>
      </c>
      <c r="H499" s="61">
        <v>38</v>
      </c>
      <c r="I499" s="49">
        <v>1</v>
      </c>
      <c r="J499" s="49">
        <v>1</v>
      </c>
      <c r="K499" s="49">
        <v>3</v>
      </c>
      <c r="L499" s="49">
        <f t="shared" ref="L499:L504" si="131">SUM(H499:K499)</f>
        <v>43</v>
      </c>
      <c r="M499" s="49">
        <f t="shared" si="104"/>
        <v>143.33333333333334</v>
      </c>
      <c r="N499" s="62">
        <v>24</v>
      </c>
      <c r="O499" s="49">
        <v>1</v>
      </c>
      <c r="P499" s="49">
        <v>1</v>
      </c>
      <c r="Q499" s="49">
        <v>1</v>
      </c>
      <c r="R499" s="49">
        <v>2</v>
      </c>
      <c r="S499" s="49">
        <f t="shared" si="105"/>
        <v>29</v>
      </c>
      <c r="T499" s="49">
        <f t="shared" si="116"/>
        <v>96.666666666666671</v>
      </c>
      <c r="U499" s="62">
        <v>10</v>
      </c>
      <c r="V499" s="49">
        <v>1</v>
      </c>
      <c r="W499" s="49">
        <v>0</v>
      </c>
      <c r="X499" s="49">
        <f t="shared" si="114"/>
        <v>11</v>
      </c>
      <c r="Y499" s="49">
        <f t="shared" si="102"/>
        <v>36.666666666666664</v>
      </c>
      <c r="Z499" s="49">
        <v>19</v>
      </c>
      <c r="AA499" s="49">
        <v>1</v>
      </c>
      <c r="AB499" s="49">
        <v>0</v>
      </c>
      <c r="AC499" s="49">
        <v>2</v>
      </c>
      <c r="AD499" s="49">
        <f t="shared" si="129"/>
        <v>22</v>
      </c>
      <c r="AE499" s="49">
        <f t="shared" si="103"/>
        <v>73.333333333333329</v>
      </c>
      <c r="AF499" s="49">
        <f t="shared" si="124"/>
        <v>62</v>
      </c>
      <c r="AG499" s="49">
        <f t="shared" si="124"/>
        <v>206.66666666666669</v>
      </c>
      <c r="AH499" s="49">
        <f t="shared" si="125"/>
        <v>105</v>
      </c>
      <c r="AI499" s="49">
        <f t="shared" si="125"/>
        <v>350</v>
      </c>
      <c r="AJ499" s="63">
        <f t="shared" si="128"/>
        <v>3.3333333333333335</v>
      </c>
    </row>
    <row r="500" spans="1:36" s="68" customFormat="1">
      <c r="A500" s="42" t="s">
        <v>335</v>
      </c>
      <c r="B500" s="42" t="s">
        <v>525</v>
      </c>
      <c r="C500" s="43" t="s">
        <v>267</v>
      </c>
      <c r="D500" s="42" t="str">
        <f t="shared" si="130"/>
        <v>P55USCV22FO-.VG55FA1(D903)</v>
      </c>
      <c r="E500" s="42" t="s">
        <v>9</v>
      </c>
      <c r="F500" s="42" t="s">
        <v>9</v>
      </c>
      <c r="G500" s="44">
        <v>25</v>
      </c>
      <c r="H500" s="65">
        <v>38</v>
      </c>
      <c r="I500" s="45">
        <v>1</v>
      </c>
      <c r="J500" s="45">
        <v>1</v>
      </c>
      <c r="K500" s="45">
        <v>3</v>
      </c>
      <c r="L500" s="45">
        <f t="shared" si="131"/>
        <v>43</v>
      </c>
      <c r="M500" s="45">
        <f t="shared" si="104"/>
        <v>103.2</v>
      </c>
      <c r="N500" s="66">
        <v>24</v>
      </c>
      <c r="O500" s="45">
        <v>1</v>
      </c>
      <c r="P500" s="45">
        <v>1</v>
      </c>
      <c r="Q500" s="45">
        <v>1</v>
      </c>
      <c r="R500" s="45">
        <v>2</v>
      </c>
      <c r="S500" s="45">
        <f t="shared" si="105"/>
        <v>29</v>
      </c>
      <c r="T500" s="45">
        <f t="shared" si="116"/>
        <v>69.599999999999994</v>
      </c>
      <c r="U500" s="66">
        <v>10</v>
      </c>
      <c r="V500" s="45">
        <v>1</v>
      </c>
      <c r="W500" s="45">
        <v>0</v>
      </c>
      <c r="X500" s="45">
        <f t="shared" si="114"/>
        <v>11</v>
      </c>
      <c r="Y500" s="45">
        <f t="shared" si="102"/>
        <v>26.4</v>
      </c>
      <c r="Z500" s="45">
        <v>19</v>
      </c>
      <c r="AA500" s="45">
        <v>1</v>
      </c>
      <c r="AB500" s="45">
        <v>0</v>
      </c>
      <c r="AC500" s="45">
        <v>2</v>
      </c>
      <c r="AD500" s="45">
        <f t="shared" si="129"/>
        <v>22</v>
      </c>
      <c r="AE500" s="45">
        <f t="shared" si="103"/>
        <v>52.8</v>
      </c>
      <c r="AF500" s="45">
        <f t="shared" ref="AF500:AG515" si="132">SUM(S500,X500,AD500)</f>
        <v>62</v>
      </c>
      <c r="AG500" s="45">
        <f t="shared" si="132"/>
        <v>148.80000000000001</v>
      </c>
      <c r="AH500" s="45">
        <f t="shared" si="125"/>
        <v>105</v>
      </c>
      <c r="AI500" s="45">
        <f t="shared" si="125"/>
        <v>252</v>
      </c>
      <c r="AJ500" s="67">
        <f t="shared" si="128"/>
        <v>2.4</v>
      </c>
    </row>
    <row r="501" spans="1:36" s="68" customFormat="1">
      <c r="A501" s="42" t="s">
        <v>335</v>
      </c>
      <c r="B501" s="42" t="s">
        <v>525</v>
      </c>
      <c r="C501" s="43" t="s">
        <v>266</v>
      </c>
      <c r="D501" s="42" t="str">
        <f t="shared" si="130"/>
        <v>P55USCV22FO-.VG55FA2(D903)</v>
      </c>
      <c r="E501" s="42" t="s">
        <v>9</v>
      </c>
      <c r="F501" s="42" t="s">
        <v>9</v>
      </c>
      <c r="G501" s="44">
        <v>25</v>
      </c>
      <c r="H501" s="65">
        <v>38</v>
      </c>
      <c r="I501" s="45">
        <v>1</v>
      </c>
      <c r="J501" s="45">
        <v>1</v>
      </c>
      <c r="K501" s="45">
        <v>3</v>
      </c>
      <c r="L501" s="45">
        <f t="shared" si="131"/>
        <v>43</v>
      </c>
      <c r="M501" s="45">
        <f t="shared" si="104"/>
        <v>103.2</v>
      </c>
      <c r="N501" s="66">
        <v>24</v>
      </c>
      <c r="O501" s="45">
        <v>1</v>
      </c>
      <c r="P501" s="45">
        <v>1</v>
      </c>
      <c r="Q501" s="45">
        <v>1</v>
      </c>
      <c r="R501" s="45">
        <v>2</v>
      </c>
      <c r="S501" s="45">
        <f t="shared" si="105"/>
        <v>29</v>
      </c>
      <c r="T501" s="45">
        <f t="shared" si="116"/>
        <v>69.599999999999994</v>
      </c>
      <c r="U501" s="66">
        <v>10</v>
      </c>
      <c r="V501" s="45">
        <v>1</v>
      </c>
      <c r="W501" s="45">
        <v>0</v>
      </c>
      <c r="X501" s="45">
        <f t="shared" si="114"/>
        <v>11</v>
      </c>
      <c r="Y501" s="45">
        <f t="shared" si="102"/>
        <v>26.4</v>
      </c>
      <c r="Z501" s="45">
        <v>19</v>
      </c>
      <c r="AA501" s="45">
        <v>1</v>
      </c>
      <c r="AB501" s="45">
        <v>0</v>
      </c>
      <c r="AC501" s="45">
        <v>2</v>
      </c>
      <c r="AD501" s="45">
        <f t="shared" si="129"/>
        <v>22</v>
      </c>
      <c r="AE501" s="45">
        <f t="shared" si="103"/>
        <v>52.8</v>
      </c>
      <c r="AF501" s="45">
        <f t="shared" si="132"/>
        <v>62</v>
      </c>
      <c r="AG501" s="45">
        <f t="shared" si="132"/>
        <v>148.80000000000001</v>
      </c>
      <c r="AH501" s="45">
        <f t="shared" si="125"/>
        <v>105</v>
      </c>
      <c r="AI501" s="45">
        <f t="shared" si="125"/>
        <v>252</v>
      </c>
      <c r="AJ501" s="67">
        <f t="shared" si="128"/>
        <v>2.4</v>
      </c>
    </row>
    <row r="502" spans="1:36" s="68" customFormat="1">
      <c r="A502" s="42" t="s">
        <v>335</v>
      </c>
      <c r="B502" s="42" t="s">
        <v>522</v>
      </c>
      <c r="C502" s="43" t="s">
        <v>263</v>
      </c>
      <c r="D502" s="42" t="str">
        <f t="shared" si="130"/>
        <v>P65USCV22EO-.VG65FA2(D903)</v>
      </c>
      <c r="E502" s="42" t="s">
        <v>9</v>
      </c>
      <c r="F502" s="42" t="s">
        <v>9</v>
      </c>
      <c r="G502" s="44">
        <v>25</v>
      </c>
      <c r="H502" s="65">
        <v>38</v>
      </c>
      <c r="I502" s="45">
        <v>1</v>
      </c>
      <c r="J502" s="45">
        <v>1</v>
      </c>
      <c r="K502" s="45">
        <v>3</v>
      </c>
      <c r="L502" s="45">
        <f t="shared" si="131"/>
        <v>43</v>
      </c>
      <c r="M502" s="45">
        <f t="shared" si="104"/>
        <v>103.2</v>
      </c>
      <c r="N502" s="66">
        <v>24</v>
      </c>
      <c r="O502" s="45">
        <v>1</v>
      </c>
      <c r="P502" s="45">
        <v>1</v>
      </c>
      <c r="Q502" s="45">
        <v>1</v>
      </c>
      <c r="R502" s="45">
        <v>2</v>
      </c>
      <c r="S502" s="45">
        <f t="shared" si="105"/>
        <v>29</v>
      </c>
      <c r="T502" s="45">
        <f t="shared" si="116"/>
        <v>69.599999999999994</v>
      </c>
      <c r="U502" s="66">
        <v>10</v>
      </c>
      <c r="V502" s="45">
        <v>1</v>
      </c>
      <c r="W502" s="45">
        <v>0</v>
      </c>
      <c r="X502" s="45">
        <f t="shared" si="114"/>
        <v>11</v>
      </c>
      <c r="Y502" s="45">
        <f t="shared" si="102"/>
        <v>26.4</v>
      </c>
      <c r="Z502" s="45">
        <v>19</v>
      </c>
      <c r="AA502" s="45">
        <v>1</v>
      </c>
      <c r="AB502" s="45">
        <v>0</v>
      </c>
      <c r="AC502" s="45">
        <v>2</v>
      </c>
      <c r="AD502" s="45">
        <f t="shared" si="129"/>
        <v>22</v>
      </c>
      <c r="AE502" s="45">
        <f t="shared" si="103"/>
        <v>52.8</v>
      </c>
      <c r="AF502" s="45">
        <f t="shared" si="132"/>
        <v>62</v>
      </c>
      <c r="AG502" s="45">
        <f t="shared" si="132"/>
        <v>148.80000000000001</v>
      </c>
      <c r="AH502" s="45">
        <f t="shared" si="125"/>
        <v>105</v>
      </c>
      <c r="AI502" s="45">
        <f t="shared" si="125"/>
        <v>252</v>
      </c>
      <c r="AJ502" s="67">
        <f t="shared" si="128"/>
        <v>2.4</v>
      </c>
    </row>
    <row r="503" spans="1:36" s="68" customFormat="1">
      <c r="A503" s="42" t="s">
        <v>335</v>
      </c>
      <c r="B503" s="42" t="s">
        <v>523</v>
      </c>
      <c r="C503" s="43" t="s">
        <v>264</v>
      </c>
      <c r="D503" s="42" t="str">
        <f t="shared" si="130"/>
        <v>P75USCV22EO-.VG75FA2(D903)</v>
      </c>
      <c r="E503" s="42" t="s">
        <v>9</v>
      </c>
      <c r="F503" s="42" t="s">
        <v>9</v>
      </c>
      <c r="G503" s="44">
        <v>20</v>
      </c>
      <c r="H503" s="65">
        <v>38</v>
      </c>
      <c r="I503" s="45">
        <v>1</v>
      </c>
      <c r="J503" s="45">
        <v>1</v>
      </c>
      <c r="K503" s="45">
        <v>3</v>
      </c>
      <c r="L503" s="45">
        <f t="shared" si="131"/>
        <v>43</v>
      </c>
      <c r="M503" s="45">
        <f t="shared" si="104"/>
        <v>129</v>
      </c>
      <c r="N503" s="66">
        <v>24</v>
      </c>
      <c r="O503" s="45">
        <v>1</v>
      </c>
      <c r="P503" s="45">
        <v>1</v>
      </c>
      <c r="Q503" s="45">
        <v>1</v>
      </c>
      <c r="R503" s="45">
        <v>2</v>
      </c>
      <c r="S503" s="45">
        <f t="shared" si="105"/>
        <v>29</v>
      </c>
      <c r="T503" s="45">
        <f t="shared" si="116"/>
        <v>87</v>
      </c>
      <c r="U503" s="66">
        <v>10</v>
      </c>
      <c r="V503" s="45">
        <v>1</v>
      </c>
      <c r="W503" s="45">
        <v>0</v>
      </c>
      <c r="X503" s="45">
        <f t="shared" si="114"/>
        <v>11</v>
      </c>
      <c r="Y503" s="45">
        <f t="shared" si="102"/>
        <v>33</v>
      </c>
      <c r="Z503" s="45">
        <v>19</v>
      </c>
      <c r="AA503" s="45">
        <v>1</v>
      </c>
      <c r="AB503" s="45">
        <v>0</v>
      </c>
      <c r="AC503" s="45">
        <v>2</v>
      </c>
      <c r="AD503" s="45">
        <f t="shared" si="129"/>
        <v>22</v>
      </c>
      <c r="AE503" s="45">
        <f t="shared" si="103"/>
        <v>66</v>
      </c>
      <c r="AF503" s="45">
        <f t="shared" si="132"/>
        <v>62</v>
      </c>
      <c r="AG503" s="45">
        <f t="shared" si="132"/>
        <v>186</v>
      </c>
      <c r="AH503" s="45">
        <f t="shared" si="125"/>
        <v>105</v>
      </c>
      <c r="AI503" s="45">
        <f t="shared" si="125"/>
        <v>315</v>
      </c>
      <c r="AJ503" s="67">
        <f t="shared" si="128"/>
        <v>3</v>
      </c>
    </row>
    <row r="504" spans="1:36" s="68" customFormat="1">
      <c r="A504" s="42" t="s">
        <v>335</v>
      </c>
      <c r="B504" s="42" t="s">
        <v>524</v>
      </c>
      <c r="C504" s="43" t="s">
        <v>265</v>
      </c>
      <c r="D504" s="42" t="str">
        <f t="shared" si="130"/>
        <v>P86USCV22EO-.VG86FA2(D903)</v>
      </c>
      <c r="E504" s="42" t="s">
        <v>9</v>
      </c>
      <c r="F504" s="42" t="s">
        <v>9</v>
      </c>
      <c r="G504" s="44">
        <v>18</v>
      </c>
      <c r="H504" s="65">
        <v>38</v>
      </c>
      <c r="I504" s="45">
        <v>1</v>
      </c>
      <c r="J504" s="45">
        <v>1</v>
      </c>
      <c r="K504" s="45">
        <v>3</v>
      </c>
      <c r="L504" s="45">
        <f t="shared" si="131"/>
        <v>43</v>
      </c>
      <c r="M504" s="45">
        <f t="shared" si="104"/>
        <v>143.33333333333334</v>
      </c>
      <c r="N504" s="66">
        <v>24</v>
      </c>
      <c r="O504" s="45">
        <v>1</v>
      </c>
      <c r="P504" s="45">
        <v>1</v>
      </c>
      <c r="Q504" s="45">
        <v>1</v>
      </c>
      <c r="R504" s="45">
        <v>2</v>
      </c>
      <c r="S504" s="45">
        <f t="shared" si="105"/>
        <v>29</v>
      </c>
      <c r="T504" s="45">
        <f t="shared" si="116"/>
        <v>96.666666666666671</v>
      </c>
      <c r="U504" s="66">
        <v>10</v>
      </c>
      <c r="V504" s="45">
        <v>1</v>
      </c>
      <c r="W504" s="45">
        <v>0</v>
      </c>
      <c r="X504" s="45">
        <f t="shared" si="114"/>
        <v>11</v>
      </c>
      <c r="Y504" s="45">
        <f t="shared" si="102"/>
        <v>36.666666666666664</v>
      </c>
      <c r="Z504" s="45">
        <v>19</v>
      </c>
      <c r="AA504" s="45">
        <v>1</v>
      </c>
      <c r="AB504" s="45">
        <v>0</v>
      </c>
      <c r="AC504" s="45">
        <v>2</v>
      </c>
      <c r="AD504" s="45">
        <f t="shared" si="129"/>
        <v>22</v>
      </c>
      <c r="AE504" s="45">
        <f t="shared" si="103"/>
        <v>73.333333333333329</v>
      </c>
      <c r="AF504" s="45">
        <f t="shared" si="132"/>
        <v>62</v>
      </c>
      <c r="AG504" s="45">
        <f t="shared" si="132"/>
        <v>206.66666666666669</v>
      </c>
      <c r="AH504" s="45">
        <f t="shared" si="125"/>
        <v>105</v>
      </c>
      <c r="AI504" s="45">
        <f t="shared" si="125"/>
        <v>350</v>
      </c>
      <c r="AJ504" s="67">
        <f t="shared" si="128"/>
        <v>3.3333333333333335</v>
      </c>
    </row>
    <row r="505" spans="1:36" s="64" customFormat="1">
      <c r="A505" s="46" t="s">
        <v>335</v>
      </c>
      <c r="B505" s="46" t="s">
        <v>526</v>
      </c>
      <c r="C505" s="47" t="s">
        <v>159</v>
      </c>
      <c r="D505" s="46" t="str">
        <f t="shared" si="130"/>
        <v>P65USCV22EO-.EK65EA1(D903)</v>
      </c>
      <c r="E505" s="46" t="s">
        <v>9</v>
      </c>
      <c r="F505" s="46" t="s">
        <v>9</v>
      </c>
      <c r="G505" s="48">
        <v>25</v>
      </c>
      <c r="H505" s="61">
        <v>42</v>
      </c>
      <c r="I505" s="49">
        <v>1</v>
      </c>
      <c r="J505" s="49">
        <v>1</v>
      </c>
      <c r="K505" s="49">
        <v>3</v>
      </c>
      <c r="L505" s="49">
        <f t="shared" ref="L505:L511" si="133">SUM(H505:K505)</f>
        <v>47</v>
      </c>
      <c r="M505" s="49">
        <f t="shared" si="104"/>
        <v>112.8</v>
      </c>
      <c r="N505" s="62">
        <v>21</v>
      </c>
      <c r="O505" s="49">
        <v>1</v>
      </c>
      <c r="P505" s="49">
        <v>1</v>
      </c>
      <c r="Q505" s="49">
        <v>1</v>
      </c>
      <c r="R505" s="49">
        <v>2</v>
      </c>
      <c r="S505" s="49">
        <f t="shared" si="105"/>
        <v>26</v>
      </c>
      <c r="T505" s="49">
        <f t="shared" si="116"/>
        <v>62.4</v>
      </c>
      <c r="U505" s="62">
        <v>14</v>
      </c>
      <c r="V505" s="49">
        <v>1</v>
      </c>
      <c r="W505" s="49">
        <v>0</v>
      </c>
      <c r="X505" s="49">
        <f t="shared" si="114"/>
        <v>15</v>
      </c>
      <c r="Y505" s="49">
        <f t="shared" si="102"/>
        <v>36</v>
      </c>
      <c r="Z505" s="49">
        <v>19</v>
      </c>
      <c r="AA505" s="49">
        <v>1</v>
      </c>
      <c r="AB505" s="49">
        <v>0</v>
      </c>
      <c r="AC505" s="49">
        <v>2</v>
      </c>
      <c r="AD505" s="49">
        <f t="shared" si="123"/>
        <v>22</v>
      </c>
      <c r="AE505" s="49">
        <f t="shared" si="103"/>
        <v>52.8</v>
      </c>
      <c r="AF505" s="49">
        <f t="shared" si="132"/>
        <v>63</v>
      </c>
      <c r="AG505" s="49">
        <f t="shared" si="132"/>
        <v>151.19999999999999</v>
      </c>
      <c r="AH505" s="49">
        <f t="shared" si="125"/>
        <v>110</v>
      </c>
      <c r="AI505" s="49">
        <f t="shared" si="125"/>
        <v>264</v>
      </c>
      <c r="AJ505" s="63">
        <f t="shared" si="128"/>
        <v>2.4</v>
      </c>
    </row>
    <row r="506" spans="1:36" s="64" customFormat="1">
      <c r="A506" s="46" t="s">
        <v>335</v>
      </c>
      <c r="B506" s="46" t="s">
        <v>526</v>
      </c>
      <c r="C506" s="47" t="s">
        <v>165</v>
      </c>
      <c r="D506" s="46" t="str">
        <f t="shared" si="130"/>
        <v>P65USCV22EO-.EK65EA2(D903)</v>
      </c>
      <c r="E506" s="46" t="s">
        <v>9</v>
      </c>
      <c r="F506" s="46" t="s">
        <v>9</v>
      </c>
      <c r="G506" s="48">
        <v>25</v>
      </c>
      <c r="H506" s="61">
        <v>42</v>
      </c>
      <c r="I506" s="49">
        <v>1</v>
      </c>
      <c r="J506" s="49">
        <v>1</v>
      </c>
      <c r="K506" s="49">
        <v>3</v>
      </c>
      <c r="L506" s="49">
        <f t="shared" si="133"/>
        <v>47</v>
      </c>
      <c r="M506" s="49">
        <f t="shared" si="104"/>
        <v>112.8</v>
      </c>
      <c r="N506" s="62">
        <v>21</v>
      </c>
      <c r="O506" s="49">
        <v>1</v>
      </c>
      <c r="P506" s="49">
        <v>1</v>
      </c>
      <c r="Q506" s="49">
        <v>1</v>
      </c>
      <c r="R506" s="49">
        <v>2</v>
      </c>
      <c r="S506" s="49">
        <f t="shared" si="105"/>
        <v>26</v>
      </c>
      <c r="T506" s="49">
        <f t="shared" si="116"/>
        <v>62.4</v>
      </c>
      <c r="U506" s="62">
        <v>14</v>
      </c>
      <c r="V506" s="49">
        <v>1</v>
      </c>
      <c r="W506" s="49">
        <v>0</v>
      </c>
      <c r="X506" s="49">
        <f t="shared" si="114"/>
        <v>15</v>
      </c>
      <c r="Y506" s="49">
        <f t="shared" si="102"/>
        <v>36</v>
      </c>
      <c r="Z506" s="49">
        <v>19</v>
      </c>
      <c r="AA506" s="49">
        <v>1</v>
      </c>
      <c r="AB506" s="49">
        <v>0</v>
      </c>
      <c r="AC506" s="49">
        <v>2</v>
      </c>
      <c r="AD506" s="49">
        <f t="shared" si="123"/>
        <v>22</v>
      </c>
      <c r="AE506" s="49">
        <f t="shared" si="103"/>
        <v>52.8</v>
      </c>
      <c r="AF506" s="49">
        <f t="shared" si="132"/>
        <v>63</v>
      </c>
      <c r="AG506" s="49">
        <f t="shared" si="132"/>
        <v>151.19999999999999</v>
      </c>
      <c r="AH506" s="49">
        <f t="shared" si="125"/>
        <v>110</v>
      </c>
      <c r="AI506" s="49">
        <f t="shared" si="125"/>
        <v>264</v>
      </c>
      <c r="AJ506" s="63">
        <f t="shared" si="128"/>
        <v>2.4</v>
      </c>
    </row>
    <row r="507" spans="1:36" s="64" customFormat="1">
      <c r="A507" s="46" t="s">
        <v>335</v>
      </c>
      <c r="B507" s="46" t="s">
        <v>527</v>
      </c>
      <c r="C507" s="47" t="s">
        <v>160</v>
      </c>
      <c r="D507" s="46" t="str">
        <f t="shared" si="130"/>
        <v>P75USCV22EO-.EK75EA1(D903)</v>
      </c>
      <c r="E507" s="46" t="s">
        <v>9</v>
      </c>
      <c r="F507" s="46" t="s">
        <v>9</v>
      </c>
      <c r="G507" s="48">
        <v>20</v>
      </c>
      <c r="H507" s="61">
        <v>42</v>
      </c>
      <c r="I507" s="49">
        <v>1</v>
      </c>
      <c r="J507" s="49">
        <v>1</v>
      </c>
      <c r="K507" s="49">
        <v>3</v>
      </c>
      <c r="L507" s="49">
        <f t="shared" si="133"/>
        <v>47</v>
      </c>
      <c r="M507" s="49">
        <f t="shared" si="104"/>
        <v>141</v>
      </c>
      <c r="N507" s="62">
        <v>21</v>
      </c>
      <c r="O507" s="49">
        <v>1</v>
      </c>
      <c r="P507" s="49">
        <v>1</v>
      </c>
      <c r="Q507" s="49">
        <v>1</v>
      </c>
      <c r="R507" s="49">
        <v>2</v>
      </c>
      <c r="S507" s="49">
        <f>SUM(N507:R507)</f>
        <v>26</v>
      </c>
      <c r="T507" s="49">
        <f t="shared" si="116"/>
        <v>78</v>
      </c>
      <c r="U507" s="62">
        <v>14</v>
      </c>
      <c r="V507" s="49">
        <v>1</v>
      </c>
      <c r="W507" s="49">
        <v>0</v>
      </c>
      <c r="X507" s="49">
        <f t="shared" si="114"/>
        <v>15</v>
      </c>
      <c r="Y507" s="49">
        <f t="shared" si="102"/>
        <v>45</v>
      </c>
      <c r="Z507" s="49">
        <v>19</v>
      </c>
      <c r="AA507" s="49">
        <v>1</v>
      </c>
      <c r="AB507" s="49">
        <v>0</v>
      </c>
      <c r="AC507" s="49">
        <v>2</v>
      </c>
      <c r="AD507" s="49">
        <f t="shared" si="123"/>
        <v>22</v>
      </c>
      <c r="AE507" s="49">
        <f t="shared" si="103"/>
        <v>66</v>
      </c>
      <c r="AF507" s="49">
        <f t="shared" si="132"/>
        <v>63</v>
      </c>
      <c r="AG507" s="49">
        <f t="shared" si="132"/>
        <v>189</v>
      </c>
      <c r="AH507" s="49">
        <f t="shared" si="125"/>
        <v>110</v>
      </c>
      <c r="AI507" s="49">
        <f t="shared" si="125"/>
        <v>330</v>
      </c>
      <c r="AJ507" s="63">
        <f t="shared" si="128"/>
        <v>3</v>
      </c>
    </row>
    <row r="508" spans="1:36" s="64" customFormat="1">
      <c r="A508" s="46" t="s">
        <v>335</v>
      </c>
      <c r="B508" s="46" t="s">
        <v>527</v>
      </c>
      <c r="C508" s="47" t="s">
        <v>166</v>
      </c>
      <c r="D508" s="46" t="str">
        <f t="shared" si="130"/>
        <v>P75USCV22EO-.EK75EA2(D903)</v>
      </c>
      <c r="E508" s="46" t="s">
        <v>9</v>
      </c>
      <c r="F508" s="46" t="s">
        <v>9</v>
      </c>
      <c r="G508" s="48">
        <v>20</v>
      </c>
      <c r="H508" s="61">
        <v>42</v>
      </c>
      <c r="I508" s="49">
        <v>1</v>
      </c>
      <c r="J508" s="49">
        <v>1</v>
      </c>
      <c r="K508" s="49">
        <v>3</v>
      </c>
      <c r="L508" s="49">
        <f t="shared" si="133"/>
        <v>47</v>
      </c>
      <c r="M508" s="49">
        <f t="shared" si="104"/>
        <v>141</v>
      </c>
      <c r="N508" s="62">
        <v>21</v>
      </c>
      <c r="O508" s="49">
        <v>1</v>
      </c>
      <c r="P508" s="49">
        <v>1</v>
      </c>
      <c r="Q508" s="49">
        <v>1</v>
      </c>
      <c r="R508" s="49">
        <v>2</v>
      </c>
      <c r="S508" s="49">
        <f>SUM(N508:R508)</f>
        <v>26</v>
      </c>
      <c r="T508" s="49">
        <f t="shared" si="116"/>
        <v>78</v>
      </c>
      <c r="U508" s="62">
        <v>14</v>
      </c>
      <c r="V508" s="49">
        <v>1</v>
      </c>
      <c r="W508" s="49">
        <v>0</v>
      </c>
      <c r="X508" s="49">
        <f t="shared" si="114"/>
        <v>15</v>
      </c>
      <c r="Y508" s="49">
        <f t="shared" si="102"/>
        <v>45</v>
      </c>
      <c r="Z508" s="49">
        <v>19</v>
      </c>
      <c r="AA508" s="49">
        <v>1</v>
      </c>
      <c r="AB508" s="49">
        <v>0</v>
      </c>
      <c r="AC508" s="49">
        <v>2</v>
      </c>
      <c r="AD508" s="49">
        <f t="shared" si="123"/>
        <v>22</v>
      </c>
      <c r="AE508" s="49">
        <f t="shared" si="103"/>
        <v>66</v>
      </c>
      <c r="AF508" s="49">
        <f t="shared" si="132"/>
        <v>63</v>
      </c>
      <c r="AG508" s="49">
        <f t="shared" si="132"/>
        <v>189</v>
      </c>
      <c r="AH508" s="49">
        <f t="shared" si="125"/>
        <v>110</v>
      </c>
      <c r="AI508" s="49">
        <f t="shared" si="125"/>
        <v>330</v>
      </c>
      <c r="AJ508" s="63">
        <f t="shared" si="128"/>
        <v>3</v>
      </c>
    </row>
    <row r="509" spans="1:36" s="64" customFormat="1">
      <c r="A509" s="42" t="s">
        <v>335</v>
      </c>
      <c r="B509" s="42" t="s">
        <v>528</v>
      </c>
      <c r="C509" s="43" t="s">
        <v>161</v>
      </c>
      <c r="D509" s="42" t="str">
        <f t="shared" si="130"/>
        <v>P86USCV22EO-.EK86EA1(D903)</v>
      </c>
      <c r="E509" s="42" t="s">
        <v>9</v>
      </c>
      <c r="F509" s="42" t="s">
        <v>9</v>
      </c>
      <c r="G509" s="44">
        <v>20</v>
      </c>
      <c r="H509" s="65">
        <v>44</v>
      </c>
      <c r="I509" s="45">
        <v>1</v>
      </c>
      <c r="J509" s="45">
        <v>1</v>
      </c>
      <c r="K509" s="45">
        <v>3</v>
      </c>
      <c r="L509" s="45">
        <f t="shared" si="133"/>
        <v>49</v>
      </c>
      <c r="M509" s="45">
        <f t="shared" si="104"/>
        <v>147</v>
      </c>
      <c r="N509" s="66">
        <v>22</v>
      </c>
      <c r="O509" s="45">
        <v>1</v>
      </c>
      <c r="P509" s="45">
        <v>1</v>
      </c>
      <c r="Q509" s="45">
        <v>1</v>
      </c>
      <c r="R509" s="45">
        <v>2</v>
      </c>
      <c r="S509" s="45">
        <f>SUM(N509:R509)</f>
        <v>27</v>
      </c>
      <c r="T509" s="45">
        <f t="shared" si="116"/>
        <v>81</v>
      </c>
      <c r="U509" s="66">
        <v>14</v>
      </c>
      <c r="V509" s="45">
        <v>1</v>
      </c>
      <c r="W509" s="45">
        <v>0</v>
      </c>
      <c r="X509" s="45">
        <f t="shared" si="114"/>
        <v>15</v>
      </c>
      <c r="Y509" s="45">
        <f>60*X509/G509</f>
        <v>45</v>
      </c>
      <c r="Z509" s="45">
        <v>19</v>
      </c>
      <c r="AA509" s="45">
        <v>1</v>
      </c>
      <c r="AB509" s="45">
        <v>0</v>
      </c>
      <c r="AC509" s="45">
        <v>2</v>
      </c>
      <c r="AD509" s="45">
        <f t="shared" si="123"/>
        <v>22</v>
      </c>
      <c r="AE509" s="45">
        <f t="shared" si="103"/>
        <v>66</v>
      </c>
      <c r="AF509" s="45">
        <f t="shared" si="132"/>
        <v>64</v>
      </c>
      <c r="AG509" s="45">
        <f t="shared" si="132"/>
        <v>192</v>
      </c>
      <c r="AH509" s="45">
        <f t="shared" ref="AH509:AI524" si="134">SUM(L509,AF509)</f>
        <v>113</v>
      </c>
      <c r="AI509" s="45">
        <f t="shared" si="134"/>
        <v>339</v>
      </c>
      <c r="AJ509" s="63">
        <f t="shared" si="128"/>
        <v>3</v>
      </c>
    </row>
    <row r="510" spans="1:36" s="64" customFormat="1">
      <c r="A510" s="42" t="s">
        <v>335</v>
      </c>
      <c r="B510" s="42" t="s">
        <v>528</v>
      </c>
      <c r="C510" s="43" t="s">
        <v>129</v>
      </c>
      <c r="D510" s="42" t="str">
        <f t="shared" si="130"/>
        <v>P86USCV22EO-.EK86EA2(D903)</v>
      </c>
      <c r="E510" s="42" t="s">
        <v>9</v>
      </c>
      <c r="F510" s="42" t="s">
        <v>9</v>
      </c>
      <c r="G510" s="44">
        <v>20</v>
      </c>
      <c r="H510" s="65">
        <v>44</v>
      </c>
      <c r="I510" s="45">
        <v>1</v>
      </c>
      <c r="J510" s="45">
        <v>1</v>
      </c>
      <c r="K510" s="45">
        <v>3</v>
      </c>
      <c r="L510" s="45">
        <f t="shared" si="133"/>
        <v>49</v>
      </c>
      <c r="M510" s="45">
        <f t="shared" si="104"/>
        <v>147</v>
      </c>
      <c r="N510" s="66">
        <v>22</v>
      </c>
      <c r="O510" s="45">
        <v>1</v>
      </c>
      <c r="P510" s="45">
        <v>1</v>
      </c>
      <c r="Q510" s="45">
        <v>1</v>
      </c>
      <c r="R510" s="45">
        <v>2</v>
      </c>
      <c r="S510" s="45">
        <f t="shared" ref="S510:S525" si="135">SUM(N510:R510)</f>
        <v>27</v>
      </c>
      <c r="T510" s="45">
        <f t="shared" si="116"/>
        <v>81</v>
      </c>
      <c r="U510" s="66">
        <v>14</v>
      </c>
      <c r="V510" s="45">
        <v>1</v>
      </c>
      <c r="W510" s="45">
        <v>0</v>
      </c>
      <c r="X510" s="45">
        <f t="shared" si="114"/>
        <v>15</v>
      </c>
      <c r="Y510" s="45">
        <f t="shared" ref="Y510:Y525" si="136">60*X510/G510</f>
        <v>45</v>
      </c>
      <c r="Z510" s="45">
        <v>19</v>
      </c>
      <c r="AA510" s="45">
        <v>1</v>
      </c>
      <c r="AB510" s="45">
        <v>0</v>
      </c>
      <c r="AC510" s="45">
        <v>2</v>
      </c>
      <c r="AD510" s="45">
        <f t="shared" si="123"/>
        <v>22</v>
      </c>
      <c r="AE510" s="45">
        <f t="shared" si="103"/>
        <v>66</v>
      </c>
      <c r="AF510" s="45">
        <f t="shared" si="132"/>
        <v>64</v>
      </c>
      <c r="AG510" s="45">
        <f t="shared" si="132"/>
        <v>192</v>
      </c>
      <c r="AH510" s="45">
        <f t="shared" si="134"/>
        <v>113</v>
      </c>
      <c r="AI510" s="45">
        <f t="shared" si="134"/>
        <v>339</v>
      </c>
      <c r="AJ510" s="63">
        <f t="shared" si="128"/>
        <v>3</v>
      </c>
    </row>
    <row r="511" spans="1:36" s="64" customFormat="1">
      <c r="A511" s="46" t="s">
        <v>335</v>
      </c>
      <c r="B511" s="46" t="s">
        <v>529</v>
      </c>
      <c r="C511" s="47" t="s">
        <v>222</v>
      </c>
      <c r="D511" s="46" t="str">
        <f t="shared" si="130"/>
        <v>P65USCV22EO-.GX065N1(D903)</v>
      </c>
      <c r="E511" s="46" t="s">
        <v>9</v>
      </c>
      <c r="F511" s="46" t="s">
        <v>9</v>
      </c>
      <c r="G511" s="48">
        <v>25</v>
      </c>
      <c r="H511" s="61">
        <v>45</v>
      </c>
      <c r="I511" s="49">
        <v>1</v>
      </c>
      <c r="J511" s="49">
        <v>1</v>
      </c>
      <c r="K511" s="49">
        <v>3</v>
      </c>
      <c r="L511" s="49">
        <f t="shared" si="133"/>
        <v>50</v>
      </c>
      <c r="M511" s="49">
        <f t="shared" si="104"/>
        <v>120</v>
      </c>
      <c r="N511" s="62">
        <v>25</v>
      </c>
      <c r="O511" s="49">
        <v>1</v>
      </c>
      <c r="P511" s="49">
        <v>1</v>
      </c>
      <c r="Q511" s="49">
        <v>1</v>
      </c>
      <c r="R511" s="49">
        <v>2</v>
      </c>
      <c r="S511" s="49">
        <f t="shared" si="135"/>
        <v>30</v>
      </c>
      <c r="T511" s="49">
        <f t="shared" si="116"/>
        <v>72</v>
      </c>
      <c r="U511" s="62">
        <v>11</v>
      </c>
      <c r="V511" s="49">
        <v>1</v>
      </c>
      <c r="W511" s="49">
        <v>0</v>
      </c>
      <c r="X511" s="49">
        <f t="shared" si="114"/>
        <v>12</v>
      </c>
      <c r="Y511" s="49">
        <f t="shared" si="136"/>
        <v>28.8</v>
      </c>
      <c r="Z511" s="49">
        <v>20</v>
      </c>
      <c r="AA511" s="49">
        <v>1</v>
      </c>
      <c r="AB511" s="49">
        <v>0</v>
      </c>
      <c r="AC511" s="49">
        <v>2</v>
      </c>
      <c r="AD511" s="49">
        <f t="shared" si="123"/>
        <v>23</v>
      </c>
      <c r="AE511" s="49">
        <f t="shared" si="103"/>
        <v>55.2</v>
      </c>
      <c r="AF511" s="49">
        <f t="shared" si="132"/>
        <v>65</v>
      </c>
      <c r="AG511" s="49">
        <f t="shared" si="132"/>
        <v>156</v>
      </c>
      <c r="AH511" s="49">
        <f t="shared" si="134"/>
        <v>115</v>
      </c>
      <c r="AI511" s="49">
        <f t="shared" si="134"/>
        <v>276</v>
      </c>
      <c r="AJ511" s="63">
        <f t="shared" si="128"/>
        <v>2.4</v>
      </c>
    </row>
    <row r="512" spans="1:36" s="64" customFormat="1">
      <c r="A512" s="46" t="s">
        <v>335</v>
      </c>
      <c r="B512" s="46" t="s">
        <v>530</v>
      </c>
      <c r="C512" s="47" t="s">
        <v>223</v>
      </c>
      <c r="D512" s="46" t="str">
        <f t="shared" si="130"/>
        <v>P75USCV22EO-.GX075N1(D903)</v>
      </c>
      <c r="E512" s="46" t="s">
        <v>9</v>
      </c>
      <c r="F512" s="46" t="s">
        <v>9</v>
      </c>
      <c r="G512" s="48">
        <v>20</v>
      </c>
      <c r="H512" s="61">
        <v>45</v>
      </c>
      <c r="I512" s="49">
        <v>1</v>
      </c>
      <c r="J512" s="49">
        <v>1</v>
      </c>
      <c r="K512" s="49">
        <v>3</v>
      </c>
      <c r="L512" s="49">
        <f t="shared" ref="L512:L517" si="137">SUM(H512:K512)</f>
        <v>50</v>
      </c>
      <c r="M512" s="49">
        <f t="shared" si="104"/>
        <v>150</v>
      </c>
      <c r="N512" s="62">
        <v>25</v>
      </c>
      <c r="O512" s="49">
        <v>1</v>
      </c>
      <c r="P512" s="49">
        <v>1</v>
      </c>
      <c r="Q512" s="49">
        <v>1</v>
      </c>
      <c r="R512" s="49">
        <v>2</v>
      </c>
      <c r="S512" s="49">
        <f t="shared" si="135"/>
        <v>30</v>
      </c>
      <c r="T512" s="49">
        <f t="shared" si="116"/>
        <v>90</v>
      </c>
      <c r="U512" s="62">
        <v>11</v>
      </c>
      <c r="V512" s="49">
        <v>1</v>
      </c>
      <c r="W512" s="49">
        <v>0</v>
      </c>
      <c r="X512" s="49">
        <f t="shared" si="114"/>
        <v>12</v>
      </c>
      <c r="Y512" s="49">
        <f t="shared" ref="Y512:Y517" si="138">60*X512/G512</f>
        <v>36</v>
      </c>
      <c r="Z512" s="49">
        <v>20</v>
      </c>
      <c r="AA512" s="49">
        <v>1</v>
      </c>
      <c r="AB512" s="49">
        <v>0</v>
      </c>
      <c r="AC512" s="49">
        <v>2</v>
      </c>
      <c r="AD512" s="49">
        <f t="shared" si="123"/>
        <v>23</v>
      </c>
      <c r="AE512" s="49">
        <f t="shared" si="103"/>
        <v>69</v>
      </c>
      <c r="AF512" s="49">
        <f t="shared" si="132"/>
        <v>65</v>
      </c>
      <c r="AG512" s="49">
        <f t="shared" si="132"/>
        <v>195</v>
      </c>
      <c r="AH512" s="49">
        <f t="shared" si="134"/>
        <v>115</v>
      </c>
      <c r="AI512" s="49">
        <f t="shared" si="134"/>
        <v>345</v>
      </c>
      <c r="AJ512" s="63">
        <f t="shared" si="128"/>
        <v>3</v>
      </c>
    </row>
    <row r="513" spans="1:36" s="64" customFormat="1">
      <c r="A513" s="46" t="s">
        <v>335</v>
      </c>
      <c r="B513" s="46" t="s">
        <v>531</v>
      </c>
      <c r="C513" s="47" t="s">
        <v>224</v>
      </c>
      <c r="D513" s="46" t="str">
        <f t="shared" si="130"/>
        <v>P86USCV22EO-.GX086N1(D903)</v>
      </c>
      <c r="E513" s="46" t="s">
        <v>9</v>
      </c>
      <c r="F513" s="46" t="s">
        <v>9</v>
      </c>
      <c r="G513" s="48">
        <v>18</v>
      </c>
      <c r="H513" s="61">
        <v>45</v>
      </c>
      <c r="I513" s="49">
        <v>1</v>
      </c>
      <c r="J513" s="49">
        <v>1</v>
      </c>
      <c r="K513" s="49">
        <v>3</v>
      </c>
      <c r="L513" s="49">
        <f t="shared" si="137"/>
        <v>50</v>
      </c>
      <c r="M513" s="49">
        <f t="shared" si="104"/>
        <v>166.66666666666666</v>
      </c>
      <c r="N513" s="62">
        <v>25</v>
      </c>
      <c r="O513" s="49">
        <v>1</v>
      </c>
      <c r="P513" s="49">
        <v>1</v>
      </c>
      <c r="Q513" s="49">
        <v>1</v>
      </c>
      <c r="R513" s="49">
        <v>2</v>
      </c>
      <c r="S513" s="49">
        <f t="shared" si="135"/>
        <v>30</v>
      </c>
      <c r="T513" s="49">
        <f t="shared" si="116"/>
        <v>100</v>
      </c>
      <c r="U513" s="62">
        <v>11</v>
      </c>
      <c r="V513" s="49">
        <v>1</v>
      </c>
      <c r="W513" s="49">
        <v>0</v>
      </c>
      <c r="X513" s="49">
        <f t="shared" si="114"/>
        <v>12</v>
      </c>
      <c r="Y513" s="49">
        <f t="shared" si="138"/>
        <v>40</v>
      </c>
      <c r="Z513" s="49">
        <v>20</v>
      </c>
      <c r="AA513" s="49">
        <v>1</v>
      </c>
      <c r="AB513" s="49">
        <v>0</v>
      </c>
      <c r="AC513" s="49">
        <v>2</v>
      </c>
      <c r="AD513" s="49">
        <f t="shared" si="123"/>
        <v>23</v>
      </c>
      <c r="AE513" s="49">
        <f t="shared" si="103"/>
        <v>76.666666666666671</v>
      </c>
      <c r="AF513" s="49">
        <f t="shared" si="132"/>
        <v>65</v>
      </c>
      <c r="AG513" s="49">
        <f t="shared" si="132"/>
        <v>216.66666666666669</v>
      </c>
      <c r="AH513" s="49">
        <f t="shared" si="134"/>
        <v>115</v>
      </c>
      <c r="AI513" s="49">
        <f t="shared" si="134"/>
        <v>383.33333333333337</v>
      </c>
      <c r="AJ513" s="63">
        <f t="shared" si="128"/>
        <v>3.3333333333333335</v>
      </c>
    </row>
    <row r="514" spans="1:36" s="64" customFormat="1">
      <c r="A514" s="46" t="s">
        <v>335</v>
      </c>
      <c r="B514" s="46" t="s">
        <v>532</v>
      </c>
      <c r="C514" s="47" t="s">
        <v>215</v>
      </c>
      <c r="D514" s="46" t="str">
        <f t="shared" si="130"/>
        <v>P55USCV22EO-.IFP5551(D902)</v>
      </c>
      <c r="E514" s="46" t="s">
        <v>10</v>
      </c>
      <c r="F514" s="46" t="s">
        <v>10</v>
      </c>
      <c r="G514" s="48">
        <v>30</v>
      </c>
      <c r="H514" s="61">
        <v>34</v>
      </c>
      <c r="I514" s="49">
        <v>1</v>
      </c>
      <c r="J514" s="49">
        <v>1</v>
      </c>
      <c r="K514" s="49">
        <v>3</v>
      </c>
      <c r="L514" s="49">
        <f t="shared" si="137"/>
        <v>39</v>
      </c>
      <c r="M514" s="49">
        <f t="shared" si="104"/>
        <v>78</v>
      </c>
      <c r="N514" s="62">
        <v>30</v>
      </c>
      <c r="O514" s="49">
        <v>1</v>
      </c>
      <c r="P514" s="49">
        <v>1</v>
      </c>
      <c r="Q514" s="49">
        <v>1</v>
      </c>
      <c r="R514" s="49">
        <v>2</v>
      </c>
      <c r="S514" s="49">
        <f t="shared" si="135"/>
        <v>35</v>
      </c>
      <c r="T514" s="49">
        <f t="shared" si="116"/>
        <v>70</v>
      </c>
      <c r="U514" s="62">
        <v>19</v>
      </c>
      <c r="V514" s="49">
        <v>1</v>
      </c>
      <c r="W514" s="49">
        <v>0</v>
      </c>
      <c r="X514" s="49">
        <f t="shared" si="114"/>
        <v>20</v>
      </c>
      <c r="Y514" s="49">
        <f t="shared" si="138"/>
        <v>40</v>
      </c>
      <c r="Z514" s="49">
        <v>20</v>
      </c>
      <c r="AA514" s="49">
        <v>1</v>
      </c>
      <c r="AB514" s="49">
        <v>0</v>
      </c>
      <c r="AC514" s="49">
        <v>2</v>
      </c>
      <c r="AD514" s="49">
        <f t="shared" si="123"/>
        <v>23</v>
      </c>
      <c r="AE514" s="49">
        <f t="shared" si="103"/>
        <v>46</v>
      </c>
      <c r="AF514" s="49">
        <f t="shared" si="132"/>
        <v>78</v>
      </c>
      <c r="AG514" s="49">
        <f t="shared" si="132"/>
        <v>156</v>
      </c>
      <c r="AH514" s="49">
        <f t="shared" si="134"/>
        <v>117</v>
      </c>
      <c r="AI514" s="49">
        <f t="shared" si="134"/>
        <v>234</v>
      </c>
      <c r="AJ514" s="63">
        <f t="shared" si="128"/>
        <v>2</v>
      </c>
    </row>
    <row r="515" spans="1:36" s="64" customFormat="1">
      <c r="A515" s="46" t="s">
        <v>335</v>
      </c>
      <c r="B515" s="46" t="s">
        <v>533</v>
      </c>
      <c r="C515" s="47" t="s">
        <v>216</v>
      </c>
      <c r="D515" s="46" t="str">
        <f t="shared" si="130"/>
        <v>P65USCV22EO-.IFP6551(D903)</v>
      </c>
      <c r="E515" s="46" t="s">
        <v>9</v>
      </c>
      <c r="F515" s="46" t="s">
        <v>9</v>
      </c>
      <c r="G515" s="48">
        <v>25</v>
      </c>
      <c r="H515" s="61">
        <v>45</v>
      </c>
      <c r="I515" s="49">
        <v>1</v>
      </c>
      <c r="J515" s="49">
        <v>1</v>
      </c>
      <c r="K515" s="49">
        <v>3</v>
      </c>
      <c r="L515" s="49">
        <f t="shared" si="137"/>
        <v>50</v>
      </c>
      <c r="M515" s="49">
        <f t="shared" si="104"/>
        <v>120</v>
      </c>
      <c r="N515" s="62">
        <v>25</v>
      </c>
      <c r="O515" s="49">
        <v>1</v>
      </c>
      <c r="P515" s="49">
        <v>1</v>
      </c>
      <c r="Q515" s="49">
        <v>1</v>
      </c>
      <c r="R515" s="49">
        <v>2</v>
      </c>
      <c r="S515" s="49">
        <f t="shared" si="135"/>
        <v>30</v>
      </c>
      <c r="T515" s="49">
        <f t="shared" si="116"/>
        <v>72</v>
      </c>
      <c r="U515" s="62">
        <v>11</v>
      </c>
      <c r="V515" s="49">
        <v>1</v>
      </c>
      <c r="W515" s="49">
        <v>0</v>
      </c>
      <c r="X515" s="49">
        <f t="shared" si="114"/>
        <v>12</v>
      </c>
      <c r="Y515" s="49">
        <f t="shared" si="138"/>
        <v>28.8</v>
      </c>
      <c r="Z515" s="49">
        <v>20</v>
      </c>
      <c r="AA515" s="49">
        <v>1</v>
      </c>
      <c r="AB515" s="49">
        <v>0</v>
      </c>
      <c r="AC515" s="49">
        <v>2</v>
      </c>
      <c r="AD515" s="49">
        <f t="shared" si="123"/>
        <v>23</v>
      </c>
      <c r="AE515" s="49">
        <f t="shared" si="103"/>
        <v>55.2</v>
      </c>
      <c r="AF515" s="49">
        <f t="shared" si="132"/>
        <v>65</v>
      </c>
      <c r="AG515" s="49">
        <f t="shared" si="132"/>
        <v>156</v>
      </c>
      <c r="AH515" s="49">
        <f t="shared" si="134"/>
        <v>115</v>
      </c>
      <c r="AI515" s="49">
        <f t="shared" si="134"/>
        <v>276</v>
      </c>
      <c r="AJ515" s="63">
        <f t="shared" si="128"/>
        <v>2.4</v>
      </c>
    </row>
    <row r="516" spans="1:36" s="64" customFormat="1">
      <c r="A516" s="46" t="s">
        <v>335</v>
      </c>
      <c r="B516" s="46" t="s">
        <v>534</v>
      </c>
      <c r="C516" s="47" t="s">
        <v>217</v>
      </c>
      <c r="D516" s="46" t="str">
        <f t="shared" si="130"/>
        <v>P75USCV22EO-.IFP7551(D903)</v>
      </c>
      <c r="E516" s="46" t="s">
        <v>9</v>
      </c>
      <c r="F516" s="46" t="s">
        <v>9</v>
      </c>
      <c r="G516" s="48">
        <v>20</v>
      </c>
      <c r="H516" s="61">
        <v>45</v>
      </c>
      <c r="I516" s="49">
        <v>1</v>
      </c>
      <c r="J516" s="49">
        <v>1</v>
      </c>
      <c r="K516" s="49">
        <v>3</v>
      </c>
      <c r="L516" s="49">
        <f t="shared" si="137"/>
        <v>50</v>
      </c>
      <c r="M516" s="49">
        <f t="shared" si="104"/>
        <v>150</v>
      </c>
      <c r="N516" s="62">
        <v>25</v>
      </c>
      <c r="O516" s="49">
        <v>1</v>
      </c>
      <c r="P516" s="49">
        <v>1</v>
      </c>
      <c r="Q516" s="49">
        <v>1</v>
      </c>
      <c r="R516" s="49">
        <v>2</v>
      </c>
      <c r="S516" s="49">
        <f t="shared" si="135"/>
        <v>30</v>
      </c>
      <c r="T516" s="49">
        <f t="shared" si="116"/>
        <v>90</v>
      </c>
      <c r="U516" s="62">
        <v>11</v>
      </c>
      <c r="V516" s="49">
        <v>1</v>
      </c>
      <c r="W516" s="49">
        <v>0</v>
      </c>
      <c r="X516" s="49">
        <f t="shared" si="114"/>
        <v>12</v>
      </c>
      <c r="Y516" s="49">
        <f t="shared" si="138"/>
        <v>36</v>
      </c>
      <c r="Z516" s="49">
        <v>20</v>
      </c>
      <c r="AA516" s="49">
        <v>1</v>
      </c>
      <c r="AB516" s="49">
        <v>0</v>
      </c>
      <c r="AC516" s="49">
        <v>2</v>
      </c>
      <c r="AD516" s="49">
        <f t="shared" si="123"/>
        <v>23</v>
      </c>
      <c r="AE516" s="49">
        <f t="shared" si="103"/>
        <v>69</v>
      </c>
      <c r="AF516" s="49">
        <f t="shared" ref="AF516:AG531" si="139">SUM(S516,X516,AD516)</f>
        <v>65</v>
      </c>
      <c r="AG516" s="49">
        <f t="shared" si="139"/>
        <v>195</v>
      </c>
      <c r="AH516" s="49">
        <f t="shared" si="134"/>
        <v>115</v>
      </c>
      <c r="AI516" s="49">
        <f t="shared" si="134"/>
        <v>345</v>
      </c>
      <c r="AJ516" s="63">
        <f t="shared" si="128"/>
        <v>3</v>
      </c>
    </row>
    <row r="517" spans="1:36" s="64" customFormat="1">
      <c r="A517" s="46" t="s">
        <v>335</v>
      </c>
      <c r="B517" s="46" t="s">
        <v>535</v>
      </c>
      <c r="C517" s="47" t="s">
        <v>218</v>
      </c>
      <c r="D517" s="46" t="str">
        <f t="shared" si="130"/>
        <v>P86USCV22EO-.IFP8651(D903)</v>
      </c>
      <c r="E517" s="46" t="s">
        <v>9</v>
      </c>
      <c r="F517" s="46" t="s">
        <v>9</v>
      </c>
      <c r="G517" s="48">
        <v>18</v>
      </c>
      <c r="H517" s="61">
        <v>45</v>
      </c>
      <c r="I517" s="49">
        <v>1</v>
      </c>
      <c r="J517" s="49">
        <v>1</v>
      </c>
      <c r="K517" s="49">
        <v>3</v>
      </c>
      <c r="L517" s="49">
        <f t="shared" si="137"/>
        <v>50</v>
      </c>
      <c r="M517" s="49">
        <f t="shared" si="104"/>
        <v>166.66666666666666</v>
      </c>
      <c r="N517" s="62">
        <v>25</v>
      </c>
      <c r="O517" s="49">
        <v>1</v>
      </c>
      <c r="P517" s="49">
        <v>1</v>
      </c>
      <c r="Q517" s="49">
        <v>1</v>
      </c>
      <c r="R517" s="49">
        <v>2</v>
      </c>
      <c r="S517" s="49">
        <f t="shared" si="135"/>
        <v>30</v>
      </c>
      <c r="T517" s="49">
        <f t="shared" si="116"/>
        <v>100</v>
      </c>
      <c r="U517" s="62">
        <v>11</v>
      </c>
      <c r="V517" s="49">
        <v>1</v>
      </c>
      <c r="W517" s="49">
        <v>0</v>
      </c>
      <c r="X517" s="49">
        <f t="shared" si="114"/>
        <v>12</v>
      </c>
      <c r="Y517" s="49">
        <f t="shared" si="138"/>
        <v>40</v>
      </c>
      <c r="Z517" s="49">
        <v>20</v>
      </c>
      <c r="AA517" s="49">
        <v>1</v>
      </c>
      <c r="AB517" s="49">
        <v>0</v>
      </c>
      <c r="AC517" s="49">
        <v>2</v>
      </c>
      <c r="AD517" s="49">
        <f t="shared" si="123"/>
        <v>23</v>
      </c>
      <c r="AE517" s="49">
        <f t="shared" si="103"/>
        <v>76.666666666666671</v>
      </c>
      <c r="AF517" s="49">
        <f t="shared" si="139"/>
        <v>65</v>
      </c>
      <c r="AG517" s="49">
        <f t="shared" si="139"/>
        <v>216.66666666666669</v>
      </c>
      <c r="AH517" s="49">
        <f t="shared" si="134"/>
        <v>115</v>
      </c>
      <c r="AI517" s="49">
        <f t="shared" si="134"/>
        <v>383.33333333333337</v>
      </c>
      <c r="AJ517" s="63">
        <f t="shared" si="128"/>
        <v>3.3333333333333335</v>
      </c>
    </row>
    <row r="518" spans="1:36" s="64" customFormat="1">
      <c r="A518" s="42" t="s">
        <v>335</v>
      </c>
      <c r="B518" s="42" t="s">
        <v>536</v>
      </c>
      <c r="C518" s="43" t="s">
        <v>537</v>
      </c>
      <c r="D518" s="42" t="str">
        <f t="shared" si="130"/>
        <v>T55USTY22AO-.TY55011(D902)</v>
      </c>
      <c r="E518" s="42" t="s">
        <v>10</v>
      </c>
      <c r="F518" s="42" t="s">
        <v>10</v>
      </c>
      <c r="G518" s="44">
        <v>40</v>
      </c>
      <c r="H518" s="65">
        <v>51</v>
      </c>
      <c r="I518" s="45">
        <v>2</v>
      </c>
      <c r="J518" s="45">
        <v>1</v>
      </c>
      <c r="K518" s="45">
        <v>2</v>
      </c>
      <c r="L518" s="45">
        <f t="shared" ref="L518:L524" si="140">SUM(H518:K518)</f>
        <v>56</v>
      </c>
      <c r="M518" s="45">
        <f t="shared" si="104"/>
        <v>84</v>
      </c>
      <c r="N518" s="66">
        <v>25</v>
      </c>
      <c r="O518" s="45">
        <v>1</v>
      </c>
      <c r="P518" s="45">
        <v>1</v>
      </c>
      <c r="Q518" s="45">
        <v>0</v>
      </c>
      <c r="R518" s="45">
        <v>2</v>
      </c>
      <c r="S518" s="45">
        <f t="shared" si="135"/>
        <v>29</v>
      </c>
      <c r="T518" s="45">
        <f t="shared" si="116"/>
        <v>43.5</v>
      </c>
      <c r="U518" s="66">
        <v>8</v>
      </c>
      <c r="V518" s="45">
        <v>1</v>
      </c>
      <c r="W518" s="45">
        <v>0</v>
      </c>
      <c r="X518" s="45">
        <f t="shared" si="114"/>
        <v>9</v>
      </c>
      <c r="Y518" s="45">
        <f t="shared" si="136"/>
        <v>13.5</v>
      </c>
      <c r="Z518" s="45">
        <v>18</v>
      </c>
      <c r="AA518" s="45">
        <v>1</v>
      </c>
      <c r="AB518" s="45">
        <v>0</v>
      </c>
      <c r="AC518" s="45">
        <v>2</v>
      </c>
      <c r="AD518" s="45">
        <f t="shared" si="123"/>
        <v>21</v>
      </c>
      <c r="AE518" s="45">
        <f t="shared" si="103"/>
        <v>31.5</v>
      </c>
      <c r="AF518" s="45">
        <f t="shared" si="139"/>
        <v>59</v>
      </c>
      <c r="AG518" s="45">
        <f t="shared" si="139"/>
        <v>88.5</v>
      </c>
      <c r="AH518" s="45">
        <f t="shared" si="134"/>
        <v>115</v>
      </c>
      <c r="AI518" s="45">
        <f t="shared" si="134"/>
        <v>172.5</v>
      </c>
      <c r="AJ518" s="63">
        <f t="shared" si="128"/>
        <v>1.5</v>
      </c>
    </row>
    <row r="519" spans="1:36" s="64" customFormat="1">
      <c r="A519" s="42" t="s">
        <v>335</v>
      </c>
      <c r="B519" s="42" t="s">
        <v>536</v>
      </c>
      <c r="C519" s="43" t="s">
        <v>538</v>
      </c>
      <c r="D519" s="42" t="str">
        <f t="shared" si="130"/>
        <v>T55USTY22AO-.TY55012(D902)</v>
      </c>
      <c r="E519" s="42" t="s">
        <v>10</v>
      </c>
      <c r="F519" s="42" t="s">
        <v>10</v>
      </c>
      <c r="G519" s="44">
        <v>40</v>
      </c>
      <c r="H519" s="65">
        <v>51</v>
      </c>
      <c r="I519" s="45">
        <v>2</v>
      </c>
      <c r="J519" s="45">
        <v>1</v>
      </c>
      <c r="K519" s="45">
        <v>2</v>
      </c>
      <c r="L519" s="45">
        <f t="shared" si="140"/>
        <v>56</v>
      </c>
      <c r="M519" s="45">
        <f t="shared" si="104"/>
        <v>84</v>
      </c>
      <c r="N519" s="66">
        <v>25</v>
      </c>
      <c r="O519" s="45">
        <v>1</v>
      </c>
      <c r="P519" s="45">
        <v>1</v>
      </c>
      <c r="Q519" s="45">
        <v>0</v>
      </c>
      <c r="R519" s="45">
        <v>2</v>
      </c>
      <c r="S519" s="45">
        <f t="shared" si="135"/>
        <v>29</v>
      </c>
      <c r="T519" s="45">
        <f t="shared" si="116"/>
        <v>43.5</v>
      </c>
      <c r="U519" s="66">
        <v>8</v>
      </c>
      <c r="V519" s="45">
        <v>1</v>
      </c>
      <c r="W519" s="45">
        <v>0</v>
      </c>
      <c r="X519" s="45">
        <f t="shared" si="114"/>
        <v>9</v>
      </c>
      <c r="Y519" s="45">
        <f t="shared" si="136"/>
        <v>13.5</v>
      </c>
      <c r="Z519" s="45">
        <v>18</v>
      </c>
      <c r="AA519" s="45">
        <v>1</v>
      </c>
      <c r="AB519" s="45">
        <v>0</v>
      </c>
      <c r="AC519" s="45">
        <v>2</v>
      </c>
      <c r="AD519" s="45">
        <f t="shared" si="123"/>
        <v>21</v>
      </c>
      <c r="AE519" s="45">
        <f t="shared" si="103"/>
        <v>31.5</v>
      </c>
      <c r="AF519" s="45">
        <f t="shared" si="139"/>
        <v>59</v>
      </c>
      <c r="AG519" s="45">
        <f t="shared" si="139"/>
        <v>88.5</v>
      </c>
      <c r="AH519" s="45">
        <f t="shared" si="134"/>
        <v>115</v>
      </c>
      <c r="AI519" s="45">
        <f t="shared" si="134"/>
        <v>172.5</v>
      </c>
      <c r="AJ519" s="63">
        <f t="shared" si="128"/>
        <v>1.5</v>
      </c>
    </row>
    <row r="520" spans="1:36" s="64" customFormat="1">
      <c r="A520" s="42" t="s">
        <v>335</v>
      </c>
      <c r="B520" s="42" t="s">
        <v>536</v>
      </c>
      <c r="C520" s="43" t="s">
        <v>214</v>
      </c>
      <c r="D520" s="42" t="str">
        <f t="shared" si="130"/>
        <v>T55USTY22AO-.TY55013(D902)</v>
      </c>
      <c r="E520" s="42" t="s">
        <v>10</v>
      </c>
      <c r="F520" s="42" t="s">
        <v>10</v>
      </c>
      <c r="G520" s="44">
        <v>40</v>
      </c>
      <c r="H520" s="65">
        <v>51</v>
      </c>
      <c r="I520" s="45">
        <v>2</v>
      </c>
      <c r="J520" s="45">
        <v>1</v>
      </c>
      <c r="K520" s="45">
        <v>2</v>
      </c>
      <c r="L520" s="45">
        <f t="shared" si="140"/>
        <v>56</v>
      </c>
      <c r="M520" s="45">
        <f t="shared" si="104"/>
        <v>84</v>
      </c>
      <c r="N520" s="66">
        <v>25</v>
      </c>
      <c r="O520" s="45">
        <v>1</v>
      </c>
      <c r="P520" s="45">
        <v>1</v>
      </c>
      <c r="Q520" s="45">
        <v>0</v>
      </c>
      <c r="R520" s="45">
        <v>2</v>
      </c>
      <c r="S520" s="45">
        <f t="shared" si="135"/>
        <v>29</v>
      </c>
      <c r="T520" s="45">
        <f t="shared" si="116"/>
        <v>43.5</v>
      </c>
      <c r="U520" s="66">
        <v>8</v>
      </c>
      <c r="V520" s="45">
        <v>1</v>
      </c>
      <c r="W520" s="45">
        <v>0</v>
      </c>
      <c r="X520" s="45">
        <f t="shared" si="114"/>
        <v>9</v>
      </c>
      <c r="Y520" s="45">
        <f t="shared" si="136"/>
        <v>13.5</v>
      </c>
      <c r="Z520" s="45">
        <v>18</v>
      </c>
      <c r="AA520" s="45">
        <v>1</v>
      </c>
      <c r="AB520" s="45">
        <v>0</v>
      </c>
      <c r="AC520" s="45">
        <v>2</v>
      </c>
      <c r="AD520" s="45">
        <f t="shared" si="123"/>
        <v>21</v>
      </c>
      <c r="AE520" s="45">
        <f t="shared" si="103"/>
        <v>31.5</v>
      </c>
      <c r="AF520" s="45">
        <f t="shared" si="139"/>
        <v>59</v>
      </c>
      <c r="AG520" s="45">
        <f t="shared" si="139"/>
        <v>88.5</v>
      </c>
      <c r="AH520" s="45">
        <f t="shared" si="134"/>
        <v>115</v>
      </c>
      <c r="AI520" s="45">
        <f t="shared" si="134"/>
        <v>172.5</v>
      </c>
      <c r="AJ520" s="63">
        <f t="shared" si="128"/>
        <v>1.5</v>
      </c>
    </row>
    <row r="521" spans="1:36" s="64" customFormat="1">
      <c r="A521" s="42" t="s">
        <v>335</v>
      </c>
      <c r="B521" s="42" t="s">
        <v>536</v>
      </c>
      <c r="C521" s="43" t="s">
        <v>249</v>
      </c>
      <c r="D521" s="42" t="str">
        <f t="shared" si="130"/>
        <v>T55USTY22AO-.TY55014(D902)</v>
      </c>
      <c r="E521" s="42" t="s">
        <v>10</v>
      </c>
      <c r="F521" s="42" t="s">
        <v>10</v>
      </c>
      <c r="G521" s="44">
        <v>40</v>
      </c>
      <c r="H521" s="65">
        <v>51</v>
      </c>
      <c r="I521" s="45">
        <v>2</v>
      </c>
      <c r="J521" s="45">
        <v>1</v>
      </c>
      <c r="K521" s="45">
        <v>2</v>
      </c>
      <c r="L521" s="45">
        <f t="shared" si="140"/>
        <v>56</v>
      </c>
      <c r="M521" s="45">
        <f t="shared" si="104"/>
        <v>84</v>
      </c>
      <c r="N521" s="66">
        <v>25</v>
      </c>
      <c r="O521" s="45">
        <v>1</v>
      </c>
      <c r="P521" s="45">
        <v>1</v>
      </c>
      <c r="Q521" s="45">
        <v>0</v>
      </c>
      <c r="R521" s="45">
        <v>2</v>
      </c>
      <c r="S521" s="45">
        <f t="shared" si="135"/>
        <v>29</v>
      </c>
      <c r="T521" s="45">
        <f t="shared" si="116"/>
        <v>43.5</v>
      </c>
      <c r="U521" s="66">
        <v>8</v>
      </c>
      <c r="V521" s="45">
        <v>1</v>
      </c>
      <c r="W521" s="45">
        <v>0</v>
      </c>
      <c r="X521" s="45">
        <f t="shared" si="114"/>
        <v>9</v>
      </c>
      <c r="Y521" s="45">
        <f t="shared" si="136"/>
        <v>13.5</v>
      </c>
      <c r="Z521" s="45">
        <v>18</v>
      </c>
      <c r="AA521" s="45">
        <v>1</v>
      </c>
      <c r="AB521" s="45">
        <v>0</v>
      </c>
      <c r="AC521" s="45">
        <v>2</v>
      </c>
      <c r="AD521" s="45">
        <f t="shared" si="123"/>
        <v>21</v>
      </c>
      <c r="AE521" s="45">
        <f t="shared" si="103"/>
        <v>31.5</v>
      </c>
      <c r="AF521" s="45">
        <f t="shared" si="139"/>
        <v>59</v>
      </c>
      <c r="AG521" s="45">
        <f t="shared" si="139"/>
        <v>88.5</v>
      </c>
      <c r="AH521" s="45">
        <f t="shared" si="134"/>
        <v>115</v>
      </c>
      <c r="AI521" s="45">
        <f t="shared" si="134"/>
        <v>172.5</v>
      </c>
      <c r="AJ521" s="63">
        <f t="shared" si="128"/>
        <v>1.5</v>
      </c>
    </row>
    <row r="522" spans="1:36" s="64" customFormat="1">
      <c r="A522" s="46" t="s">
        <v>335</v>
      </c>
      <c r="B522" s="46" t="s">
        <v>539</v>
      </c>
      <c r="C522" s="47" t="s">
        <v>135</v>
      </c>
      <c r="D522" s="46" t="str">
        <f t="shared" si="130"/>
        <v>P98USCV22FO-.1182BG1(D906)</v>
      </c>
      <c r="E522" s="46" t="s">
        <v>136</v>
      </c>
      <c r="F522" s="46" t="s">
        <v>136</v>
      </c>
      <c r="G522" s="48">
        <v>3</v>
      </c>
      <c r="H522" s="61">
        <v>7</v>
      </c>
      <c r="I522" s="49">
        <v>1</v>
      </c>
      <c r="J522" s="49">
        <v>0</v>
      </c>
      <c r="K522" s="49">
        <v>0</v>
      </c>
      <c r="L522" s="49">
        <f t="shared" si="140"/>
        <v>8</v>
      </c>
      <c r="M522" s="49">
        <f t="shared" si="104"/>
        <v>160</v>
      </c>
      <c r="N522" s="62">
        <v>4</v>
      </c>
      <c r="O522" s="49">
        <v>0</v>
      </c>
      <c r="P522" s="49">
        <v>1</v>
      </c>
      <c r="Q522" s="49">
        <v>0</v>
      </c>
      <c r="R522" s="49">
        <v>1</v>
      </c>
      <c r="S522" s="49">
        <f t="shared" si="135"/>
        <v>6</v>
      </c>
      <c r="T522" s="49">
        <f t="shared" si="116"/>
        <v>120</v>
      </c>
      <c r="U522" s="62">
        <v>2</v>
      </c>
      <c r="V522" s="49">
        <v>0</v>
      </c>
      <c r="W522" s="49">
        <v>0</v>
      </c>
      <c r="X522" s="49">
        <f t="shared" si="114"/>
        <v>2</v>
      </c>
      <c r="Y522" s="49">
        <f t="shared" si="136"/>
        <v>40</v>
      </c>
      <c r="Z522" s="49">
        <v>4</v>
      </c>
      <c r="AA522" s="49">
        <v>0</v>
      </c>
      <c r="AB522" s="49">
        <v>0</v>
      </c>
      <c r="AC522" s="49">
        <v>0</v>
      </c>
      <c r="AD522" s="49">
        <f t="shared" ref="AD522:AD549" si="141">SUM(Z522:AC522)</f>
        <v>4</v>
      </c>
      <c r="AE522" s="49">
        <f t="shared" si="103"/>
        <v>80</v>
      </c>
      <c r="AF522" s="49">
        <f t="shared" si="139"/>
        <v>12</v>
      </c>
      <c r="AG522" s="49">
        <f t="shared" si="139"/>
        <v>240</v>
      </c>
      <c r="AH522" s="49">
        <f t="shared" si="134"/>
        <v>20</v>
      </c>
      <c r="AI522" s="49">
        <f>SUM(M522,AG522)</f>
        <v>400</v>
      </c>
      <c r="AJ522" s="63">
        <f t="shared" si="128"/>
        <v>20</v>
      </c>
    </row>
    <row r="523" spans="1:36" s="68" customFormat="1">
      <c r="A523" s="42" t="s">
        <v>335</v>
      </c>
      <c r="B523" s="42" t="s">
        <v>540</v>
      </c>
      <c r="C523" s="43" t="s">
        <v>269</v>
      </c>
      <c r="D523" s="42" t="str">
        <f t="shared" si="130"/>
        <v>P98USCV22FO-.NT98ND1(D906)</v>
      </c>
      <c r="E523" s="42" t="s">
        <v>136</v>
      </c>
      <c r="F523" s="42" t="s">
        <v>136</v>
      </c>
      <c r="G523" s="44">
        <v>3</v>
      </c>
      <c r="H523" s="65">
        <v>7</v>
      </c>
      <c r="I523" s="45">
        <v>1</v>
      </c>
      <c r="J523" s="45">
        <v>0</v>
      </c>
      <c r="K523" s="45">
        <v>0</v>
      </c>
      <c r="L523" s="45">
        <f t="shared" si="140"/>
        <v>8</v>
      </c>
      <c r="M523" s="45">
        <f t="shared" si="104"/>
        <v>160</v>
      </c>
      <c r="N523" s="66">
        <v>4</v>
      </c>
      <c r="O523" s="45">
        <v>0</v>
      </c>
      <c r="P523" s="45">
        <v>1</v>
      </c>
      <c r="Q523" s="45">
        <v>0</v>
      </c>
      <c r="R523" s="45">
        <v>1</v>
      </c>
      <c r="S523" s="45">
        <f t="shared" si="135"/>
        <v>6</v>
      </c>
      <c r="T523" s="45">
        <f t="shared" si="116"/>
        <v>120</v>
      </c>
      <c r="U523" s="66">
        <v>2</v>
      </c>
      <c r="V523" s="45">
        <v>0</v>
      </c>
      <c r="W523" s="45">
        <v>0</v>
      </c>
      <c r="X523" s="45">
        <f t="shared" si="114"/>
        <v>2</v>
      </c>
      <c r="Y523" s="45">
        <f t="shared" si="136"/>
        <v>40</v>
      </c>
      <c r="Z523" s="45">
        <v>4</v>
      </c>
      <c r="AA523" s="45">
        <v>0</v>
      </c>
      <c r="AB523" s="45">
        <v>0</v>
      </c>
      <c r="AC523" s="45">
        <v>0</v>
      </c>
      <c r="AD523" s="45">
        <f t="shared" si="141"/>
        <v>4</v>
      </c>
      <c r="AE523" s="45">
        <f t="shared" si="103"/>
        <v>80</v>
      </c>
      <c r="AF523" s="45">
        <f t="shared" si="139"/>
        <v>12</v>
      </c>
      <c r="AG523" s="45">
        <f t="shared" si="139"/>
        <v>240</v>
      </c>
      <c r="AH523" s="45">
        <f t="shared" si="134"/>
        <v>20</v>
      </c>
      <c r="AI523" s="45">
        <f>SUM(M523,AG523)</f>
        <v>400</v>
      </c>
      <c r="AJ523" s="67">
        <f t="shared" si="128"/>
        <v>20</v>
      </c>
    </row>
    <row r="524" spans="1:36" s="64" customFormat="1">
      <c r="A524" s="46" t="s">
        <v>335</v>
      </c>
      <c r="B524" s="46" t="s">
        <v>541</v>
      </c>
      <c r="C524" s="47" t="s">
        <v>156</v>
      </c>
      <c r="D524" s="46" t="str">
        <f t="shared" si="130"/>
        <v>P98USCV22FO-.ND98CM1(D906)</v>
      </c>
      <c r="E524" s="46" t="s">
        <v>136</v>
      </c>
      <c r="F524" s="46" t="s">
        <v>136</v>
      </c>
      <c r="G524" s="48">
        <v>3</v>
      </c>
      <c r="H524" s="61">
        <v>7</v>
      </c>
      <c r="I524" s="49">
        <v>1</v>
      </c>
      <c r="J524" s="49">
        <v>0</v>
      </c>
      <c r="K524" s="49">
        <v>0</v>
      </c>
      <c r="L524" s="49">
        <f t="shared" si="140"/>
        <v>8</v>
      </c>
      <c r="M524" s="49">
        <f t="shared" si="104"/>
        <v>160</v>
      </c>
      <c r="N524" s="62">
        <v>4</v>
      </c>
      <c r="O524" s="49">
        <v>0</v>
      </c>
      <c r="P524" s="49">
        <v>1</v>
      </c>
      <c r="Q524" s="49">
        <v>0</v>
      </c>
      <c r="R524" s="49">
        <v>1</v>
      </c>
      <c r="S524" s="49">
        <f t="shared" si="135"/>
        <v>6</v>
      </c>
      <c r="T524" s="49">
        <f t="shared" si="116"/>
        <v>120</v>
      </c>
      <c r="U524" s="62">
        <v>2</v>
      </c>
      <c r="V524" s="49">
        <v>0</v>
      </c>
      <c r="W524" s="49">
        <v>0</v>
      </c>
      <c r="X524" s="49">
        <f t="shared" si="114"/>
        <v>2</v>
      </c>
      <c r="Y524" s="49">
        <f t="shared" si="136"/>
        <v>40</v>
      </c>
      <c r="Z524" s="49">
        <v>4</v>
      </c>
      <c r="AA524" s="49">
        <v>0</v>
      </c>
      <c r="AB524" s="49">
        <v>0</v>
      </c>
      <c r="AC524" s="49">
        <v>0</v>
      </c>
      <c r="AD524" s="49">
        <f t="shared" si="141"/>
        <v>4</v>
      </c>
      <c r="AE524" s="49">
        <f t="shared" si="103"/>
        <v>80</v>
      </c>
      <c r="AF524" s="49">
        <f t="shared" si="139"/>
        <v>12</v>
      </c>
      <c r="AG524" s="49">
        <f t="shared" si="139"/>
        <v>240</v>
      </c>
      <c r="AH524" s="49">
        <f t="shared" si="134"/>
        <v>20</v>
      </c>
      <c r="AI524" s="49">
        <f>SUM(M524,AG524)</f>
        <v>400</v>
      </c>
      <c r="AJ524" s="63">
        <f t="shared" si="128"/>
        <v>20</v>
      </c>
    </row>
    <row r="525" spans="1:36" s="64" customFormat="1">
      <c r="A525" s="46" t="s">
        <v>335</v>
      </c>
      <c r="B525" s="46" t="s">
        <v>542</v>
      </c>
      <c r="C525" s="47" t="s">
        <v>219</v>
      </c>
      <c r="D525" s="46" t="str">
        <f t="shared" si="130"/>
        <v>P98USCV22EO-.IFP9851(D906)</v>
      </c>
      <c r="E525" s="46" t="s">
        <v>136</v>
      </c>
      <c r="F525" s="46" t="s">
        <v>136</v>
      </c>
      <c r="G525" s="48">
        <v>3</v>
      </c>
      <c r="H525" s="61">
        <v>7</v>
      </c>
      <c r="I525" s="49">
        <v>1</v>
      </c>
      <c r="J525" s="49">
        <v>0</v>
      </c>
      <c r="K525" s="49">
        <v>0</v>
      </c>
      <c r="L525" s="49">
        <f t="shared" ref="L525:L537" si="142">SUM(H525:K525)</f>
        <v>8</v>
      </c>
      <c r="M525" s="49">
        <f t="shared" si="104"/>
        <v>160</v>
      </c>
      <c r="N525" s="62">
        <v>4</v>
      </c>
      <c r="O525" s="49">
        <v>0</v>
      </c>
      <c r="P525" s="49">
        <v>1</v>
      </c>
      <c r="Q525" s="49">
        <v>0</v>
      </c>
      <c r="R525" s="49">
        <v>1</v>
      </c>
      <c r="S525" s="49">
        <f t="shared" si="135"/>
        <v>6</v>
      </c>
      <c r="T525" s="49">
        <f t="shared" si="116"/>
        <v>120</v>
      </c>
      <c r="U525" s="62">
        <v>2</v>
      </c>
      <c r="V525" s="49">
        <v>0</v>
      </c>
      <c r="W525" s="49">
        <v>0</v>
      </c>
      <c r="X525" s="49">
        <f t="shared" si="114"/>
        <v>2</v>
      </c>
      <c r="Y525" s="49">
        <f t="shared" si="136"/>
        <v>40</v>
      </c>
      <c r="Z525" s="49">
        <v>4</v>
      </c>
      <c r="AA525" s="49">
        <v>0</v>
      </c>
      <c r="AB525" s="49">
        <v>0</v>
      </c>
      <c r="AC525" s="49">
        <v>0</v>
      </c>
      <c r="AD525" s="49">
        <f t="shared" si="141"/>
        <v>4</v>
      </c>
      <c r="AE525" s="49">
        <f t="shared" si="103"/>
        <v>80</v>
      </c>
      <c r="AF525" s="49">
        <f t="shared" si="139"/>
        <v>12</v>
      </c>
      <c r="AG525" s="49">
        <f t="shared" si="139"/>
        <v>240</v>
      </c>
      <c r="AH525" s="49">
        <f t="shared" ref="AH525:AI540" si="143">SUM(L525,AF525)</f>
        <v>20</v>
      </c>
      <c r="AI525" s="49">
        <f t="shared" si="143"/>
        <v>400</v>
      </c>
      <c r="AJ525" s="63">
        <f t="shared" si="128"/>
        <v>20</v>
      </c>
    </row>
    <row r="526" spans="1:36" s="64" customFormat="1">
      <c r="A526" s="46" t="s">
        <v>335</v>
      </c>
      <c r="B526" s="46" t="s">
        <v>76</v>
      </c>
      <c r="C526" s="47" t="s">
        <v>543</v>
      </c>
      <c r="D526" s="46" t="str">
        <f t="shared" ref="D526:D548" si="144">C526&amp;"("&amp;F526&amp;")"</f>
        <v>VXXUSOL2----.PARAKT1(V901)</v>
      </c>
      <c r="E526" s="46" t="s">
        <v>18</v>
      </c>
      <c r="F526" s="46" t="s">
        <v>18</v>
      </c>
      <c r="G526" s="48">
        <v>25</v>
      </c>
      <c r="H526" s="61">
        <v>0</v>
      </c>
      <c r="I526" s="49">
        <v>0</v>
      </c>
      <c r="J526" s="49">
        <v>0</v>
      </c>
      <c r="K526" s="49">
        <v>0</v>
      </c>
      <c r="L526" s="49">
        <f t="shared" si="142"/>
        <v>0</v>
      </c>
      <c r="M526" s="49">
        <f t="shared" si="104"/>
        <v>0</v>
      </c>
      <c r="N526" s="62">
        <v>12</v>
      </c>
      <c r="O526" s="49">
        <v>1</v>
      </c>
      <c r="P526" s="49">
        <v>0</v>
      </c>
      <c r="Q526" s="49">
        <v>0</v>
      </c>
      <c r="R526" s="49">
        <v>1</v>
      </c>
      <c r="S526" s="49">
        <f t="shared" si="105"/>
        <v>14</v>
      </c>
      <c r="T526" s="49">
        <f t="shared" si="116"/>
        <v>33.6</v>
      </c>
      <c r="U526" s="62">
        <v>6</v>
      </c>
      <c r="V526" s="49">
        <v>0</v>
      </c>
      <c r="W526" s="49">
        <v>0</v>
      </c>
      <c r="X526" s="49">
        <f t="shared" ref="X526:X548" si="145">SUM(U526:W526)</f>
        <v>6</v>
      </c>
      <c r="Y526" s="49">
        <f t="shared" si="102"/>
        <v>14.4</v>
      </c>
      <c r="Z526" s="49">
        <v>8</v>
      </c>
      <c r="AA526" s="49">
        <v>1</v>
      </c>
      <c r="AB526" s="49">
        <v>0</v>
      </c>
      <c r="AC526" s="49">
        <v>1</v>
      </c>
      <c r="AD526" s="49">
        <f t="shared" si="141"/>
        <v>10</v>
      </c>
      <c r="AE526" s="49">
        <f t="shared" si="103"/>
        <v>24</v>
      </c>
      <c r="AF526" s="49">
        <f t="shared" si="139"/>
        <v>30</v>
      </c>
      <c r="AG526" s="49">
        <f t="shared" si="139"/>
        <v>72</v>
      </c>
      <c r="AH526" s="49">
        <f t="shared" si="143"/>
        <v>30</v>
      </c>
      <c r="AI526" s="49">
        <f t="shared" si="143"/>
        <v>72</v>
      </c>
      <c r="AJ526" s="63"/>
    </row>
    <row r="527" spans="1:36" s="64" customFormat="1">
      <c r="A527" s="46" t="s">
        <v>335</v>
      </c>
      <c r="B527" s="46" t="s">
        <v>76</v>
      </c>
      <c r="C527" s="47" t="s">
        <v>544</v>
      </c>
      <c r="D527" s="46" t="str">
        <f t="shared" si="144"/>
        <v>VXXUSOL2----.PARAKT2(V901)</v>
      </c>
      <c r="E527" s="46" t="s">
        <v>18</v>
      </c>
      <c r="F527" s="46" t="s">
        <v>18</v>
      </c>
      <c r="G527" s="48">
        <v>25</v>
      </c>
      <c r="H527" s="61">
        <v>0</v>
      </c>
      <c r="I527" s="49">
        <v>0</v>
      </c>
      <c r="J527" s="49">
        <v>0</v>
      </c>
      <c r="K527" s="49">
        <v>0</v>
      </c>
      <c r="L527" s="49">
        <f t="shared" si="142"/>
        <v>0</v>
      </c>
      <c r="M527" s="49">
        <f t="shared" si="104"/>
        <v>0</v>
      </c>
      <c r="N527" s="62">
        <v>12</v>
      </c>
      <c r="O527" s="49">
        <v>1</v>
      </c>
      <c r="P527" s="49">
        <v>0</v>
      </c>
      <c r="Q527" s="49">
        <v>0</v>
      </c>
      <c r="R527" s="49">
        <v>1</v>
      </c>
      <c r="S527" s="49">
        <f t="shared" si="105"/>
        <v>14</v>
      </c>
      <c r="T527" s="49">
        <f t="shared" si="116"/>
        <v>33.6</v>
      </c>
      <c r="U527" s="62">
        <v>6</v>
      </c>
      <c r="V527" s="49">
        <v>0</v>
      </c>
      <c r="W527" s="49">
        <v>0</v>
      </c>
      <c r="X527" s="49">
        <f t="shared" si="145"/>
        <v>6</v>
      </c>
      <c r="Y527" s="49">
        <f t="shared" si="102"/>
        <v>14.4</v>
      </c>
      <c r="Z527" s="49">
        <v>8</v>
      </c>
      <c r="AA527" s="49">
        <v>1</v>
      </c>
      <c r="AB527" s="49">
        <v>0</v>
      </c>
      <c r="AC527" s="49">
        <v>1</v>
      </c>
      <c r="AD527" s="49">
        <f t="shared" si="141"/>
        <v>10</v>
      </c>
      <c r="AE527" s="49">
        <f t="shared" si="103"/>
        <v>24</v>
      </c>
      <c r="AF527" s="49">
        <f t="shared" si="139"/>
        <v>30</v>
      </c>
      <c r="AG527" s="49">
        <f t="shared" si="139"/>
        <v>72</v>
      </c>
      <c r="AH527" s="49">
        <f t="shared" si="143"/>
        <v>30</v>
      </c>
      <c r="AI527" s="49">
        <f t="shared" si="143"/>
        <v>72</v>
      </c>
      <c r="AJ527" s="63"/>
    </row>
    <row r="528" spans="1:36" s="64" customFormat="1">
      <c r="A528" s="46" t="s">
        <v>335</v>
      </c>
      <c r="B528" s="46" t="s">
        <v>76</v>
      </c>
      <c r="C528" s="47" t="s">
        <v>545</v>
      </c>
      <c r="D528" s="46" t="str">
        <f t="shared" si="144"/>
        <v>VXXUSOL2----.PARAKT3(V901)</v>
      </c>
      <c r="E528" s="46" t="s">
        <v>18</v>
      </c>
      <c r="F528" s="46" t="s">
        <v>18</v>
      </c>
      <c r="G528" s="48">
        <v>25</v>
      </c>
      <c r="H528" s="61">
        <v>0</v>
      </c>
      <c r="I528" s="49">
        <v>0</v>
      </c>
      <c r="J528" s="49">
        <v>0</v>
      </c>
      <c r="K528" s="49">
        <v>0</v>
      </c>
      <c r="L528" s="49">
        <f t="shared" si="142"/>
        <v>0</v>
      </c>
      <c r="M528" s="49">
        <f t="shared" si="104"/>
        <v>0</v>
      </c>
      <c r="N528" s="62">
        <v>12</v>
      </c>
      <c r="O528" s="49">
        <v>1</v>
      </c>
      <c r="P528" s="49">
        <v>0</v>
      </c>
      <c r="Q528" s="49">
        <v>0</v>
      </c>
      <c r="R528" s="49">
        <v>1</v>
      </c>
      <c r="S528" s="49">
        <f t="shared" si="105"/>
        <v>14</v>
      </c>
      <c r="T528" s="49">
        <f t="shared" si="116"/>
        <v>33.6</v>
      </c>
      <c r="U528" s="62">
        <v>6</v>
      </c>
      <c r="V528" s="49">
        <v>0</v>
      </c>
      <c r="W528" s="49">
        <v>0</v>
      </c>
      <c r="X528" s="49">
        <f t="shared" si="145"/>
        <v>6</v>
      </c>
      <c r="Y528" s="49">
        <f t="shared" si="102"/>
        <v>14.4</v>
      </c>
      <c r="Z528" s="49">
        <v>8</v>
      </c>
      <c r="AA528" s="49">
        <v>1</v>
      </c>
      <c r="AB528" s="49">
        <v>0</v>
      </c>
      <c r="AC528" s="49">
        <v>1</v>
      </c>
      <c r="AD528" s="49">
        <f t="shared" si="141"/>
        <v>10</v>
      </c>
      <c r="AE528" s="49">
        <f t="shared" si="103"/>
        <v>24</v>
      </c>
      <c r="AF528" s="49">
        <f t="shared" si="139"/>
        <v>30</v>
      </c>
      <c r="AG528" s="49">
        <f t="shared" si="139"/>
        <v>72</v>
      </c>
      <c r="AH528" s="49">
        <f t="shared" si="143"/>
        <v>30</v>
      </c>
      <c r="AI528" s="49">
        <f t="shared" si="143"/>
        <v>72</v>
      </c>
      <c r="AJ528" s="63"/>
    </row>
    <row r="529" spans="1:36" s="64" customFormat="1">
      <c r="A529" s="46" t="s">
        <v>335</v>
      </c>
      <c r="B529" s="46" t="s">
        <v>76</v>
      </c>
      <c r="C529" s="47" t="s">
        <v>19</v>
      </c>
      <c r="D529" s="46" t="str">
        <f t="shared" si="144"/>
        <v>VXXUSOL2----.PARAKT7(V901)</v>
      </c>
      <c r="E529" s="46" t="s">
        <v>18</v>
      </c>
      <c r="F529" s="46" t="s">
        <v>18</v>
      </c>
      <c r="G529" s="48">
        <v>25</v>
      </c>
      <c r="H529" s="61">
        <v>0</v>
      </c>
      <c r="I529" s="49">
        <v>0</v>
      </c>
      <c r="J529" s="49">
        <v>0</v>
      </c>
      <c r="K529" s="49">
        <v>0</v>
      </c>
      <c r="L529" s="49">
        <f t="shared" si="142"/>
        <v>0</v>
      </c>
      <c r="M529" s="49">
        <f t="shared" si="104"/>
        <v>0</v>
      </c>
      <c r="N529" s="62">
        <v>12</v>
      </c>
      <c r="O529" s="49">
        <v>1</v>
      </c>
      <c r="P529" s="49">
        <v>0</v>
      </c>
      <c r="Q529" s="49">
        <v>0</v>
      </c>
      <c r="R529" s="49">
        <v>1</v>
      </c>
      <c r="S529" s="49">
        <f t="shared" si="105"/>
        <v>14</v>
      </c>
      <c r="T529" s="49">
        <f t="shared" si="116"/>
        <v>33.6</v>
      </c>
      <c r="U529" s="62">
        <v>6</v>
      </c>
      <c r="V529" s="49">
        <v>0</v>
      </c>
      <c r="W529" s="49">
        <v>0</v>
      </c>
      <c r="X529" s="49">
        <f t="shared" si="145"/>
        <v>6</v>
      </c>
      <c r="Y529" s="49">
        <f t="shared" si="102"/>
        <v>14.4</v>
      </c>
      <c r="Z529" s="49">
        <v>8</v>
      </c>
      <c r="AA529" s="49">
        <v>1</v>
      </c>
      <c r="AB529" s="49">
        <v>0</v>
      </c>
      <c r="AC529" s="49">
        <v>1</v>
      </c>
      <c r="AD529" s="49">
        <f t="shared" si="141"/>
        <v>10</v>
      </c>
      <c r="AE529" s="49">
        <f t="shared" si="103"/>
        <v>24</v>
      </c>
      <c r="AF529" s="49">
        <f t="shared" si="139"/>
        <v>30</v>
      </c>
      <c r="AG529" s="49">
        <f t="shared" si="139"/>
        <v>72</v>
      </c>
      <c r="AH529" s="49">
        <f t="shared" si="143"/>
        <v>30</v>
      </c>
      <c r="AI529" s="49">
        <f t="shared" si="143"/>
        <v>72</v>
      </c>
      <c r="AJ529" s="63"/>
    </row>
    <row r="530" spans="1:36" s="64" customFormat="1">
      <c r="A530" s="46" t="s">
        <v>335</v>
      </c>
      <c r="B530" s="46" t="s">
        <v>76</v>
      </c>
      <c r="C530" s="47" t="s">
        <v>546</v>
      </c>
      <c r="D530" s="46" t="str">
        <f t="shared" si="144"/>
        <v>VXXUSOLC----.PARAKT3(V901)</v>
      </c>
      <c r="E530" s="46" t="s">
        <v>18</v>
      </c>
      <c r="F530" s="46" t="s">
        <v>18</v>
      </c>
      <c r="G530" s="48">
        <v>25</v>
      </c>
      <c r="H530" s="61">
        <v>0</v>
      </c>
      <c r="I530" s="49">
        <v>0</v>
      </c>
      <c r="J530" s="49">
        <v>0</v>
      </c>
      <c r="K530" s="49">
        <v>0</v>
      </c>
      <c r="L530" s="49">
        <f t="shared" si="142"/>
        <v>0</v>
      </c>
      <c r="M530" s="49">
        <f t="shared" si="104"/>
        <v>0</v>
      </c>
      <c r="N530" s="62">
        <v>12</v>
      </c>
      <c r="O530" s="49">
        <v>1</v>
      </c>
      <c r="P530" s="49">
        <v>0</v>
      </c>
      <c r="Q530" s="49">
        <v>0</v>
      </c>
      <c r="R530" s="49">
        <v>1</v>
      </c>
      <c r="S530" s="49">
        <f t="shared" si="105"/>
        <v>14</v>
      </c>
      <c r="T530" s="49">
        <f t="shared" si="116"/>
        <v>33.6</v>
      </c>
      <c r="U530" s="62">
        <v>6</v>
      </c>
      <c r="V530" s="49">
        <v>0</v>
      </c>
      <c r="W530" s="49">
        <v>0</v>
      </c>
      <c r="X530" s="49">
        <f t="shared" si="145"/>
        <v>6</v>
      </c>
      <c r="Y530" s="49">
        <f t="shared" si="102"/>
        <v>14.4</v>
      </c>
      <c r="Z530" s="49">
        <v>8</v>
      </c>
      <c r="AA530" s="49">
        <v>1</v>
      </c>
      <c r="AB530" s="49">
        <v>0</v>
      </c>
      <c r="AC530" s="49">
        <v>1</v>
      </c>
      <c r="AD530" s="49">
        <f t="shared" si="141"/>
        <v>10</v>
      </c>
      <c r="AE530" s="49">
        <f t="shared" si="103"/>
        <v>24</v>
      </c>
      <c r="AF530" s="49">
        <f t="shared" si="139"/>
        <v>30</v>
      </c>
      <c r="AG530" s="49">
        <f t="shared" si="139"/>
        <v>72</v>
      </c>
      <c r="AH530" s="49">
        <f t="shared" si="143"/>
        <v>30</v>
      </c>
      <c r="AI530" s="49">
        <f t="shared" si="143"/>
        <v>72</v>
      </c>
      <c r="AJ530" s="63"/>
    </row>
    <row r="531" spans="1:36" s="64" customFormat="1">
      <c r="A531" s="46" t="s">
        <v>335</v>
      </c>
      <c r="B531" s="46" t="s">
        <v>76</v>
      </c>
      <c r="C531" s="47" t="s">
        <v>547</v>
      </c>
      <c r="D531" s="46" t="str">
        <f t="shared" si="144"/>
        <v>VXXUSOLC----.PARAKT4(V901)</v>
      </c>
      <c r="E531" s="46" t="s">
        <v>18</v>
      </c>
      <c r="F531" s="46" t="s">
        <v>18</v>
      </c>
      <c r="G531" s="48">
        <v>25</v>
      </c>
      <c r="H531" s="61">
        <v>0</v>
      </c>
      <c r="I531" s="49">
        <v>0</v>
      </c>
      <c r="J531" s="49">
        <v>0</v>
      </c>
      <c r="K531" s="49">
        <v>0</v>
      </c>
      <c r="L531" s="49">
        <f t="shared" si="142"/>
        <v>0</v>
      </c>
      <c r="M531" s="49">
        <f t="shared" si="104"/>
        <v>0</v>
      </c>
      <c r="N531" s="62">
        <v>12</v>
      </c>
      <c r="O531" s="49">
        <v>1</v>
      </c>
      <c r="P531" s="49">
        <v>0</v>
      </c>
      <c r="Q531" s="49">
        <v>0</v>
      </c>
      <c r="R531" s="49">
        <v>1</v>
      </c>
      <c r="S531" s="49">
        <f t="shared" si="105"/>
        <v>14</v>
      </c>
      <c r="T531" s="49">
        <f t="shared" ref="T531:T615" si="146">60*S531/G531</f>
        <v>33.6</v>
      </c>
      <c r="U531" s="62">
        <v>6</v>
      </c>
      <c r="V531" s="49">
        <v>0</v>
      </c>
      <c r="W531" s="49">
        <v>0</v>
      </c>
      <c r="X531" s="49">
        <f t="shared" si="145"/>
        <v>6</v>
      </c>
      <c r="Y531" s="49">
        <f t="shared" si="102"/>
        <v>14.4</v>
      </c>
      <c r="Z531" s="49">
        <v>8</v>
      </c>
      <c r="AA531" s="49">
        <v>1</v>
      </c>
      <c r="AB531" s="49">
        <v>0</v>
      </c>
      <c r="AC531" s="49">
        <v>1</v>
      </c>
      <c r="AD531" s="49">
        <f t="shared" si="141"/>
        <v>10</v>
      </c>
      <c r="AE531" s="49">
        <f t="shared" si="103"/>
        <v>24</v>
      </c>
      <c r="AF531" s="49">
        <f t="shared" si="139"/>
        <v>30</v>
      </c>
      <c r="AG531" s="49">
        <f t="shared" si="139"/>
        <v>72</v>
      </c>
      <c r="AH531" s="49">
        <f t="shared" si="143"/>
        <v>30</v>
      </c>
      <c r="AI531" s="49">
        <f t="shared" si="143"/>
        <v>72</v>
      </c>
      <c r="AJ531" s="63"/>
    </row>
    <row r="532" spans="1:36" s="64" customFormat="1">
      <c r="A532" s="46" t="s">
        <v>335</v>
      </c>
      <c r="B532" s="46" t="s">
        <v>76</v>
      </c>
      <c r="C532" s="47" t="s">
        <v>28</v>
      </c>
      <c r="D532" s="46" t="str">
        <f t="shared" si="144"/>
        <v>VXXUSOL2----.PARAKT5(V901)</v>
      </c>
      <c r="E532" s="46" t="s">
        <v>18</v>
      </c>
      <c r="F532" s="46" t="s">
        <v>18</v>
      </c>
      <c r="G532" s="48">
        <v>25</v>
      </c>
      <c r="H532" s="61">
        <v>0</v>
      </c>
      <c r="I532" s="49">
        <v>0</v>
      </c>
      <c r="J532" s="49">
        <v>0</v>
      </c>
      <c r="K532" s="49">
        <v>0</v>
      </c>
      <c r="L532" s="49">
        <f t="shared" si="142"/>
        <v>0</v>
      </c>
      <c r="M532" s="49">
        <f t="shared" si="104"/>
        <v>0</v>
      </c>
      <c r="N532" s="62">
        <v>12</v>
      </c>
      <c r="O532" s="49">
        <v>1</v>
      </c>
      <c r="P532" s="49">
        <v>0</v>
      </c>
      <c r="Q532" s="49">
        <v>0</v>
      </c>
      <c r="R532" s="49">
        <v>1</v>
      </c>
      <c r="S532" s="49">
        <f t="shared" si="105"/>
        <v>14</v>
      </c>
      <c r="T532" s="49">
        <f t="shared" si="146"/>
        <v>33.6</v>
      </c>
      <c r="U532" s="62">
        <v>6</v>
      </c>
      <c r="V532" s="49">
        <v>0</v>
      </c>
      <c r="W532" s="49">
        <v>0</v>
      </c>
      <c r="X532" s="49">
        <f t="shared" si="145"/>
        <v>6</v>
      </c>
      <c r="Y532" s="49">
        <f t="shared" si="102"/>
        <v>14.4</v>
      </c>
      <c r="Z532" s="49">
        <v>8</v>
      </c>
      <c r="AA532" s="49">
        <v>1</v>
      </c>
      <c r="AB532" s="49">
        <v>0</v>
      </c>
      <c r="AC532" s="49">
        <v>1</v>
      </c>
      <c r="AD532" s="49">
        <f t="shared" si="141"/>
        <v>10</v>
      </c>
      <c r="AE532" s="49">
        <f t="shared" si="103"/>
        <v>24</v>
      </c>
      <c r="AF532" s="49">
        <f t="shared" ref="AF532:AG555" si="147">SUM(S532,X532,AD532)</f>
        <v>30</v>
      </c>
      <c r="AG532" s="49">
        <f t="shared" si="147"/>
        <v>72</v>
      </c>
      <c r="AH532" s="49">
        <f t="shared" si="143"/>
        <v>30</v>
      </c>
      <c r="AI532" s="49">
        <f t="shared" si="143"/>
        <v>72</v>
      </c>
      <c r="AJ532" s="63"/>
    </row>
    <row r="533" spans="1:36" s="64" customFormat="1">
      <c r="A533" s="46" t="s">
        <v>335</v>
      </c>
      <c r="B533" s="46" t="s">
        <v>76</v>
      </c>
      <c r="C533" s="47" t="s">
        <v>548</v>
      </c>
      <c r="D533" s="46" t="str">
        <f t="shared" si="144"/>
        <v>VXXEUOL2----.PARAKT1(V901)</v>
      </c>
      <c r="E533" s="46" t="s">
        <v>18</v>
      </c>
      <c r="F533" s="46" t="s">
        <v>18</v>
      </c>
      <c r="G533" s="48">
        <v>25</v>
      </c>
      <c r="H533" s="61">
        <v>0</v>
      </c>
      <c r="I533" s="49">
        <v>0</v>
      </c>
      <c r="J533" s="49">
        <v>0</v>
      </c>
      <c r="K533" s="49">
        <v>0</v>
      </c>
      <c r="L533" s="49">
        <f t="shared" si="142"/>
        <v>0</v>
      </c>
      <c r="M533" s="49">
        <f t="shared" si="104"/>
        <v>0</v>
      </c>
      <c r="N533" s="62">
        <v>12</v>
      </c>
      <c r="O533" s="49">
        <v>1</v>
      </c>
      <c r="P533" s="49">
        <v>0</v>
      </c>
      <c r="Q533" s="49">
        <v>0</v>
      </c>
      <c r="R533" s="49">
        <v>1</v>
      </c>
      <c r="S533" s="49">
        <f t="shared" si="105"/>
        <v>14</v>
      </c>
      <c r="T533" s="49">
        <f t="shared" si="146"/>
        <v>33.6</v>
      </c>
      <c r="U533" s="62">
        <v>6</v>
      </c>
      <c r="V533" s="49">
        <v>0</v>
      </c>
      <c r="W533" s="49">
        <v>0</v>
      </c>
      <c r="X533" s="49">
        <f t="shared" si="145"/>
        <v>6</v>
      </c>
      <c r="Y533" s="49">
        <f t="shared" si="102"/>
        <v>14.4</v>
      </c>
      <c r="Z533" s="49">
        <v>8</v>
      </c>
      <c r="AA533" s="49">
        <v>1</v>
      </c>
      <c r="AB533" s="49">
        <v>0</v>
      </c>
      <c r="AC533" s="49">
        <v>1</v>
      </c>
      <c r="AD533" s="49">
        <f t="shared" si="141"/>
        <v>10</v>
      </c>
      <c r="AE533" s="49">
        <f t="shared" si="103"/>
        <v>24</v>
      </c>
      <c r="AF533" s="49">
        <f t="shared" si="147"/>
        <v>30</v>
      </c>
      <c r="AG533" s="49">
        <f t="shared" si="147"/>
        <v>72</v>
      </c>
      <c r="AH533" s="49">
        <f t="shared" si="143"/>
        <v>30</v>
      </c>
      <c r="AI533" s="49">
        <f t="shared" si="143"/>
        <v>72</v>
      </c>
      <c r="AJ533" s="63"/>
    </row>
    <row r="534" spans="1:36" s="64" customFormat="1">
      <c r="A534" s="46" t="s">
        <v>335</v>
      </c>
      <c r="B534" s="46" t="s">
        <v>76</v>
      </c>
      <c r="C534" s="47" t="s">
        <v>549</v>
      </c>
      <c r="D534" s="46" t="str">
        <f t="shared" si="144"/>
        <v>VXXEUOL2----.PARAKT2(V901)</v>
      </c>
      <c r="E534" s="46" t="s">
        <v>18</v>
      </c>
      <c r="F534" s="46" t="s">
        <v>18</v>
      </c>
      <c r="G534" s="48">
        <v>25</v>
      </c>
      <c r="H534" s="61">
        <v>0</v>
      </c>
      <c r="I534" s="49">
        <v>0</v>
      </c>
      <c r="J534" s="49">
        <v>0</v>
      </c>
      <c r="K534" s="49">
        <v>0</v>
      </c>
      <c r="L534" s="49">
        <f t="shared" si="142"/>
        <v>0</v>
      </c>
      <c r="M534" s="49">
        <f t="shared" si="104"/>
        <v>0</v>
      </c>
      <c r="N534" s="62">
        <v>12</v>
      </c>
      <c r="O534" s="49">
        <v>1</v>
      </c>
      <c r="P534" s="49">
        <v>0</v>
      </c>
      <c r="Q534" s="49">
        <v>0</v>
      </c>
      <c r="R534" s="49">
        <v>1</v>
      </c>
      <c r="S534" s="49">
        <f t="shared" si="105"/>
        <v>14</v>
      </c>
      <c r="T534" s="49">
        <f t="shared" si="146"/>
        <v>33.6</v>
      </c>
      <c r="U534" s="62">
        <v>6</v>
      </c>
      <c r="V534" s="49">
        <v>0</v>
      </c>
      <c r="W534" s="49">
        <v>0</v>
      </c>
      <c r="X534" s="49">
        <f t="shared" si="145"/>
        <v>6</v>
      </c>
      <c r="Y534" s="49">
        <f t="shared" si="102"/>
        <v>14.4</v>
      </c>
      <c r="Z534" s="49">
        <v>8</v>
      </c>
      <c r="AA534" s="49">
        <v>1</v>
      </c>
      <c r="AB534" s="49">
        <v>0</v>
      </c>
      <c r="AC534" s="49">
        <v>1</v>
      </c>
      <c r="AD534" s="49">
        <f t="shared" si="141"/>
        <v>10</v>
      </c>
      <c r="AE534" s="49">
        <f t="shared" si="103"/>
        <v>24</v>
      </c>
      <c r="AF534" s="49">
        <f t="shared" si="147"/>
        <v>30</v>
      </c>
      <c r="AG534" s="49">
        <f t="shared" si="147"/>
        <v>72</v>
      </c>
      <c r="AH534" s="49">
        <f t="shared" si="143"/>
        <v>30</v>
      </c>
      <c r="AI534" s="49">
        <f t="shared" si="143"/>
        <v>72</v>
      </c>
      <c r="AJ534" s="63"/>
    </row>
    <row r="535" spans="1:36" s="64" customFormat="1">
      <c r="A535" s="46" t="s">
        <v>335</v>
      </c>
      <c r="B535" s="46" t="s">
        <v>76</v>
      </c>
      <c r="C535" s="47" t="s">
        <v>550</v>
      </c>
      <c r="D535" s="46" t="str">
        <f t="shared" si="144"/>
        <v>VXXEUOL2----.PARAKT3(V901)</v>
      </c>
      <c r="E535" s="46" t="s">
        <v>18</v>
      </c>
      <c r="F535" s="46" t="s">
        <v>18</v>
      </c>
      <c r="G535" s="48">
        <v>25</v>
      </c>
      <c r="H535" s="61">
        <v>0</v>
      </c>
      <c r="I535" s="49">
        <v>0</v>
      </c>
      <c r="J535" s="49">
        <v>0</v>
      </c>
      <c r="K535" s="49">
        <v>0</v>
      </c>
      <c r="L535" s="49">
        <f t="shared" si="142"/>
        <v>0</v>
      </c>
      <c r="M535" s="49">
        <f t="shared" si="104"/>
        <v>0</v>
      </c>
      <c r="N535" s="62">
        <v>12</v>
      </c>
      <c r="O535" s="49">
        <v>1</v>
      </c>
      <c r="P535" s="49">
        <v>0</v>
      </c>
      <c r="Q535" s="49">
        <v>0</v>
      </c>
      <c r="R535" s="49">
        <v>1</v>
      </c>
      <c r="S535" s="49">
        <f t="shared" si="105"/>
        <v>14</v>
      </c>
      <c r="T535" s="49">
        <f t="shared" si="146"/>
        <v>33.6</v>
      </c>
      <c r="U535" s="62">
        <v>6</v>
      </c>
      <c r="V535" s="49">
        <v>0</v>
      </c>
      <c r="W535" s="49">
        <v>0</v>
      </c>
      <c r="X535" s="49">
        <f t="shared" si="145"/>
        <v>6</v>
      </c>
      <c r="Y535" s="49">
        <f t="shared" si="102"/>
        <v>14.4</v>
      </c>
      <c r="Z535" s="49">
        <v>8</v>
      </c>
      <c r="AA535" s="49">
        <v>1</v>
      </c>
      <c r="AB535" s="49">
        <v>0</v>
      </c>
      <c r="AC535" s="49">
        <v>1</v>
      </c>
      <c r="AD535" s="49">
        <f t="shared" si="141"/>
        <v>10</v>
      </c>
      <c r="AE535" s="49">
        <f t="shared" si="103"/>
        <v>24</v>
      </c>
      <c r="AF535" s="49">
        <f t="shared" si="147"/>
        <v>30</v>
      </c>
      <c r="AG535" s="49">
        <f t="shared" si="147"/>
        <v>72</v>
      </c>
      <c r="AH535" s="49">
        <f t="shared" si="143"/>
        <v>30</v>
      </c>
      <c r="AI535" s="49">
        <f t="shared" si="143"/>
        <v>72</v>
      </c>
      <c r="AJ535" s="63"/>
    </row>
    <row r="536" spans="1:36" s="64" customFormat="1">
      <c r="A536" s="46" t="s">
        <v>335</v>
      </c>
      <c r="B536" s="46" t="s">
        <v>76</v>
      </c>
      <c r="C536" s="47" t="s">
        <v>30</v>
      </c>
      <c r="D536" s="46" t="str">
        <f>C536&amp;"("&amp;F536&amp;")"</f>
        <v>VXXEUOL2----.PARAKT5(V901)</v>
      </c>
      <c r="E536" s="46" t="s">
        <v>18</v>
      </c>
      <c r="F536" s="46" t="s">
        <v>18</v>
      </c>
      <c r="G536" s="48">
        <v>25</v>
      </c>
      <c r="H536" s="61">
        <v>0</v>
      </c>
      <c r="I536" s="49">
        <v>0</v>
      </c>
      <c r="J536" s="49">
        <v>0</v>
      </c>
      <c r="K536" s="49">
        <v>0</v>
      </c>
      <c r="L536" s="49">
        <f t="shared" si="142"/>
        <v>0</v>
      </c>
      <c r="M536" s="49">
        <f>60*L536/G536</f>
        <v>0</v>
      </c>
      <c r="N536" s="62">
        <v>12</v>
      </c>
      <c r="O536" s="49">
        <v>1</v>
      </c>
      <c r="P536" s="49">
        <v>0</v>
      </c>
      <c r="Q536" s="49">
        <v>0</v>
      </c>
      <c r="R536" s="49">
        <v>1</v>
      </c>
      <c r="S536" s="49">
        <f t="shared" si="105"/>
        <v>14</v>
      </c>
      <c r="T536" s="49">
        <f t="shared" si="146"/>
        <v>33.6</v>
      </c>
      <c r="U536" s="62">
        <v>6</v>
      </c>
      <c r="V536" s="49">
        <v>0</v>
      </c>
      <c r="W536" s="49">
        <v>0</v>
      </c>
      <c r="X536" s="49">
        <f t="shared" si="145"/>
        <v>6</v>
      </c>
      <c r="Y536" s="49">
        <f>60*X536/G536</f>
        <v>14.4</v>
      </c>
      <c r="Z536" s="49">
        <v>8</v>
      </c>
      <c r="AA536" s="49">
        <v>1</v>
      </c>
      <c r="AB536" s="49">
        <v>0</v>
      </c>
      <c r="AC536" s="49">
        <v>1</v>
      </c>
      <c r="AD536" s="49">
        <f t="shared" si="141"/>
        <v>10</v>
      </c>
      <c r="AE536" s="49">
        <f>60*AD536/G536</f>
        <v>24</v>
      </c>
      <c r="AF536" s="49">
        <f t="shared" si="147"/>
        <v>30</v>
      </c>
      <c r="AG536" s="49">
        <f t="shared" si="147"/>
        <v>72</v>
      </c>
      <c r="AH536" s="49">
        <f t="shared" si="143"/>
        <v>30</v>
      </c>
      <c r="AI536" s="49">
        <f t="shared" si="143"/>
        <v>72</v>
      </c>
      <c r="AJ536" s="63"/>
    </row>
    <row r="537" spans="1:36" s="64" customFormat="1">
      <c r="A537" s="46" t="s">
        <v>335</v>
      </c>
      <c r="B537" s="46" t="s">
        <v>76</v>
      </c>
      <c r="C537" s="75" t="s">
        <v>20</v>
      </c>
      <c r="D537" s="46" t="str">
        <f t="shared" si="144"/>
        <v>VXXEUOL2----.PARAKT7(V901)</v>
      </c>
      <c r="E537" s="46" t="s">
        <v>18</v>
      </c>
      <c r="F537" s="46" t="s">
        <v>18</v>
      </c>
      <c r="G537" s="48">
        <v>25</v>
      </c>
      <c r="H537" s="61">
        <v>0</v>
      </c>
      <c r="I537" s="49">
        <v>0</v>
      </c>
      <c r="J537" s="49">
        <v>0</v>
      </c>
      <c r="K537" s="49">
        <v>0</v>
      </c>
      <c r="L537" s="49">
        <f t="shared" si="142"/>
        <v>0</v>
      </c>
      <c r="M537" s="49">
        <f t="shared" si="104"/>
        <v>0</v>
      </c>
      <c r="N537" s="62">
        <v>12</v>
      </c>
      <c r="O537" s="49">
        <v>1</v>
      </c>
      <c r="P537" s="49">
        <v>0</v>
      </c>
      <c r="Q537" s="49">
        <v>0</v>
      </c>
      <c r="R537" s="49">
        <v>1</v>
      </c>
      <c r="S537" s="49">
        <f t="shared" si="105"/>
        <v>14</v>
      </c>
      <c r="T537" s="49">
        <f t="shared" si="146"/>
        <v>33.6</v>
      </c>
      <c r="U537" s="62">
        <v>6</v>
      </c>
      <c r="V537" s="49">
        <v>0</v>
      </c>
      <c r="W537" s="49">
        <v>0</v>
      </c>
      <c r="X537" s="49">
        <f t="shared" si="145"/>
        <v>6</v>
      </c>
      <c r="Y537" s="49">
        <f t="shared" si="102"/>
        <v>14.4</v>
      </c>
      <c r="Z537" s="49">
        <v>8</v>
      </c>
      <c r="AA537" s="49">
        <v>1</v>
      </c>
      <c r="AB537" s="49">
        <v>0</v>
      </c>
      <c r="AC537" s="49">
        <v>1</v>
      </c>
      <c r="AD537" s="49">
        <f t="shared" si="141"/>
        <v>10</v>
      </c>
      <c r="AE537" s="49">
        <f t="shared" si="103"/>
        <v>24</v>
      </c>
      <c r="AF537" s="49">
        <f t="shared" si="147"/>
        <v>30</v>
      </c>
      <c r="AG537" s="49">
        <f t="shared" si="147"/>
        <v>72</v>
      </c>
      <c r="AH537" s="49">
        <f t="shared" si="143"/>
        <v>30</v>
      </c>
      <c r="AI537" s="49">
        <f t="shared" si="143"/>
        <v>72</v>
      </c>
      <c r="AJ537" s="63"/>
    </row>
    <row r="538" spans="1:36" s="64" customFormat="1">
      <c r="A538" s="46" t="s">
        <v>335</v>
      </c>
      <c r="B538" s="46" t="s">
        <v>76</v>
      </c>
      <c r="C538" s="75" t="s">
        <v>29</v>
      </c>
      <c r="D538" s="46" t="str">
        <f t="shared" si="144"/>
        <v>VXXAUOL2----.PARAKT5(V901)</v>
      </c>
      <c r="E538" s="46" t="s">
        <v>18</v>
      </c>
      <c r="F538" s="46" t="s">
        <v>18</v>
      </c>
      <c r="G538" s="48">
        <v>25</v>
      </c>
      <c r="H538" s="61">
        <v>0</v>
      </c>
      <c r="I538" s="49">
        <v>0</v>
      </c>
      <c r="J538" s="49">
        <v>0</v>
      </c>
      <c r="K538" s="49">
        <v>0</v>
      </c>
      <c r="L538" s="49">
        <f t="shared" ref="L538:L543" si="148">SUM(H538:K538)</f>
        <v>0</v>
      </c>
      <c r="M538" s="49">
        <f t="shared" si="104"/>
        <v>0</v>
      </c>
      <c r="N538" s="62">
        <v>12</v>
      </c>
      <c r="O538" s="49">
        <v>1</v>
      </c>
      <c r="P538" s="49">
        <v>0</v>
      </c>
      <c r="Q538" s="49">
        <v>0</v>
      </c>
      <c r="R538" s="49">
        <v>1</v>
      </c>
      <c r="S538" s="49">
        <f t="shared" si="105"/>
        <v>14</v>
      </c>
      <c r="T538" s="49">
        <f t="shared" si="146"/>
        <v>33.6</v>
      </c>
      <c r="U538" s="62">
        <v>6</v>
      </c>
      <c r="V538" s="49">
        <v>0</v>
      </c>
      <c r="W538" s="49">
        <v>0</v>
      </c>
      <c r="X538" s="49">
        <f t="shared" si="145"/>
        <v>6</v>
      </c>
      <c r="Y538" s="49">
        <f t="shared" si="102"/>
        <v>14.4</v>
      </c>
      <c r="Z538" s="49">
        <v>8</v>
      </c>
      <c r="AA538" s="49">
        <v>1</v>
      </c>
      <c r="AB538" s="49">
        <v>0</v>
      </c>
      <c r="AC538" s="49">
        <v>1</v>
      </c>
      <c r="AD538" s="49">
        <f t="shared" si="141"/>
        <v>10</v>
      </c>
      <c r="AE538" s="49">
        <f t="shared" si="103"/>
        <v>24</v>
      </c>
      <c r="AF538" s="49">
        <f t="shared" si="147"/>
        <v>30</v>
      </c>
      <c r="AG538" s="49">
        <f t="shared" si="147"/>
        <v>72</v>
      </c>
      <c r="AH538" s="49">
        <f t="shared" si="143"/>
        <v>30</v>
      </c>
      <c r="AI538" s="49">
        <f t="shared" si="143"/>
        <v>72</v>
      </c>
      <c r="AJ538" s="63"/>
    </row>
    <row r="539" spans="1:36" s="64" customFormat="1">
      <c r="A539" s="46" t="s">
        <v>335</v>
      </c>
      <c r="B539" s="46" t="s">
        <v>76</v>
      </c>
      <c r="C539" s="75" t="s">
        <v>36</v>
      </c>
      <c r="D539" s="46" t="str">
        <f>C539&amp;"("&amp;F539&amp;")"</f>
        <v>VXXAUOL2----.PARAKT7(V901)</v>
      </c>
      <c r="E539" s="46" t="s">
        <v>18</v>
      </c>
      <c r="F539" s="46" t="s">
        <v>18</v>
      </c>
      <c r="G539" s="48">
        <v>25</v>
      </c>
      <c r="H539" s="61">
        <v>0</v>
      </c>
      <c r="I539" s="49">
        <v>0</v>
      </c>
      <c r="J539" s="49">
        <v>0</v>
      </c>
      <c r="K539" s="49">
        <v>0</v>
      </c>
      <c r="L539" s="49">
        <f t="shared" si="148"/>
        <v>0</v>
      </c>
      <c r="M539" s="49">
        <f>60*L539/G539</f>
        <v>0</v>
      </c>
      <c r="N539" s="62">
        <v>12</v>
      </c>
      <c r="O539" s="49">
        <v>1</v>
      </c>
      <c r="P539" s="49">
        <v>0</v>
      </c>
      <c r="Q539" s="49">
        <v>0</v>
      </c>
      <c r="R539" s="49">
        <v>1</v>
      </c>
      <c r="S539" s="49">
        <f t="shared" si="105"/>
        <v>14</v>
      </c>
      <c r="T539" s="49">
        <f t="shared" si="146"/>
        <v>33.6</v>
      </c>
      <c r="U539" s="62">
        <v>6</v>
      </c>
      <c r="V539" s="49">
        <v>0</v>
      </c>
      <c r="W539" s="49">
        <v>0</v>
      </c>
      <c r="X539" s="49">
        <f t="shared" si="145"/>
        <v>6</v>
      </c>
      <c r="Y539" s="49">
        <f>60*X539/G539</f>
        <v>14.4</v>
      </c>
      <c r="Z539" s="49">
        <v>8</v>
      </c>
      <c r="AA539" s="49">
        <v>1</v>
      </c>
      <c r="AB539" s="49">
        <v>0</v>
      </c>
      <c r="AC539" s="49">
        <v>1</v>
      </c>
      <c r="AD539" s="49">
        <f t="shared" si="141"/>
        <v>10</v>
      </c>
      <c r="AE539" s="49">
        <f>60*AD539/G539</f>
        <v>24</v>
      </c>
      <c r="AF539" s="49">
        <f t="shared" si="147"/>
        <v>30</v>
      </c>
      <c r="AG539" s="49">
        <f t="shared" si="147"/>
        <v>72</v>
      </c>
      <c r="AH539" s="49">
        <f t="shared" si="143"/>
        <v>30</v>
      </c>
      <c r="AI539" s="49">
        <f t="shared" si="143"/>
        <v>72</v>
      </c>
      <c r="AJ539" s="63"/>
    </row>
    <row r="540" spans="1:36" s="64" customFormat="1">
      <c r="A540" s="46" t="s">
        <v>335</v>
      </c>
      <c r="B540" s="46" t="s">
        <v>76</v>
      </c>
      <c r="C540" s="75" t="s">
        <v>35</v>
      </c>
      <c r="D540" s="46" t="str">
        <f t="shared" si="144"/>
        <v>VXXUSOL2----.PARAKTA(V901)</v>
      </c>
      <c r="E540" s="46" t="s">
        <v>18</v>
      </c>
      <c r="F540" s="46" t="s">
        <v>18</v>
      </c>
      <c r="G540" s="48">
        <v>25</v>
      </c>
      <c r="H540" s="61">
        <v>0</v>
      </c>
      <c r="I540" s="49">
        <v>0</v>
      </c>
      <c r="J540" s="49">
        <v>0</v>
      </c>
      <c r="K540" s="49">
        <v>0</v>
      </c>
      <c r="L540" s="49">
        <f t="shared" si="148"/>
        <v>0</v>
      </c>
      <c r="M540" s="49">
        <f t="shared" si="104"/>
        <v>0</v>
      </c>
      <c r="N540" s="62">
        <v>12</v>
      </c>
      <c r="O540" s="49">
        <v>1</v>
      </c>
      <c r="P540" s="49">
        <v>0</v>
      </c>
      <c r="Q540" s="49">
        <v>0</v>
      </c>
      <c r="R540" s="49">
        <v>1</v>
      </c>
      <c r="S540" s="49">
        <f t="shared" si="105"/>
        <v>14</v>
      </c>
      <c r="T540" s="49">
        <f t="shared" si="146"/>
        <v>33.6</v>
      </c>
      <c r="U540" s="62">
        <v>6</v>
      </c>
      <c r="V540" s="49">
        <v>0</v>
      </c>
      <c r="W540" s="49">
        <v>0</v>
      </c>
      <c r="X540" s="49">
        <f t="shared" si="145"/>
        <v>6</v>
      </c>
      <c r="Y540" s="49">
        <f t="shared" si="102"/>
        <v>14.4</v>
      </c>
      <c r="Z540" s="49">
        <v>8</v>
      </c>
      <c r="AA540" s="49">
        <v>1</v>
      </c>
      <c r="AB540" s="49">
        <v>0</v>
      </c>
      <c r="AC540" s="49">
        <v>1</v>
      </c>
      <c r="AD540" s="49">
        <f t="shared" si="141"/>
        <v>10</v>
      </c>
      <c r="AE540" s="49">
        <f t="shared" si="103"/>
        <v>24</v>
      </c>
      <c r="AF540" s="49">
        <f t="shared" si="147"/>
        <v>30</v>
      </c>
      <c r="AG540" s="49">
        <f t="shared" si="147"/>
        <v>72</v>
      </c>
      <c r="AH540" s="49">
        <f t="shared" si="143"/>
        <v>30</v>
      </c>
      <c r="AI540" s="49">
        <f t="shared" si="143"/>
        <v>72</v>
      </c>
      <c r="AJ540" s="63"/>
    </row>
    <row r="541" spans="1:36" s="64" customFormat="1">
      <c r="A541" s="46" t="s">
        <v>335</v>
      </c>
      <c r="B541" s="46" t="s">
        <v>76</v>
      </c>
      <c r="C541" s="75" t="s">
        <v>37</v>
      </c>
      <c r="D541" s="46" t="str">
        <f t="shared" si="144"/>
        <v>VXXEUOL2----.PARAKTA(V901)</v>
      </c>
      <c r="E541" s="46" t="s">
        <v>18</v>
      </c>
      <c r="F541" s="46" t="s">
        <v>18</v>
      </c>
      <c r="G541" s="48">
        <v>25</v>
      </c>
      <c r="H541" s="61">
        <v>0</v>
      </c>
      <c r="I541" s="49">
        <v>0</v>
      </c>
      <c r="J541" s="49">
        <v>0</v>
      </c>
      <c r="K541" s="49">
        <v>0</v>
      </c>
      <c r="L541" s="49">
        <f t="shared" si="148"/>
        <v>0</v>
      </c>
      <c r="M541" s="49">
        <f t="shared" si="104"/>
        <v>0</v>
      </c>
      <c r="N541" s="62">
        <v>12</v>
      </c>
      <c r="O541" s="49">
        <v>1</v>
      </c>
      <c r="P541" s="49">
        <v>0</v>
      </c>
      <c r="Q541" s="49">
        <v>0</v>
      </c>
      <c r="R541" s="49">
        <v>1</v>
      </c>
      <c r="S541" s="49">
        <f t="shared" si="105"/>
        <v>14</v>
      </c>
      <c r="T541" s="49">
        <f t="shared" si="146"/>
        <v>33.6</v>
      </c>
      <c r="U541" s="62">
        <v>6</v>
      </c>
      <c r="V541" s="49">
        <v>0</v>
      </c>
      <c r="W541" s="49">
        <v>0</v>
      </c>
      <c r="X541" s="49">
        <f t="shared" si="145"/>
        <v>6</v>
      </c>
      <c r="Y541" s="49">
        <f t="shared" si="102"/>
        <v>14.4</v>
      </c>
      <c r="Z541" s="49">
        <v>8</v>
      </c>
      <c r="AA541" s="49">
        <v>1</v>
      </c>
      <c r="AB541" s="49">
        <v>0</v>
      </c>
      <c r="AC541" s="49">
        <v>1</v>
      </c>
      <c r="AD541" s="49">
        <f t="shared" si="141"/>
        <v>10</v>
      </c>
      <c r="AE541" s="49">
        <f t="shared" si="103"/>
        <v>24</v>
      </c>
      <c r="AF541" s="49">
        <f t="shared" si="147"/>
        <v>30</v>
      </c>
      <c r="AG541" s="49">
        <f t="shared" si="147"/>
        <v>72</v>
      </c>
      <c r="AH541" s="49">
        <f t="shared" ref="AH541:AI556" si="149">SUM(L541,AF541)</f>
        <v>30</v>
      </c>
      <c r="AI541" s="49">
        <f t="shared" si="149"/>
        <v>72</v>
      </c>
      <c r="AJ541" s="63"/>
    </row>
    <row r="542" spans="1:36" s="64" customFormat="1">
      <c r="A542" s="46" t="s">
        <v>335</v>
      </c>
      <c r="B542" s="46" t="s">
        <v>76</v>
      </c>
      <c r="C542" s="75" t="s">
        <v>93</v>
      </c>
      <c r="D542" s="46" t="str">
        <f t="shared" si="144"/>
        <v>VXXAUOL2----.PARAKTA(V901)</v>
      </c>
      <c r="E542" s="46" t="s">
        <v>18</v>
      </c>
      <c r="F542" s="46" t="s">
        <v>18</v>
      </c>
      <c r="G542" s="48">
        <v>25</v>
      </c>
      <c r="H542" s="61">
        <v>0</v>
      </c>
      <c r="I542" s="49">
        <v>0</v>
      </c>
      <c r="J542" s="49">
        <v>0</v>
      </c>
      <c r="K542" s="49">
        <v>0</v>
      </c>
      <c r="L542" s="49">
        <f t="shared" si="148"/>
        <v>0</v>
      </c>
      <c r="M542" s="49">
        <f t="shared" si="104"/>
        <v>0</v>
      </c>
      <c r="N542" s="62">
        <v>12</v>
      </c>
      <c r="O542" s="49">
        <v>1</v>
      </c>
      <c r="P542" s="49">
        <v>0</v>
      </c>
      <c r="Q542" s="49">
        <v>0</v>
      </c>
      <c r="R542" s="49">
        <v>1</v>
      </c>
      <c r="S542" s="49">
        <f t="shared" si="105"/>
        <v>14</v>
      </c>
      <c r="T542" s="49">
        <f t="shared" si="146"/>
        <v>33.6</v>
      </c>
      <c r="U542" s="62">
        <v>6</v>
      </c>
      <c r="V542" s="49">
        <v>0</v>
      </c>
      <c r="W542" s="49">
        <v>0</v>
      </c>
      <c r="X542" s="49">
        <f t="shared" si="145"/>
        <v>6</v>
      </c>
      <c r="Y542" s="49">
        <f t="shared" si="102"/>
        <v>14.4</v>
      </c>
      <c r="Z542" s="49">
        <v>8</v>
      </c>
      <c r="AA542" s="49">
        <v>1</v>
      </c>
      <c r="AB542" s="49">
        <v>0</v>
      </c>
      <c r="AC542" s="49">
        <v>1</v>
      </c>
      <c r="AD542" s="49">
        <f t="shared" si="141"/>
        <v>10</v>
      </c>
      <c r="AE542" s="49">
        <f t="shared" si="103"/>
        <v>24</v>
      </c>
      <c r="AF542" s="49">
        <f t="shared" si="147"/>
        <v>30</v>
      </c>
      <c r="AG542" s="49">
        <f t="shared" si="147"/>
        <v>72</v>
      </c>
      <c r="AH542" s="49">
        <f t="shared" si="149"/>
        <v>30</v>
      </c>
      <c r="AI542" s="49">
        <f t="shared" si="149"/>
        <v>72</v>
      </c>
      <c r="AJ542" s="63"/>
    </row>
    <row r="543" spans="1:36" s="64" customFormat="1">
      <c r="A543" s="46" t="s">
        <v>335</v>
      </c>
      <c r="B543" s="46" t="s">
        <v>76</v>
      </c>
      <c r="C543" s="75" t="s">
        <v>74</v>
      </c>
      <c r="D543" s="46" t="str">
        <f t="shared" si="144"/>
        <v>VXXINOL2----.PARAKT1(V901)</v>
      </c>
      <c r="E543" s="46" t="s">
        <v>18</v>
      </c>
      <c r="F543" s="46" t="s">
        <v>18</v>
      </c>
      <c r="G543" s="48">
        <v>25</v>
      </c>
      <c r="H543" s="61">
        <v>0</v>
      </c>
      <c r="I543" s="49">
        <v>0</v>
      </c>
      <c r="J543" s="49">
        <v>0</v>
      </c>
      <c r="K543" s="49">
        <v>0</v>
      </c>
      <c r="L543" s="49">
        <f t="shared" si="148"/>
        <v>0</v>
      </c>
      <c r="M543" s="49">
        <f t="shared" si="104"/>
        <v>0</v>
      </c>
      <c r="N543" s="62">
        <v>12</v>
      </c>
      <c r="O543" s="49">
        <v>1</v>
      </c>
      <c r="P543" s="49">
        <v>0</v>
      </c>
      <c r="Q543" s="49">
        <v>0</v>
      </c>
      <c r="R543" s="49">
        <v>1</v>
      </c>
      <c r="S543" s="49">
        <f t="shared" si="105"/>
        <v>14</v>
      </c>
      <c r="T543" s="49">
        <f t="shared" si="146"/>
        <v>33.6</v>
      </c>
      <c r="U543" s="62">
        <v>6</v>
      </c>
      <c r="V543" s="49">
        <v>0</v>
      </c>
      <c r="W543" s="49">
        <v>0</v>
      </c>
      <c r="X543" s="49">
        <f t="shared" si="145"/>
        <v>6</v>
      </c>
      <c r="Y543" s="49">
        <f t="shared" si="102"/>
        <v>14.4</v>
      </c>
      <c r="Z543" s="49">
        <v>8</v>
      </c>
      <c r="AA543" s="49">
        <v>1</v>
      </c>
      <c r="AB543" s="49">
        <v>0</v>
      </c>
      <c r="AC543" s="49">
        <v>1</v>
      </c>
      <c r="AD543" s="49">
        <f t="shared" si="141"/>
        <v>10</v>
      </c>
      <c r="AE543" s="49">
        <f t="shared" si="103"/>
        <v>24</v>
      </c>
      <c r="AF543" s="49">
        <f t="shared" si="147"/>
        <v>30</v>
      </c>
      <c r="AG543" s="49">
        <f t="shared" si="147"/>
        <v>72</v>
      </c>
      <c r="AH543" s="49">
        <f t="shared" si="149"/>
        <v>30</v>
      </c>
      <c r="AI543" s="49">
        <f t="shared" si="149"/>
        <v>72</v>
      </c>
      <c r="AJ543" s="63"/>
    </row>
    <row r="544" spans="1:36">
      <c r="A544" s="38" t="s">
        <v>335</v>
      </c>
      <c r="B544" s="42" t="s">
        <v>76</v>
      </c>
      <c r="C544" s="76" t="s">
        <v>551</v>
      </c>
      <c r="D544" s="38" t="str">
        <f t="shared" si="144"/>
        <v>VXXTWOLC----.OWRHEA1 (V902)</v>
      </c>
      <c r="E544" s="38" t="s">
        <v>18</v>
      </c>
      <c r="F544" s="38" t="s">
        <v>212</v>
      </c>
      <c r="G544" s="40">
        <v>20</v>
      </c>
      <c r="H544" s="77">
        <v>0</v>
      </c>
      <c r="I544" s="41">
        <v>0</v>
      </c>
      <c r="J544" s="41">
        <v>0</v>
      </c>
      <c r="K544" s="41">
        <v>0</v>
      </c>
      <c r="L544" s="41">
        <f>SUM(H544:K544)</f>
        <v>0</v>
      </c>
      <c r="M544" s="41">
        <f>60*L544/G544</f>
        <v>0</v>
      </c>
      <c r="N544" s="78">
        <v>11</v>
      </c>
      <c r="O544" s="41">
        <v>0</v>
      </c>
      <c r="P544" s="41">
        <v>1</v>
      </c>
      <c r="Q544" s="41">
        <v>0</v>
      </c>
      <c r="R544" s="41">
        <v>1</v>
      </c>
      <c r="S544" s="41">
        <f>SUM(N544:R544)</f>
        <v>13</v>
      </c>
      <c r="T544" s="41">
        <f t="shared" si="146"/>
        <v>39</v>
      </c>
      <c r="U544" s="78">
        <v>5</v>
      </c>
      <c r="V544" s="41">
        <v>0</v>
      </c>
      <c r="W544" s="41">
        <v>0</v>
      </c>
      <c r="X544" s="41">
        <f t="shared" si="145"/>
        <v>5</v>
      </c>
      <c r="Y544" s="41">
        <f>60*X544/G544</f>
        <v>15</v>
      </c>
      <c r="Z544" s="41">
        <v>7</v>
      </c>
      <c r="AA544" s="41">
        <v>0</v>
      </c>
      <c r="AB544" s="41">
        <v>0</v>
      </c>
      <c r="AC544" s="41">
        <v>1</v>
      </c>
      <c r="AD544" s="41">
        <f t="shared" si="141"/>
        <v>8</v>
      </c>
      <c r="AE544" s="41">
        <f t="shared" si="103"/>
        <v>24</v>
      </c>
      <c r="AF544" s="41">
        <f t="shared" si="147"/>
        <v>26</v>
      </c>
      <c r="AG544" s="41">
        <f t="shared" si="147"/>
        <v>78</v>
      </c>
      <c r="AH544" s="41">
        <f>SUM(L544,S544,X544,AD544)</f>
        <v>26</v>
      </c>
      <c r="AI544" s="41">
        <f t="shared" si="149"/>
        <v>78</v>
      </c>
    </row>
    <row r="545" spans="1:36" s="64" customFormat="1">
      <c r="A545" s="46" t="s">
        <v>335</v>
      </c>
      <c r="B545" s="46" t="s">
        <v>552</v>
      </c>
      <c r="C545" s="75" t="s">
        <v>553</v>
      </c>
      <c r="D545" s="46" t="str">
        <f t="shared" si="144"/>
        <v>VXXUSCV2----.MS31A-1(V901)</v>
      </c>
      <c r="E545" s="46" t="s">
        <v>18</v>
      </c>
      <c r="F545" s="46" t="s">
        <v>18</v>
      </c>
      <c r="G545" s="48">
        <v>20</v>
      </c>
      <c r="H545" s="61">
        <v>0</v>
      </c>
      <c r="I545" s="49">
        <v>0</v>
      </c>
      <c r="J545" s="49">
        <v>0</v>
      </c>
      <c r="K545" s="49">
        <v>0</v>
      </c>
      <c r="L545" s="49">
        <f>SUM(H545:K545)</f>
        <v>0</v>
      </c>
      <c r="M545" s="49">
        <f>60*L545/G545</f>
        <v>0</v>
      </c>
      <c r="N545" s="62">
        <v>20</v>
      </c>
      <c r="O545" s="49">
        <v>1</v>
      </c>
      <c r="P545" s="49">
        <v>0</v>
      </c>
      <c r="Q545" s="49">
        <v>0</v>
      </c>
      <c r="R545" s="49">
        <v>1</v>
      </c>
      <c r="S545" s="49">
        <f t="shared" si="105"/>
        <v>22</v>
      </c>
      <c r="T545" s="49">
        <f t="shared" si="146"/>
        <v>66</v>
      </c>
      <c r="U545" s="62">
        <v>10</v>
      </c>
      <c r="V545" s="49">
        <v>1</v>
      </c>
      <c r="W545" s="49">
        <v>0</v>
      </c>
      <c r="X545" s="49">
        <f t="shared" si="145"/>
        <v>11</v>
      </c>
      <c r="Y545" s="49">
        <f>60*X545/G545</f>
        <v>33</v>
      </c>
      <c r="Z545" s="49">
        <v>6</v>
      </c>
      <c r="AA545" s="49">
        <v>1</v>
      </c>
      <c r="AB545" s="49">
        <v>0</v>
      </c>
      <c r="AC545" s="49">
        <v>1</v>
      </c>
      <c r="AD545" s="49">
        <f t="shared" si="141"/>
        <v>8</v>
      </c>
      <c r="AE545" s="49">
        <f t="shared" si="103"/>
        <v>24</v>
      </c>
      <c r="AF545" s="49">
        <f t="shared" si="147"/>
        <v>41</v>
      </c>
      <c r="AG545" s="49">
        <f t="shared" si="147"/>
        <v>123</v>
      </c>
      <c r="AH545" s="49">
        <f t="shared" si="149"/>
        <v>41</v>
      </c>
      <c r="AI545" s="49">
        <f t="shared" si="149"/>
        <v>123</v>
      </c>
      <c r="AJ545" s="63"/>
    </row>
    <row r="546" spans="1:36" s="64" customFormat="1">
      <c r="A546" s="46" t="s">
        <v>335</v>
      </c>
      <c r="B546" s="46" t="s">
        <v>554</v>
      </c>
      <c r="C546" s="75" t="s">
        <v>555</v>
      </c>
      <c r="D546" s="46" t="str">
        <f t="shared" si="144"/>
        <v>M10WWCV22OR-.CP101_1(D901)</v>
      </c>
      <c r="E546" s="46" t="s">
        <v>7</v>
      </c>
      <c r="F546" s="46" t="s">
        <v>7</v>
      </c>
      <c r="G546" s="48">
        <v>50</v>
      </c>
      <c r="H546" s="61">
        <v>15</v>
      </c>
      <c r="I546" s="49">
        <v>1</v>
      </c>
      <c r="J546" s="49">
        <v>1</v>
      </c>
      <c r="K546" s="49">
        <v>1</v>
      </c>
      <c r="L546" s="49">
        <f>SUM(H546:K546)</f>
        <v>18</v>
      </c>
      <c r="M546" s="49">
        <f>60*L546/G546</f>
        <v>21.6</v>
      </c>
      <c r="N546" s="62">
        <v>12</v>
      </c>
      <c r="O546" s="49">
        <v>1</v>
      </c>
      <c r="P546" s="49">
        <v>1</v>
      </c>
      <c r="Q546" s="49">
        <v>1</v>
      </c>
      <c r="R546" s="49">
        <v>1</v>
      </c>
      <c r="S546" s="49">
        <f t="shared" si="105"/>
        <v>16</v>
      </c>
      <c r="T546" s="49">
        <f t="shared" si="146"/>
        <v>19.2</v>
      </c>
      <c r="U546" s="62">
        <v>3</v>
      </c>
      <c r="V546" s="49">
        <v>1</v>
      </c>
      <c r="W546" s="49">
        <v>0</v>
      </c>
      <c r="X546" s="49">
        <f t="shared" si="145"/>
        <v>4</v>
      </c>
      <c r="Y546" s="49">
        <f>60*X546/G546</f>
        <v>4.8</v>
      </c>
      <c r="Z546" s="49">
        <v>8</v>
      </c>
      <c r="AA546" s="49">
        <v>1</v>
      </c>
      <c r="AB546" s="49">
        <v>0</v>
      </c>
      <c r="AC546" s="49">
        <v>1</v>
      </c>
      <c r="AD546" s="49">
        <f t="shared" si="141"/>
        <v>10</v>
      </c>
      <c r="AE546" s="49">
        <f t="shared" si="103"/>
        <v>12</v>
      </c>
      <c r="AF546" s="49">
        <f t="shared" si="147"/>
        <v>30</v>
      </c>
      <c r="AG546" s="49">
        <f t="shared" si="147"/>
        <v>36</v>
      </c>
      <c r="AH546" s="49">
        <f t="shared" si="149"/>
        <v>48</v>
      </c>
      <c r="AI546" s="49">
        <f t="shared" si="149"/>
        <v>57.6</v>
      </c>
      <c r="AJ546" s="63"/>
    </row>
    <row r="547" spans="1:36" s="64" customFormat="1">
      <c r="A547" s="46" t="s">
        <v>335</v>
      </c>
      <c r="B547" s="46" t="s">
        <v>556</v>
      </c>
      <c r="C547" s="75" t="s">
        <v>557</v>
      </c>
      <c r="D547" s="46" t="str">
        <f t="shared" si="144"/>
        <v>E12USCV2--F-.DT12PA1(V901)</v>
      </c>
      <c r="E547" s="46" t="s">
        <v>18</v>
      </c>
      <c r="F547" s="46" t="s">
        <v>18</v>
      </c>
      <c r="G547" s="48">
        <v>45</v>
      </c>
      <c r="H547" s="61">
        <v>0</v>
      </c>
      <c r="I547" s="49">
        <v>0</v>
      </c>
      <c r="J547" s="49">
        <v>0</v>
      </c>
      <c r="K547" s="49">
        <v>0</v>
      </c>
      <c r="L547" s="49">
        <f>SUM(H547:K547)</f>
        <v>0</v>
      </c>
      <c r="M547" s="49">
        <f>60*L547/G547</f>
        <v>0</v>
      </c>
      <c r="N547" s="62">
        <v>11</v>
      </c>
      <c r="O547" s="49">
        <v>1</v>
      </c>
      <c r="P547" s="49">
        <v>0</v>
      </c>
      <c r="Q547" s="49">
        <v>0</v>
      </c>
      <c r="R547" s="49">
        <v>1</v>
      </c>
      <c r="S547" s="49">
        <f t="shared" si="105"/>
        <v>13</v>
      </c>
      <c r="T547" s="49">
        <f t="shared" si="146"/>
        <v>17.333333333333332</v>
      </c>
      <c r="U547" s="62">
        <v>9</v>
      </c>
      <c r="V547" s="49">
        <v>0</v>
      </c>
      <c r="W547" s="49">
        <v>0</v>
      </c>
      <c r="X547" s="49">
        <f t="shared" si="145"/>
        <v>9</v>
      </c>
      <c r="Y547" s="49">
        <f>60*X547/G547</f>
        <v>12</v>
      </c>
      <c r="Z547" s="49">
        <v>7</v>
      </c>
      <c r="AA547" s="49">
        <v>1</v>
      </c>
      <c r="AB547" s="49">
        <v>0</v>
      </c>
      <c r="AC547" s="49">
        <v>1</v>
      </c>
      <c r="AD547" s="49">
        <f t="shared" si="141"/>
        <v>9</v>
      </c>
      <c r="AE547" s="49">
        <f t="shared" si="103"/>
        <v>12</v>
      </c>
      <c r="AF547" s="49">
        <f t="shared" si="147"/>
        <v>31</v>
      </c>
      <c r="AG547" s="49">
        <f t="shared" si="147"/>
        <v>41.333333333333329</v>
      </c>
      <c r="AH547" s="49">
        <f t="shared" si="149"/>
        <v>31</v>
      </c>
      <c r="AI547" s="49">
        <f t="shared" si="149"/>
        <v>41.333333333333329</v>
      </c>
      <c r="AJ547" s="63"/>
    </row>
    <row r="548" spans="1:36" s="64" customFormat="1">
      <c r="A548" s="46" t="s">
        <v>335</v>
      </c>
      <c r="B548" s="46" t="s">
        <v>558</v>
      </c>
      <c r="C548" s="75" t="s">
        <v>559</v>
      </c>
      <c r="D548" s="46" t="str">
        <f t="shared" si="144"/>
        <v>E10USCV2--F-.DT10PB1(V901)</v>
      </c>
      <c r="E548" s="46" t="s">
        <v>18</v>
      </c>
      <c r="F548" s="46" t="s">
        <v>18</v>
      </c>
      <c r="G548" s="48">
        <v>45</v>
      </c>
      <c r="H548" s="61">
        <v>0</v>
      </c>
      <c r="I548" s="49">
        <v>0</v>
      </c>
      <c r="J548" s="49">
        <v>0</v>
      </c>
      <c r="K548" s="49">
        <v>0</v>
      </c>
      <c r="L548" s="49">
        <f>SUM(H548:K548)</f>
        <v>0</v>
      </c>
      <c r="M548" s="49">
        <f>60*L548/G548</f>
        <v>0</v>
      </c>
      <c r="N548" s="62">
        <v>11</v>
      </c>
      <c r="O548" s="49">
        <v>1</v>
      </c>
      <c r="P548" s="49">
        <v>0</v>
      </c>
      <c r="Q548" s="49">
        <v>0</v>
      </c>
      <c r="R548" s="49">
        <v>1</v>
      </c>
      <c r="S548" s="49">
        <f t="shared" si="105"/>
        <v>13</v>
      </c>
      <c r="T548" s="49">
        <f t="shared" si="146"/>
        <v>17.333333333333332</v>
      </c>
      <c r="U548" s="62">
        <v>9</v>
      </c>
      <c r="V548" s="49">
        <v>0</v>
      </c>
      <c r="W548" s="49">
        <v>0</v>
      </c>
      <c r="X548" s="49">
        <f t="shared" si="145"/>
        <v>9</v>
      </c>
      <c r="Y548" s="49">
        <f>60*X548/G548</f>
        <v>12</v>
      </c>
      <c r="Z548" s="49">
        <v>7</v>
      </c>
      <c r="AA548" s="49">
        <v>1</v>
      </c>
      <c r="AB548" s="49">
        <v>0</v>
      </c>
      <c r="AC548" s="49">
        <v>1</v>
      </c>
      <c r="AD548" s="49">
        <f t="shared" si="141"/>
        <v>9</v>
      </c>
      <c r="AE548" s="49">
        <f t="shared" si="103"/>
        <v>12</v>
      </c>
      <c r="AF548" s="49">
        <f t="shared" si="147"/>
        <v>31</v>
      </c>
      <c r="AG548" s="49">
        <f t="shared" si="147"/>
        <v>41.333333333333329</v>
      </c>
      <c r="AH548" s="49">
        <f t="shared" si="149"/>
        <v>31</v>
      </c>
      <c r="AI548" s="49">
        <f t="shared" si="149"/>
        <v>41.333333333333329</v>
      </c>
      <c r="AJ548" s="63"/>
    </row>
    <row r="549" spans="1:36" s="64" customFormat="1">
      <c r="A549" s="46" t="s">
        <v>299</v>
      </c>
      <c r="B549" s="46" t="s">
        <v>560</v>
      </c>
      <c r="C549" s="79" t="s">
        <v>561</v>
      </c>
      <c r="D549" s="46" t="s">
        <v>562</v>
      </c>
      <c r="E549" s="46" t="s">
        <v>427</v>
      </c>
      <c r="F549" s="46" t="s">
        <v>427</v>
      </c>
      <c r="G549" s="48">
        <v>30</v>
      </c>
      <c r="H549" s="48">
        <v>0</v>
      </c>
      <c r="I549" s="49">
        <v>0</v>
      </c>
      <c r="J549" s="49">
        <v>0</v>
      </c>
      <c r="K549" s="49">
        <v>0</v>
      </c>
      <c r="L549" s="49">
        <v>0</v>
      </c>
      <c r="M549" s="49">
        <v>0</v>
      </c>
      <c r="N549" s="49">
        <v>2</v>
      </c>
      <c r="O549" s="49">
        <v>0</v>
      </c>
      <c r="P549" s="49">
        <v>1</v>
      </c>
      <c r="Q549" s="49">
        <v>0</v>
      </c>
      <c r="R549" s="49">
        <v>1</v>
      </c>
      <c r="S549" s="49">
        <f t="shared" si="105"/>
        <v>4</v>
      </c>
      <c r="T549" s="49">
        <f t="shared" si="146"/>
        <v>8</v>
      </c>
      <c r="U549" s="49">
        <v>0</v>
      </c>
      <c r="V549" s="49">
        <v>0</v>
      </c>
      <c r="W549" s="49">
        <v>0</v>
      </c>
      <c r="X549" s="49">
        <v>0</v>
      </c>
      <c r="Y549" s="49">
        <v>0</v>
      </c>
      <c r="Z549" s="49">
        <v>1</v>
      </c>
      <c r="AA549" s="49">
        <v>0</v>
      </c>
      <c r="AB549" s="49">
        <v>0</v>
      </c>
      <c r="AC549" s="49">
        <v>1</v>
      </c>
      <c r="AD549" s="49">
        <f t="shared" si="141"/>
        <v>2</v>
      </c>
      <c r="AE549" s="49">
        <f t="shared" si="103"/>
        <v>4</v>
      </c>
      <c r="AF549" s="49">
        <f t="shared" si="147"/>
        <v>6</v>
      </c>
      <c r="AG549" s="49">
        <f t="shared" si="147"/>
        <v>12</v>
      </c>
      <c r="AH549" s="49">
        <f t="shared" si="149"/>
        <v>6</v>
      </c>
      <c r="AI549" s="49">
        <f t="shared" si="149"/>
        <v>12</v>
      </c>
      <c r="AJ549" s="63"/>
    </row>
    <row r="550" spans="1:36" s="64" customFormat="1">
      <c r="A550" s="80" t="s">
        <v>22</v>
      </c>
      <c r="B550" s="46" t="s">
        <v>563</v>
      </c>
      <c r="C550" s="75" t="s">
        <v>126</v>
      </c>
      <c r="D550" s="46" t="str">
        <f t="shared" ref="D550:D557" si="150">C550&amp;"("&amp;F550&amp;")"</f>
        <v>M27USAS22AQ-.VG27AQ1(D901)</v>
      </c>
      <c r="E550" s="46" t="s">
        <v>7</v>
      </c>
      <c r="F550" s="46" t="s">
        <v>7</v>
      </c>
      <c r="G550" s="48">
        <v>200</v>
      </c>
      <c r="H550" s="61">
        <v>0</v>
      </c>
      <c r="I550" s="49">
        <v>0</v>
      </c>
      <c r="J550" s="49">
        <v>0</v>
      </c>
      <c r="K550" s="49">
        <v>0</v>
      </c>
      <c r="L550" s="49">
        <f t="shared" ref="L550:L567" si="151">SUM(H550:K550)</f>
        <v>0</v>
      </c>
      <c r="M550" s="49">
        <f t="shared" ref="M550:M556" si="152">60*L550/G550</f>
        <v>0</v>
      </c>
      <c r="N550" s="62">
        <v>35</v>
      </c>
      <c r="O550" s="49">
        <v>1</v>
      </c>
      <c r="P550" s="49">
        <v>1</v>
      </c>
      <c r="Q550" s="49">
        <v>1</v>
      </c>
      <c r="R550" s="49">
        <v>2</v>
      </c>
      <c r="S550" s="49">
        <f t="shared" ref="S550:S556" si="153">SUM(N550:R550)</f>
        <v>40</v>
      </c>
      <c r="T550" s="49">
        <f t="shared" si="146"/>
        <v>12</v>
      </c>
      <c r="U550" s="62">
        <v>8</v>
      </c>
      <c r="V550" s="49">
        <v>1</v>
      </c>
      <c r="W550" s="49">
        <v>0</v>
      </c>
      <c r="X550" s="49">
        <f t="shared" ref="X550:X556" si="154">SUM(U550:W550)</f>
        <v>9</v>
      </c>
      <c r="Y550" s="49">
        <f t="shared" ref="Y550:Y556" si="155">60*X550/G550</f>
        <v>2.7</v>
      </c>
      <c r="Z550" s="49">
        <v>23</v>
      </c>
      <c r="AA550" s="49">
        <v>1</v>
      </c>
      <c r="AB550" s="49">
        <v>0</v>
      </c>
      <c r="AC550" s="49">
        <v>2</v>
      </c>
      <c r="AD550" s="49">
        <f t="shared" ref="AD550:AD565" si="156">SUM(Z550:AC550)</f>
        <v>26</v>
      </c>
      <c r="AE550" s="49">
        <f t="shared" ref="AE550:AE556" si="157">60*AD550/G550</f>
        <v>7.8</v>
      </c>
      <c r="AF550" s="49">
        <f t="shared" si="147"/>
        <v>75</v>
      </c>
      <c r="AG550" s="49">
        <f t="shared" si="147"/>
        <v>22.5</v>
      </c>
      <c r="AH550" s="49">
        <f t="shared" si="149"/>
        <v>75</v>
      </c>
      <c r="AI550" s="49">
        <f t="shared" si="149"/>
        <v>22.5</v>
      </c>
      <c r="AJ550" s="63">
        <f>AI550/AH550</f>
        <v>0.3</v>
      </c>
    </row>
    <row r="551" spans="1:36" s="64" customFormat="1">
      <c r="A551" s="80" t="s">
        <v>22</v>
      </c>
      <c r="B551" s="46" t="s">
        <v>563</v>
      </c>
      <c r="C551" s="75" t="s">
        <v>128</v>
      </c>
      <c r="D551" s="46" t="str">
        <f t="shared" si="150"/>
        <v>M27USAS22AQ-.VG27AQ2(D901)</v>
      </c>
      <c r="E551" s="46" t="s">
        <v>7</v>
      </c>
      <c r="F551" s="46" t="s">
        <v>7</v>
      </c>
      <c r="G551" s="48">
        <v>200</v>
      </c>
      <c r="H551" s="61">
        <v>0</v>
      </c>
      <c r="I551" s="49">
        <v>0</v>
      </c>
      <c r="J551" s="49">
        <v>0</v>
      </c>
      <c r="K551" s="49">
        <v>0</v>
      </c>
      <c r="L551" s="49">
        <f t="shared" si="151"/>
        <v>0</v>
      </c>
      <c r="M551" s="49">
        <f t="shared" si="152"/>
        <v>0</v>
      </c>
      <c r="N551" s="62">
        <v>35</v>
      </c>
      <c r="O551" s="49">
        <v>1</v>
      </c>
      <c r="P551" s="49">
        <v>1</v>
      </c>
      <c r="Q551" s="49">
        <v>1</v>
      </c>
      <c r="R551" s="49">
        <v>2</v>
      </c>
      <c r="S551" s="49">
        <f t="shared" si="153"/>
        <v>40</v>
      </c>
      <c r="T551" s="49">
        <f t="shared" si="146"/>
        <v>12</v>
      </c>
      <c r="U551" s="62">
        <v>8</v>
      </c>
      <c r="V551" s="49">
        <v>1</v>
      </c>
      <c r="W551" s="49">
        <v>0</v>
      </c>
      <c r="X551" s="49">
        <f t="shared" si="154"/>
        <v>9</v>
      </c>
      <c r="Y551" s="49">
        <f t="shared" si="155"/>
        <v>2.7</v>
      </c>
      <c r="Z551" s="49">
        <v>23</v>
      </c>
      <c r="AA551" s="49">
        <v>1</v>
      </c>
      <c r="AB551" s="49">
        <v>0</v>
      </c>
      <c r="AC551" s="49">
        <v>2</v>
      </c>
      <c r="AD551" s="49">
        <f t="shared" si="156"/>
        <v>26</v>
      </c>
      <c r="AE551" s="49">
        <f t="shared" si="157"/>
        <v>7.8</v>
      </c>
      <c r="AF551" s="49">
        <f t="shared" si="147"/>
        <v>75</v>
      </c>
      <c r="AG551" s="49">
        <f t="shared" si="147"/>
        <v>22.5</v>
      </c>
      <c r="AH551" s="49">
        <f t="shared" si="149"/>
        <v>75</v>
      </c>
      <c r="AI551" s="49">
        <f t="shared" si="149"/>
        <v>22.5</v>
      </c>
      <c r="AJ551" s="63">
        <f t="shared" ref="AJ551:AJ559" si="158">AI551/AH551</f>
        <v>0.3</v>
      </c>
    </row>
    <row r="552" spans="1:36" s="64" customFormat="1">
      <c r="A552" s="80" t="s">
        <v>22</v>
      </c>
      <c r="B552" s="46" t="s">
        <v>563</v>
      </c>
      <c r="C552" s="75" t="s">
        <v>126</v>
      </c>
      <c r="D552" s="46" t="str">
        <f t="shared" si="150"/>
        <v>M27USAS22AQ-.VG27AQ1(D905)</v>
      </c>
      <c r="E552" s="46" t="s">
        <v>21</v>
      </c>
      <c r="F552" s="46" t="s">
        <v>21</v>
      </c>
      <c r="G552" s="48">
        <v>200</v>
      </c>
      <c r="H552" s="61">
        <v>0</v>
      </c>
      <c r="I552" s="49">
        <v>0</v>
      </c>
      <c r="J552" s="49">
        <v>0</v>
      </c>
      <c r="K552" s="49">
        <v>0</v>
      </c>
      <c r="L552" s="49">
        <f t="shared" si="151"/>
        <v>0</v>
      </c>
      <c r="M552" s="49">
        <f t="shared" si="152"/>
        <v>0</v>
      </c>
      <c r="N552" s="62">
        <v>35</v>
      </c>
      <c r="O552" s="49">
        <v>1</v>
      </c>
      <c r="P552" s="49">
        <v>1</v>
      </c>
      <c r="Q552" s="49">
        <v>1</v>
      </c>
      <c r="R552" s="49">
        <v>2</v>
      </c>
      <c r="S552" s="49">
        <f t="shared" si="153"/>
        <v>40</v>
      </c>
      <c r="T552" s="49">
        <f t="shared" si="146"/>
        <v>12</v>
      </c>
      <c r="U552" s="62">
        <v>8</v>
      </c>
      <c r="V552" s="49">
        <v>1</v>
      </c>
      <c r="W552" s="49">
        <v>0</v>
      </c>
      <c r="X552" s="49">
        <f t="shared" si="154"/>
        <v>9</v>
      </c>
      <c r="Y552" s="49">
        <f t="shared" si="155"/>
        <v>2.7</v>
      </c>
      <c r="Z552" s="49">
        <v>23</v>
      </c>
      <c r="AA552" s="49">
        <v>1</v>
      </c>
      <c r="AB552" s="49">
        <v>0</v>
      </c>
      <c r="AC552" s="49">
        <v>2</v>
      </c>
      <c r="AD552" s="49">
        <f t="shared" si="156"/>
        <v>26</v>
      </c>
      <c r="AE552" s="49">
        <f t="shared" si="157"/>
        <v>7.8</v>
      </c>
      <c r="AF552" s="49">
        <f t="shared" si="147"/>
        <v>75</v>
      </c>
      <c r="AG552" s="49">
        <f t="shared" si="147"/>
        <v>22.5</v>
      </c>
      <c r="AH552" s="49">
        <f t="shared" si="149"/>
        <v>75</v>
      </c>
      <c r="AI552" s="49">
        <f t="shared" si="149"/>
        <v>22.5</v>
      </c>
      <c r="AJ552" s="63">
        <f t="shared" si="158"/>
        <v>0.3</v>
      </c>
    </row>
    <row r="553" spans="1:36" s="64" customFormat="1">
      <c r="A553" s="80" t="s">
        <v>22</v>
      </c>
      <c r="B553" s="46" t="s">
        <v>563</v>
      </c>
      <c r="C553" s="75" t="s">
        <v>128</v>
      </c>
      <c r="D553" s="46" t="str">
        <f t="shared" si="150"/>
        <v>M27USAS22AQ-.VG27AQ2(D905)</v>
      </c>
      <c r="E553" s="46" t="s">
        <v>21</v>
      </c>
      <c r="F553" s="46" t="s">
        <v>21</v>
      </c>
      <c r="G553" s="48">
        <v>200</v>
      </c>
      <c r="H553" s="61">
        <v>0</v>
      </c>
      <c r="I553" s="49">
        <v>0</v>
      </c>
      <c r="J553" s="49">
        <v>0</v>
      </c>
      <c r="K553" s="49">
        <v>0</v>
      </c>
      <c r="L553" s="49">
        <f t="shared" si="151"/>
        <v>0</v>
      </c>
      <c r="M553" s="49">
        <f t="shared" si="152"/>
        <v>0</v>
      </c>
      <c r="N553" s="62">
        <v>35</v>
      </c>
      <c r="O553" s="49">
        <v>1</v>
      </c>
      <c r="P553" s="49">
        <v>1</v>
      </c>
      <c r="Q553" s="49">
        <v>1</v>
      </c>
      <c r="R553" s="49">
        <v>2</v>
      </c>
      <c r="S553" s="49">
        <f t="shared" si="153"/>
        <v>40</v>
      </c>
      <c r="T553" s="49">
        <f t="shared" si="146"/>
        <v>12</v>
      </c>
      <c r="U553" s="62">
        <v>8</v>
      </c>
      <c r="V553" s="49">
        <v>1</v>
      </c>
      <c r="W553" s="49">
        <v>0</v>
      </c>
      <c r="X553" s="49">
        <f t="shared" si="154"/>
        <v>9</v>
      </c>
      <c r="Y553" s="49">
        <f t="shared" si="155"/>
        <v>2.7</v>
      </c>
      <c r="Z553" s="49">
        <v>23</v>
      </c>
      <c r="AA553" s="49">
        <v>1</v>
      </c>
      <c r="AB553" s="49">
        <v>0</v>
      </c>
      <c r="AC553" s="49">
        <v>2</v>
      </c>
      <c r="AD553" s="49">
        <f t="shared" si="156"/>
        <v>26</v>
      </c>
      <c r="AE553" s="49">
        <f t="shared" si="157"/>
        <v>7.8</v>
      </c>
      <c r="AF553" s="49">
        <f t="shared" si="147"/>
        <v>75</v>
      </c>
      <c r="AG553" s="49">
        <f t="shared" si="147"/>
        <v>22.5</v>
      </c>
      <c r="AH553" s="49">
        <f t="shared" si="149"/>
        <v>75</v>
      </c>
      <c r="AI553" s="49">
        <f t="shared" si="149"/>
        <v>22.5</v>
      </c>
      <c r="AJ553" s="63">
        <f t="shared" si="158"/>
        <v>0.3</v>
      </c>
    </row>
    <row r="554" spans="1:36" s="64" customFormat="1">
      <c r="A554" s="80" t="s">
        <v>22</v>
      </c>
      <c r="B554" s="46" t="s">
        <v>563</v>
      </c>
      <c r="C554" s="75" t="s">
        <v>133</v>
      </c>
      <c r="D554" s="46" t="str">
        <f t="shared" si="150"/>
        <v>M27USAS22AQ-.VG27AQ4(D905)</v>
      </c>
      <c r="E554" s="46" t="s">
        <v>21</v>
      </c>
      <c r="F554" s="46" t="s">
        <v>21</v>
      </c>
      <c r="G554" s="48">
        <v>200</v>
      </c>
      <c r="H554" s="61">
        <v>0</v>
      </c>
      <c r="I554" s="49">
        <v>0</v>
      </c>
      <c r="J554" s="49">
        <v>0</v>
      </c>
      <c r="K554" s="49">
        <v>0</v>
      </c>
      <c r="L554" s="49">
        <f t="shared" si="151"/>
        <v>0</v>
      </c>
      <c r="M554" s="49">
        <f t="shared" si="152"/>
        <v>0</v>
      </c>
      <c r="N554" s="62">
        <v>35</v>
      </c>
      <c r="O554" s="49">
        <v>1</v>
      </c>
      <c r="P554" s="49">
        <v>1</v>
      </c>
      <c r="Q554" s="49">
        <v>1</v>
      </c>
      <c r="R554" s="49">
        <v>2</v>
      </c>
      <c r="S554" s="49">
        <f t="shared" si="153"/>
        <v>40</v>
      </c>
      <c r="T554" s="49">
        <f t="shared" si="146"/>
        <v>12</v>
      </c>
      <c r="U554" s="62">
        <v>8</v>
      </c>
      <c r="V554" s="49">
        <v>1</v>
      </c>
      <c r="W554" s="49">
        <v>0</v>
      </c>
      <c r="X554" s="49">
        <f t="shared" si="154"/>
        <v>9</v>
      </c>
      <c r="Y554" s="49">
        <f t="shared" si="155"/>
        <v>2.7</v>
      </c>
      <c r="Z554" s="49">
        <v>23</v>
      </c>
      <c r="AA554" s="49">
        <v>1</v>
      </c>
      <c r="AB554" s="49">
        <v>0</v>
      </c>
      <c r="AC554" s="49">
        <v>2</v>
      </c>
      <c r="AD554" s="49">
        <f t="shared" si="156"/>
        <v>26</v>
      </c>
      <c r="AE554" s="49">
        <f t="shared" si="157"/>
        <v>7.8</v>
      </c>
      <c r="AF554" s="49">
        <f t="shared" si="147"/>
        <v>75</v>
      </c>
      <c r="AG554" s="49">
        <f t="shared" si="147"/>
        <v>22.5</v>
      </c>
      <c r="AH554" s="49">
        <f t="shared" si="149"/>
        <v>75</v>
      </c>
      <c r="AI554" s="49">
        <f t="shared" si="149"/>
        <v>22.5</v>
      </c>
      <c r="AJ554" s="63">
        <f t="shared" si="158"/>
        <v>0.3</v>
      </c>
    </row>
    <row r="555" spans="1:36" s="64" customFormat="1">
      <c r="A555" s="80" t="s">
        <v>22</v>
      </c>
      <c r="B555" s="46" t="s">
        <v>563</v>
      </c>
      <c r="C555" s="75" t="s">
        <v>564</v>
      </c>
      <c r="D555" s="46" t="str">
        <f t="shared" si="150"/>
        <v>M27GBASB2AQ-.VG27AQ3(D905)</v>
      </c>
      <c r="E555" s="46" t="s">
        <v>21</v>
      </c>
      <c r="F555" s="46" t="s">
        <v>21</v>
      </c>
      <c r="G555" s="48">
        <v>200</v>
      </c>
      <c r="H555" s="61">
        <v>0</v>
      </c>
      <c r="I555" s="49">
        <v>0</v>
      </c>
      <c r="J555" s="49">
        <v>0</v>
      </c>
      <c r="K555" s="49">
        <v>0</v>
      </c>
      <c r="L555" s="49">
        <f t="shared" si="151"/>
        <v>0</v>
      </c>
      <c r="M555" s="49">
        <f t="shared" si="152"/>
        <v>0</v>
      </c>
      <c r="N555" s="62">
        <v>35</v>
      </c>
      <c r="O555" s="49">
        <v>1</v>
      </c>
      <c r="P555" s="49">
        <v>1</v>
      </c>
      <c r="Q555" s="49">
        <v>1</v>
      </c>
      <c r="R555" s="49">
        <v>2</v>
      </c>
      <c r="S555" s="49">
        <f t="shared" si="153"/>
        <v>40</v>
      </c>
      <c r="T555" s="49">
        <f t="shared" si="146"/>
        <v>12</v>
      </c>
      <c r="U555" s="62">
        <v>8</v>
      </c>
      <c r="V555" s="49">
        <v>1</v>
      </c>
      <c r="W555" s="49">
        <v>0</v>
      </c>
      <c r="X555" s="49">
        <f t="shared" si="154"/>
        <v>9</v>
      </c>
      <c r="Y555" s="49">
        <f t="shared" si="155"/>
        <v>2.7</v>
      </c>
      <c r="Z555" s="49">
        <v>23</v>
      </c>
      <c r="AA555" s="49">
        <v>1</v>
      </c>
      <c r="AB555" s="49">
        <v>0</v>
      </c>
      <c r="AC555" s="49">
        <v>2</v>
      </c>
      <c r="AD555" s="49">
        <f t="shared" si="156"/>
        <v>26</v>
      </c>
      <c r="AE555" s="49">
        <f t="shared" si="157"/>
        <v>7.8</v>
      </c>
      <c r="AF555" s="49">
        <f t="shared" si="147"/>
        <v>75</v>
      </c>
      <c r="AG555" s="49">
        <f t="shared" si="147"/>
        <v>22.5</v>
      </c>
      <c r="AH555" s="49">
        <f t="shared" ref="AH555:AH615" si="159">SUM(L555,S555,X555,AD555)</f>
        <v>75</v>
      </c>
      <c r="AI555" s="49">
        <f t="shared" si="149"/>
        <v>22.5</v>
      </c>
      <c r="AJ555" s="63">
        <f t="shared" si="158"/>
        <v>0.3</v>
      </c>
    </row>
    <row r="556" spans="1:36" s="64" customFormat="1">
      <c r="A556" s="80" t="s">
        <v>22</v>
      </c>
      <c r="B556" s="46" t="s">
        <v>563</v>
      </c>
      <c r="C556" s="75" t="s">
        <v>243</v>
      </c>
      <c r="D556" s="46" t="str">
        <f t="shared" si="150"/>
        <v>M27USAS22AQ-.VG27AQB(D905)</v>
      </c>
      <c r="E556" s="46" t="s">
        <v>21</v>
      </c>
      <c r="F556" s="46" t="s">
        <v>21</v>
      </c>
      <c r="G556" s="48">
        <v>200</v>
      </c>
      <c r="H556" s="61">
        <v>0</v>
      </c>
      <c r="I556" s="49">
        <v>0</v>
      </c>
      <c r="J556" s="49">
        <v>0</v>
      </c>
      <c r="K556" s="49">
        <v>0</v>
      </c>
      <c r="L556" s="49">
        <f t="shared" si="151"/>
        <v>0</v>
      </c>
      <c r="M556" s="49">
        <f t="shared" si="152"/>
        <v>0</v>
      </c>
      <c r="N556" s="62">
        <v>35</v>
      </c>
      <c r="O556" s="49">
        <v>1</v>
      </c>
      <c r="P556" s="49">
        <v>1</v>
      </c>
      <c r="Q556" s="49">
        <v>1</v>
      </c>
      <c r="R556" s="49">
        <v>2</v>
      </c>
      <c r="S556" s="49">
        <f t="shared" si="153"/>
        <v>40</v>
      </c>
      <c r="T556" s="49">
        <f t="shared" si="146"/>
        <v>12</v>
      </c>
      <c r="U556" s="62">
        <v>8</v>
      </c>
      <c r="V556" s="49">
        <v>1</v>
      </c>
      <c r="W556" s="49">
        <v>0</v>
      </c>
      <c r="X556" s="49">
        <f t="shared" si="154"/>
        <v>9</v>
      </c>
      <c r="Y556" s="49">
        <f t="shared" si="155"/>
        <v>2.7</v>
      </c>
      <c r="Z556" s="49">
        <v>23</v>
      </c>
      <c r="AA556" s="49">
        <v>1</v>
      </c>
      <c r="AB556" s="49">
        <v>0</v>
      </c>
      <c r="AC556" s="49">
        <v>2</v>
      </c>
      <c r="AD556" s="49">
        <f t="shared" si="156"/>
        <v>26</v>
      </c>
      <c r="AE556" s="49">
        <f t="shared" si="157"/>
        <v>7.8</v>
      </c>
      <c r="AF556" s="49">
        <f>SUM(S556,X556,AD556)</f>
        <v>75</v>
      </c>
      <c r="AG556" s="49">
        <f>SUM(T556,Y556,AE556)</f>
        <v>22.5</v>
      </c>
      <c r="AH556" s="49">
        <f t="shared" si="159"/>
        <v>75</v>
      </c>
      <c r="AI556" s="49">
        <f t="shared" si="149"/>
        <v>22.5</v>
      </c>
      <c r="AJ556" s="63">
        <f t="shared" si="158"/>
        <v>0.3</v>
      </c>
    </row>
    <row r="557" spans="1:36" s="64" customFormat="1">
      <c r="A557" s="80" t="s">
        <v>22</v>
      </c>
      <c r="B557" s="46" t="s">
        <v>565</v>
      </c>
      <c r="C557" s="75" t="s">
        <v>178</v>
      </c>
      <c r="D557" s="46" t="str">
        <f t="shared" si="150"/>
        <v>M27USAS22AQ-.VG27N51(D905)</v>
      </c>
      <c r="E557" s="46" t="s">
        <v>21</v>
      </c>
      <c r="F557" s="46" t="s">
        <v>21</v>
      </c>
      <c r="G557" s="48">
        <v>160</v>
      </c>
      <c r="H557" s="61">
        <v>19</v>
      </c>
      <c r="I557" s="49">
        <v>1</v>
      </c>
      <c r="J557" s="49">
        <v>1</v>
      </c>
      <c r="K557" s="49">
        <v>3</v>
      </c>
      <c r="L557" s="49">
        <f t="shared" si="151"/>
        <v>24</v>
      </c>
      <c r="M557" s="49">
        <f>60*L557/G557</f>
        <v>9</v>
      </c>
      <c r="N557" s="62">
        <v>33</v>
      </c>
      <c r="O557" s="49">
        <v>1</v>
      </c>
      <c r="P557" s="49">
        <v>1</v>
      </c>
      <c r="Q557" s="49">
        <v>1</v>
      </c>
      <c r="R557" s="49">
        <v>2</v>
      </c>
      <c r="S557" s="49">
        <f>SUM(N557:R557)</f>
        <v>38</v>
      </c>
      <c r="T557" s="49">
        <f t="shared" si="146"/>
        <v>14.25</v>
      </c>
      <c r="U557" s="62">
        <v>12</v>
      </c>
      <c r="V557" s="49">
        <v>1</v>
      </c>
      <c r="W557" s="49">
        <v>0</v>
      </c>
      <c r="X557" s="49">
        <f>SUM(U557:W557)</f>
        <v>13</v>
      </c>
      <c r="Y557" s="49">
        <f>60*X557/G557</f>
        <v>4.875</v>
      </c>
      <c r="Z557" s="49">
        <v>20</v>
      </c>
      <c r="AA557" s="49">
        <v>1</v>
      </c>
      <c r="AB557" s="49">
        <v>0</v>
      </c>
      <c r="AC557" s="49">
        <v>2</v>
      </c>
      <c r="AD557" s="49">
        <f t="shared" si="156"/>
        <v>23</v>
      </c>
      <c r="AE557" s="49">
        <f>60*AD557/G557</f>
        <v>8.625</v>
      </c>
      <c r="AF557" s="49">
        <f>SUM(S557,X557,AD557)</f>
        <v>74</v>
      </c>
      <c r="AG557" s="49">
        <f>SUM(T557,Y557,AE557)</f>
        <v>27.75</v>
      </c>
      <c r="AH557" s="49">
        <f t="shared" si="159"/>
        <v>98</v>
      </c>
      <c r="AI557" s="49">
        <f>SUM(M557,AG557)</f>
        <v>36.75</v>
      </c>
      <c r="AJ557" s="63">
        <f t="shared" si="158"/>
        <v>0.375</v>
      </c>
    </row>
    <row r="558" spans="1:36" s="64" customFormat="1">
      <c r="A558" s="80" t="s">
        <v>22</v>
      </c>
      <c r="B558" s="46" t="s">
        <v>566</v>
      </c>
      <c r="C558" s="75" t="s">
        <v>188</v>
      </c>
      <c r="D558" s="46" t="str">
        <f t="shared" ref="D558:D581" si="160">C558&amp;"("&amp;F558&amp;")"</f>
        <v>M32USAS22EQ-.G32WCS1(D905)</v>
      </c>
      <c r="E558" s="46" t="s">
        <v>21</v>
      </c>
      <c r="F558" s="46" t="s">
        <v>21</v>
      </c>
      <c r="G558" s="48">
        <v>160</v>
      </c>
      <c r="H558" s="61">
        <v>21</v>
      </c>
      <c r="I558" s="49">
        <v>1</v>
      </c>
      <c r="J558" s="49">
        <v>1</v>
      </c>
      <c r="K558" s="49">
        <v>3</v>
      </c>
      <c r="L558" s="49">
        <f t="shared" si="151"/>
        <v>26</v>
      </c>
      <c r="M558" s="49">
        <f t="shared" ref="M558:M581" si="161">60*L558/G558</f>
        <v>9.75</v>
      </c>
      <c r="N558" s="62">
        <v>29</v>
      </c>
      <c r="O558" s="49">
        <v>1</v>
      </c>
      <c r="P558" s="49">
        <v>1</v>
      </c>
      <c r="Q558" s="49">
        <v>1</v>
      </c>
      <c r="R558" s="49">
        <v>2</v>
      </c>
      <c r="S558" s="49">
        <f t="shared" ref="S558:S568" si="162">SUM(N558:R558)</f>
        <v>34</v>
      </c>
      <c r="T558" s="49">
        <f t="shared" si="146"/>
        <v>12.75</v>
      </c>
      <c r="U558" s="62">
        <v>16</v>
      </c>
      <c r="V558" s="49">
        <v>1</v>
      </c>
      <c r="W558" s="49">
        <v>0</v>
      </c>
      <c r="X558" s="49">
        <f t="shared" ref="X558:X565" si="163">SUM(U558:W558)</f>
        <v>17</v>
      </c>
      <c r="Y558" s="49">
        <f t="shared" ref="Y558:Y581" si="164">60*X558/G558</f>
        <v>6.375</v>
      </c>
      <c r="Z558" s="49">
        <v>17</v>
      </c>
      <c r="AA558" s="49">
        <v>1</v>
      </c>
      <c r="AB558" s="49">
        <v>0</v>
      </c>
      <c r="AC558" s="49">
        <v>2</v>
      </c>
      <c r="AD558" s="49">
        <f t="shared" si="156"/>
        <v>20</v>
      </c>
      <c r="AE558" s="49">
        <f t="shared" ref="AE558:AE581" si="165">60*AD558/G558</f>
        <v>7.5</v>
      </c>
      <c r="AF558" s="49">
        <f t="shared" ref="AF558:AG573" si="166">SUM(S558,X558,AD558)</f>
        <v>71</v>
      </c>
      <c r="AG558" s="49">
        <f t="shared" si="166"/>
        <v>26.625</v>
      </c>
      <c r="AH558" s="49">
        <f t="shared" si="159"/>
        <v>97</v>
      </c>
      <c r="AI558" s="49">
        <f t="shared" ref="AI558:AI581" si="167">SUM(M558,AG558)</f>
        <v>36.375</v>
      </c>
      <c r="AJ558" s="63">
        <f t="shared" si="158"/>
        <v>0.375</v>
      </c>
    </row>
    <row r="559" spans="1:36" s="64" customFormat="1">
      <c r="A559" s="80" t="s">
        <v>22</v>
      </c>
      <c r="B559" s="46" t="s">
        <v>567</v>
      </c>
      <c r="C559" s="75" t="s">
        <v>191</v>
      </c>
      <c r="D559" s="46" t="str">
        <f t="shared" si="160"/>
        <v>M32USAS22EQ-.32WCMS1(D905)</v>
      </c>
      <c r="E559" s="46" t="s">
        <v>21</v>
      </c>
      <c r="F559" s="46" t="s">
        <v>21</v>
      </c>
      <c r="G559" s="48">
        <v>160</v>
      </c>
      <c r="H559" s="61">
        <v>21</v>
      </c>
      <c r="I559" s="49">
        <v>1</v>
      </c>
      <c r="J559" s="49">
        <v>1</v>
      </c>
      <c r="K559" s="49">
        <v>3</v>
      </c>
      <c r="L559" s="49">
        <f t="shared" si="151"/>
        <v>26</v>
      </c>
      <c r="M559" s="49">
        <f t="shared" si="161"/>
        <v>9.75</v>
      </c>
      <c r="N559" s="62">
        <v>29</v>
      </c>
      <c r="O559" s="49">
        <v>1</v>
      </c>
      <c r="P559" s="49">
        <v>1</v>
      </c>
      <c r="Q559" s="49">
        <v>1</v>
      </c>
      <c r="R559" s="49">
        <v>2</v>
      </c>
      <c r="S559" s="49">
        <f t="shared" si="162"/>
        <v>34</v>
      </c>
      <c r="T559" s="49">
        <f t="shared" si="146"/>
        <v>12.75</v>
      </c>
      <c r="U559" s="62">
        <v>16</v>
      </c>
      <c r="V559" s="49">
        <v>1</v>
      </c>
      <c r="W559" s="49">
        <v>0</v>
      </c>
      <c r="X559" s="49">
        <f t="shared" si="163"/>
        <v>17</v>
      </c>
      <c r="Y559" s="49">
        <f t="shared" si="164"/>
        <v>6.375</v>
      </c>
      <c r="Z559" s="49">
        <v>17</v>
      </c>
      <c r="AA559" s="49">
        <v>1</v>
      </c>
      <c r="AB559" s="49">
        <v>0</v>
      </c>
      <c r="AC559" s="49">
        <v>2</v>
      </c>
      <c r="AD559" s="49">
        <f t="shared" si="156"/>
        <v>20</v>
      </c>
      <c r="AE559" s="49">
        <f t="shared" si="165"/>
        <v>7.5</v>
      </c>
      <c r="AF559" s="49">
        <f t="shared" si="166"/>
        <v>71</v>
      </c>
      <c r="AG559" s="49">
        <f t="shared" si="166"/>
        <v>26.625</v>
      </c>
      <c r="AH559" s="49">
        <f t="shared" si="159"/>
        <v>97</v>
      </c>
      <c r="AI559" s="49">
        <f t="shared" si="167"/>
        <v>36.375</v>
      </c>
      <c r="AJ559" s="63">
        <f t="shared" si="158"/>
        <v>0.375</v>
      </c>
    </row>
    <row r="560" spans="1:36" s="64" customFormat="1">
      <c r="A560" s="80" t="s">
        <v>22</v>
      </c>
      <c r="B560" s="46" t="s">
        <v>568</v>
      </c>
      <c r="C560" s="75" t="s">
        <v>164</v>
      </c>
      <c r="D560" s="46" t="str">
        <f t="shared" si="160"/>
        <v>M27USAS24SO-.XG27UC1(D905)</v>
      </c>
      <c r="E560" s="46" t="s">
        <v>21</v>
      </c>
      <c r="F560" s="46" t="s">
        <v>21</v>
      </c>
      <c r="G560" s="48">
        <v>115</v>
      </c>
      <c r="H560" s="61">
        <v>12</v>
      </c>
      <c r="I560" s="49">
        <v>1</v>
      </c>
      <c r="J560" s="49">
        <v>0</v>
      </c>
      <c r="K560" s="49">
        <v>1</v>
      </c>
      <c r="L560" s="49">
        <f t="shared" si="151"/>
        <v>14</v>
      </c>
      <c r="M560" s="49">
        <f t="shared" si="161"/>
        <v>7.3043478260869561</v>
      </c>
      <c r="N560" s="81">
        <v>33</v>
      </c>
      <c r="O560" s="49">
        <v>1</v>
      </c>
      <c r="P560" s="49">
        <v>1</v>
      </c>
      <c r="Q560" s="49">
        <v>1</v>
      </c>
      <c r="R560" s="49">
        <v>2</v>
      </c>
      <c r="S560" s="49">
        <f t="shared" si="162"/>
        <v>38</v>
      </c>
      <c r="T560" s="49">
        <f t="shared" si="146"/>
        <v>19.826086956521738</v>
      </c>
      <c r="U560" s="62">
        <v>14</v>
      </c>
      <c r="V560" s="49">
        <v>1</v>
      </c>
      <c r="W560" s="49">
        <v>0</v>
      </c>
      <c r="X560" s="49">
        <f t="shared" si="163"/>
        <v>15</v>
      </c>
      <c r="Y560" s="49">
        <f t="shared" si="164"/>
        <v>7.8260869565217392</v>
      </c>
      <c r="Z560" s="49">
        <v>17</v>
      </c>
      <c r="AA560" s="49">
        <v>1</v>
      </c>
      <c r="AB560" s="49">
        <v>0</v>
      </c>
      <c r="AC560" s="49">
        <v>2</v>
      </c>
      <c r="AD560" s="49">
        <f t="shared" si="156"/>
        <v>20</v>
      </c>
      <c r="AE560" s="49">
        <f t="shared" si="165"/>
        <v>10.434782608695652</v>
      </c>
      <c r="AF560" s="49">
        <f t="shared" si="166"/>
        <v>73</v>
      </c>
      <c r="AG560" s="49">
        <f t="shared" si="166"/>
        <v>38.086956521739125</v>
      </c>
      <c r="AH560" s="49">
        <f t="shared" si="159"/>
        <v>87</v>
      </c>
      <c r="AI560" s="49">
        <f t="shared" si="167"/>
        <v>45.391304347826079</v>
      </c>
      <c r="AJ560" s="220" t="s">
        <v>569</v>
      </c>
    </row>
    <row r="561" spans="1:36" s="64" customFormat="1">
      <c r="A561" s="80" t="s">
        <v>22</v>
      </c>
      <c r="B561" s="46" t="s">
        <v>568</v>
      </c>
      <c r="C561" s="75" t="s">
        <v>234</v>
      </c>
      <c r="D561" s="46" t="str">
        <f t="shared" si="160"/>
        <v>M27USAS24SO-.XG27UC2(D905)</v>
      </c>
      <c r="E561" s="46" t="s">
        <v>21</v>
      </c>
      <c r="F561" s="46" t="s">
        <v>21</v>
      </c>
      <c r="G561" s="48">
        <v>115</v>
      </c>
      <c r="H561" s="61">
        <v>12</v>
      </c>
      <c r="I561" s="49">
        <v>1</v>
      </c>
      <c r="J561" s="49">
        <v>0</v>
      </c>
      <c r="K561" s="49">
        <v>1</v>
      </c>
      <c r="L561" s="49">
        <f t="shared" si="151"/>
        <v>14</v>
      </c>
      <c r="M561" s="49">
        <f t="shared" si="161"/>
        <v>7.3043478260869561</v>
      </c>
      <c r="N561" s="81">
        <v>33</v>
      </c>
      <c r="O561" s="49">
        <v>1</v>
      </c>
      <c r="P561" s="49">
        <v>1</v>
      </c>
      <c r="Q561" s="49">
        <v>1</v>
      </c>
      <c r="R561" s="49">
        <v>2</v>
      </c>
      <c r="S561" s="49">
        <f t="shared" si="162"/>
        <v>38</v>
      </c>
      <c r="T561" s="49">
        <f t="shared" si="146"/>
        <v>19.826086956521738</v>
      </c>
      <c r="U561" s="62">
        <v>14</v>
      </c>
      <c r="V561" s="49">
        <v>1</v>
      </c>
      <c r="W561" s="49">
        <v>0</v>
      </c>
      <c r="X561" s="49">
        <f t="shared" si="163"/>
        <v>15</v>
      </c>
      <c r="Y561" s="49">
        <f t="shared" si="164"/>
        <v>7.8260869565217392</v>
      </c>
      <c r="Z561" s="49">
        <v>17</v>
      </c>
      <c r="AA561" s="49">
        <v>1</v>
      </c>
      <c r="AB561" s="49">
        <v>0</v>
      </c>
      <c r="AC561" s="49">
        <v>2</v>
      </c>
      <c r="AD561" s="49">
        <f t="shared" si="156"/>
        <v>20</v>
      </c>
      <c r="AE561" s="49">
        <f t="shared" si="165"/>
        <v>10.434782608695652</v>
      </c>
      <c r="AF561" s="49">
        <f t="shared" si="166"/>
        <v>73</v>
      </c>
      <c r="AG561" s="49">
        <f t="shared" si="166"/>
        <v>38.086956521739125</v>
      </c>
      <c r="AH561" s="49">
        <f t="shared" si="159"/>
        <v>87</v>
      </c>
      <c r="AI561" s="49">
        <f t="shared" si="167"/>
        <v>45.391304347826079</v>
      </c>
      <c r="AJ561" s="220"/>
    </row>
    <row r="562" spans="1:36" s="64" customFormat="1">
      <c r="A562" s="80" t="s">
        <v>22</v>
      </c>
      <c r="B562" s="46" t="s">
        <v>570</v>
      </c>
      <c r="C562" s="75" t="s">
        <v>176</v>
      </c>
      <c r="D562" s="46" t="str">
        <f t="shared" si="160"/>
        <v>M27USAS24SO-.PG27UC1(D905)</v>
      </c>
      <c r="E562" s="46" t="s">
        <v>21</v>
      </c>
      <c r="F562" s="46" t="s">
        <v>21</v>
      </c>
      <c r="G562" s="48">
        <v>115</v>
      </c>
      <c r="H562" s="61">
        <v>12</v>
      </c>
      <c r="I562" s="49">
        <v>1</v>
      </c>
      <c r="J562" s="49">
        <v>0</v>
      </c>
      <c r="K562" s="49">
        <v>1</v>
      </c>
      <c r="L562" s="49">
        <f t="shared" si="151"/>
        <v>14</v>
      </c>
      <c r="M562" s="49">
        <f t="shared" si="161"/>
        <v>7.3043478260869561</v>
      </c>
      <c r="N562" s="62">
        <v>32</v>
      </c>
      <c r="O562" s="49">
        <v>1</v>
      </c>
      <c r="P562" s="49">
        <v>1</v>
      </c>
      <c r="Q562" s="49">
        <v>1</v>
      </c>
      <c r="R562" s="49">
        <v>2</v>
      </c>
      <c r="S562" s="49">
        <f t="shared" si="162"/>
        <v>37</v>
      </c>
      <c r="T562" s="49">
        <f t="shared" si="146"/>
        <v>19.304347826086957</v>
      </c>
      <c r="U562" s="62">
        <v>14</v>
      </c>
      <c r="V562" s="49">
        <v>1</v>
      </c>
      <c r="W562" s="49">
        <v>0</v>
      </c>
      <c r="X562" s="49">
        <f t="shared" si="163"/>
        <v>15</v>
      </c>
      <c r="Y562" s="49">
        <f t="shared" si="164"/>
        <v>7.8260869565217392</v>
      </c>
      <c r="Z562" s="49">
        <v>18</v>
      </c>
      <c r="AA562" s="49">
        <v>1</v>
      </c>
      <c r="AB562" s="49">
        <v>0</v>
      </c>
      <c r="AC562" s="49">
        <v>2</v>
      </c>
      <c r="AD562" s="49">
        <f t="shared" si="156"/>
        <v>21</v>
      </c>
      <c r="AE562" s="49">
        <f t="shared" si="165"/>
        <v>10.956521739130435</v>
      </c>
      <c r="AF562" s="49">
        <f t="shared" si="166"/>
        <v>73</v>
      </c>
      <c r="AG562" s="49">
        <f t="shared" si="166"/>
        <v>38.086956521739133</v>
      </c>
      <c r="AH562" s="49">
        <f t="shared" si="159"/>
        <v>87</v>
      </c>
      <c r="AI562" s="49">
        <f t="shared" si="167"/>
        <v>45.391304347826086</v>
      </c>
      <c r="AJ562" s="220"/>
    </row>
    <row r="563" spans="1:36" s="64" customFormat="1">
      <c r="A563" s="80" t="s">
        <v>22</v>
      </c>
      <c r="B563" s="46" t="s">
        <v>570</v>
      </c>
      <c r="C563" s="75" t="s">
        <v>233</v>
      </c>
      <c r="D563" s="46" t="str">
        <f t="shared" si="160"/>
        <v>M27USAS24SO-.PG27UC2(D905)</v>
      </c>
      <c r="E563" s="46" t="s">
        <v>21</v>
      </c>
      <c r="F563" s="46" t="s">
        <v>21</v>
      </c>
      <c r="G563" s="48">
        <v>115</v>
      </c>
      <c r="H563" s="61">
        <v>12</v>
      </c>
      <c r="I563" s="49">
        <v>1</v>
      </c>
      <c r="J563" s="49">
        <v>0</v>
      </c>
      <c r="K563" s="49">
        <v>1</v>
      </c>
      <c r="L563" s="49">
        <f t="shared" si="151"/>
        <v>14</v>
      </c>
      <c r="M563" s="49">
        <f t="shared" si="161"/>
        <v>7.3043478260869561</v>
      </c>
      <c r="N563" s="62">
        <v>32</v>
      </c>
      <c r="O563" s="49">
        <v>1</v>
      </c>
      <c r="P563" s="49">
        <v>1</v>
      </c>
      <c r="Q563" s="49">
        <v>1</v>
      </c>
      <c r="R563" s="49">
        <v>2</v>
      </c>
      <c r="S563" s="49">
        <f t="shared" si="162"/>
        <v>37</v>
      </c>
      <c r="T563" s="49">
        <f t="shared" si="146"/>
        <v>19.304347826086957</v>
      </c>
      <c r="U563" s="62">
        <v>14</v>
      </c>
      <c r="V563" s="49">
        <v>1</v>
      </c>
      <c r="W563" s="49">
        <v>0</v>
      </c>
      <c r="X563" s="49">
        <f t="shared" si="163"/>
        <v>15</v>
      </c>
      <c r="Y563" s="49">
        <f t="shared" si="164"/>
        <v>7.8260869565217392</v>
      </c>
      <c r="Z563" s="49">
        <v>18</v>
      </c>
      <c r="AA563" s="49">
        <v>1</v>
      </c>
      <c r="AB563" s="49">
        <v>0</v>
      </c>
      <c r="AC563" s="49">
        <v>2</v>
      </c>
      <c r="AD563" s="49">
        <f t="shared" si="156"/>
        <v>21</v>
      </c>
      <c r="AE563" s="49">
        <f t="shared" si="165"/>
        <v>10.956521739130435</v>
      </c>
      <c r="AF563" s="49">
        <f t="shared" si="166"/>
        <v>73</v>
      </c>
      <c r="AG563" s="49">
        <f t="shared" si="166"/>
        <v>38.086956521739133</v>
      </c>
      <c r="AH563" s="49">
        <f t="shared" si="159"/>
        <v>87</v>
      </c>
      <c r="AI563" s="49">
        <f t="shared" si="167"/>
        <v>45.391304347826086</v>
      </c>
      <c r="AJ563" s="220"/>
    </row>
    <row r="564" spans="1:36" s="64" customFormat="1">
      <c r="A564" s="80" t="s">
        <v>22</v>
      </c>
      <c r="B564" s="46" t="s">
        <v>571</v>
      </c>
      <c r="C564" s="75" t="s">
        <v>177</v>
      </c>
      <c r="D564" s="46" t="str">
        <f t="shared" si="160"/>
        <v>M27USAS24SQ-.XG27AC1(D905)</v>
      </c>
      <c r="E564" s="46" t="s">
        <v>21</v>
      </c>
      <c r="F564" s="46" t="s">
        <v>21</v>
      </c>
      <c r="G564" s="48">
        <v>115</v>
      </c>
      <c r="H564" s="61">
        <v>12</v>
      </c>
      <c r="I564" s="49">
        <v>1</v>
      </c>
      <c r="J564" s="49">
        <v>0</v>
      </c>
      <c r="K564" s="49">
        <v>1</v>
      </c>
      <c r="L564" s="49">
        <f t="shared" si="151"/>
        <v>14</v>
      </c>
      <c r="M564" s="49">
        <f t="shared" si="161"/>
        <v>7.3043478260869561</v>
      </c>
      <c r="N564" s="81">
        <v>31</v>
      </c>
      <c r="O564" s="49">
        <v>1</v>
      </c>
      <c r="P564" s="49">
        <v>1</v>
      </c>
      <c r="Q564" s="49">
        <v>1</v>
      </c>
      <c r="R564" s="49">
        <v>2</v>
      </c>
      <c r="S564" s="49">
        <f t="shared" si="162"/>
        <v>36</v>
      </c>
      <c r="T564" s="49">
        <f t="shared" si="146"/>
        <v>18.782608695652176</v>
      </c>
      <c r="U564" s="62">
        <v>14</v>
      </c>
      <c r="V564" s="49">
        <v>1</v>
      </c>
      <c r="W564" s="49">
        <v>0</v>
      </c>
      <c r="X564" s="49">
        <f t="shared" si="163"/>
        <v>15</v>
      </c>
      <c r="Y564" s="49">
        <f t="shared" si="164"/>
        <v>7.8260869565217392</v>
      </c>
      <c r="Z564" s="49">
        <v>17</v>
      </c>
      <c r="AA564" s="49">
        <v>1</v>
      </c>
      <c r="AB564" s="49">
        <v>0</v>
      </c>
      <c r="AC564" s="49">
        <v>2</v>
      </c>
      <c r="AD564" s="49">
        <f t="shared" si="156"/>
        <v>20</v>
      </c>
      <c r="AE564" s="49">
        <f t="shared" si="165"/>
        <v>10.434782608695652</v>
      </c>
      <c r="AF564" s="49">
        <f t="shared" si="166"/>
        <v>71</v>
      </c>
      <c r="AG564" s="49">
        <f t="shared" si="166"/>
        <v>37.043478260869563</v>
      </c>
      <c r="AH564" s="49">
        <f t="shared" si="159"/>
        <v>85</v>
      </c>
      <c r="AI564" s="49">
        <f t="shared" si="167"/>
        <v>44.347826086956516</v>
      </c>
      <c r="AJ564" s="220"/>
    </row>
    <row r="565" spans="1:36" s="64" customFormat="1">
      <c r="A565" s="82" t="s">
        <v>22</v>
      </c>
      <c r="B565" s="42" t="s">
        <v>571</v>
      </c>
      <c r="C565" s="83" t="s">
        <v>232</v>
      </c>
      <c r="D565" s="42" t="str">
        <f t="shared" si="160"/>
        <v>M27USAS24SQ-.XG27AC2(D905)</v>
      </c>
      <c r="E565" s="42" t="s">
        <v>21</v>
      </c>
      <c r="F565" s="42" t="s">
        <v>21</v>
      </c>
      <c r="G565" s="44">
        <v>115</v>
      </c>
      <c r="H565" s="65">
        <v>12</v>
      </c>
      <c r="I565" s="45">
        <v>1</v>
      </c>
      <c r="J565" s="45">
        <v>0</v>
      </c>
      <c r="K565" s="45">
        <v>1</v>
      </c>
      <c r="L565" s="45">
        <f t="shared" si="151"/>
        <v>14</v>
      </c>
      <c r="M565" s="45">
        <f t="shared" si="161"/>
        <v>7.3043478260869561</v>
      </c>
      <c r="N565" s="81">
        <v>31</v>
      </c>
      <c r="O565" s="45">
        <v>1</v>
      </c>
      <c r="P565" s="45">
        <v>1</v>
      </c>
      <c r="Q565" s="45">
        <v>1</v>
      </c>
      <c r="R565" s="45">
        <v>2</v>
      </c>
      <c r="S565" s="45">
        <f t="shared" si="162"/>
        <v>36</v>
      </c>
      <c r="T565" s="45">
        <f t="shared" si="146"/>
        <v>18.782608695652176</v>
      </c>
      <c r="U565" s="66">
        <v>14</v>
      </c>
      <c r="V565" s="45">
        <v>1</v>
      </c>
      <c r="W565" s="45">
        <v>0</v>
      </c>
      <c r="X565" s="45">
        <f t="shared" si="163"/>
        <v>15</v>
      </c>
      <c r="Y565" s="45">
        <f t="shared" si="164"/>
        <v>7.8260869565217392</v>
      </c>
      <c r="Z565" s="45">
        <v>17</v>
      </c>
      <c r="AA565" s="45">
        <v>1</v>
      </c>
      <c r="AB565" s="45">
        <v>0</v>
      </c>
      <c r="AC565" s="45">
        <v>2</v>
      </c>
      <c r="AD565" s="45">
        <f t="shared" si="156"/>
        <v>20</v>
      </c>
      <c r="AE565" s="45">
        <f t="shared" si="165"/>
        <v>10.434782608695652</v>
      </c>
      <c r="AF565" s="45">
        <f t="shared" si="166"/>
        <v>71</v>
      </c>
      <c r="AG565" s="45">
        <f t="shared" si="166"/>
        <v>37.043478260869563</v>
      </c>
      <c r="AH565" s="45">
        <f t="shared" si="159"/>
        <v>85</v>
      </c>
      <c r="AI565" s="45">
        <f t="shared" si="167"/>
        <v>44.347826086956516</v>
      </c>
      <c r="AJ565" s="84"/>
    </row>
    <row r="566" spans="1:36" s="64" customFormat="1">
      <c r="A566" s="80" t="s">
        <v>22</v>
      </c>
      <c r="B566" s="46" t="s">
        <v>572</v>
      </c>
      <c r="C566" s="75" t="s">
        <v>207</v>
      </c>
      <c r="D566" s="46" t="str">
        <f t="shared" si="160"/>
        <v>M32USAS24SO-.PG32UC1(D905)</v>
      </c>
      <c r="E566" s="46" t="s">
        <v>21</v>
      </c>
      <c r="F566" s="46" t="s">
        <v>21</v>
      </c>
      <c r="G566" s="48">
        <v>115</v>
      </c>
      <c r="H566" s="61">
        <v>12</v>
      </c>
      <c r="I566" s="49">
        <v>1</v>
      </c>
      <c r="J566" s="49">
        <v>0</v>
      </c>
      <c r="K566" s="49">
        <v>1</v>
      </c>
      <c r="L566" s="49">
        <f t="shared" si="151"/>
        <v>14</v>
      </c>
      <c r="M566" s="49">
        <f t="shared" si="161"/>
        <v>7.3043478260869561</v>
      </c>
      <c r="N566" s="81">
        <v>37</v>
      </c>
      <c r="O566" s="49">
        <v>1</v>
      </c>
      <c r="P566" s="49">
        <v>1</v>
      </c>
      <c r="Q566" s="49">
        <v>1</v>
      </c>
      <c r="R566" s="49">
        <v>2</v>
      </c>
      <c r="S566" s="49">
        <f t="shared" si="162"/>
        <v>42</v>
      </c>
      <c r="T566" s="49">
        <f t="shared" si="146"/>
        <v>21.913043478260871</v>
      </c>
      <c r="U566" s="62">
        <v>14</v>
      </c>
      <c r="V566" s="49">
        <v>1</v>
      </c>
      <c r="W566" s="49">
        <v>0</v>
      </c>
      <c r="X566" s="49">
        <f>SUM(U566:W566)</f>
        <v>15</v>
      </c>
      <c r="Y566" s="49">
        <f t="shared" si="164"/>
        <v>7.8260869565217392</v>
      </c>
      <c r="Z566" s="49">
        <v>18</v>
      </c>
      <c r="AA566" s="49">
        <v>1</v>
      </c>
      <c r="AB566" s="49">
        <v>0</v>
      </c>
      <c r="AC566" s="49">
        <v>2</v>
      </c>
      <c r="AD566" s="49">
        <f t="shared" ref="AD566:AD575" si="168">SUM(Z566:AC566)</f>
        <v>21</v>
      </c>
      <c r="AE566" s="49">
        <f t="shared" si="165"/>
        <v>10.956521739130435</v>
      </c>
      <c r="AF566" s="49">
        <f t="shared" si="166"/>
        <v>78</v>
      </c>
      <c r="AG566" s="49">
        <f t="shared" si="166"/>
        <v>40.695652173913047</v>
      </c>
      <c r="AH566" s="49">
        <f t="shared" si="159"/>
        <v>92</v>
      </c>
      <c r="AI566" s="49">
        <f t="shared" si="167"/>
        <v>48</v>
      </c>
      <c r="AJ566" s="85"/>
    </row>
    <row r="567" spans="1:36" s="64" customFormat="1" ht="18" customHeight="1">
      <c r="A567" s="80" t="s">
        <v>22</v>
      </c>
      <c r="B567" s="46" t="s">
        <v>573</v>
      </c>
      <c r="C567" s="75" t="s">
        <v>220</v>
      </c>
      <c r="D567" s="46" t="str">
        <f t="shared" si="160"/>
        <v>M27USAS24SQ-.XG27AQ2(D905)</v>
      </c>
      <c r="E567" s="46" t="s">
        <v>21</v>
      </c>
      <c r="F567" s="46" t="s">
        <v>21</v>
      </c>
      <c r="G567" s="48">
        <v>115</v>
      </c>
      <c r="H567" s="61">
        <v>12</v>
      </c>
      <c r="I567" s="49">
        <v>1</v>
      </c>
      <c r="J567" s="49">
        <v>0</v>
      </c>
      <c r="K567" s="49">
        <v>1</v>
      </c>
      <c r="L567" s="49">
        <f t="shared" si="151"/>
        <v>14</v>
      </c>
      <c r="M567" s="49">
        <f t="shared" si="161"/>
        <v>7.3043478260869561</v>
      </c>
      <c r="N567" s="81">
        <v>35</v>
      </c>
      <c r="O567" s="49">
        <v>1</v>
      </c>
      <c r="P567" s="49">
        <v>1</v>
      </c>
      <c r="Q567" s="49">
        <v>1</v>
      </c>
      <c r="R567" s="49">
        <v>2</v>
      </c>
      <c r="S567" s="49">
        <f t="shared" si="162"/>
        <v>40</v>
      </c>
      <c r="T567" s="49">
        <f t="shared" si="146"/>
        <v>20.869565217391305</v>
      </c>
      <c r="U567" s="62">
        <v>14</v>
      </c>
      <c r="V567" s="49">
        <v>1</v>
      </c>
      <c r="W567" s="49">
        <v>0</v>
      </c>
      <c r="X567" s="49">
        <f>SUM(U567:W567)</f>
        <v>15</v>
      </c>
      <c r="Y567" s="49">
        <f t="shared" si="164"/>
        <v>7.8260869565217392</v>
      </c>
      <c r="Z567" s="49">
        <v>18</v>
      </c>
      <c r="AA567" s="49">
        <v>1</v>
      </c>
      <c r="AB567" s="49">
        <v>0</v>
      </c>
      <c r="AC567" s="49">
        <v>2</v>
      </c>
      <c r="AD567" s="49">
        <f t="shared" si="168"/>
        <v>21</v>
      </c>
      <c r="AE567" s="49">
        <f t="shared" si="165"/>
        <v>10.956521739130435</v>
      </c>
      <c r="AF567" s="49">
        <f t="shared" si="166"/>
        <v>76</v>
      </c>
      <c r="AG567" s="49">
        <f t="shared" si="166"/>
        <v>39.652173913043477</v>
      </c>
      <c r="AH567" s="49">
        <f t="shared" si="159"/>
        <v>90</v>
      </c>
      <c r="AI567" s="49">
        <f t="shared" si="167"/>
        <v>46.95652173913043</v>
      </c>
      <c r="AJ567" s="85"/>
    </row>
    <row r="568" spans="1:36" s="64" customFormat="1">
      <c r="A568" s="80" t="s">
        <v>22</v>
      </c>
      <c r="B568" s="46" t="s">
        <v>574</v>
      </c>
      <c r="C568" s="75" t="s">
        <v>109</v>
      </c>
      <c r="D568" s="46" t="str">
        <f>C568&amp;"("&amp;F568&amp;")"</f>
        <v>M32USMS24SO-.321URX1(D901)</v>
      </c>
      <c r="E568" s="46" t="s">
        <v>7</v>
      </c>
      <c r="F568" s="46" t="s">
        <v>7</v>
      </c>
      <c r="G568" s="48">
        <v>145</v>
      </c>
      <c r="H568" s="61">
        <v>13</v>
      </c>
      <c r="I568" s="49">
        <v>1</v>
      </c>
      <c r="J568" s="49">
        <v>0</v>
      </c>
      <c r="K568" s="49">
        <v>1</v>
      </c>
      <c r="L568" s="49">
        <f t="shared" ref="L568:L578" si="169">SUM(H568:K568)</f>
        <v>15</v>
      </c>
      <c r="M568" s="49">
        <f t="shared" si="161"/>
        <v>6.2068965517241379</v>
      </c>
      <c r="N568" s="62">
        <v>38</v>
      </c>
      <c r="O568" s="49">
        <v>1</v>
      </c>
      <c r="P568" s="49">
        <v>1</v>
      </c>
      <c r="Q568" s="49">
        <v>1</v>
      </c>
      <c r="R568" s="49">
        <v>2</v>
      </c>
      <c r="S568" s="49">
        <f t="shared" si="162"/>
        <v>43</v>
      </c>
      <c r="T568" s="49">
        <f t="shared" si="146"/>
        <v>17.793103448275861</v>
      </c>
      <c r="U568" s="62">
        <v>14</v>
      </c>
      <c r="V568" s="49">
        <v>1</v>
      </c>
      <c r="W568" s="49">
        <v>0</v>
      </c>
      <c r="X568" s="49">
        <f t="shared" ref="X568:X576" si="170">SUM(U568:W568)</f>
        <v>15</v>
      </c>
      <c r="Y568" s="49">
        <f t="shared" si="164"/>
        <v>6.2068965517241379</v>
      </c>
      <c r="Z568" s="49">
        <v>17</v>
      </c>
      <c r="AA568" s="49">
        <v>1</v>
      </c>
      <c r="AB568" s="49">
        <v>0</v>
      </c>
      <c r="AC568" s="49">
        <v>2</v>
      </c>
      <c r="AD568" s="49">
        <f t="shared" si="168"/>
        <v>20</v>
      </c>
      <c r="AE568" s="49">
        <f t="shared" si="165"/>
        <v>8.2758620689655178</v>
      </c>
      <c r="AF568" s="49">
        <f t="shared" si="166"/>
        <v>78</v>
      </c>
      <c r="AG568" s="49">
        <f t="shared" si="166"/>
        <v>32.275862068965516</v>
      </c>
      <c r="AH568" s="49">
        <f t="shared" si="159"/>
        <v>93</v>
      </c>
      <c r="AI568" s="49">
        <f t="shared" si="167"/>
        <v>38.482758620689651</v>
      </c>
      <c r="AJ568" s="63"/>
    </row>
    <row r="569" spans="1:36" s="64" customFormat="1">
      <c r="A569" s="80" t="s">
        <v>22</v>
      </c>
      <c r="B569" s="46" t="s">
        <v>574</v>
      </c>
      <c r="C569" s="75" t="s">
        <v>575</v>
      </c>
      <c r="D569" s="46" t="str">
        <f t="shared" si="160"/>
        <v>M32USMS24SO-.322URX2(D905)</v>
      </c>
      <c r="E569" s="46" t="s">
        <v>21</v>
      </c>
      <c r="F569" s="46" t="s">
        <v>21</v>
      </c>
      <c r="G569" s="48">
        <v>145</v>
      </c>
      <c r="H569" s="61">
        <v>13</v>
      </c>
      <c r="I569" s="49">
        <v>1</v>
      </c>
      <c r="J569" s="49">
        <v>0</v>
      </c>
      <c r="K569" s="49">
        <v>1</v>
      </c>
      <c r="L569" s="49">
        <f t="shared" si="169"/>
        <v>15</v>
      </c>
      <c r="M569" s="49">
        <f t="shared" si="161"/>
        <v>6.2068965517241379</v>
      </c>
      <c r="N569" s="62">
        <v>38</v>
      </c>
      <c r="O569" s="49">
        <v>1</v>
      </c>
      <c r="P569" s="49">
        <v>1</v>
      </c>
      <c r="Q569" s="49">
        <v>1</v>
      </c>
      <c r="R569" s="49">
        <v>2</v>
      </c>
      <c r="S569" s="49">
        <f t="shared" ref="S569:S582" si="171">SUM(N569:R569)</f>
        <v>43</v>
      </c>
      <c r="T569" s="49">
        <f t="shared" si="146"/>
        <v>17.793103448275861</v>
      </c>
      <c r="U569" s="62">
        <v>14</v>
      </c>
      <c r="V569" s="49">
        <v>1</v>
      </c>
      <c r="W569" s="49">
        <v>0</v>
      </c>
      <c r="X569" s="49">
        <f t="shared" si="170"/>
        <v>15</v>
      </c>
      <c r="Y569" s="49">
        <f t="shared" si="164"/>
        <v>6.2068965517241379</v>
      </c>
      <c r="Z569" s="49">
        <v>17</v>
      </c>
      <c r="AA569" s="49">
        <v>1</v>
      </c>
      <c r="AB569" s="49">
        <v>0</v>
      </c>
      <c r="AC569" s="49">
        <v>2</v>
      </c>
      <c r="AD569" s="49">
        <f t="shared" si="168"/>
        <v>20</v>
      </c>
      <c r="AE569" s="49">
        <f t="shared" si="165"/>
        <v>8.2758620689655178</v>
      </c>
      <c r="AF569" s="49">
        <f t="shared" si="166"/>
        <v>78</v>
      </c>
      <c r="AG569" s="49">
        <f t="shared" si="166"/>
        <v>32.275862068965516</v>
      </c>
      <c r="AH569" s="49">
        <f t="shared" si="159"/>
        <v>93</v>
      </c>
      <c r="AI569" s="49">
        <f t="shared" si="167"/>
        <v>38.482758620689651</v>
      </c>
      <c r="AJ569" s="86"/>
    </row>
    <row r="570" spans="1:36" s="64" customFormat="1">
      <c r="A570" s="80" t="s">
        <v>22</v>
      </c>
      <c r="B570" s="46" t="s">
        <v>576</v>
      </c>
      <c r="C570" s="75" t="s">
        <v>202</v>
      </c>
      <c r="D570" s="46" t="str">
        <f t="shared" si="160"/>
        <v>M32USMS24SO-.32URXW1(D905)</v>
      </c>
      <c r="E570" s="46" t="s">
        <v>21</v>
      </c>
      <c r="F570" s="46" t="s">
        <v>21</v>
      </c>
      <c r="G570" s="48">
        <v>145</v>
      </c>
      <c r="H570" s="61">
        <v>13</v>
      </c>
      <c r="I570" s="49">
        <v>1</v>
      </c>
      <c r="J570" s="49">
        <v>0</v>
      </c>
      <c r="K570" s="49">
        <v>1</v>
      </c>
      <c r="L570" s="49">
        <f t="shared" si="169"/>
        <v>15</v>
      </c>
      <c r="M570" s="49">
        <f t="shared" si="161"/>
        <v>6.2068965517241379</v>
      </c>
      <c r="N570" s="62">
        <v>38</v>
      </c>
      <c r="O570" s="49">
        <v>1</v>
      </c>
      <c r="P570" s="49">
        <v>1</v>
      </c>
      <c r="Q570" s="49">
        <v>1</v>
      </c>
      <c r="R570" s="49">
        <v>2</v>
      </c>
      <c r="S570" s="49">
        <f t="shared" si="171"/>
        <v>43</v>
      </c>
      <c r="T570" s="49">
        <f t="shared" si="146"/>
        <v>17.793103448275861</v>
      </c>
      <c r="U570" s="62">
        <v>14</v>
      </c>
      <c r="V570" s="49">
        <v>1</v>
      </c>
      <c r="W570" s="49">
        <v>0</v>
      </c>
      <c r="X570" s="49">
        <f t="shared" si="170"/>
        <v>15</v>
      </c>
      <c r="Y570" s="49">
        <f t="shared" si="164"/>
        <v>6.2068965517241379</v>
      </c>
      <c r="Z570" s="49">
        <v>17</v>
      </c>
      <c r="AA570" s="49">
        <v>1</v>
      </c>
      <c r="AB570" s="49">
        <v>0</v>
      </c>
      <c r="AC570" s="49">
        <v>2</v>
      </c>
      <c r="AD570" s="49">
        <f t="shared" si="168"/>
        <v>20</v>
      </c>
      <c r="AE570" s="49">
        <f t="shared" si="165"/>
        <v>8.2758620689655178</v>
      </c>
      <c r="AF570" s="49">
        <f t="shared" si="166"/>
        <v>78</v>
      </c>
      <c r="AG570" s="49">
        <f t="shared" si="166"/>
        <v>32.275862068965516</v>
      </c>
      <c r="AH570" s="49">
        <f t="shared" si="159"/>
        <v>93</v>
      </c>
      <c r="AI570" s="49">
        <f t="shared" si="167"/>
        <v>38.482758620689651</v>
      </c>
      <c r="AJ570" s="85"/>
    </row>
    <row r="571" spans="1:36" s="64" customFormat="1">
      <c r="A571" s="80" t="s">
        <v>22</v>
      </c>
      <c r="B571" s="46" t="s">
        <v>576</v>
      </c>
      <c r="C571" s="75" t="s">
        <v>202</v>
      </c>
      <c r="D571" s="46" t="str">
        <f t="shared" si="160"/>
        <v>M32USMS24SO-.32URXW1(D905)</v>
      </c>
      <c r="E571" s="46" t="s">
        <v>21</v>
      </c>
      <c r="F571" s="46" t="s">
        <v>21</v>
      </c>
      <c r="G571" s="48">
        <v>145</v>
      </c>
      <c r="H571" s="61">
        <v>13</v>
      </c>
      <c r="I571" s="49">
        <v>1</v>
      </c>
      <c r="J571" s="49">
        <v>0</v>
      </c>
      <c r="K571" s="49">
        <v>1</v>
      </c>
      <c r="L571" s="49">
        <f t="shared" si="169"/>
        <v>15</v>
      </c>
      <c r="M571" s="49">
        <f t="shared" si="161"/>
        <v>6.2068965517241379</v>
      </c>
      <c r="N571" s="87">
        <v>38</v>
      </c>
      <c r="O571" s="49">
        <v>1</v>
      </c>
      <c r="P571" s="49">
        <v>1</v>
      </c>
      <c r="Q571" s="49">
        <v>1</v>
      </c>
      <c r="R571" s="49">
        <v>2</v>
      </c>
      <c r="S571" s="49">
        <f t="shared" si="171"/>
        <v>43</v>
      </c>
      <c r="T571" s="49">
        <f t="shared" si="146"/>
        <v>17.793103448275861</v>
      </c>
      <c r="U571" s="62">
        <v>14</v>
      </c>
      <c r="V571" s="49">
        <v>1</v>
      </c>
      <c r="W571" s="49">
        <v>0</v>
      </c>
      <c r="X571" s="49">
        <f t="shared" si="170"/>
        <v>15</v>
      </c>
      <c r="Y571" s="49">
        <f t="shared" si="164"/>
        <v>6.2068965517241379</v>
      </c>
      <c r="Z571" s="49">
        <v>17</v>
      </c>
      <c r="AA571" s="49">
        <v>1</v>
      </c>
      <c r="AB571" s="49">
        <v>0</v>
      </c>
      <c r="AC571" s="49">
        <v>2</v>
      </c>
      <c r="AD571" s="49">
        <f t="shared" si="168"/>
        <v>20</v>
      </c>
      <c r="AE571" s="49">
        <f t="shared" si="165"/>
        <v>8.2758620689655178</v>
      </c>
      <c r="AF571" s="49">
        <f t="shared" si="166"/>
        <v>78</v>
      </c>
      <c r="AG571" s="49">
        <f t="shared" si="166"/>
        <v>32.275862068965516</v>
      </c>
      <c r="AH571" s="49">
        <f t="shared" si="159"/>
        <v>93</v>
      </c>
      <c r="AI571" s="49">
        <f t="shared" si="167"/>
        <v>38.482758620689651</v>
      </c>
      <c r="AJ571" s="85"/>
    </row>
    <row r="572" spans="1:36" s="64" customFormat="1">
      <c r="A572" s="80" t="s">
        <v>22</v>
      </c>
      <c r="B572" s="46" t="s">
        <v>577</v>
      </c>
      <c r="C572" s="75" t="s">
        <v>201</v>
      </c>
      <c r="D572" s="46" t="str">
        <f>C572&amp;"("&amp;F572&amp;")"</f>
        <v>M27USMS24SC-.271QRX1(D905)</v>
      </c>
      <c r="E572" s="46" t="s">
        <v>21</v>
      </c>
      <c r="F572" s="46" t="s">
        <v>21</v>
      </c>
      <c r="G572" s="48">
        <v>145</v>
      </c>
      <c r="H572" s="61">
        <v>13</v>
      </c>
      <c r="I572" s="49">
        <v>1</v>
      </c>
      <c r="J572" s="49">
        <v>0</v>
      </c>
      <c r="K572" s="49">
        <v>1</v>
      </c>
      <c r="L572" s="49">
        <f t="shared" si="169"/>
        <v>15</v>
      </c>
      <c r="M572" s="49">
        <f t="shared" si="161"/>
        <v>6.2068965517241379</v>
      </c>
      <c r="N572" s="81">
        <v>38</v>
      </c>
      <c r="O572" s="49">
        <v>1</v>
      </c>
      <c r="P572" s="49">
        <v>1</v>
      </c>
      <c r="Q572" s="49">
        <v>0</v>
      </c>
      <c r="R572" s="49">
        <v>2</v>
      </c>
      <c r="S572" s="49">
        <f t="shared" si="171"/>
        <v>42</v>
      </c>
      <c r="T572" s="49">
        <f t="shared" si="146"/>
        <v>17.379310344827587</v>
      </c>
      <c r="U572" s="62">
        <v>14</v>
      </c>
      <c r="V572" s="49">
        <v>1</v>
      </c>
      <c r="W572" s="49">
        <v>0</v>
      </c>
      <c r="X572" s="49">
        <f t="shared" si="170"/>
        <v>15</v>
      </c>
      <c r="Y572" s="49">
        <f t="shared" si="164"/>
        <v>6.2068965517241379</v>
      </c>
      <c r="Z572" s="49">
        <v>21</v>
      </c>
      <c r="AA572" s="49">
        <v>1</v>
      </c>
      <c r="AB572" s="49">
        <v>0</v>
      </c>
      <c r="AC572" s="49">
        <v>2</v>
      </c>
      <c r="AD572" s="49">
        <f t="shared" si="168"/>
        <v>24</v>
      </c>
      <c r="AE572" s="49">
        <f t="shared" si="165"/>
        <v>9.931034482758621</v>
      </c>
      <c r="AF572" s="49">
        <f t="shared" si="166"/>
        <v>81</v>
      </c>
      <c r="AG572" s="49">
        <f t="shared" si="166"/>
        <v>33.517241379310349</v>
      </c>
      <c r="AH572" s="49">
        <f>SUM(L572,S572,X572,AD572)</f>
        <v>96</v>
      </c>
      <c r="AI572" s="49">
        <f t="shared" si="167"/>
        <v>39.724137931034484</v>
      </c>
      <c r="AJ572" s="85"/>
    </row>
    <row r="573" spans="1:36" s="64" customFormat="1">
      <c r="A573" s="80" t="s">
        <v>22</v>
      </c>
      <c r="B573" s="46" t="s">
        <v>577</v>
      </c>
      <c r="C573" s="75" t="s">
        <v>228</v>
      </c>
      <c r="D573" s="46" t="str">
        <f>C573&amp;"("&amp;F573&amp;")"</f>
        <v>M27USMS24SC-.271QRX2(D905)</v>
      </c>
      <c r="E573" s="46" t="s">
        <v>21</v>
      </c>
      <c r="F573" s="46" t="s">
        <v>21</v>
      </c>
      <c r="G573" s="48">
        <v>145</v>
      </c>
      <c r="H573" s="61">
        <v>13</v>
      </c>
      <c r="I573" s="49">
        <v>1</v>
      </c>
      <c r="J573" s="49">
        <v>0</v>
      </c>
      <c r="K573" s="49">
        <v>1</v>
      </c>
      <c r="L573" s="49">
        <f t="shared" si="169"/>
        <v>15</v>
      </c>
      <c r="M573" s="49">
        <f t="shared" si="161"/>
        <v>6.2068965517241379</v>
      </c>
      <c r="N573" s="81">
        <v>38</v>
      </c>
      <c r="O573" s="49">
        <v>1</v>
      </c>
      <c r="P573" s="49">
        <v>1</v>
      </c>
      <c r="Q573" s="49">
        <v>0</v>
      </c>
      <c r="R573" s="49">
        <v>2</v>
      </c>
      <c r="S573" s="49">
        <f t="shared" si="171"/>
        <v>42</v>
      </c>
      <c r="T573" s="49">
        <f t="shared" si="146"/>
        <v>17.379310344827587</v>
      </c>
      <c r="U573" s="62">
        <v>14</v>
      </c>
      <c r="V573" s="49">
        <v>1</v>
      </c>
      <c r="W573" s="49">
        <v>0</v>
      </c>
      <c r="X573" s="49">
        <f t="shared" si="170"/>
        <v>15</v>
      </c>
      <c r="Y573" s="49">
        <f t="shared" si="164"/>
        <v>6.2068965517241379</v>
      </c>
      <c r="Z573" s="49">
        <v>21</v>
      </c>
      <c r="AA573" s="49">
        <v>1</v>
      </c>
      <c r="AB573" s="49">
        <v>0</v>
      </c>
      <c r="AC573" s="49">
        <v>2</v>
      </c>
      <c r="AD573" s="49">
        <f t="shared" si="168"/>
        <v>24</v>
      </c>
      <c r="AE573" s="49">
        <f t="shared" si="165"/>
        <v>9.931034482758621</v>
      </c>
      <c r="AF573" s="49">
        <f t="shared" si="166"/>
        <v>81</v>
      </c>
      <c r="AG573" s="49">
        <f t="shared" si="166"/>
        <v>33.517241379310349</v>
      </c>
      <c r="AH573" s="49">
        <f>SUM(L573,S573,X573,AD573)</f>
        <v>96</v>
      </c>
      <c r="AI573" s="49">
        <f t="shared" si="167"/>
        <v>39.724137931034484</v>
      </c>
      <c r="AJ573" s="85"/>
    </row>
    <row r="574" spans="1:36" s="64" customFormat="1">
      <c r="A574" s="80" t="s">
        <v>22</v>
      </c>
      <c r="B574" s="46" t="s">
        <v>578</v>
      </c>
      <c r="C574" s="75" t="s">
        <v>203</v>
      </c>
      <c r="D574" s="46" t="str">
        <f>C574&amp;"("&amp;F574&amp;")"</f>
        <v>M27USMS24SO-.272URX1(D905)</v>
      </c>
      <c r="E574" s="46" t="s">
        <v>21</v>
      </c>
      <c r="F574" s="46" t="s">
        <v>21</v>
      </c>
      <c r="G574" s="48">
        <v>145</v>
      </c>
      <c r="H574" s="61">
        <v>13</v>
      </c>
      <c r="I574" s="49">
        <v>1</v>
      </c>
      <c r="J574" s="49">
        <v>0</v>
      </c>
      <c r="K574" s="49">
        <v>1</v>
      </c>
      <c r="L574" s="49">
        <f t="shared" si="169"/>
        <v>15</v>
      </c>
      <c r="M574" s="49">
        <f t="shared" si="161"/>
        <v>6.2068965517241379</v>
      </c>
      <c r="N574" s="81">
        <v>38</v>
      </c>
      <c r="O574" s="49">
        <v>1</v>
      </c>
      <c r="P574" s="49">
        <v>1</v>
      </c>
      <c r="Q574" s="49">
        <v>0</v>
      </c>
      <c r="R574" s="49">
        <v>2</v>
      </c>
      <c r="S574" s="49">
        <f t="shared" si="171"/>
        <v>42</v>
      </c>
      <c r="T574" s="49">
        <f t="shared" si="146"/>
        <v>17.379310344827587</v>
      </c>
      <c r="U574" s="62">
        <v>14</v>
      </c>
      <c r="V574" s="49">
        <v>1</v>
      </c>
      <c r="W574" s="49">
        <v>0</v>
      </c>
      <c r="X574" s="49">
        <f t="shared" si="170"/>
        <v>15</v>
      </c>
      <c r="Y574" s="49">
        <f t="shared" si="164"/>
        <v>6.2068965517241379</v>
      </c>
      <c r="Z574" s="49">
        <v>18</v>
      </c>
      <c r="AA574" s="49">
        <v>1</v>
      </c>
      <c r="AB574" s="49">
        <v>0</v>
      </c>
      <c r="AC574" s="49">
        <v>2</v>
      </c>
      <c r="AD574" s="49">
        <f t="shared" si="168"/>
        <v>21</v>
      </c>
      <c r="AE574" s="49">
        <f t="shared" si="165"/>
        <v>8.6896551724137936</v>
      </c>
      <c r="AF574" s="49">
        <f t="shared" ref="AF574:AG581" si="172">SUM(S574,X574,AD574)</f>
        <v>78</v>
      </c>
      <c r="AG574" s="49">
        <f t="shared" si="172"/>
        <v>32.275862068965523</v>
      </c>
      <c r="AH574" s="49">
        <f>SUM(L574,S574,X574,AD574)</f>
        <v>93</v>
      </c>
      <c r="AI574" s="49">
        <f t="shared" si="167"/>
        <v>38.482758620689658</v>
      </c>
      <c r="AJ574" s="85"/>
    </row>
    <row r="575" spans="1:36" s="64" customFormat="1">
      <c r="A575" s="80" t="s">
        <v>22</v>
      </c>
      <c r="B575" s="46" t="s">
        <v>578</v>
      </c>
      <c r="C575" s="75" t="s">
        <v>229</v>
      </c>
      <c r="D575" s="46" t="str">
        <f>C575&amp;"("&amp;F575&amp;")"</f>
        <v>M27USMS24SO-.272URX2(D905)</v>
      </c>
      <c r="E575" s="46" t="s">
        <v>21</v>
      </c>
      <c r="F575" s="46" t="s">
        <v>21</v>
      </c>
      <c r="G575" s="48">
        <v>145</v>
      </c>
      <c r="H575" s="61">
        <v>13</v>
      </c>
      <c r="I575" s="49">
        <v>1</v>
      </c>
      <c r="J575" s="49">
        <v>0</v>
      </c>
      <c r="K575" s="49">
        <v>1</v>
      </c>
      <c r="L575" s="49">
        <f t="shared" si="169"/>
        <v>15</v>
      </c>
      <c r="M575" s="49">
        <f t="shared" si="161"/>
        <v>6.2068965517241379</v>
      </c>
      <c r="N575" s="81">
        <v>38</v>
      </c>
      <c r="O575" s="49">
        <v>1</v>
      </c>
      <c r="P575" s="49">
        <v>1</v>
      </c>
      <c r="Q575" s="49">
        <v>0</v>
      </c>
      <c r="R575" s="49">
        <v>2</v>
      </c>
      <c r="S575" s="49">
        <f t="shared" si="171"/>
        <v>42</v>
      </c>
      <c r="T575" s="49">
        <f t="shared" si="146"/>
        <v>17.379310344827587</v>
      </c>
      <c r="U575" s="62">
        <v>14</v>
      </c>
      <c r="V575" s="49">
        <v>1</v>
      </c>
      <c r="W575" s="49">
        <v>0</v>
      </c>
      <c r="X575" s="49">
        <f t="shared" si="170"/>
        <v>15</v>
      </c>
      <c r="Y575" s="49">
        <f t="shared" si="164"/>
        <v>6.2068965517241379</v>
      </c>
      <c r="Z575" s="49">
        <v>18</v>
      </c>
      <c r="AA575" s="49">
        <v>1</v>
      </c>
      <c r="AB575" s="49">
        <v>0</v>
      </c>
      <c r="AC575" s="49">
        <v>2</v>
      </c>
      <c r="AD575" s="49">
        <f t="shared" si="168"/>
        <v>21</v>
      </c>
      <c r="AE575" s="49">
        <f t="shared" si="165"/>
        <v>8.6896551724137936</v>
      </c>
      <c r="AF575" s="49">
        <f t="shared" si="172"/>
        <v>78</v>
      </c>
      <c r="AG575" s="49">
        <f t="shared" si="172"/>
        <v>32.275862068965523</v>
      </c>
      <c r="AH575" s="49">
        <f>SUM(L575,S575,X575,AD575)</f>
        <v>93</v>
      </c>
      <c r="AI575" s="49">
        <f t="shared" si="167"/>
        <v>38.482758620689658</v>
      </c>
      <c r="AJ575" s="85"/>
    </row>
    <row r="576" spans="1:36" s="64" customFormat="1">
      <c r="A576" s="80" t="s">
        <v>22</v>
      </c>
      <c r="B576" s="46" t="s">
        <v>579</v>
      </c>
      <c r="C576" s="75" t="s">
        <v>221</v>
      </c>
      <c r="D576" s="46" t="str">
        <f t="shared" si="160"/>
        <v>M32USMS24SO-.322URX1(D905)</v>
      </c>
      <c r="E576" s="46" t="s">
        <v>21</v>
      </c>
      <c r="F576" s="46" t="s">
        <v>21</v>
      </c>
      <c r="G576" s="48">
        <v>145</v>
      </c>
      <c r="H576" s="61">
        <v>13</v>
      </c>
      <c r="I576" s="49">
        <v>1</v>
      </c>
      <c r="J576" s="49">
        <v>0</v>
      </c>
      <c r="K576" s="49">
        <v>1</v>
      </c>
      <c r="L576" s="49">
        <f t="shared" si="169"/>
        <v>15</v>
      </c>
      <c r="M576" s="49">
        <f t="shared" si="161"/>
        <v>6.2068965517241379</v>
      </c>
      <c r="N576" s="62">
        <v>31</v>
      </c>
      <c r="O576" s="49">
        <v>1</v>
      </c>
      <c r="P576" s="49">
        <v>1</v>
      </c>
      <c r="Q576" s="49">
        <v>0</v>
      </c>
      <c r="R576" s="49">
        <v>2</v>
      </c>
      <c r="S576" s="49">
        <f t="shared" si="171"/>
        <v>35</v>
      </c>
      <c r="T576" s="49">
        <f t="shared" si="146"/>
        <v>14.482758620689655</v>
      </c>
      <c r="U576" s="62">
        <v>14</v>
      </c>
      <c r="V576" s="49">
        <v>1</v>
      </c>
      <c r="W576" s="49">
        <v>0</v>
      </c>
      <c r="X576" s="49">
        <f t="shared" si="170"/>
        <v>15</v>
      </c>
      <c r="Y576" s="49">
        <f t="shared" si="164"/>
        <v>6.2068965517241379</v>
      </c>
      <c r="Z576" s="49">
        <v>20</v>
      </c>
      <c r="AA576" s="49">
        <v>1</v>
      </c>
      <c r="AB576" s="49">
        <v>0</v>
      </c>
      <c r="AC576" s="49">
        <v>2</v>
      </c>
      <c r="AD576" s="49">
        <v>20</v>
      </c>
      <c r="AE576" s="49">
        <f t="shared" si="165"/>
        <v>8.2758620689655178</v>
      </c>
      <c r="AF576" s="49">
        <f t="shared" si="172"/>
        <v>70</v>
      </c>
      <c r="AG576" s="49">
        <f t="shared" si="172"/>
        <v>28.96551724137931</v>
      </c>
      <c r="AH576" s="49">
        <f t="shared" si="159"/>
        <v>85</v>
      </c>
      <c r="AI576" s="49">
        <f t="shared" si="167"/>
        <v>35.172413793103445</v>
      </c>
      <c r="AJ576" s="85"/>
    </row>
    <row r="577" spans="1:36" s="64" customFormat="1">
      <c r="A577" s="80" t="s">
        <v>22</v>
      </c>
      <c r="B577" s="46" t="s">
        <v>580</v>
      </c>
      <c r="C577" s="75" t="s">
        <v>206</v>
      </c>
      <c r="D577" s="46" t="str">
        <f t="shared" si="160"/>
        <v>M27USMS24SQ-.272QPW1(D905)</v>
      </c>
      <c r="E577" s="46" t="s">
        <v>21</v>
      </c>
      <c r="F577" s="46" t="s">
        <v>21</v>
      </c>
      <c r="G577" s="48">
        <v>145</v>
      </c>
      <c r="H577" s="61">
        <v>13</v>
      </c>
      <c r="I577" s="49">
        <v>1</v>
      </c>
      <c r="J577" s="49">
        <v>0</v>
      </c>
      <c r="K577" s="49">
        <v>1</v>
      </c>
      <c r="L577" s="49">
        <f t="shared" si="169"/>
        <v>15</v>
      </c>
      <c r="M577" s="49">
        <f t="shared" si="161"/>
        <v>6.2068965517241379</v>
      </c>
      <c r="N577" s="81">
        <v>34</v>
      </c>
      <c r="O577" s="49">
        <v>1</v>
      </c>
      <c r="P577" s="49">
        <v>1</v>
      </c>
      <c r="Q577" s="49">
        <v>0</v>
      </c>
      <c r="R577" s="49">
        <v>2</v>
      </c>
      <c r="S577" s="49">
        <f t="shared" si="171"/>
        <v>38</v>
      </c>
      <c r="T577" s="49">
        <f t="shared" si="146"/>
        <v>15.724137931034482</v>
      </c>
      <c r="U577" s="62">
        <v>14</v>
      </c>
      <c r="V577" s="49">
        <v>1</v>
      </c>
      <c r="W577" s="49">
        <v>0</v>
      </c>
      <c r="X577" s="49">
        <f t="shared" ref="X577:X582" si="173">SUM(U577:W577)</f>
        <v>15</v>
      </c>
      <c r="Y577" s="49">
        <f t="shared" si="164"/>
        <v>6.2068965517241379</v>
      </c>
      <c r="Z577" s="49">
        <v>20</v>
      </c>
      <c r="AA577" s="49">
        <v>1</v>
      </c>
      <c r="AB577" s="49">
        <v>0</v>
      </c>
      <c r="AC577" s="49">
        <v>2</v>
      </c>
      <c r="AD577" s="49">
        <v>20</v>
      </c>
      <c r="AE577" s="49">
        <f t="shared" si="165"/>
        <v>8.2758620689655178</v>
      </c>
      <c r="AF577" s="49">
        <f t="shared" si="172"/>
        <v>73</v>
      </c>
      <c r="AG577" s="49">
        <f t="shared" si="172"/>
        <v>30.206896551724135</v>
      </c>
      <c r="AH577" s="49">
        <f t="shared" si="159"/>
        <v>88</v>
      </c>
      <c r="AI577" s="49">
        <f t="shared" si="167"/>
        <v>36.41379310344827</v>
      </c>
      <c r="AJ577" s="85"/>
    </row>
    <row r="578" spans="1:36" s="64" customFormat="1">
      <c r="A578" s="80" t="s">
        <v>22</v>
      </c>
      <c r="B578" s="46" t="s">
        <v>581</v>
      </c>
      <c r="C578" s="75" t="s">
        <v>205</v>
      </c>
      <c r="D578" s="46" t="str">
        <f t="shared" si="160"/>
        <v>M27USMS24SQ-.272QPX1(D905)</v>
      </c>
      <c r="E578" s="46" t="s">
        <v>21</v>
      </c>
      <c r="F578" s="46" t="s">
        <v>21</v>
      </c>
      <c r="G578" s="48">
        <v>145</v>
      </c>
      <c r="H578" s="61">
        <v>13</v>
      </c>
      <c r="I578" s="49">
        <v>1</v>
      </c>
      <c r="J578" s="49">
        <v>0</v>
      </c>
      <c r="K578" s="49">
        <v>1</v>
      </c>
      <c r="L578" s="49">
        <f t="shared" si="169"/>
        <v>15</v>
      </c>
      <c r="M578" s="49">
        <f t="shared" si="161"/>
        <v>6.2068965517241379</v>
      </c>
      <c r="N578" s="81">
        <v>34</v>
      </c>
      <c r="O578" s="49">
        <v>1</v>
      </c>
      <c r="P578" s="49">
        <v>1</v>
      </c>
      <c r="Q578" s="49">
        <v>0</v>
      </c>
      <c r="R578" s="49">
        <v>2</v>
      </c>
      <c r="S578" s="49">
        <f t="shared" si="171"/>
        <v>38</v>
      </c>
      <c r="T578" s="49">
        <f t="shared" si="146"/>
        <v>15.724137931034482</v>
      </c>
      <c r="U578" s="62">
        <v>14</v>
      </c>
      <c r="V578" s="49">
        <v>1</v>
      </c>
      <c r="W578" s="49">
        <v>0</v>
      </c>
      <c r="X578" s="49">
        <f t="shared" si="173"/>
        <v>15</v>
      </c>
      <c r="Y578" s="49">
        <f t="shared" si="164"/>
        <v>6.2068965517241379</v>
      </c>
      <c r="Z578" s="49">
        <v>20</v>
      </c>
      <c r="AA578" s="49">
        <v>1</v>
      </c>
      <c r="AB578" s="49">
        <v>0</v>
      </c>
      <c r="AC578" s="49">
        <v>2</v>
      </c>
      <c r="AD578" s="49">
        <v>20</v>
      </c>
      <c r="AE578" s="49">
        <f t="shared" si="165"/>
        <v>8.2758620689655178</v>
      </c>
      <c r="AF578" s="49">
        <f t="shared" si="172"/>
        <v>73</v>
      </c>
      <c r="AG578" s="49">
        <f t="shared" si="172"/>
        <v>30.206896551724135</v>
      </c>
      <c r="AH578" s="49">
        <f t="shared" si="159"/>
        <v>88</v>
      </c>
      <c r="AI578" s="49">
        <f t="shared" si="167"/>
        <v>36.41379310344827</v>
      </c>
      <c r="AJ578" s="85"/>
    </row>
    <row r="579" spans="1:36" s="64" customFormat="1">
      <c r="A579" s="80" t="s">
        <v>22</v>
      </c>
      <c r="B579" s="46" t="s">
        <v>582</v>
      </c>
      <c r="C579" s="75" t="s">
        <v>204</v>
      </c>
      <c r="D579" s="46" t="str">
        <f t="shared" si="160"/>
        <v>M27USMS24SO-.272UPX1(D905)</v>
      </c>
      <c r="E579" s="46" t="s">
        <v>21</v>
      </c>
      <c r="F579" s="46" t="s">
        <v>21</v>
      </c>
      <c r="G579" s="48">
        <v>145</v>
      </c>
      <c r="H579" s="61">
        <v>13</v>
      </c>
      <c r="I579" s="49">
        <v>1</v>
      </c>
      <c r="J579" s="49">
        <v>0</v>
      </c>
      <c r="K579" s="49">
        <v>1</v>
      </c>
      <c r="L579" s="49">
        <f t="shared" ref="L579:L593" si="174">SUM(H579:K579)</f>
        <v>15</v>
      </c>
      <c r="M579" s="49">
        <f t="shared" si="161"/>
        <v>6.2068965517241379</v>
      </c>
      <c r="N579" s="62">
        <v>31</v>
      </c>
      <c r="O579" s="49">
        <v>1</v>
      </c>
      <c r="P579" s="49">
        <v>1</v>
      </c>
      <c r="Q579" s="49">
        <v>0</v>
      </c>
      <c r="R579" s="49">
        <v>2</v>
      </c>
      <c r="S579" s="49">
        <f t="shared" si="171"/>
        <v>35</v>
      </c>
      <c r="T579" s="49">
        <f t="shared" si="146"/>
        <v>14.482758620689655</v>
      </c>
      <c r="U579" s="62">
        <v>14</v>
      </c>
      <c r="V579" s="49">
        <v>1</v>
      </c>
      <c r="W579" s="49">
        <v>0</v>
      </c>
      <c r="X579" s="49">
        <f t="shared" si="173"/>
        <v>15</v>
      </c>
      <c r="Y579" s="49">
        <f t="shared" si="164"/>
        <v>6.2068965517241379</v>
      </c>
      <c r="Z579" s="49">
        <v>19</v>
      </c>
      <c r="AA579" s="49">
        <v>1</v>
      </c>
      <c r="AB579" s="49">
        <v>0</v>
      </c>
      <c r="AC579" s="49">
        <v>2</v>
      </c>
      <c r="AD579" s="49">
        <v>20</v>
      </c>
      <c r="AE579" s="49">
        <f t="shared" si="165"/>
        <v>8.2758620689655178</v>
      </c>
      <c r="AF579" s="49">
        <f t="shared" si="172"/>
        <v>70</v>
      </c>
      <c r="AG579" s="49">
        <f t="shared" si="172"/>
        <v>28.96551724137931</v>
      </c>
      <c r="AH579" s="49">
        <f t="shared" si="159"/>
        <v>85</v>
      </c>
      <c r="AI579" s="49">
        <f t="shared" si="167"/>
        <v>35.172413793103445</v>
      </c>
      <c r="AJ579" s="85"/>
    </row>
    <row r="580" spans="1:36" s="64" customFormat="1">
      <c r="A580" s="80" t="s">
        <v>22</v>
      </c>
      <c r="B580" s="88" t="s">
        <v>583</v>
      </c>
      <c r="C580" s="75" t="s">
        <v>235</v>
      </c>
      <c r="D580" s="46" t="str">
        <f t="shared" si="160"/>
        <v>M32USMS22AO-.CUPDF01(D905)</v>
      </c>
      <c r="E580" s="46" t="s">
        <v>21</v>
      </c>
      <c r="F580" s="46" t="s">
        <v>21</v>
      </c>
      <c r="G580" s="48">
        <v>160</v>
      </c>
      <c r="H580" s="61">
        <v>21</v>
      </c>
      <c r="I580" s="49">
        <v>1</v>
      </c>
      <c r="J580" s="49">
        <v>1</v>
      </c>
      <c r="K580" s="49">
        <v>3</v>
      </c>
      <c r="L580" s="49">
        <f t="shared" si="174"/>
        <v>26</v>
      </c>
      <c r="M580" s="49">
        <f t="shared" si="161"/>
        <v>9.75</v>
      </c>
      <c r="N580" s="62">
        <v>29</v>
      </c>
      <c r="O580" s="49">
        <v>1</v>
      </c>
      <c r="P580" s="49">
        <v>1</v>
      </c>
      <c r="Q580" s="49">
        <v>1</v>
      </c>
      <c r="R580" s="49">
        <v>2</v>
      </c>
      <c r="S580" s="49">
        <f t="shared" si="171"/>
        <v>34</v>
      </c>
      <c r="T580" s="49">
        <f t="shared" si="146"/>
        <v>12.75</v>
      </c>
      <c r="U580" s="62">
        <v>18</v>
      </c>
      <c r="V580" s="49">
        <v>1</v>
      </c>
      <c r="W580" s="49">
        <v>0</v>
      </c>
      <c r="X580" s="49">
        <f t="shared" si="173"/>
        <v>19</v>
      </c>
      <c r="Y580" s="49">
        <f t="shared" si="164"/>
        <v>7.125</v>
      </c>
      <c r="Z580" s="49">
        <v>17</v>
      </c>
      <c r="AA580" s="49">
        <v>1</v>
      </c>
      <c r="AB580" s="49">
        <v>0</v>
      </c>
      <c r="AC580" s="49">
        <v>2</v>
      </c>
      <c r="AD580" s="49">
        <f>SUM(Z580:AC580)</f>
        <v>20</v>
      </c>
      <c r="AE580" s="49">
        <f t="shared" si="165"/>
        <v>7.5</v>
      </c>
      <c r="AF580" s="49">
        <f t="shared" si="172"/>
        <v>73</v>
      </c>
      <c r="AG580" s="49">
        <f t="shared" si="172"/>
        <v>27.375</v>
      </c>
      <c r="AH580" s="49">
        <f t="shared" si="159"/>
        <v>99</v>
      </c>
      <c r="AI580" s="49">
        <f t="shared" si="167"/>
        <v>37.125</v>
      </c>
      <c r="AJ580" s="85">
        <f>AI580/AH580</f>
        <v>0.375</v>
      </c>
    </row>
    <row r="581" spans="1:36" s="64" customFormat="1">
      <c r="A581" s="80" t="s">
        <v>22</v>
      </c>
      <c r="B581" s="46" t="s">
        <v>584</v>
      </c>
      <c r="C581" s="75" t="s">
        <v>585</v>
      </c>
      <c r="D581" s="46" t="str">
        <f t="shared" si="160"/>
        <v>M27USGG24SO-.MO27U21(D905)</v>
      </c>
      <c r="E581" s="46" t="s">
        <v>21</v>
      </c>
      <c r="F581" s="46" t="s">
        <v>21</v>
      </c>
      <c r="G581" s="48">
        <v>120</v>
      </c>
      <c r="H581" s="61">
        <v>12</v>
      </c>
      <c r="I581" s="49">
        <v>1</v>
      </c>
      <c r="J581" s="49">
        <v>0</v>
      </c>
      <c r="K581" s="49">
        <v>1</v>
      </c>
      <c r="L581" s="49">
        <f t="shared" si="174"/>
        <v>14</v>
      </c>
      <c r="M581" s="49">
        <f t="shared" si="161"/>
        <v>7</v>
      </c>
      <c r="N581" s="62">
        <v>31</v>
      </c>
      <c r="O581" s="49">
        <v>1</v>
      </c>
      <c r="P581" s="49">
        <v>1</v>
      </c>
      <c r="Q581" s="49">
        <v>1</v>
      </c>
      <c r="R581" s="49">
        <v>2</v>
      </c>
      <c r="S581" s="49">
        <f t="shared" si="171"/>
        <v>36</v>
      </c>
      <c r="T581" s="49">
        <f t="shared" si="146"/>
        <v>18</v>
      </c>
      <c r="U581" s="62">
        <v>14</v>
      </c>
      <c r="V581" s="49">
        <v>1</v>
      </c>
      <c r="W581" s="49">
        <v>0</v>
      </c>
      <c r="X581" s="49">
        <f t="shared" si="173"/>
        <v>15</v>
      </c>
      <c r="Y581" s="49">
        <f t="shared" si="164"/>
        <v>7.5</v>
      </c>
      <c r="Z581" s="49">
        <v>17</v>
      </c>
      <c r="AA581" s="49">
        <v>1</v>
      </c>
      <c r="AB581" s="49">
        <v>0</v>
      </c>
      <c r="AC581" s="49">
        <v>2</v>
      </c>
      <c r="AD581" s="49">
        <f>SUM(Z581:AC581)</f>
        <v>20</v>
      </c>
      <c r="AE581" s="49">
        <f t="shared" si="165"/>
        <v>10</v>
      </c>
      <c r="AF581" s="49">
        <f t="shared" si="172"/>
        <v>71</v>
      </c>
      <c r="AG581" s="49">
        <f t="shared" si="172"/>
        <v>35.5</v>
      </c>
      <c r="AH581" s="49">
        <f t="shared" si="159"/>
        <v>85</v>
      </c>
      <c r="AI581" s="49">
        <f t="shared" si="167"/>
        <v>42.5</v>
      </c>
      <c r="AJ581" s="85"/>
    </row>
    <row r="582" spans="1:36" s="64" customFormat="1">
      <c r="A582" s="80" t="s">
        <v>22</v>
      </c>
      <c r="B582" s="46" t="s">
        <v>565</v>
      </c>
      <c r="C582" s="75" t="s">
        <v>178</v>
      </c>
      <c r="D582" s="46" t="str">
        <f>C582&amp;"("&amp;F582&amp;")"</f>
        <v>M27USAS22AQ-.VG27N51(D901)</v>
      </c>
      <c r="E582" s="46" t="s">
        <v>7</v>
      </c>
      <c r="F582" s="46" t="s">
        <v>7</v>
      </c>
      <c r="G582" s="48">
        <v>160</v>
      </c>
      <c r="H582" s="61">
        <v>19</v>
      </c>
      <c r="I582" s="49">
        <v>1</v>
      </c>
      <c r="J582" s="49">
        <v>1</v>
      </c>
      <c r="K582" s="49">
        <v>3</v>
      </c>
      <c r="L582" s="49">
        <f t="shared" si="174"/>
        <v>24</v>
      </c>
      <c r="M582" s="49">
        <f>60*L582/G582</f>
        <v>9</v>
      </c>
      <c r="N582" s="62">
        <v>33</v>
      </c>
      <c r="O582" s="49">
        <v>1</v>
      </c>
      <c r="P582" s="49">
        <v>1</v>
      </c>
      <c r="Q582" s="49">
        <v>1</v>
      </c>
      <c r="R582" s="49">
        <v>2</v>
      </c>
      <c r="S582" s="49">
        <f t="shared" si="171"/>
        <v>38</v>
      </c>
      <c r="T582" s="49">
        <f t="shared" si="146"/>
        <v>14.25</v>
      </c>
      <c r="U582" s="62">
        <v>14</v>
      </c>
      <c r="V582" s="49">
        <v>1</v>
      </c>
      <c r="W582" s="49">
        <v>0</v>
      </c>
      <c r="X582" s="49">
        <f t="shared" si="173"/>
        <v>15</v>
      </c>
      <c r="Y582" s="49">
        <f>60*X582/G582</f>
        <v>5.625</v>
      </c>
      <c r="Z582" s="49">
        <v>20</v>
      </c>
      <c r="AA582" s="49">
        <v>1</v>
      </c>
      <c r="AB582" s="49">
        <v>0</v>
      </c>
      <c r="AC582" s="49">
        <v>2</v>
      </c>
      <c r="AD582" s="49">
        <f t="shared" ref="AD582:AD588" si="175">SUM(Z582:AC582)</f>
        <v>23</v>
      </c>
      <c r="AE582" s="49">
        <f>60*AD582/G582</f>
        <v>8.625</v>
      </c>
      <c r="AF582" s="49">
        <f>SUM(S582,X582,AD582)</f>
        <v>76</v>
      </c>
      <c r="AG582" s="49">
        <f>SUM(T582,Y582,AE582)</f>
        <v>28.5</v>
      </c>
      <c r="AH582" s="49">
        <f t="shared" si="159"/>
        <v>100</v>
      </c>
      <c r="AI582" s="49">
        <f>SUM(M582,AG582)</f>
        <v>37.5</v>
      </c>
      <c r="AJ582" s="63">
        <f>AI582/AH582</f>
        <v>0.375</v>
      </c>
    </row>
    <row r="583" spans="1:36" s="64" customFormat="1">
      <c r="A583" s="80" t="s">
        <v>22</v>
      </c>
      <c r="B583" s="46" t="s">
        <v>566</v>
      </c>
      <c r="C583" s="75" t="s">
        <v>188</v>
      </c>
      <c r="D583" s="46" t="str">
        <f t="shared" ref="D583:D593" si="176">C583&amp;"("&amp;F583&amp;")"</f>
        <v>M32USAS22EQ-.G32WCS1(D901)</v>
      </c>
      <c r="E583" s="46" t="s">
        <v>7</v>
      </c>
      <c r="F583" s="46" t="s">
        <v>7</v>
      </c>
      <c r="G583" s="48">
        <v>160</v>
      </c>
      <c r="H583" s="61">
        <v>21</v>
      </c>
      <c r="I583" s="49">
        <v>1</v>
      </c>
      <c r="J583" s="49">
        <v>1</v>
      </c>
      <c r="K583" s="49">
        <v>3</v>
      </c>
      <c r="L583" s="49">
        <f t="shared" si="174"/>
        <v>26</v>
      </c>
      <c r="M583" s="49">
        <f t="shared" ref="M583:M615" si="177">60*L583/G583</f>
        <v>9.75</v>
      </c>
      <c r="N583" s="62">
        <v>29</v>
      </c>
      <c r="O583" s="49">
        <v>1</v>
      </c>
      <c r="P583" s="49">
        <v>1</v>
      </c>
      <c r="Q583" s="49">
        <v>1</v>
      </c>
      <c r="R583" s="49">
        <v>2</v>
      </c>
      <c r="S583" s="49">
        <f t="shared" ref="S583:S594" si="178">SUM(N583:R583)</f>
        <v>34</v>
      </c>
      <c r="T583" s="49">
        <f t="shared" si="146"/>
        <v>12.75</v>
      </c>
      <c r="U583" s="62">
        <v>18</v>
      </c>
      <c r="V583" s="49">
        <v>1</v>
      </c>
      <c r="W583" s="49">
        <v>0</v>
      </c>
      <c r="X583" s="49">
        <f t="shared" ref="X583:X590" si="179">SUM(U583:W583)</f>
        <v>19</v>
      </c>
      <c r="Y583" s="49">
        <f t="shared" ref="Y583:Y615" si="180">60*X583/G583</f>
        <v>7.125</v>
      </c>
      <c r="Z583" s="49">
        <v>17</v>
      </c>
      <c r="AA583" s="49">
        <v>1</v>
      </c>
      <c r="AB583" s="49">
        <v>0</v>
      </c>
      <c r="AC583" s="49">
        <v>2</v>
      </c>
      <c r="AD583" s="49">
        <f t="shared" si="175"/>
        <v>20</v>
      </c>
      <c r="AE583" s="49">
        <f t="shared" ref="AE583:AE615" si="181">60*AD583/G583</f>
        <v>7.5</v>
      </c>
      <c r="AF583" s="49">
        <f t="shared" ref="AF583:AG605" si="182">SUM(S583,X583,AD583)</f>
        <v>73</v>
      </c>
      <c r="AG583" s="49">
        <f t="shared" si="182"/>
        <v>27.375</v>
      </c>
      <c r="AH583" s="49">
        <f t="shared" si="159"/>
        <v>99</v>
      </c>
      <c r="AI583" s="49">
        <f t="shared" ref="AI583:AI615" si="183">SUM(M583,AG583)</f>
        <v>37.125</v>
      </c>
      <c r="AJ583" s="63">
        <f>AI583/AH583</f>
        <v>0.375</v>
      </c>
    </row>
    <row r="584" spans="1:36" s="64" customFormat="1">
      <c r="A584" s="80" t="s">
        <v>22</v>
      </c>
      <c r="B584" s="46" t="s">
        <v>567</v>
      </c>
      <c r="C584" s="75" t="s">
        <v>191</v>
      </c>
      <c r="D584" s="46" t="str">
        <f t="shared" si="176"/>
        <v>M32USAS22EQ-.32WCMS1(D901)</v>
      </c>
      <c r="E584" s="46" t="s">
        <v>7</v>
      </c>
      <c r="F584" s="46" t="s">
        <v>7</v>
      </c>
      <c r="G584" s="48">
        <v>160</v>
      </c>
      <c r="H584" s="61">
        <v>21</v>
      </c>
      <c r="I584" s="49">
        <v>1</v>
      </c>
      <c r="J584" s="49">
        <v>1</v>
      </c>
      <c r="K584" s="49">
        <v>3</v>
      </c>
      <c r="L584" s="49">
        <f t="shared" si="174"/>
        <v>26</v>
      </c>
      <c r="M584" s="49">
        <f t="shared" si="177"/>
        <v>9.75</v>
      </c>
      <c r="N584" s="62">
        <v>29</v>
      </c>
      <c r="O584" s="49">
        <v>1</v>
      </c>
      <c r="P584" s="49">
        <v>1</v>
      </c>
      <c r="Q584" s="49">
        <v>1</v>
      </c>
      <c r="R584" s="49">
        <v>2</v>
      </c>
      <c r="S584" s="49">
        <f t="shared" si="178"/>
        <v>34</v>
      </c>
      <c r="T584" s="49">
        <f t="shared" si="146"/>
        <v>12.75</v>
      </c>
      <c r="U584" s="62">
        <v>18</v>
      </c>
      <c r="V584" s="49">
        <v>1</v>
      </c>
      <c r="W584" s="49">
        <v>0</v>
      </c>
      <c r="X584" s="49">
        <f t="shared" si="179"/>
        <v>19</v>
      </c>
      <c r="Y584" s="49">
        <f t="shared" si="180"/>
        <v>7.125</v>
      </c>
      <c r="Z584" s="49">
        <v>17</v>
      </c>
      <c r="AA584" s="49">
        <v>1</v>
      </c>
      <c r="AB584" s="49">
        <v>0</v>
      </c>
      <c r="AC584" s="49">
        <v>2</v>
      </c>
      <c r="AD584" s="49">
        <f t="shared" si="175"/>
        <v>20</v>
      </c>
      <c r="AE584" s="49">
        <f t="shared" si="181"/>
        <v>7.5</v>
      </c>
      <c r="AF584" s="49">
        <f t="shared" si="182"/>
        <v>73</v>
      </c>
      <c r="AG584" s="49">
        <f t="shared" si="182"/>
        <v>27.375</v>
      </c>
      <c r="AH584" s="49">
        <f t="shared" si="159"/>
        <v>99</v>
      </c>
      <c r="AI584" s="49">
        <f t="shared" si="183"/>
        <v>37.125</v>
      </c>
      <c r="AJ584" s="63">
        <f>AI584/AH584</f>
        <v>0.375</v>
      </c>
    </row>
    <row r="585" spans="1:36" s="64" customFormat="1">
      <c r="A585" s="80" t="s">
        <v>22</v>
      </c>
      <c r="B585" s="46" t="s">
        <v>568</v>
      </c>
      <c r="C585" s="75" t="s">
        <v>164</v>
      </c>
      <c r="D585" s="46" t="str">
        <f t="shared" si="176"/>
        <v>M27USAS24SO-.XG27UC1(D901)</v>
      </c>
      <c r="E585" s="46" t="s">
        <v>7</v>
      </c>
      <c r="F585" s="46" t="s">
        <v>7</v>
      </c>
      <c r="G585" s="48">
        <v>100</v>
      </c>
      <c r="H585" s="61">
        <v>17</v>
      </c>
      <c r="I585" s="49">
        <v>1</v>
      </c>
      <c r="J585" s="49">
        <v>0</v>
      </c>
      <c r="K585" s="49">
        <v>1</v>
      </c>
      <c r="L585" s="49">
        <f t="shared" si="174"/>
        <v>19</v>
      </c>
      <c r="M585" s="49">
        <f t="shared" si="177"/>
        <v>11.4</v>
      </c>
      <c r="N585" s="81">
        <v>31</v>
      </c>
      <c r="O585" s="49">
        <v>1</v>
      </c>
      <c r="P585" s="49">
        <v>1</v>
      </c>
      <c r="Q585" s="49">
        <v>1</v>
      </c>
      <c r="R585" s="49">
        <v>2</v>
      </c>
      <c r="S585" s="49">
        <f t="shared" si="178"/>
        <v>36</v>
      </c>
      <c r="T585" s="49">
        <f t="shared" si="146"/>
        <v>21.6</v>
      </c>
      <c r="U585" s="62">
        <v>16</v>
      </c>
      <c r="V585" s="49">
        <v>1</v>
      </c>
      <c r="W585" s="49">
        <v>0</v>
      </c>
      <c r="X585" s="49">
        <f t="shared" si="179"/>
        <v>17</v>
      </c>
      <c r="Y585" s="49">
        <f t="shared" si="180"/>
        <v>10.199999999999999</v>
      </c>
      <c r="Z585" s="49">
        <v>17</v>
      </c>
      <c r="AA585" s="49">
        <v>1</v>
      </c>
      <c r="AB585" s="49">
        <v>0</v>
      </c>
      <c r="AC585" s="49">
        <v>2</v>
      </c>
      <c r="AD585" s="49">
        <f t="shared" si="175"/>
        <v>20</v>
      </c>
      <c r="AE585" s="49">
        <f t="shared" si="181"/>
        <v>12</v>
      </c>
      <c r="AF585" s="49">
        <f t="shared" si="182"/>
        <v>73</v>
      </c>
      <c r="AG585" s="49">
        <f t="shared" si="182"/>
        <v>43.8</v>
      </c>
      <c r="AH585" s="49">
        <f t="shared" si="159"/>
        <v>92</v>
      </c>
      <c r="AI585" s="49">
        <f t="shared" si="183"/>
        <v>55.199999999999996</v>
      </c>
      <c r="AJ585" s="220" t="s">
        <v>569</v>
      </c>
    </row>
    <row r="586" spans="1:36" s="64" customFormat="1">
      <c r="A586" s="80" t="s">
        <v>22</v>
      </c>
      <c r="B586" s="46" t="s">
        <v>568</v>
      </c>
      <c r="C586" s="75" t="s">
        <v>234</v>
      </c>
      <c r="D586" s="46" t="str">
        <f t="shared" si="176"/>
        <v>M27USAS24SO-.XG27UC2(D901)</v>
      </c>
      <c r="E586" s="46" t="s">
        <v>7</v>
      </c>
      <c r="F586" s="46" t="s">
        <v>7</v>
      </c>
      <c r="G586" s="48">
        <v>100</v>
      </c>
      <c r="H586" s="61">
        <v>17</v>
      </c>
      <c r="I586" s="49">
        <v>1</v>
      </c>
      <c r="J586" s="49">
        <v>0</v>
      </c>
      <c r="K586" s="49">
        <v>1</v>
      </c>
      <c r="L586" s="49">
        <f t="shared" si="174"/>
        <v>19</v>
      </c>
      <c r="M586" s="49">
        <f t="shared" si="177"/>
        <v>11.4</v>
      </c>
      <c r="N586" s="81">
        <v>31</v>
      </c>
      <c r="O586" s="49">
        <v>1</v>
      </c>
      <c r="P586" s="49">
        <v>1</v>
      </c>
      <c r="Q586" s="49">
        <v>1</v>
      </c>
      <c r="R586" s="49">
        <v>2</v>
      </c>
      <c r="S586" s="49">
        <f t="shared" si="178"/>
        <v>36</v>
      </c>
      <c r="T586" s="49">
        <f t="shared" si="146"/>
        <v>21.6</v>
      </c>
      <c r="U586" s="62">
        <v>16</v>
      </c>
      <c r="V586" s="49">
        <v>1</v>
      </c>
      <c r="W586" s="49">
        <v>0</v>
      </c>
      <c r="X586" s="49">
        <f t="shared" si="179"/>
        <v>17</v>
      </c>
      <c r="Y586" s="49">
        <f t="shared" si="180"/>
        <v>10.199999999999999</v>
      </c>
      <c r="Z586" s="49">
        <v>17</v>
      </c>
      <c r="AA586" s="49">
        <v>1</v>
      </c>
      <c r="AB586" s="49">
        <v>0</v>
      </c>
      <c r="AC586" s="49">
        <v>2</v>
      </c>
      <c r="AD586" s="49">
        <f t="shared" si="175"/>
        <v>20</v>
      </c>
      <c r="AE586" s="49">
        <f t="shared" si="181"/>
        <v>12</v>
      </c>
      <c r="AF586" s="49">
        <f t="shared" si="182"/>
        <v>73</v>
      </c>
      <c r="AG586" s="49">
        <f t="shared" si="182"/>
        <v>43.8</v>
      </c>
      <c r="AH586" s="49">
        <f t="shared" si="159"/>
        <v>92</v>
      </c>
      <c r="AI586" s="49">
        <f t="shared" si="183"/>
        <v>55.199999999999996</v>
      </c>
      <c r="AJ586" s="220"/>
    </row>
    <row r="587" spans="1:36" s="64" customFormat="1">
      <c r="A587" s="80" t="s">
        <v>22</v>
      </c>
      <c r="B587" s="46" t="s">
        <v>570</v>
      </c>
      <c r="C587" s="75" t="s">
        <v>176</v>
      </c>
      <c r="D587" s="46" t="str">
        <f t="shared" si="176"/>
        <v>M27USAS24SO-.PG27UC1(D901)</v>
      </c>
      <c r="E587" s="46" t="s">
        <v>7</v>
      </c>
      <c r="F587" s="46" t="s">
        <v>7</v>
      </c>
      <c r="G587" s="48">
        <v>100</v>
      </c>
      <c r="H587" s="61">
        <v>17</v>
      </c>
      <c r="I587" s="49">
        <v>1</v>
      </c>
      <c r="J587" s="49">
        <v>0</v>
      </c>
      <c r="K587" s="49">
        <v>1</v>
      </c>
      <c r="L587" s="49">
        <f t="shared" si="174"/>
        <v>19</v>
      </c>
      <c r="M587" s="49">
        <f t="shared" si="177"/>
        <v>11.4</v>
      </c>
      <c r="N587" s="62">
        <v>30</v>
      </c>
      <c r="O587" s="49">
        <v>1</v>
      </c>
      <c r="P587" s="49">
        <v>1</v>
      </c>
      <c r="Q587" s="49">
        <v>1</v>
      </c>
      <c r="R587" s="49">
        <v>2</v>
      </c>
      <c r="S587" s="49">
        <f t="shared" si="178"/>
        <v>35</v>
      </c>
      <c r="T587" s="49">
        <f t="shared" si="146"/>
        <v>21</v>
      </c>
      <c r="U587" s="62">
        <v>16</v>
      </c>
      <c r="V587" s="49">
        <v>1</v>
      </c>
      <c r="W587" s="49">
        <v>0</v>
      </c>
      <c r="X587" s="49">
        <f t="shared" si="179"/>
        <v>17</v>
      </c>
      <c r="Y587" s="49">
        <f t="shared" si="180"/>
        <v>10.199999999999999</v>
      </c>
      <c r="Z587" s="49">
        <v>18</v>
      </c>
      <c r="AA587" s="49">
        <v>1</v>
      </c>
      <c r="AB587" s="49">
        <v>0</v>
      </c>
      <c r="AC587" s="49">
        <v>2</v>
      </c>
      <c r="AD587" s="49">
        <f t="shared" si="175"/>
        <v>21</v>
      </c>
      <c r="AE587" s="49">
        <f t="shared" si="181"/>
        <v>12.6</v>
      </c>
      <c r="AF587" s="49">
        <f t="shared" si="182"/>
        <v>73</v>
      </c>
      <c r="AG587" s="49">
        <f t="shared" si="182"/>
        <v>43.8</v>
      </c>
      <c r="AH587" s="49">
        <f t="shared" si="159"/>
        <v>92</v>
      </c>
      <c r="AI587" s="49">
        <f t="shared" si="183"/>
        <v>55.199999999999996</v>
      </c>
      <c r="AJ587" s="220"/>
    </row>
    <row r="588" spans="1:36" s="64" customFormat="1">
      <c r="A588" s="80" t="s">
        <v>22</v>
      </c>
      <c r="B588" s="46" t="s">
        <v>570</v>
      </c>
      <c r="C588" s="75" t="s">
        <v>233</v>
      </c>
      <c r="D588" s="46" t="str">
        <f t="shared" si="176"/>
        <v>M27USAS24SO-.PG27UC2(D901)</v>
      </c>
      <c r="E588" s="46" t="s">
        <v>7</v>
      </c>
      <c r="F588" s="46" t="s">
        <v>7</v>
      </c>
      <c r="G588" s="48">
        <v>100</v>
      </c>
      <c r="H588" s="61">
        <v>17</v>
      </c>
      <c r="I588" s="49">
        <v>1</v>
      </c>
      <c r="J588" s="49">
        <v>0</v>
      </c>
      <c r="K588" s="49">
        <v>1</v>
      </c>
      <c r="L588" s="49">
        <f t="shared" si="174"/>
        <v>19</v>
      </c>
      <c r="M588" s="49">
        <f t="shared" si="177"/>
        <v>11.4</v>
      </c>
      <c r="N588" s="62">
        <v>30</v>
      </c>
      <c r="O588" s="49">
        <v>1</v>
      </c>
      <c r="P588" s="49">
        <v>1</v>
      </c>
      <c r="Q588" s="49">
        <v>1</v>
      </c>
      <c r="R588" s="49">
        <v>2</v>
      </c>
      <c r="S588" s="49">
        <f t="shared" si="178"/>
        <v>35</v>
      </c>
      <c r="T588" s="49">
        <f t="shared" si="146"/>
        <v>21</v>
      </c>
      <c r="U588" s="62">
        <v>16</v>
      </c>
      <c r="V588" s="49">
        <v>1</v>
      </c>
      <c r="W588" s="49">
        <v>0</v>
      </c>
      <c r="X588" s="49">
        <f t="shared" si="179"/>
        <v>17</v>
      </c>
      <c r="Y588" s="49">
        <f t="shared" si="180"/>
        <v>10.199999999999999</v>
      </c>
      <c r="Z588" s="49">
        <v>18</v>
      </c>
      <c r="AA588" s="49">
        <v>1</v>
      </c>
      <c r="AB588" s="49">
        <v>0</v>
      </c>
      <c r="AC588" s="49">
        <v>2</v>
      </c>
      <c r="AD588" s="49">
        <f t="shared" si="175"/>
        <v>21</v>
      </c>
      <c r="AE588" s="49">
        <f t="shared" si="181"/>
        <v>12.6</v>
      </c>
      <c r="AF588" s="49">
        <f t="shared" si="182"/>
        <v>73</v>
      </c>
      <c r="AG588" s="49">
        <f t="shared" si="182"/>
        <v>43.8</v>
      </c>
      <c r="AH588" s="49">
        <f t="shared" si="159"/>
        <v>92</v>
      </c>
      <c r="AI588" s="49">
        <f t="shared" si="183"/>
        <v>55.199999999999996</v>
      </c>
      <c r="AJ588" s="220"/>
    </row>
    <row r="589" spans="1:36" s="64" customFormat="1">
      <c r="A589" s="80" t="s">
        <v>22</v>
      </c>
      <c r="B589" s="46" t="s">
        <v>571</v>
      </c>
      <c r="C589" s="75" t="s">
        <v>177</v>
      </c>
      <c r="D589" s="46" t="str">
        <f t="shared" si="176"/>
        <v>M27USAS24SQ-.XG27AC1(D901)</v>
      </c>
      <c r="E589" s="46" t="s">
        <v>7</v>
      </c>
      <c r="F589" s="46" t="s">
        <v>7</v>
      </c>
      <c r="G589" s="48">
        <v>100</v>
      </c>
      <c r="H589" s="61">
        <v>17</v>
      </c>
      <c r="I589" s="49">
        <v>1</v>
      </c>
      <c r="J589" s="49">
        <v>0</v>
      </c>
      <c r="K589" s="49">
        <v>1</v>
      </c>
      <c r="L589" s="49">
        <f t="shared" si="174"/>
        <v>19</v>
      </c>
      <c r="M589" s="49">
        <f t="shared" si="177"/>
        <v>11.4</v>
      </c>
      <c r="N589" s="81">
        <v>29</v>
      </c>
      <c r="O589" s="49">
        <v>1</v>
      </c>
      <c r="P589" s="49">
        <v>1</v>
      </c>
      <c r="Q589" s="49">
        <v>1</v>
      </c>
      <c r="R589" s="49">
        <v>2</v>
      </c>
      <c r="S589" s="49">
        <f t="shared" si="178"/>
        <v>34</v>
      </c>
      <c r="T589" s="49">
        <f t="shared" si="146"/>
        <v>20.399999999999999</v>
      </c>
      <c r="U589" s="62">
        <v>16</v>
      </c>
      <c r="V589" s="49">
        <v>1</v>
      </c>
      <c r="W589" s="49">
        <v>0</v>
      </c>
      <c r="X589" s="49">
        <f t="shared" si="179"/>
        <v>17</v>
      </c>
      <c r="Y589" s="49">
        <f t="shared" si="180"/>
        <v>10.199999999999999</v>
      </c>
      <c r="Z589" s="49">
        <v>15</v>
      </c>
      <c r="AA589" s="49">
        <v>1</v>
      </c>
      <c r="AB589" s="49">
        <v>0</v>
      </c>
      <c r="AC589" s="49">
        <v>2</v>
      </c>
      <c r="AD589" s="49">
        <v>20</v>
      </c>
      <c r="AE589" s="49">
        <f t="shared" si="181"/>
        <v>12</v>
      </c>
      <c r="AF589" s="49">
        <f t="shared" si="182"/>
        <v>71</v>
      </c>
      <c r="AG589" s="49">
        <f t="shared" si="182"/>
        <v>42.599999999999994</v>
      </c>
      <c r="AH589" s="49">
        <f t="shared" si="159"/>
        <v>90</v>
      </c>
      <c r="AI589" s="49">
        <f t="shared" si="183"/>
        <v>53.999999999999993</v>
      </c>
      <c r="AJ589" s="220"/>
    </row>
    <row r="590" spans="1:36" s="64" customFormat="1">
      <c r="A590" s="80" t="s">
        <v>22</v>
      </c>
      <c r="B590" s="46" t="s">
        <v>571</v>
      </c>
      <c r="C590" s="75" t="s">
        <v>232</v>
      </c>
      <c r="D590" s="46" t="str">
        <f t="shared" si="176"/>
        <v>M27USAS24SQ-.XG27AC2(D901)</v>
      </c>
      <c r="E590" s="46" t="s">
        <v>7</v>
      </c>
      <c r="F590" s="46" t="s">
        <v>7</v>
      </c>
      <c r="G590" s="48">
        <v>100</v>
      </c>
      <c r="H590" s="61">
        <v>17</v>
      </c>
      <c r="I590" s="49">
        <v>1</v>
      </c>
      <c r="J590" s="49">
        <v>0</v>
      </c>
      <c r="K590" s="49">
        <v>1</v>
      </c>
      <c r="L590" s="49">
        <f t="shared" si="174"/>
        <v>19</v>
      </c>
      <c r="M590" s="49">
        <f t="shared" si="177"/>
        <v>11.4</v>
      </c>
      <c r="N590" s="81">
        <v>29</v>
      </c>
      <c r="O590" s="49">
        <v>1</v>
      </c>
      <c r="P590" s="49">
        <v>1</v>
      </c>
      <c r="Q590" s="49">
        <v>1</v>
      </c>
      <c r="R590" s="49">
        <v>2</v>
      </c>
      <c r="S590" s="49">
        <f t="shared" si="178"/>
        <v>34</v>
      </c>
      <c r="T590" s="49">
        <f t="shared" si="146"/>
        <v>20.399999999999999</v>
      </c>
      <c r="U590" s="62">
        <v>16</v>
      </c>
      <c r="V590" s="49">
        <v>1</v>
      </c>
      <c r="W590" s="49">
        <v>0</v>
      </c>
      <c r="X590" s="49">
        <f t="shared" si="179"/>
        <v>17</v>
      </c>
      <c r="Y590" s="49">
        <f t="shared" si="180"/>
        <v>10.199999999999999</v>
      </c>
      <c r="Z590" s="49">
        <v>15</v>
      </c>
      <c r="AA590" s="49">
        <v>1</v>
      </c>
      <c r="AB590" s="49">
        <v>0</v>
      </c>
      <c r="AC590" s="49">
        <v>2</v>
      </c>
      <c r="AD590" s="49">
        <v>20</v>
      </c>
      <c r="AE590" s="49">
        <f t="shared" si="181"/>
        <v>12</v>
      </c>
      <c r="AF590" s="49">
        <f t="shared" si="182"/>
        <v>71</v>
      </c>
      <c r="AG590" s="49">
        <f t="shared" si="182"/>
        <v>42.599999999999994</v>
      </c>
      <c r="AH590" s="49">
        <f t="shared" si="159"/>
        <v>90</v>
      </c>
      <c r="AI590" s="49">
        <f t="shared" si="183"/>
        <v>53.999999999999993</v>
      </c>
      <c r="AJ590" s="84"/>
    </row>
    <row r="591" spans="1:36" s="64" customFormat="1">
      <c r="A591" s="80" t="s">
        <v>22</v>
      </c>
      <c r="B591" s="46" t="s">
        <v>572</v>
      </c>
      <c r="C591" s="75" t="s">
        <v>207</v>
      </c>
      <c r="D591" s="46" t="str">
        <f t="shared" si="176"/>
        <v>M32USAS24SO-.PG32UC1(D901)</v>
      </c>
      <c r="E591" s="46" t="s">
        <v>7</v>
      </c>
      <c r="F591" s="46" t="s">
        <v>7</v>
      </c>
      <c r="G591" s="48">
        <v>100</v>
      </c>
      <c r="H591" s="61">
        <v>17</v>
      </c>
      <c r="I591" s="49">
        <v>1</v>
      </c>
      <c r="J591" s="49">
        <v>0</v>
      </c>
      <c r="K591" s="49">
        <v>1</v>
      </c>
      <c r="L591" s="49">
        <f t="shared" si="174"/>
        <v>19</v>
      </c>
      <c r="M591" s="49">
        <f t="shared" si="177"/>
        <v>11.4</v>
      </c>
      <c r="N591" s="81">
        <v>35</v>
      </c>
      <c r="O591" s="49">
        <v>1</v>
      </c>
      <c r="P591" s="49">
        <v>1</v>
      </c>
      <c r="Q591" s="49">
        <v>1</v>
      </c>
      <c r="R591" s="49">
        <v>2</v>
      </c>
      <c r="S591" s="49">
        <f t="shared" si="178"/>
        <v>40</v>
      </c>
      <c r="T591" s="49">
        <f t="shared" si="146"/>
        <v>24</v>
      </c>
      <c r="U591" s="62">
        <v>16</v>
      </c>
      <c r="V591" s="49">
        <v>1</v>
      </c>
      <c r="W591" s="49">
        <v>0</v>
      </c>
      <c r="X591" s="49">
        <f>SUM(U591:W591)</f>
        <v>17</v>
      </c>
      <c r="Y591" s="49">
        <f t="shared" si="180"/>
        <v>10.199999999999999</v>
      </c>
      <c r="Z591" s="49">
        <v>18</v>
      </c>
      <c r="AA591" s="49">
        <v>1</v>
      </c>
      <c r="AB591" s="49">
        <v>0</v>
      </c>
      <c r="AC591" s="49">
        <v>2</v>
      </c>
      <c r="AD591" s="49">
        <f t="shared" ref="AD591:AD601" si="184">SUM(Z591:AC591)</f>
        <v>21</v>
      </c>
      <c r="AE591" s="49">
        <f t="shared" si="181"/>
        <v>12.6</v>
      </c>
      <c r="AF591" s="49">
        <f t="shared" si="182"/>
        <v>78</v>
      </c>
      <c r="AG591" s="49">
        <f t="shared" si="182"/>
        <v>46.800000000000004</v>
      </c>
      <c r="AH591" s="49">
        <f t="shared" si="159"/>
        <v>97</v>
      </c>
      <c r="AI591" s="49">
        <f t="shared" si="183"/>
        <v>58.2</v>
      </c>
      <c r="AJ591" s="85"/>
    </row>
    <row r="592" spans="1:36" s="64" customFormat="1" ht="18" customHeight="1">
      <c r="A592" s="80" t="s">
        <v>22</v>
      </c>
      <c r="B592" s="46" t="s">
        <v>573</v>
      </c>
      <c r="C592" s="75" t="s">
        <v>220</v>
      </c>
      <c r="D592" s="46" t="str">
        <f t="shared" si="176"/>
        <v>M27USAS24SQ-.XG27AQ2(D901)</v>
      </c>
      <c r="E592" s="46" t="s">
        <v>7</v>
      </c>
      <c r="F592" s="46" t="s">
        <v>7</v>
      </c>
      <c r="G592" s="48">
        <v>100</v>
      </c>
      <c r="H592" s="61">
        <v>17</v>
      </c>
      <c r="I592" s="49">
        <v>1</v>
      </c>
      <c r="J592" s="49">
        <v>0</v>
      </c>
      <c r="K592" s="49">
        <v>1</v>
      </c>
      <c r="L592" s="49">
        <f t="shared" si="174"/>
        <v>19</v>
      </c>
      <c r="M592" s="49">
        <f t="shared" si="177"/>
        <v>11.4</v>
      </c>
      <c r="N592" s="81">
        <v>33</v>
      </c>
      <c r="O592" s="49">
        <v>1</v>
      </c>
      <c r="P592" s="49">
        <v>1</v>
      </c>
      <c r="Q592" s="49">
        <v>1</v>
      </c>
      <c r="R592" s="49">
        <v>2</v>
      </c>
      <c r="S592" s="49">
        <f t="shared" si="178"/>
        <v>38</v>
      </c>
      <c r="T592" s="49">
        <f t="shared" si="146"/>
        <v>22.8</v>
      </c>
      <c r="U592" s="62">
        <v>16</v>
      </c>
      <c r="V592" s="49">
        <v>1</v>
      </c>
      <c r="W592" s="49">
        <v>0</v>
      </c>
      <c r="X592" s="49">
        <f>SUM(U592:W592)</f>
        <v>17</v>
      </c>
      <c r="Y592" s="49">
        <f t="shared" si="180"/>
        <v>10.199999999999999</v>
      </c>
      <c r="Z592" s="49">
        <v>18</v>
      </c>
      <c r="AA592" s="49">
        <v>1</v>
      </c>
      <c r="AB592" s="49">
        <v>0</v>
      </c>
      <c r="AC592" s="49">
        <v>2</v>
      </c>
      <c r="AD592" s="49">
        <f t="shared" si="184"/>
        <v>21</v>
      </c>
      <c r="AE592" s="49">
        <f t="shared" si="181"/>
        <v>12.6</v>
      </c>
      <c r="AF592" s="49">
        <f t="shared" si="182"/>
        <v>76</v>
      </c>
      <c r="AG592" s="49">
        <f t="shared" si="182"/>
        <v>45.6</v>
      </c>
      <c r="AH592" s="49">
        <f t="shared" si="159"/>
        <v>95</v>
      </c>
      <c r="AI592" s="49">
        <f t="shared" si="183"/>
        <v>57</v>
      </c>
      <c r="AJ592" s="85"/>
    </row>
    <row r="593" spans="1:36" s="64" customFormat="1" ht="18" customHeight="1">
      <c r="A593" s="82" t="s">
        <v>22</v>
      </c>
      <c r="B593" s="42" t="s">
        <v>573</v>
      </c>
      <c r="C593" s="83" t="s">
        <v>244</v>
      </c>
      <c r="D593" s="42" t="str">
        <f t="shared" si="176"/>
        <v>M27USAS24SQ-.XG27AQ3(D901)</v>
      </c>
      <c r="E593" s="42" t="s">
        <v>7</v>
      </c>
      <c r="F593" s="42" t="s">
        <v>7</v>
      </c>
      <c r="G593" s="44">
        <v>100</v>
      </c>
      <c r="H593" s="65">
        <v>17</v>
      </c>
      <c r="I593" s="45">
        <v>1</v>
      </c>
      <c r="J593" s="45">
        <v>0</v>
      </c>
      <c r="K593" s="45">
        <v>1</v>
      </c>
      <c r="L593" s="45">
        <f t="shared" si="174"/>
        <v>19</v>
      </c>
      <c r="M593" s="45">
        <f t="shared" si="177"/>
        <v>11.4</v>
      </c>
      <c r="N593" s="81">
        <v>33</v>
      </c>
      <c r="O593" s="45">
        <v>1</v>
      </c>
      <c r="P593" s="45">
        <v>1</v>
      </c>
      <c r="Q593" s="45">
        <v>1</v>
      </c>
      <c r="R593" s="45">
        <v>2</v>
      </c>
      <c r="S593" s="45">
        <f t="shared" si="178"/>
        <v>38</v>
      </c>
      <c r="T593" s="45">
        <f t="shared" si="146"/>
        <v>22.8</v>
      </c>
      <c r="U593" s="66">
        <v>16</v>
      </c>
      <c r="V593" s="45">
        <v>1</v>
      </c>
      <c r="W593" s="45">
        <v>0</v>
      </c>
      <c r="X593" s="45">
        <f>SUM(U593:W593)</f>
        <v>17</v>
      </c>
      <c r="Y593" s="45">
        <f t="shared" si="180"/>
        <v>10.199999999999999</v>
      </c>
      <c r="Z593" s="45">
        <v>18</v>
      </c>
      <c r="AA593" s="45">
        <v>1</v>
      </c>
      <c r="AB593" s="45">
        <v>0</v>
      </c>
      <c r="AC593" s="45">
        <v>2</v>
      </c>
      <c r="AD593" s="45">
        <f t="shared" si="184"/>
        <v>21</v>
      </c>
      <c r="AE593" s="45">
        <f t="shared" si="181"/>
        <v>12.6</v>
      </c>
      <c r="AF593" s="45">
        <f t="shared" si="182"/>
        <v>76</v>
      </c>
      <c r="AG593" s="45">
        <f t="shared" si="182"/>
        <v>45.6</v>
      </c>
      <c r="AH593" s="45">
        <f t="shared" si="159"/>
        <v>95</v>
      </c>
      <c r="AI593" s="45">
        <f t="shared" si="183"/>
        <v>57</v>
      </c>
      <c r="AJ593" s="85"/>
    </row>
    <row r="594" spans="1:36" s="64" customFormat="1">
      <c r="A594" s="80" t="s">
        <v>22</v>
      </c>
      <c r="B594" s="46" t="s">
        <v>574</v>
      </c>
      <c r="C594" s="75" t="s">
        <v>109</v>
      </c>
      <c r="D594" s="46" t="str">
        <f t="shared" ref="D594:D601" si="185">C594&amp;"("&amp;F594&amp;")"</f>
        <v>M32USMS24SO-.321URX1(D901)</v>
      </c>
      <c r="E594" s="46" t="s">
        <v>7</v>
      </c>
      <c r="F594" s="46" t="s">
        <v>7</v>
      </c>
      <c r="G594" s="48">
        <v>145</v>
      </c>
      <c r="H594" s="61">
        <v>18</v>
      </c>
      <c r="I594" s="49">
        <v>1</v>
      </c>
      <c r="J594" s="49">
        <v>0</v>
      </c>
      <c r="K594" s="49">
        <v>1</v>
      </c>
      <c r="L594" s="49">
        <f t="shared" ref="L594:L599" si="186">SUM(H594:K594)</f>
        <v>20</v>
      </c>
      <c r="M594" s="49">
        <f t="shared" si="177"/>
        <v>8.2758620689655178</v>
      </c>
      <c r="N594" s="62">
        <v>36</v>
      </c>
      <c r="O594" s="49">
        <v>1</v>
      </c>
      <c r="P594" s="49">
        <v>1</v>
      </c>
      <c r="Q594" s="49">
        <v>1</v>
      </c>
      <c r="R594" s="49">
        <v>2</v>
      </c>
      <c r="S594" s="49">
        <f t="shared" si="178"/>
        <v>41</v>
      </c>
      <c r="T594" s="49">
        <f t="shared" si="146"/>
        <v>16.96551724137931</v>
      </c>
      <c r="U594" s="62">
        <v>16</v>
      </c>
      <c r="V594" s="49">
        <v>1</v>
      </c>
      <c r="W594" s="49">
        <v>0</v>
      </c>
      <c r="X594" s="49">
        <f t="shared" ref="X594:X605" si="187">SUM(U594:W594)</f>
        <v>17</v>
      </c>
      <c r="Y594" s="49">
        <f t="shared" si="180"/>
        <v>7.0344827586206895</v>
      </c>
      <c r="Z594" s="49">
        <v>17</v>
      </c>
      <c r="AA594" s="49">
        <v>1</v>
      </c>
      <c r="AB594" s="49">
        <v>0</v>
      </c>
      <c r="AC594" s="49">
        <v>2</v>
      </c>
      <c r="AD594" s="49">
        <f t="shared" si="184"/>
        <v>20</v>
      </c>
      <c r="AE594" s="49">
        <f t="shared" si="181"/>
        <v>8.2758620689655178</v>
      </c>
      <c r="AF594" s="49">
        <f t="shared" si="182"/>
        <v>78</v>
      </c>
      <c r="AG594" s="49">
        <f t="shared" si="182"/>
        <v>32.275862068965516</v>
      </c>
      <c r="AH594" s="49">
        <f t="shared" si="159"/>
        <v>98</v>
      </c>
      <c r="AI594" s="49">
        <f t="shared" si="183"/>
        <v>40.551724137931032</v>
      </c>
      <c r="AJ594" s="63"/>
    </row>
    <row r="595" spans="1:36" s="64" customFormat="1">
      <c r="A595" s="80" t="s">
        <v>22</v>
      </c>
      <c r="B595" s="46" t="s">
        <v>574</v>
      </c>
      <c r="C595" s="75" t="s">
        <v>575</v>
      </c>
      <c r="D595" s="46" t="str">
        <f t="shared" si="185"/>
        <v>M32USMS24SO-.322URX2(D901)</v>
      </c>
      <c r="E595" s="46" t="s">
        <v>7</v>
      </c>
      <c r="F595" s="46" t="s">
        <v>7</v>
      </c>
      <c r="G595" s="48">
        <v>145</v>
      </c>
      <c r="H595" s="61">
        <v>18</v>
      </c>
      <c r="I595" s="49">
        <v>1</v>
      </c>
      <c r="J595" s="49">
        <v>0</v>
      </c>
      <c r="K595" s="49">
        <v>1</v>
      </c>
      <c r="L595" s="49">
        <f t="shared" si="186"/>
        <v>20</v>
      </c>
      <c r="M595" s="49">
        <f t="shared" si="177"/>
        <v>8.2758620689655178</v>
      </c>
      <c r="N595" s="62">
        <v>36</v>
      </c>
      <c r="O595" s="49">
        <v>1</v>
      </c>
      <c r="P595" s="49">
        <v>1</v>
      </c>
      <c r="Q595" s="49">
        <v>1</v>
      </c>
      <c r="R595" s="49">
        <v>2</v>
      </c>
      <c r="S595" s="49">
        <f t="shared" ref="S595:S605" si="188">SUM(N595:R595)</f>
        <v>41</v>
      </c>
      <c r="T595" s="49">
        <f t="shared" si="146"/>
        <v>16.96551724137931</v>
      </c>
      <c r="U595" s="62">
        <v>16</v>
      </c>
      <c r="V595" s="49">
        <v>1</v>
      </c>
      <c r="W595" s="49">
        <v>0</v>
      </c>
      <c r="X595" s="49">
        <f t="shared" si="187"/>
        <v>17</v>
      </c>
      <c r="Y595" s="49">
        <f t="shared" si="180"/>
        <v>7.0344827586206895</v>
      </c>
      <c r="Z595" s="49">
        <v>17</v>
      </c>
      <c r="AA595" s="49">
        <v>1</v>
      </c>
      <c r="AB595" s="49">
        <v>0</v>
      </c>
      <c r="AC595" s="49">
        <v>2</v>
      </c>
      <c r="AD595" s="49">
        <f t="shared" si="184"/>
        <v>20</v>
      </c>
      <c r="AE595" s="49">
        <f t="shared" si="181"/>
        <v>8.2758620689655178</v>
      </c>
      <c r="AF595" s="49">
        <f t="shared" si="182"/>
        <v>78</v>
      </c>
      <c r="AG595" s="49">
        <f t="shared" si="182"/>
        <v>32.275862068965516</v>
      </c>
      <c r="AH595" s="49">
        <f t="shared" si="159"/>
        <v>98</v>
      </c>
      <c r="AI595" s="49">
        <f t="shared" si="183"/>
        <v>40.551724137931032</v>
      </c>
      <c r="AJ595" s="86"/>
    </row>
    <row r="596" spans="1:36" s="64" customFormat="1">
      <c r="A596" s="80" t="s">
        <v>22</v>
      </c>
      <c r="B596" s="46" t="s">
        <v>576</v>
      </c>
      <c r="C596" s="75" t="s">
        <v>202</v>
      </c>
      <c r="D596" s="46" t="str">
        <f t="shared" si="185"/>
        <v>M32USMS24SO-.32URXW1(D901)</v>
      </c>
      <c r="E596" s="46" t="s">
        <v>7</v>
      </c>
      <c r="F596" s="46" t="s">
        <v>7</v>
      </c>
      <c r="G596" s="48">
        <v>145</v>
      </c>
      <c r="H596" s="61">
        <v>18</v>
      </c>
      <c r="I596" s="49">
        <v>1</v>
      </c>
      <c r="J596" s="49">
        <v>0</v>
      </c>
      <c r="K596" s="49">
        <v>1</v>
      </c>
      <c r="L596" s="49">
        <f t="shared" si="186"/>
        <v>20</v>
      </c>
      <c r="M596" s="49">
        <f t="shared" si="177"/>
        <v>8.2758620689655178</v>
      </c>
      <c r="N596" s="62">
        <v>36</v>
      </c>
      <c r="O596" s="49">
        <v>1</v>
      </c>
      <c r="P596" s="49">
        <v>1</v>
      </c>
      <c r="Q596" s="49">
        <v>1</v>
      </c>
      <c r="R596" s="49">
        <v>2</v>
      </c>
      <c r="S596" s="49">
        <f t="shared" si="188"/>
        <v>41</v>
      </c>
      <c r="T596" s="49">
        <f t="shared" si="146"/>
        <v>16.96551724137931</v>
      </c>
      <c r="U596" s="62">
        <v>16</v>
      </c>
      <c r="V596" s="49">
        <v>1</v>
      </c>
      <c r="W596" s="49">
        <v>0</v>
      </c>
      <c r="X596" s="49">
        <f t="shared" si="187"/>
        <v>17</v>
      </c>
      <c r="Y596" s="49">
        <f t="shared" si="180"/>
        <v>7.0344827586206895</v>
      </c>
      <c r="Z596" s="49">
        <v>17</v>
      </c>
      <c r="AA596" s="49">
        <v>1</v>
      </c>
      <c r="AB596" s="49">
        <v>0</v>
      </c>
      <c r="AC596" s="49">
        <v>2</v>
      </c>
      <c r="AD596" s="49">
        <f t="shared" si="184"/>
        <v>20</v>
      </c>
      <c r="AE596" s="49">
        <f t="shared" si="181"/>
        <v>8.2758620689655178</v>
      </c>
      <c r="AF596" s="49">
        <f t="shared" si="182"/>
        <v>78</v>
      </c>
      <c r="AG596" s="49">
        <f t="shared" si="182"/>
        <v>32.275862068965516</v>
      </c>
      <c r="AH596" s="49">
        <f t="shared" si="159"/>
        <v>98</v>
      </c>
      <c r="AI596" s="49">
        <f t="shared" si="183"/>
        <v>40.551724137931032</v>
      </c>
      <c r="AJ596" s="85"/>
    </row>
    <row r="597" spans="1:36" s="64" customFormat="1">
      <c r="A597" s="80" t="s">
        <v>22</v>
      </c>
      <c r="B597" s="46" t="s">
        <v>576</v>
      </c>
      <c r="C597" s="75" t="s">
        <v>586</v>
      </c>
      <c r="D597" s="46" t="str">
        <f t="shared" si="185"/>
        <v>M32USMS24SO-.32URXW2(D901)</v>
      </c>
      <c r="E597" s="46" t="s">
        <v>7</v>
      </c>
      <c r="F597" s="46" t="s">
        <v>7</v>
      </c>
      <c r="G597" s="48">
        <v>145</v>
      </c>
      <c r="H597" s="61">
        <v>18</v>
      </c>
      <c r="I597" s="49">
        <v>1</v>
      </c>
      <c r="J597" s="49">
        <v>0</v>
      </c>
      <c r="K597" s="49">
        <v>1</v>
      </c>
      <c r="L597" s="49">
        <f t="shared" si="186"/>
        <v>20</v>
      </c>
      <c r="M597" s="49">
        <f t="shared" si="177"/>
        <v>8.2758620689655178</v>
      </c>
      <c r="N597" s="62">
        <v>36</v>
      </c>
      <c r="O597" s="49">
        <v>1</v>
      </c>
      <c r="P597" s="49">
        <v>1</v>
      </c>
      <c r="Q597" s="49">
        <v>1</v>
      </c>
      <c r="R597" s="49">
        <v>2</v>
      </c>
      <c r="S597" s="49">
        <f t="shared" si="188"/>
        <v>41</v>
      </c>
      <c r="T597" s="49">
        <f t="shared" si="146"/>
        <v>16.96551724137931</v>
      </c>
      <c r="U597" s="62">
        <v>16</v>
      </c>
      <c r="V597" s="49">
        <v>1</v>
      </c>
      <c r="W597" s="49">
        <v>0</v>
      </c>
      <c r="X597" s="49">
        <f>SUM(U597:W597)</f>
        <v>17</v>
      </c>
      <c r="Y597" s="49">
        <f t="shared" si="180"/>
        <v>7.0344827586206895</v>
      </c>
      <c r="Z597" s="49">
        <v>17</v>
      </c>
      <c r="AA597" s="49">
        <v>1</v>
      </c>
      <c r="AB597" s="49">
        <v>0</v>
      </c>
      <c r="AC597" s="49">
        <v>2</v>
      </c>
      <c r="AD597" s="49">
        <f t="shared" si="184"/>
        <v>20</v>
      </c>
      <c r="AE597" s="49">
        <f t="shared" si="181"/>
        <v>8.2758620689655178</v>
      </c>
      <c r="AF597" s="49">
        <f t="shared" si="182"/>
        <v>78</v>
      </c>
      <c r="AG597" s="49">
        <f t="shared" si="182"/>
        <v>32.275862068965516</v>
      </c>
      <c r="AH597" s="49">
        <f t="shared" si="159"/>
        <v>98</v>
      </c>
      <c r="AI597" s="49">
        <f t="shared" si="183"/>
        <v>40.551724137931032</v>
      </c>
      <c r="AJ597" s="85"/>
    </row>
    <row r="598" spans="1:36" s="64" customFormat="1">
      <c r="A598" s="80" t="s">
        <v>22</v>
      </c>
      <c r="B598" s="46" t="s">
        <v>577</v>
      </c>
      <c r="C598" s="75" t="s">
        <v>201</v>
      </c>
      <c r="D598" s="46" t="str">
        <f t="shared" si="185"/>
        <v>M27USMS24SC-.271QRX1(D901)</v>
      </c>
      <c r="E598" s="46" t="s">
        <v>7</v>
      </c>
      <c r="F598" s="46" t="s">
        <v>7</v>
      </c>
      <c r="G598" s="48">
        <v>145</v>
      </c>
      <c r="H598" s="61">
        <v>18</v>
      </c>
      <c r="I598" s="49">
        <v>1</v>
      </c>
      <c r="J598" s="49">
        <v>0</v>
      </c>
      <c r="K598" s="49">
        <v>1</v>
      </c>
      <c r="L598" s="49">
        <f t="shared" si="186"/>
        <v>20</v>
      </c>
      <c r="M598" s="49">
        <f t="shared" si="177"/>
        <v>8.2758620689655178</v>
      </c>
      <c r="N598" s="62">
        <v>29</v>
      </c>
      <c r="O598" s="49">
        <v>1</v>
      </c>
      <c r="P598" s="49">
        <v>1</v>
      </c>
      <c r="Q598" s="49">
        <v>0</v>
      </c>
      <c r="R598" s="49">
        <v>2</v>
      </c>
      <c r="S598" s="49">
        <f t="shared" si="188"/>
        <v>33</v>
      </c>
      <c r="T598" s="49">
        <f t="shared" si="146"/>
        <v>13.655172413793103</v>
      </c>
      <c r="U598" s="62">
        <v>16</v>
      </c>
      <c r="V598" s="49">
        <v>1</v>
      </c>
      <c r="W598" s="49">
        <v>0</v>
      </c>
      <c r="X598" s="49">
        <f t="shared" si="187"/>
        <v>17</v>
      </c>
      <c r="Y598" s="49">
        <f t="shared" si="180"/>
        <v>7.0344827586206895</v>
      </c>
      <c r="Z598" s="49">
        <v>21</v>
      </c>
      <c r="AA598" s="49">
        <v>1</v>
      </c>
      <c r="AB598" s="49">
        <v>0</v>
      </c>
      <c r="AC598" s="49">
        <v>2</v>
      </c>
      <c r="AD598" s="49">
        <f t="shared" si="184"/>
        <v>24</v>
      </c>
      <c r="AE598" s="49">
        <f t="shared" si="181"/>
        <v>9.931034482758621</v>
      </c>
      <c r="AF598" s="49">
        <f t="shared" si="182"/>
        <v>74</v>
      </c>
      <c r="AG598" s="49">
        <f t="shared" si="182"/>
        <v>30.620689655172413</v>
      </c>
      <c r="AH598" s="49">
        <f t="shared" ref="AH598:AH606" si="189">SUM(L598,S598,X598,AD598)</f>
        <v>94</v>
      </c>
      <c r="AI598" s="49">
        <f t="shared" si="183"/>
        <v>38.896551724137929</v>
      </c>
      <c r="AJ598" s="85"/>
    </row>
    <row r="599" spans="1:36" s="64" customFormat="1">
      <c r="A599" s="80" t="s">
        <v>22</v>
      </c>
      <c r="B599" s="46" t="s">
        <v>577</v>
      </c>
      <c r="C599" s="75" t="s">
        <v>228</v>
      </c>
      <c r="D599" s="46" t="str">
        <f t="shared" si="185"/>
        <v>M27USMS24SC-.271QRX2(D901)</v>
      </c>
      <c r="E599" s="46" t="s">
        <v>7</v>
      </c>
      <c r="F599" s="46" t="s">
        <v>7</v>
      </c>
      <c r="G599" s="48">
        <v>145</v>
      </c>
      <c r="H599" s="61">
        <v>18</v>
      </c>
      <c r="I599" s="49">
        <v>1</v>
      </c>
      <c r="J599" s="49">
        <v>0</v>
      </c>
      <c r="K599" s="49">
        <v>1</v>
      </c>
      <c r="L599" s="49">
        <f t="shared" si="186"/>
        <v>20</v>
      </c>
      <c r="M599" s="49">
        <f t="shared" si="177"/>
        <v>8.2758620689655178</v>
      </c>
      <c r="N599" s="62">
        <v>29</v>
      </c>
      <c r="O599" s="49">
        <v>1</v>
      </c>
      <c r="P599" s="49">
        <v>1</v>
      </c>
      <c r="Q599" s="49">
        <v>0</v>
      </c>
      <c r="R599" s="49">
        <v>2</v>
      </c>
      <c r="S599" s="49">
        <f t="shared" si="188"/>
        <v>33</v>
      </c>
      <c r="T599" s="49">
        <f t="shared" si="146"/>
        <v>13.655172413793103</v>
      </c>
      <c r="U599" s="62">
        <v>16</v>
      </c>
      <c r="V599" s="49">
        <v>1</v>
      </c>
      <c r="W599" s="49">
        <v>0</v>
      </c>
      <c r="X599" s="49">
        <f t="shared" si="187"/>
        <v>17</v>
      </c>
      <c r="Y599" s="49">
        <f t="shared" si="180"/>
        <v>7.0344827586206895</v>
      </c>
      <c r="Z599" s="49">
        <v>21</v>
      </c>
      <c r="AA599" s="49">
        <v>1</v>
      </c>
      <c r="AB599" s="49">
        <v>0</v>
      </c>
      <c r="AC599" s="49">
        <v>2</v>
      </c>
      <c r="AD599" s="49">
        <f t="shared" si="184"/>
        <v>24</v>
      </c>
      <c r="AE599" s="49">
        <f t="shared" si="181"/>
        <v>9.931034482758621</v>
      </c>
      <c r="AF599" s="49">
        <f t="shared" si="182"/>
        <v>74</v>
      </c>
      <c r="AG599" s="49">
        <f t="shared" si="182"/>
        <v>30.620689655172413</v>
      </c>
      <c r="AH599" s="49">
        <f t="shared" si="189"/>
        <v>94</v>
      </c>
      <c r="AI599" s="49">
        <f t="shared" si="183"/>
        <v>38.896551724137929</v>
      </c>
      <c r="AJ599" s="85"/>
    </row>
    <row r="600" spans="1:36" s="64" customFormat="1">
      <c r="A600" s="80" t="s">
        <v>22</v>
      </c>
      <c r="B600" s="46" t="s">
        <v>578</v>
      </c>
      <c r="C600" s="75" t="s">
        <v>203</v>
      </c>
      <c r="D600" s="46" t="str">
        <f t="shared" si="185"/>
        <v>M27USMS24SO-.272URX1(D901)</v>
      </c>
      <c r="E600" s="46" t="s">
        <v>7</v>
      </c>
      <c r="F600" s="46" t="s">
        <v>7</v>
      </c>
      <c r="G600" s="48">
        <v>145</v>
      </c>
      <c r="H600" s="61">
        <v>18</v>
      </c>
      <c r="I600" s="49">
        <v>1</v>
      </c>
      <c r="J600" s="49">
        <v>0</v>
      </c>
      <c r="K600" s="49">
        <v>1</v>
      </c>
      <c r="L600" s="49">
        <f t="shared" ref="L600:L607" si="190">SUM(H600:K600)</f>
        <v>20</v>
      </c>
      <c r="M600" s="49">
        <f t="shared" si="177"/>
        <v>8.2758620689655178</v>
      </c>
      <c r="N600" s="62">
        <v>34</v>
      </c>
      <c r="O600" s="49">
        <v>1</v>
      </c>
      <c r="P600" s="49">
        <v>1</v>
      </c>
      <c r="Q600" s="49">
        <v>0</v>
      </c>
      <c r="R600" s="49">
        <v>2</v>
      </c>
      <c r="S600" s="49">
        <f t="shared" si="188"/>
        <v>38</v>
      </c>
      <c r="T600" s="49">
        <f t="shared" si="146"/>
        <v>15.724137931034482</v>
      </c>
      <c r="U600" s="62">
        <v>16</v>
      </c>
      <c r="V600" s="49">
        <v>1</v>
      </c>
      <c r="W600" s="49">
        <v>0</v>
      </c>
      <c r="X600" s="49">
        <f t="shared" si="187"/>
        <v>17</v>
      </c>
      <c r="Y600" s="49">
        <f t="shared" si="180"/>
        <v>7.0344827586206895</v>
      </c>
      <c r="Z600" s="49">
        <v>18</v>
      </c>
      <c r="AA600" s="49">
        <v>1</v>
      </c>
      <c r="AB600" s="49">
        <v>0</v>
      </c>
      <c r="AC600" s="49">
        <v>2</v>
      </c>
      <c r="AD600" s="49">
        <f t="shared" si="184"/>
        <v>21</v>
      </c>
      <c r="AE600" s="49">
        <f t="shared" si="181"/>
        <v>8.6896551724137936</v>
      </c>
      <c r="AF600" s="49">
        <f t="shared" si="182"/>
        <v>76</v>
      </c>
      <c r="AG600" s="49">
        <f t="shared" si="182"/>
        <v>31.448275862068964</v>
      </c>
      <c r="AH600" s="49">
        <f t="shared" si="189"/>
        <v>96</v>
      </c>
      <c r="AI600" s="49">
        <f t="shared" si="183"/>
        <v>39.724137931034484</v>
      </c>
      <c r="AJ600" s="85"/>
    </row>
    <row r="601" spans="1:36" s="64" customFormat="1">
      <c r="A601" s="80" t="s">
        <v>22</v>
      </c>
      <c r="B601" s="46" t="s">
        <v>578</v>
      </c>
      <c r="C601" s="75" t="s">
        <v>229</v>
      </c>
      <c r="D601" s="46" t="str">
        <f t="shared" si="185"/>
        <v>M27USMS24SO-.272URX2(D901)</v>
      </c>
      <c r="E601" s="46" t="s">
        <v>7</v>
      </c>
      <c r="F601" s="46" t="s">
        <v>7</v>
      </c>
      <c r="G601" s="48">
        <v>145</v>
      </c>
      <c r="H601" s="61">
        <v>18</v>
      </c>
      <c r="I601" s="49">
        <v>1</v>
      </c>
      <c r="J601" s="49">
        <v>0</v>
      </c>
      <c r="K601" s="49">
        <v>1</v>
      </c>
      <c r="L601" s="49">
        <f t="shared" si="190"/>
        <v>20</v>
      </c>
      <c r="M601" s="49">
        <f t="shared" si="177"/>
        <v>8.2758620689655178</v>
      </c>
      <c r="N601" s="62">
        <v>34</v>
      </c>
      <c r="O601" s="49">
        <v>1</v>
      </c>
      <c r="P601" s="49">
        <v>1</v>
      </c>
      <c r="Q601" s="49">
        <v>0</v>
      </c>
      <c r="R601" s="49">
        <v>2</v>
      </c>
      <c r="S601" s="49">
        <f t="shared" si="188"/>
        <v>38</v>
      </c>
      <c r="T601" s="49">
        <f t="shared" si="146"/>
        <v>15.724137931034482</v>
      </c>
      <c r="U601" s="62">
        <v>16</v>
      </c>
      <c r="V601" s="49">
        <v>1</v>
      </c>
      <c r="W601" s="49">
        <v>0</v>
      </c>
      <c r="X601" s="49">
        <f t="shared" si="187"/>
        <v>17</v>
      </c>
      <c r="Y601" s="49">
        <f t="shared" si="180"/>
        <v>7.0344827586206895</v>
      </c>
      <c r="Z601" s="49">
        <v>18</v>
      </c>
      <c r="AA601" s="49">
        <v>1</v>
      </c>
      <c r="AB601" s="49">
        <v>0</v>
      </c>
      <c r="AC601" s="49">
        <v>2</v>
      </c>
      <c r="AD601" s="49">
        <f t="shared" si="184"/>
        <v>21</v>
      </c>
      <c r="AE601" s="49">
        <f t="shared" si="181"/>
        <v>8.6896551724137936</v>
      </c>
      <c r="AF601" s="49">
        <f t="shared" si="182"/>
        <v>76</v>
      </c>
      <c r="AG601" s="49">
        <f t="shared" si="182"/>
        <v>31.448275862068964</v>
      </c>
      <c r="AH601" s="49">
        <f t="shared" si="189"/>
        <v>96</v>
      </c>
      <c r="AI601" s="49">
        <f t="shared" si="183"/>
        <v>39.724137931034484</v>
      </c>
      <c r="AJ601" s="85"/>
    </row>
    <row r="602" spans="1:36" s="64" customFormat="1">
      <c r="A602" s="80" t="s">
        <v>22</v>
      </c>
      <c r="B602" s="46" t="s">
        <v>579</v>
      </c>
      <c r="C602" s="75" t="s">
        <v>221</v>
      </c>
      <c r="D602" s="46" t="str">
        <f t="shared" ref="D602:D624" si="191">C602&amp;"("&amp;F602&amp;")"</f>
        <v>M32USMS24SO-.322URX1(D901)</v>
      </c>
      <c r="E602" s="46" t="s">
        <v>7</v>
      </c>
      <c r="F602" s="46" t="s">
        <v>7</v>
      </c>
      <c r="G602" s="48">
        <v>145</v>
      </c>
      <c r="H602" s="61">
        <v>18</v>
      </c>
      <c r="I602" s="49">
        <v>1</v>
      </c>
      <c r="J602" s="49">
        <v>0</v>
      </c>
      <c r="K602" s="49">
        <v>1</v>
      </c>
      <c r="L602" s="49">
        <f t="shared" si="190"/>
        <v>20</v>
      </c>
      <c r="M602" s="49">
        <f t="shared" si="177"/>
        <v>8.2758620689655178</v>
      </c>
      <c r="N602" s="62">
        <v>29</v>
      </c>
      <c r="O602" s="49">
        <v>1</v>
      </c>
      <c r="P602" s="49">
        <v>1</v>
      </c>
      <c r="Q602" s="49">
        <v>0</v>
      </c>
      <c r="R602" s="49">
        <v>2</v>
      </c>
      <c r="S602" s="49">
        <f t="shared" si="188"/>
        <v>33</v>
      </c>
      <c r="T602" s="49">
        <f t="shared" si="146"/>
        <v>13.655172413793103</v>
      </c>
      <c r="U602" s="62">
        <v>16</v>
      </c>
      <c r="V602" s="49">
        <v>1</v>
      </c>
      <c r="W602" s="49">
        <v>0</v>
      </c>
      <c r="X602" s="49">
        <f t="shared" si="187"/>
        <v>17</v>
      </c>
      <c r="Y602" s="49">
        <f t="shared" si="180"/>
        <v>7.0344827586206895</v>
      </c>
      <c r="Z602" s="49">
        <v>20</v>
      </c>
      <c r="AA602" s="49">
        <v>1</v>
      </c>
      <c r="AB602" s="49">
        <v>0</v>
      </c>
      <c r="AC602" s="49">
        <v>2</v>
      </c>
      <c r="AD602" s="49">
        <v>20</v>
      </c>
      <c r="AE602" s="49">
        <f t="shared" si="181"/>
        <v>8.2758620689655178</v>
      </c>
      <c r="AF602" s="49">
        <f t="shared" si="182"/>
        <v>70</v>
      </c>
      <c r="AG602" s="49">
        <f t="shared" si="182"/>
        <v>28.96551724137931</v>
      </c>
      <c r="AH602" s="49">
        <f t="shared" si="189"/>
        <v>90</v>
      </c>
      <c r="AI602" s="49">
        <f t="shared" si="183"/>
        <v>37.241379310344826</v>
      </c>
      <c r="AJ602" s="85"/>
    </row>
    <row r="603" spans="1:36" s="64" customFormat="1">
      <c r="A603" s="80" t="s">
        <v>22</v>
      </c>
      <c r="B603" s="46" t="s">
        <v>580</v>
      </c>
      <c r="C603" s="75" t="s">
        <v>206</v>
      </c>
      <c r="D603" s="46" t="str">
        <f t="shared" si="191"/>
        <v>M27USMS24SQ-.272QPW1(D901)</v>
      </c>
      <c r="E603" s="46" t="s">
        <v>7</v>
      </c>
      <c r="F603" s="46" t="s">
        <v>7</v>
      </c>
      <c r="G603" s="48">
        <v>145</v>
      </c>
      <c r="H603" s="61">
        <v>18</v>
      </c>
      <c r="I603" s="49">
        <v>1</v>
      </c>
      <c r="J603" s="49">
        <v>0</v>
      </c>
      <c r="K603" s="49">
        <v>1</v>
      </c>
      <c r="L603" s="49">
        <f t="shared" si="190"/>
        <v>20</v>
      </c>
      <c r="M603" s="49">
        <f t="shared" si="177"/>
        <v>8.2758620689655178</v>
      </c>
      <c r="N603" s="62">
        <v>31</v>
      </c>
      <c r="O603" s="49">
        <v>1</v>
      </c>
      <c r="P603" s="49">
        <v>1</v>
      </c>
      <c r="Q603" s="49">
        <v>0</v>
      </c>
      <c r="R603" s="49">
        <v>2</v>
      </c>
      <c r="S603" s="49">
        <f t="shared" si="188"/>
        <v>35</v>
      </c>
      <c r="T603" s="49">
        <f t="shared" si="146"/>
        <v>14.482758620689655</v>
      </c>
      <c r="U603" s="62">
        <v>16</v>
      </c>
      <c r="V603" s="49">
        <v>1</v>
      </c>
      <c r="W603" s="49">
        <v>0</v>
      </c>
      <c r="X603" s="49">
        <f t="shared" si="187"/>
        <v>17</v>
      </c>
      <c r="Y603" s="49">
        <f t="shared" si="180"/>
        <v>7.0344827586206895</v>
      </c>
      <c r="Z603" s="49">
        <v>20</v>
      </c>
      <c r="AA603" s="49">
        <v>1</v>
      </c>
      <c r="AB603" s="49">
        <v>0</v>
      </c>
      <c r="AC603" s="49">
        <v>2</v>
      </c>
      <c r="AD603" s="49">
        <v>20</v>
      </c>
      <c r="AE603" s="49">
        <f t="shared" si="181"/>
        <v>8.2758620689655178</v>
      </c>
      <c r="AF603" s="49">
        <f t="shared" si="182"/>
        <v>72</v>
      </c>
      <c r="AG603" s="49">
        <f t="shared" si="182"/>
        <v>29.793103448275865</v>
      </c>
      <c r="AH603" s="49">
        <f t="shared" si="189"/>
        <v>92</v>
      </c>
      <c r="AI603" s="49">
        <f t="shared" si="183"/>
        <v>38.068965517241381</v>
      </c>
      <c r="AJ603" s="85"/>
    </row>
    <row r="604" spans="1:36" s="64" customFormat="1">
      <c r="A604" s="80" t="s">
        <v>22</v>
      </c>
      <c r="B604" s="46" t="s">
        <v>581</v>
      </c>
      <c r="C604" s="75" t="s">
        <v>205</v>
      </c>
      <c r="D604" s="46" t="str">
        <f t="shared" si="191"/>
        <v>M27USMS24SQ-.272QPX1(D901)</v>
      </c>
      <c r="E604" s="46" t="s">
        <v>7</v>
      </c>
      <c r="F604" s="46" t="s">
        <v>7</v>
      </c>
      <c r="G604" s="48">
        <v>145</v>
      </c>
      <c r="H604" s="61">
        <v>18</v>
      </c>
      <c r="I604" s="49">
        <v>1</v>
      </c>
      <c r="J604" s="49">
        <v>0</v>
      </c>
      <c r="K604" s="49">
        <v>1</v>
      </c>
      <c r="L604" s="49">
        <f t="shared" si="190"/>
        <v>20</v>
      </c>
      <c r="M604" s="49">
        <f t="shared" si="177"/>
        <v>8.2758620689655178</v>
      </c>
      <c r="N604" s="62">
        <v>31</v>
      </c>
      <c r="O604" s="49">
        <v>1</v>
      </c>
      <c r="P604" s="49">
        <v>1</v>
      </c>
      <c r="Q604" s="49">
        <v>0</v>
      </c>
      <c r="R604" s="49">
        <v>2</v>
      </c>
      <c r="S604" s="49">
        <f t="shared" si="188"/>
        <v>35</v>
      </c>
      <c r="T604" s="49">
        <f t="shared" si="146"/>
        <v>14.482758620689655</v>
      </c>
      <c r="U604" s="62">
        <v>16</v>
      </c>
      <c r="V604" s="49">
        <v>1</v>
      </c>
      <c r="W604" s="49">
        <v>0</v>
      </c>
      <c r="X604" s="49">
        <f t="shared" si="187"/>
        <v>17</v>
      </c>
      <c r="Y604" s="49">
        <f t="shared" si="180"/>
        <v>7.0344827586206895</v>
      </c>
      <c r="Z604" s="49">
        <v>20</v>
      </c>
      <c r="AA604" s="49">
        <v>1</v>
      </c>
      <c r="AB604" s="49">
        <v>0</v>
      </c>
      <c r="AC604" s="49">
        <v>2</v>
      </c>
      <c r="AD604" s="49">
        <v>20</v>
      </c>
      <c r="AE604" s="49">
        <f t="shared" si="181"/>
        <v>8.2758620689655178</v>
      </c>
      <c r="AF604" s="49">
        <f t="shared" si="182"/>
        <v>72</v>
      </c>
      <c r="AG604" s="49">
        <f t="shared" si="182"/>
        <v>29.793103448275865</v>
      </c>
      <c r="AH604" s="49">
        <f t="shared" si="189"/>
        <v>92</v>
      </c>
      <c r="AI604" s="49">
        <f t="shared" si="183"/>
        <v>38.068965517241381</v>
      </c>
      <c r="AJ604" s="85"/>
    </row>
    <row r="605" spans="1:36" s="64" customFormat="1">
      <c r="A605" s="80" t="s">
        <v>22</v>
      </c>
      <c r="B605" s="46" t="s">
        <v>582</v>
      </c>
      <c r="C605" s="75" t="s">
        <v>204</v>
      </c>
      <c r="D605" s="46" t="str">
        <f t="shared" si="191"/>
        <v>M27USMS24SO-.272UPX1(D901)</v>
      </c>
      <c r="E605" s="46" t="s">
        <v>7</v>
      </c>
      <c r="F605" s="46" t="s">
        <v>7</v>
      </c>
      <c r="G605" s="48">
        <v>145</v>
      </c>
      <c r="H605" s="61">
        <v>18</v>
      </c>
      <c r="I605" s="49">
        <v>1</v>
      </c>
      <c r="J605" s="49">
        <v>0</v>
      </c>
      <c r="K605" s="49">
        <v>1</v>
      </c>
      <c r="L605" s="49">
        <f t="shared" si="190"/>
        <v>20</v>
      </c>
      <c r="M605" s="49">
        <f t="shared" si="177"/>
        <v>8.2758620689655178</v>
      </c>
      <c r="N605" s="62">
        <v>31</v>
      </c>
      <c r="O605" s="49">
        <v>1</v>
      </c>
      <c r="P605" s="49">
        <v>1</v>
      </c>
      <c r="Q605" s="49">
        <v>0</v>
      </c>
      <c r="R605" s="49">
        <v>2</v>
      </c>
      <c r="S605" s="49">
        <f t="shared" si="188"/>
        <v>35</v>
      </c>
      <c r="T605" s="49">
        <f t="shared" si="146"/>
        <v>14.482758620689655</v>
      </c>
      <c r="U605" s="62">
        <v>16</v>
      </c>
      <c r="V605" s="49">
        <v>1</v>
      </c>
      <c r="W605" s="49">
        <v>0</v>
      </c>
      <c r="X605" s="49">
        <f t="shared" si="187"/>
        <v>17</v>
      </c>
      <c r="Y605" s="49">
        <f t="shared" si="180"/>
        <v>7.0344827586206895</v>
      </c>
      <c r="Z605" s="49">
        <v>19</v>
      </c>
      <c r="AA605" s="49">
        <v>1</v>
      </c>
      <c r="AB605" s="49">
        <v>0</v>
      </c>
      <c r="AC605" s="49">
        <v>2</v>
      </c>
      <c r="AD605" s="49">
        <v>20</v>
      </c>
      <c r="AE605" s="49">
        <f t="shared" si="181"/>
        <v>8.2758620689655178</v>
      </c>
      <c r="AF605" s="49">
        <f t="shared" si="182"/>
        <v>72</v>
      </c>
      <c r="AG605" s="49">
        <f t="shared" si="182"/>
        <v>29.793103448275865</v>
      </c>
      <c r="AH605" s="49">
        <f t="shared" si="189"/>
        <v>92</v>
      </c>
      <c r="AI605" s="49">
        <f t="shared" si="183"/>
        <v>38.068965517241381</v>
      </c>
      <c r="AJ605" s="85"/>
    </row>
    <row r="606" spans="1:36" s="64" customFormat="1">
      <c r="A606" s="80" t="s">
        <v>22</v>
      </c>
      <c r="B606" s="88" t="s">
        <v>587</v>
      </c>
      <c r="C606" s="75" t="s">
        <v>235</v>
      </c>
      <c r="D606" s="46" t="str">
        <f t="shared" si="191"/>
        <v>M32USMS22AO-.CUPDF01(D901)</v>
      </c>
      <c r="E606" s="46" t="s">
        <v>7</v>
      </c>
      <c r="F606" s="46" t="s">
        <v>7</v>
      </c>
      <c r="G606" s="48">
        <v>160</v>
      </c>
      <c r="H606" s="61">
        <v>21</v>
      </c>
      <c r="I606" s="49">
        <v>1</v>
      </c>
      <c r="J606" s="49">
        <v>1</v>
      </c>
      <c r="K606" s="49">
        <v>3</v>
      </c>
      <c r="L606" s="49">
        <f t="shared" si="190"/>
        <v>26</v>
      </c>
      <c r="M606" s="49">
        <f t="shared" si="177"/>
        <v>9.75</v>
      </c>
      <c r="N606" s="62">
        <v>29</v>
      </c>
      <c r="O606" s="49">
        <v>1</v>
      </c>
      <c r="P606" s="49">
        <v>1</v>
      </c>
      <c r="Q606" s="49">
        <v>1</v>
      </c>
      <c r="R606" s="49">
        <v>2</v>
      </c>
      <c r="S606" s="49">
        <f t="shared" ref="S606:S615" si="192">SUM(N606:R606)</f>
        <v>34</v>
      </c>
      <c r="T606" s="49">
        <f t="shared" si="146"/>
        <v>12.75</v>
      </c>
      <c r="U606" s="62">
        <v>18</v>
      </c>
      <c r="V606" s="49">
        <v>1</v>
      </c>
      <c r="W606" s="49">
        <v>0</v>
      </c>
      <c r="X606" s="49">
        <f>SUM(U606:W606)</f>
        <v>19</v>
      </c>
      <c r="Y606" s="49">
        <f t="shared" si="180"/>
        <v>7.125</v>
      </c>
      <c r="Z606" s="49">
        <v>17</v>
      </c>
      <c r="AA606" s="49">
        <v>1</v>
      </c>
      <c r="AB606" s="49">
        <v>0</v>
      </c>
      <c r="AC606" s="49">
        <v>2</v>
      </c>
      <c r="AD606" s="49">
        <f t="shared" ref="AD606:AD615" si="193">SUM(Z606:AC606)</f>
        <v>20</v>
      </c>
      <c r="AE606" s="49">
        <f t="shared" si="181"/>
        <v>7.5</v>
      </c>
      <c r="AF606" s="49">
        <f t="shared" ref="AF606:AG615" si="194">SUM(S606,X606,AD606)</f>
        <v>73</v>
      </c>
      <c r="AG606" s="49">
        <f t="shared" si="194"/>
        <v>27.375</v>
      </c>
      <c r="AH606" s="49">
        <f t="shared" si="189"/>
        <v>99</v>
      </c>
      <c r="AI606" s="49">
        <f t="shared" si="183"/>
        <v>37.125</v>
      </c>
      <c r="AJ606" s="85"/>
    </row>
    <row r="607" spans="1:36">
      <c r="A607" s="33" t="s">
        <v>335</v>
      </c>
      <c r="B607" s="33" t="s">
        <v>588</v>
      </c>
      <c r="C607" s="60" t="s">
        <v>589</v>
      </c>
      <c r="D607" s="33" t="str">
        <f t="shared" si="191"/>
        <v>V50WWNFB2AO-.HARRIS5(D902)</v>
      </c>
      <c r="E607" s="33" t="s">
        <v>10</v>
      </c>
      <c r="F607" s="33" t="s">
        <v>10</v>
      </c>
      <c r="G607" s="35">
        <v>19</v>
      </c>
      <c r="H607" s="58">
        <v>15</v>
      </c>
      <c r="I607" s="36">
        <v>1</v>
      </c>
      <c r="J607" s="36">
        <v>1</v>
      </c>
      <c r="K607" s="36">
        <v>1</v>
      </c>
      <c r="L607" s="36">
        <f t="shared" si="190"/>
        <v>18</v>
      </c>
      <c r="M607" s="36">
        <f t="shared" si="177"/>
        <v>56.842105263157897</v>
      </c>
      <c r="N607" s="59">
        <v>32</v>
      </c>
      <c r="O607" s="36">
        <v>1</v>
      </c>
      <c r="P607" s="36">
        <v>1</v>
      </c>
      <c r="Q607" s="36">
        <v>1</v>
      </c>
      <c r="R607" s="36">
        <v>2</v>
      </c>
      <c r="S607" s="36">
        <f t="shared" si="192"/>
        <v>37</v>
      </c>
      <c r="T607" s="36">
        <f t="shared" si="146"/>
        <v>116.84210526315789</v>
      </c>
      <c r="U607" s="59">
        <v>7</v>
      </c>
      <c r="V607" s="36">
        <v>1</v>
      </c>
      <c r="W607" s="36">
        <v>0</v>
      </c>
      <c r="X607" s="36">
        <f t="shared" ref="X607:X615" si="195">SUM(U607:W607)</f>
        <v>8</v>
      </c>
      <c r="Y607" s="36">
        <f t="shared" si="180"/>
        <v>25.263157894736842</v>
      </c>
      <c r="Z607" s="36">
        <v>11</v>
      </c>
      <c r="AA607" s="36">
        <v>1</v>
      </c>
      <c r="AB607" s="36">
        <v>0</v>
      </c>
      <c r="AC607" s="36">
        <v>1</v>
      </c>
      <c r="AD607" s="36">
        <f t="shared" si="193"/>
        <v>13</v>
      </c>
      <c r="AE607" s="36">
        <f t="shared" si="181"/>
        <v>41.05263157894737</v>
      </c>
      <c r="AF607" s="36">
        <f t="shared" si="194"/>
        <v>58</v>
      </c>
      <c r="AG607" s="36">
        <f t="shared" si="194"/>
        <v>183.15789473684211</v>
      </c>
      <c r="AH607" s="36">
        <f t="shared" si="159"/>
        <v>76</v>
      </c>
      <c r="AI607" s="36">
        <f t="shared" si="183"/>
        <v>240</v>
      </c>
      <c r="AJ607" s="63">
        <f>AI607/AH607</f>
        <v>3.1578947368421053</v>
      </c>
    </row>
    <row r="608" spans="1:36">
      <c r="A608" s="33" t="s">
        <v>335</v>
      </c>
      <c r="B608" s="33" t="s">
        <v>588</v>
      </c>
      <c r="C608" s="34" t="s">
        <v>590</v>
      </c>
      <c r="D608" s="33" t="str">
        <f t="shared" si="191"/>
        <v>V50WWNF22AO-.HARRIS3 (D902)</v>
      </c>
      <c r="E608" s="33" t="s">
        <v>10</v>
      </c>
      <c r="F608" s="33" t="s">
        <v>10</v>
      </c>
      <c r="G608" s="35">
        <v>19</v>
      </c>
      <c r="H608" s="58">
        <v>15</v>
      </c>
      <c r="I608" s="36">
        <v>1</v>
      </c>
      <c r="J608" s="36">
        <v>1</v>
      </c>
      <c r="K608" s="36">
        <v>1</v>
      </c>
      <c r="L608" s="36">
        <f t="shared" ref="L608:L614" si="196">SUM(H608:K608)</f>
        <v>18</v>
      </c>
      <c r="M608" s="36">
        <f t="shared" si="177"/>
        <v>56.842105263157897</v>
      </c>
      <c r="N608" s="59">
        <v>32</v>
      </c>
      <c r="O608" s="36">
        <v>1</v>
      </c>
      <c r="P608" s="36">
        <v>1</v>
      </c>
      <c r="Q608" s="36">
        <v>1</v>
      </c>
      <c r="R608" s="36">
        <v>2</v>
      </c>
      <c r="S608" s="36">
        <f t="shared" si="192"/>
        <v>37</v>
      </c>
      <c r="T608" s="36">
        <f t="shared" si="146"/>
        <v>116.84210526315789</v>
      </c>
      <c r="U608" s="59">
        <v>7</v>
      </c>
      <c r="V608" s="36">
        <v>1</v>
      </c>
      <c r="W608" s="36">
        <v>0</v>
      </c>
      <c r="X608" s="36">
        <f t="shared" si="195"/>
        <v>8</v>
      </c>
      <c r="Y608" s="36">
        <f t="shared" si="180"/>
        <v>25.263157894736842</v>
      </c>
      <c r="Z608" s="36">
        <v>11</v>
      </c>
      <c r="AA608" s="36">
        <v>1</v>
      </c>
      <c r="AB608" s="36">
        <v>0</v>
      </c>
      <c r="AC608" s="36">
        <v>1</v>
      </c>
      <c r="AD608" s="36">
        <f t="shared" si="193"/>
        <v>13</v>
      </c>
      <c r="AE608" s="36">
        <f t="shared" si="181"/>
        <v>41.05263157894737</v>
      </c>
      <c r="AF608" s="36">
        <f t="shared" si="194"/>
        <v>58</v>
      </c>
      <c r="AG608" s="36">
        <f t="shared" si="194"/>
        <v>183.15789473684211</v>
      </c>
      <c r="AH608" s="36">
        <f t="shared" si="159"/>
        <v>76</v>
      </c>
      <c r="AI608" s="36">
        <f t="shared" si="183"/>
        <v>240</v>
      </c>
      <c r="AJ608" s="63">
        <f t="shared" ref="AJ608:AJ624" si="197">AI608/AH608</f>
        <v>3.1578947368421053</v>
      </c>
    </row>
    <row r="609" spans="1:36">
      <c r="A609" s="33" t="s">
        <v>335</v>
      </c>
      <c r="B609" s="33" t="s">
        <v>588</v>
      </c>
      <c r="C609" s="34" t="s">
        <v>130</v>
      </c>
      <c r="D609" s="33" t="str">
        <f t="shared" si="191"/>
        <v>V50WWNF22AO-.HARRIS4(D902)</v>
      </c>
      <c r="E609" s="33" t="s">
        <v>10</v>
      </c>
      <c r="F609" s="33" t="s">
        <v>10</v>
      </c>
      <c r="G609" s="35">
        <v>19</v>
      </c>
      <c r="H609" s="58">
        <v>15</v>
      </c>
      <c r="I609" s="36">
        <v>1</v>
      </c>
      <c r="J609" s="36">
        <v>1</v>
      </c>
      <c r="K609" s="36">
        <v>1</v>
      </c>
      <c r="L609" s="36">
        <f t="shared" si="196"/>
        <v>18</v>
      </c>
      <c r="M609" s="36">
        <f t="shared" si="177"/>
        <v>56.842105263157897</v>
      </c>
      <c r="N609" s="59">
        <v>32</v>
      </c>
      <c r="O609" s="36">
        <v>1</v>
      </c>
      <c r="P609" s="36">
        <v>1</v>
      </c>
      <c r="Q609" s="36">
        <v>1</v>
      </c>
      <c r="R609" s="36">
        <v>2</v>
      </c>
      <c r="S609" s="36">
        <f t="shared" si="192"/>
        <v>37</v>
      </c>
      <c r="T609" s="36">
        <f t="shared" si="146"/>
        <v>116.84210526315789</v>
      </c>
      <c r="U609" s="59">
        <v>7</v>
      </c>
      <c r="V609" s="36">
        <v>1</v>
      </c>
      <c r="W609" s="36">
        <v>0</v>
      </c>
      <c r="X609" s="36">
        <f t="shared" si="195"/>
        <v>8</v>
      </c>
      <c r="Y609" s="36">
        <f t="shared" si="180"/>
        <v>25.263157894736842</v>
      </c>
      <c r="Z609" s="36">
        <v>11</v>
      </c>
      <c r="AA609" s="36">
        <v>1</v>
      </c>
      <c r="AB609" s="36">
        <v>0</v>
      </c>
      <c r="AC609" s="36">
        <v>1</v>
      </c>
      <c r="AD609" s="36">
        <f t="shared" si="193"/>
        <v>13</v>
      </c>
      <c r="AE609" s="36">
        <f t="shared" si="181"/>
        <v>41.05263157894737</v>
      </c>
      <c r="AF609" s="36">
        <f t="shared" si="194"/>
        <v>58</v>
      </c>
      <c r="AG609" s="36">
        <f t="shared" si="194"/>
        <v>183.15789473684211</v>
      </c>
      <c r="AH609" s="36">
        <f t="shared" si="159"/>
        <v>76</v>
      </c>
      <c r="AI609" s="36">
        <f t="shared" si="183"/>
        <v>240</v>
      </c>
      <c r="AJ609" s="63">
        <f t="shared" si="197"/>
        <v>3.1578947368421053</v>
      </c>
    </row>
    <row r="610" spans="1:36">
      <c r="A610" s="38" t="s">
        <v>335</v>
      </c>
      <c r="B610" s="38" t="s">
        <v>591</v>
      </c>
      <c r="C610" s="39" t="s">
        <v>592</v>
      </c>
      <c r="D610" s="38" t="str">
        <f t="shared" si="191"/>
        <v>3V500022030A(D902)</v>
      </c>
      <c r="E610" s="38" t="s">
        <v>10</v>
      </c>
      <c r="F610" s="38" t="s">
        <v>10</v>
      </c>
      <c r="G610" s="40">
        <v>19</v>
      </c>
      <c r="H610" s="77">
        <v>15</v>
      </c>
      <c r="I610" s="41">
        <v>1</v>
      </c>
      <c r="J610" s="41">
        <v>1</v>
      </c>
      <c r="K610" s="41">
        <v>1</v>
      </c>
      <c r="L610" s="41">
        <f t="shared" si="196"/>
        <v>18</v>
      </c>
      <c r="M610" s="41">
        <f t="shared" si="177"/>
        <v>56.842105263157897</v>
      </c>
      <c r="N610" s="78">
        <v>8</v>
      </c>
      <c r="O610" s="41">
        <v>1</v>
      </c>
      <c r="P610" s="41">
        <v>1</v>
      </c>
      <c r="Q610" s="41">
        <v>1</v>
      </c>
      <c r="R610" s="41">
        <v>2</v>
      </c>
      <c r="S610" s="41">
        <f t="shared" si="192"/>
        <v>13</v>
      </c>
      <c r="T610" s="41">
        <f t="shared" si="146"/>
        <v>41.05263157894737</v>
      </c>
      <c r="U610" s="78">
        <v>0</v>
      </c>
      <c r="V610" s="41">
        <v>0</v>
      </c>
      <c r="W610" s="41">
        <v>0</v>
      </c>
      <c r="X610" s="41">
        <f t="shared" si="195"/>
        <v>0</v>
      </c>
      <c r="Y610" s="41">
        <f t="shared" si="180"/>
        <v>0</v>
      </c>
      <c r="Z610" s="41">
        <v>3</v>
      </c>
      <c r="AA610" s="41">
        <v>0</v>
      </c>
      <c r="AB610" s="41">
        <v>0</v>
      </c>
      <c r="AC610" s="41">
        <v>1</v>
      </c>
      <c r="AD610" s="41">
        <f t="shared" si="193"/>
        <v>4</v>
      </c>
      <c r="AE610" s="41">
        <f t="shared" si="181"/>
        <v>12.631578947368421</v>
      </c>
      <c r="AF610" s="41">
        <f t="shared" si="194"/>
        <v>17</v>
      </c>
      <c r="AG610" s="41">
        <f t="shared" si="194"/>
        <v>53.684210526315795</v>
      </c>
      <c r="AH610" s="41">
        <f t="shared" si="159"/>
        <v>35</v>
      </c>
      <c r="AI610" s="41">
        <f t="shared" si="183"/>
        <v>110.5263157894737</v>
      </c>
      <c r="AJ610" s="63">
        <f t="shared" si="197"/>
        <v>3.1578947368421058</v>
      </c>
    </row>
    <row r="611" spans="1:36">
      <c r="A611" s="38" t="s">
        <v>335</v>
      </c>
      <c r="B611" s="38" t="s">
        <v>261</v>
      </c>
      <c r="C611" s="39" t="s">
        <v>253</v>
      </c>
      <c r="D611" s="38" t="str">
        <f t="shared" si="191"/>
        <v>V32WWNF22AO-.NFM1321(D902)</v>
      </c>
      <c r="E611" s="38" t="s">
        <v>10</v>
      </c>
      <c r="F611" s="38" t="s">
        <v>10</v>
      </c>
      <c r="G611" s="40">
        <v>25</v>
      </c>
      <c r="H611" s="77">
        <v>15</v>
      </c>
      <c r="I611" s="41">
        <v>1</v>
      </c>
      <c r="J611" s="41">
        <v>1</v>
      </c>
      <c r="K611" s="41">
        <v>1</v>
      </c>
      <c r="L611" s="41">
        <f t="shared" si="196"/>
        <v>18</v>
      </c>
      <c r="M611" s="41">
        <f t="shared" si="177"/>
        <v>43.2</v>
      </c>
      <c r="N611" s="78">
        <v>30</v>
      </c>
      <c r="O611" s="41">
        <v>1</v>
      </c>
      <c r="P611" s="41">
        <v>1</v>
      </c>
      <c r="Q611" s="41">
        <v>1</v>
      </c>
      <c r="R611" s="41">
        <v>2</v>
      </c>
      <c r="S611" s="41">
        <f t="shared" si="192"/>
        <v>35</v>
      </c>
      <c r="T611" s="41">
        <f t="shared" si="146"/>
        <v>84</v>
      </c>
      <c r="U611" s="78">
        <v>7</v>
      </c>
      <c r="V611" s="41">
        <v>1</v>
      </c>
      <c r="W611" s="41">
        <v>0</v>
      </c>
      <c r="X611" s="41">
        <f t="shared" si="195"/>
        <v>8</v>
      </c>
      <c r="Y611" s="41">
        <f t="shared" si="180"/>
        <v>19.2</v>
      </c>
      <c r="Z611" s="41">
        <v>11</v>
      </c>
      <c r="AA611" s="41">
        <v>1</v>
      </c>
      <c r="AB611" s="41">
        <v>0</v>
      </c>
      <c r="AC611" s="41">
        <v>1</v>
      </c>
      <c r="AD611" s="41">
        <f t="shared" si="193"/>
        <v>13</v>
      </c>
      <c r="AE611" s="41">
        <f t="shared" si="181"/>
        <v>31.2</v>
      </c>
      <c r="AF611" s="41">
        <f t="shared" si="194"/>
        <v>56</v>
      </c>
      <c r="AG611" s="41">
        <f t="shared" si="194"/>
        <v>134.4</v>
      </c>
      <c r="AH611" s="41">
        <f t="shared" si="159"/>
        <v>74</v>
      </c>
      <c r="AI611" s="41">
        <f t="shared" si="183"/>
        <v>177.60000000000002</v>
      </c>
      <c r="AJ611" s="63">
        <f t="shared" si="197"/>
        <v>2.4000000000000004</v>
      </c>
    </row>
    <row r="612" spans="1:36">
      <c r="A612" s="38" t="s">
        <v>335</v>
      </c>
      <c r="B612" s="38" t="s">
        <v>261</v>
      </c>
      <c r="C612" s="39" t="s">
        <v>254</v>
      </c>
      <c r="D612" s="38" t="str">
        <f t="shared" si="191"/>
        <v>V32WWNF22AO-.NFM1322(D902)</v>
      </c>
      <c r="E612" s="38" t="s">
        <v>10</v>
      </c>
      <c r="F612" s="38" t="s">
        <v>10</v>
      </c>
      <c r="G612" s="40">
        <v>25</v>
      </c>
      <c r="H612" s="77">
        <v>15</v>
      </c>
      <c r="I612" s="41">
        <v>1</v>
      </c>
      <c r="J612" s="41">
        <v>1</v>
      </c>
      <c r="K612" s="41">
        <v>1</v>
      </c>
      <c r="L612" s="41">
        <f t="shared" si="196"/>
        <v>18</v>
      </c>
      <c r="M612" s="41">
        <f t="shared" si="177"/>
        <v>43.2</v>
      </c>
      <c r="N612" s="78">
        <v>30</v>
      </c>
      <c r="O612" s="41">
        <v>1</v>
      </c>
      <c r="P612" s="41">
        <v>1</v>
      </c>
      <c r="Q612" s="41">
        <v>1</v>
      </c>
      <c r="R612" s="41">
        <v>2</v>
      </c>
      <c r="S612" s="41">
        <f t="shared" si="192"/>
        <v>35</v>
      </c>
      <c r="T612" s="41">
        <f t="shared" si="146"/>
        <v>84</v>
      </c>
      <c r="U612" s="78">
        <v>7</v>
      </c>
      <c r="V612" s="41">
        <v>1</v>
      </c>
      <c r="W612" s="41">
        <v>0</v>
      </c>
      <c r="X612" s="41">
        <f t="shared" si="195"/>
        <v>8</v>
      </c>
      <c r="Y612" s="41">
        <f t="shared" si="180"/>
        <v>19.2</v>
      </c>
      <c r="Z612" s="41">
        <v>11</v>
      </c>
      <c r="AA612" s="41">
        <v>1</v>
      </c>
      <c r="AB612" s="41">
        <v>0</v>
      </c>
      <c r="AC612" s="41">
        <v>1</v>
      </c>
      <c r="AD612" s="41">
        <f t="shared" si="193"/>
        <v>13</v>
      </c>
      <c r="AE612" s="41">
        <f t="shared" si="181"/>
        <v>31.2</v>
      </c>
      <c r="AF612" s="41">
        <f t="shared" si="194"/>
        <v>56</v>
      </c>
      <c r="AG612" s="41">
        <f t="shared" si="194"/>
        <v>134.4</v>
      </c>
      <c r="AH612" s="41">
        <f t="shared" si="159"/>
        <v>74</v>
      </c>
      <c r="AI612" s="41">
        <f t="shared" si="183"/>
        <v>177.60000000000002</v>
      </c>
      <c r="AJ612" s="63">
        <f t="shared" si="197"/>
        <v>2.4000000000000004</v>
      </c>
    </row>
    <row r="613" spans="1:36">
      <c r="A613" s="38" t="s">
        <v>335</v>
      </c>
      <c r="B613" s="38" t="s">
        <v>261</v>
      </c>
      <c r="C613" s="39" t="s">
        <v>251</v>
      </c>
      <c r="D613" s="38" t="str">
        <f t="shared" si="191"/>
        <v>V32WWNF22AO-.NFM1323(D902)</v>
      </c>
      <c r="E613" s="38" t="s">
        <v>10</v>
      </c>
      <c r="F613" s="38" t="s">
        <v>10</v>
      </c>
      <c r="G613" s="40">
        <v>25</v>
      </c>
      <c r="H613" s="77">
        <v>15</v>
      </c>
      <c r="I613" s="41">
        <v>1</v>
      </c>
      <c r="J613" s="41">
        <v>1</v>
      </c>
      <c r="K613" s="41">
        <v>1</v>
      </c>
      <c r="L613" s="41">
        <f t="shared" si="196"/>
        <v>18</v>
      </c>
      <c r="M613" s="41">
        <f t="shared" si="177"/>
        <v>43.2</v>
      </c>
      <c r="N613" s="78">
        <v>30</v>
      </c>
      <c r="O613" s="41">
        <v>1</v>
      </c>
      <c r="P613" s="41">
        <v>1</v>
      </c>
      <c r="Q613" s="41">
        <v>1</v>
      </c>
      <c r="R613" s="41">
        <v>2</v>
      </c>
      <c r="S613" s="41">
        <f t="shared" si="192"/>
        <v>35</v>
      </c>
      <c r="T613" s="41">
        <f t="shared" si="146"/>
        <v>84</v>
      </c>
      <c r="U613" s="78">
        <v>7</v>
      </c>
      <c r="V613" s="41">
        <v>1</v>
      </c>
      <c r="W613" s="41">
        <v>0</v>
      </c>
      <c r="X613" s="41">
        <f t="shared" si="195"/>
        <v>8</v>
      </c>
      <c r="Y613" s="41">
        <f t="shared" si="180"/>
        <v>19.2</v>
      </c>
      <c r="Z613" s="41">
        <v>11</v>
      </c>
      <c r="AA613" s="41">
        <v>1</v>
      </c>
      <c r="AB613" s="41">
        <v>0</v>
      </c>
      <c r="AC613" s="41">
        <v>1</v>
      </c>
      <c r="AD613" s="41">
        <f t="shared" si="193"/>
        <v>13</v>
      </c>
      <c r="AE613" s="41">
        <f t="shared" si="181"/>
        <v>31.2</v>
      </c>
      <c r="AF613" s="41">
        <f t="shared" si="194"/>
        <v>56</v>
      </c>
      <c r="AG613" s="41">
        <f t="shared" si="194"/>
        <v>134.4</v>
      </c>
      <c r="AH613" s="41">
        <f t="shared" si="159"/>
        <v>74</v>
      </c>
      <c r="AI613" s="41">
        <f t="shared" si="183"/>
        <v>177.60000000000002</v>
      </c>
      <c r="AJ613" s="84">
        <f t="shared" si="197"/>
        <v>2.4000000000000004</v>
      </c>
    </row>
    <row r="614" spans="1:36">
      <c r="A614" s="38" t="s">
        <v>335</v>
      </c>
      <c r="B614" s="38" t="s">
        <v>261</v>
      </c>
      <c r="C614" s="39" t="s">
        <v>252</v>
      </c>
      <c r="D614" s="38" t="str">
        <f t="shared" si="191"/>
        <v>V32WWNF22AO-.NFM1324(D902)</v>
      </c>
      <c r="E614" s="38" t="s">
        <v>10</v>
      </c>
      <c r="F614" s="38" t="s">
        <v>10</v>
      </c>
      <c r="G614" s="40">
        <v>25</v>
      </c>
      <c r="H614" s="77">
        <v>15</v>
      </c>
      <c r="I614" s="41">
        <v>1</v>
      </c>
      <c r="J614" s="41">
        <v>1</v>
      </c>
      <c r="K614" s="41">
        <v>1</v>
      </c>
      <c r="L614" s="41">
        <f t="shared" si="196"/>
        <v>18</v>
      </c>
      <c r="M614" s="41">
        <f t="shared" si="177"/>
        <v>43.2</v>
      </c>
      <c r="N614" s="78">
        <v>30</v>
      </c>
      <c r="O614" s="41">
        <v>1</v>
      </c>
      <c r="P614" s="41">
        <v>1</v>
      </c>
      <c r="Q614" s="41">
        <v>1</v>
      </c>
      <c r="R614" s="41">
        <v>2</v>
      </c>
      <c r="S614" s="41">
        <f t="shared" si="192"/>
        <v>35</v>
      </c>
      <c r="T614" s="41">
        <f t="shared" si="146"/>
        <v>84</v>
      </c>
      <c r="U614" s="78">
        <v>7</v>
      </c>
      <c r="V614" s="41">
        <v>1</v>
      </c>
      <c r="W614" s="41">
        <v>0</v>
      </c>
      <c r="X614" s="41">
        <f t="shared" si="195"/>
        <v>8</v>
      </c>
      <c r="Y614" s="41">
        <f t="shared" si="180"/>
        <v>19.2</v>
      </c>
      <c r="Z614" s="41">
        <v>11</v>
      </c>
      <c r="AA614" s="41">
        <v>1</v>
      </c>
      <c r="AB614" s="41">
        <v>0</v>
      </c>
      <c r="AC614" s="41">
        <v>1</v>
      </c>
      <c r="AD614" s="41">
        <f t="shared" si="193"/>
        <v>13</v>
      </c>
      <c r="AE614" s="41">
        <f t="shared" si="181"/>
        <v>31.2</v>
      </c>
      <c r="AF614" s="41">
        <f t="shared" si="194"/>
        <v>56</v>
      </c>
      <c r="AG614" s="41">
        <f t="shared" si="194"/>
        <v>134.4</v>
      </c>
      <c r="AH614" s="41">
        <f t="shared" si="159"/>
        <v>74</v>
      </c>
      <c r="AI614" s="41">
        <f t="shared" si="183"/>
        <v>177.60000000000002</v>
      </c>
      <c r="AJ614" s="84">
        <f t="shared" si="197"/>
        <v>2.4000000000000004</v>
      </c>
    </row>
    <row r="615" spans="1:36">
      <c r="A615" s="38" t="s">
        <v>335</v>
      </c>
      <c r="B615" s="38" t="s">
        <v>593</v>
      </c>
      <c r="C615" s="39" t="s">
        <v>594</v>
      </c>
      <c r="D615" s="38" t="str">
        <f t="shared" si="191"/>
        <v>3V32007203A3(D902)</v>
      </c>
      <c r="E615" s="38" t="s">
        <v>18</v>
      </c>
      <c r="F615" s="38" t="s">
        <v>10</v>
      </c>
      <c r="G615" s="40">
        <v>25</v>
      </c>
      <c r="H615" s="77">
        <v>0</v>
      </c>
      <c r="I615" s="41">
        <v>0</v>
      </c>
      <c r="J615" s="41">
        <v>0</v>
      </c>
      <c r="K615" s="41">
        <v>0</v>
      </c>
      <c r="L615" s="41">
        <v>0</v>
      </c>
      <c r="M615" s="41">
        <f t="shared" si="177"/>
        <v>0</v>
      </c>
      <c r="N615" s="78">
        <v>1</v>
      </c>
      <c r="O615" s="41">
        <v>0</v>
      </c>
      <c r="P615" s="41">
        <v>0</v>
      </c>
      <c r="Q615" s="41">
        <v>0</v>
      </c>
      <c r="R615" s="41">
        <v>0</v>
      </c>
      <c r="S615" s="41">
        <f t="shared" si="192"/>
        <v>1</v>
      </c>
      <c r="T615" s="41">
        <f t="shared" si="146"/>
        <v>2.4</v>
      </c>
      <c r="U615" s="78">
        <v>1</v>
      </c>
      <c r="V615" s="41">
        <v>0</v>
      </c>
      <c r="W615" s="41">
        <v>0</v>
      </c>
      <c r="X615" s="41">
        <f t="shared" si="195"/>
        <v>1</v>
      </c>
      <c r="Y615" s="41">
        <f t="shared" si="180"/>
        <v>2.4</v>
      </c>
      <c r="Z615" s="41">
        <v>0</v>
      </c>
      <c r="AA615" s="41">
        <v>0</v>
      </c>
      <c r="AB615" s="41">
        <v>0</v>
      </c>
      <c r="AC615" s="41">
        <v>0</v>
      </c>
      <c r="AD615" s="41">
        <f t="shared" si="193"/>
        <v>0</v>
      </c>
      <c r="AE615" s="41">
        <f t="shared" si="181"/>
        <v>0</v>
      </c>
      <c r="AF615" s="41">
        <f t="shared" si="194"/>
        <v>2</v>
      </c>
      <c r="AG615" s="41">
        <f t="shared" si="194"/>
        <v>4.8</v>
      </c>
      <c r="AH615" s="41">
        <f t="shared" si="159"/>
        <v>2</v>
      </c>
      <c r="AI615" s="41">
        <f t="shared" si="183"/>
        <v>4.8</v>
      </c>
      <c r="AJ615" s="84">
        <f t="shared" si="197"/>
        <v>2.4</v>
      </c>
    </row>
    <row r="616" spans="1:36" s="64" customFormat="1">
      <c r="A616" s="46" t="s">
        <v>335</v>
      </c>
      <c r="B616" s="46" t="s">
        <v>258</v>
      </c>
      <c r="C616" s="75" t="s">
        <v>595</v>
      </c>
      <c r="D616" s="46" t="str">
        <f t="shared" si="191"/>
        <v>E08WWNFB2Q5E.NPADA2L(V903)</v>
      </c>
      <c r="E616" s="46" t="s">
        <v>262</v>
      </c>
      <c r="F616" s="46" t="s">
        <v>262</v>
      </c>
      <c r="G616" s="48">
        <v>60</v>
      </c>
      <c r="H616" s="61">
        <v>0</v>
      </c>
      <c r="I616" s="49">
        <v>0</v>
      </c>
      <c r="J616" s="49">
        <v>0</v>
      </c>
      <c r="K616" s="49">
        <v>0</v>
      </c>
      <c r="L616" s="49">
        <f>SUM(H616:K616)</f>
        <v>0</v>
      </c>
      <c r="M616" s="49">
        <f>60*L616/G616</f>
        <v>0</v>
      </c>
      <c r="N616" s="62">
        <v>10</v>
      </c>
      <c r="O616" s="49">
        <v>1</v>
      </c>
      <c r="P616" s="49">
        <v>0</v>
      </c>
      <c r="Q616" s="49">
        <v>0</v>
      </c>
      <c r="R616" s="49">
        <v>1</v>
      </c>
      <c r="S616" s="49">
        <f>SUM(N616:R616)</f>
        <v>12</v>
      </c>
      <c r="T616" s="49">
        <f>60*S616/G616</f>
        <v>12</v>
      </c>
      <c r="U616" s="62">
        <v>10</v>
      </c>
      <c r="V616" s="49">
        <v>0</v>
      </c>
      <c r="W616" s="49">
        <v>0</v>
      </c>
      <c r="X616" s="49">
        <f>SUM(U616:W616)</f>
        <v>10</v>
      </c>
      <c r="Y616" s="49">
        <f>60*X616/G616</f>
        <v>10</v>
      </c>
      <c r="Z616" s="49">
        <v>12</v>
      </c>
      <c r="AA616" s="49">
        <v>1</v>
      </c>
      <c r="AB616" s="49">
        <v>0</v>
      </c>
      <c r="AC616" s="49">
        <v>1</v>
      </c>
      <c r="AD616" s="49">
        <f>SUM(Z616:AC616)</f>
        <v>14</v>
      </c>
      <c r="AE616" s="49">
        <f>60*AD616/G616</f>
        <v>14</v>
      </c>
      <c r="AF616" s="49">
        <f>SUM(S616,X616,AD616)</f>
        <v>36</v>
      </c>
      <c r="AG616" s="49">
        <f>SUM(T616,Y616,AE616)</f>
        <v>36</v>
      </c>
      <c r="AH616" s="49">
        <f>SUM(L616,S616,X616,AD616)</f>
        <v>36</v>
      </c>
      <c r="AI616" s="49">
        <f>SUM(M616,AG616)</f>
        <v>36</v>
      </c>
      <c r="AJ616" s="84">
        <f t="shared" si="197"/>
        <v>1</v>
      </c>
    </row>
    <row r="617" spans="1:36" s="64" customFormat="1">
      <c r="A617" s="46" t="s">
        <v>335</v>
      </c>
      <c r="B617" s="46" t="s">
        <v>258</v>
      </c>
      <c r="C617" s="75" t="s">
        <v>230</v>
      </c>
      <c r="D617" s="46" t="str">
        <f t="shared" si="191"/>
        <v>E08WWNF22Q5E.NPADA21(V903)</v>
      </c>
      <c r="E617" s="46" t="s">
        <v>18</v>
      </c>
      <c r="F617" s="46" t="s">
        <v>262</v>
      </c>
      <c r="G617" s="48">
        <v>60</v>
      </c>
      <c r="H617" s="61">
        <v>0</v>
      </c>
      <c r="I617" s="49">
        <v>0</v>
      </c>
      <c r="J617" s="49">
        <v>0</v>
      </c>
      <c r="K617" s="49">
        <v>0</v>
      </c>
      <c r="L617" s="49">
        <f>SUM(H617:K617)</f>
        <v>0</v>
      </c>
      <c r="M617" s="49">
        <f t="shared" ref="M617:M624" si="198">60*L617/G617</f>
        <v>0</v>
      </c>
      <c r="N617" s="62">
        <v>10</v>
      </c>
      <c r="O617" s="49">
        <v>1</v>
      </c>
      <c r="P617" s="49">
        <v>0</v>
      </c>
      <c r="Q617" s="49">
        <v>0</v>
      </c>
      <c r="R617" s="49">
        <v>1</v>
      </c>
      <c r="S617" s="49">
        <f t="shared" ref="S617:S624" si="199">SUM(N617:R617)</f>
        <v>12</v>
      </c>
      <c r="T617" s="49">
        <f t="shared" ref="T617:T624" si="200">60*S617/G617</f>
        <v>12</v>
      </c>
      <c r="U617" s="62">
        <v>10</v>
      </c>
      <c r="V617" s="49">
        <v>0</v>
      </c>
      <c r="W617" s="49">
        <v>0</v>
      </c>
      <c r="X617" s="49">
        <f t="shared" ref="X617:X624" si="201">SUM(U617:W617)</f>
        <v>10</v>
      </c>
      <c r="Y617" s="49">
        <f t="shared" ref="Y617:Y624" si="202">60*X617/G617</f>
        <v>10</v>
      </c>
      <c r="Z617" s="49">
        <v>12</v>
      </c>
      <c r="AA617" s="49">
        <v>1</v>
      </c>
      <c r="AB617" s="49">
        <v>0</v>
      </c>
      <c r="AC617" s="49">
        <v>1</v>
      </c>
      <c r="AD617" s="49">
        <f t="shared" ref="AD617:AD624" si="203">SUM(Z617:AC617)</f>
        <v>14</v>
      </c>
      <c r="AE617" s="49">
        <f t="shared" ref="AE617:AE624" si="204">60*AD617/G617</f>
        <v>14</v>
      </c>
      <c r="AF617" s="49">
        <f t="shared" ref="AF617:AG624" si="205">SUM(S617,X617,AD617)</f>
        <v>36</v>
      </c>
      <c r="AG617" s="49">
        <f t="shared" si="205"/>
        <v>36</v>
      </c>
      <c r="AH617" s="49">
        <f t="shared" ref="AH617:AH624" si="206">SUM(L617,S617,X617,AD617)</f>
        <v>36</v>
      </c>
      <c r="AI617" s="49">
        <f t="shared" ref="AI617:AI624" si="207">SUM(M617,AG617)</f>
        <v>36</v>
      </c>
      <c r="AJ617" s="84">
        <f t="shared" si="197"/>
        <v>1</v>
      </c>
    </row>
    <row r="618" spans="1:36" s="64" customFormat="1">
      <c r="A618" s="46" t="s">
        <v>335</v>
      </c>
      <c r="B618" s="46" t="s">
        <v>258</v>
      </c>
      <c r="C618" s="75" t="s">
        <v>596</v>
      </c>
      <c r="D618" s="46" t="str">
        <f t="shared" si="191"/>
        <v>E08WWNF22Q5E.NPADA23 (V903)</v>
      </c>
      <c r="E618" s="46" t="s">
        <v>18</v>
      </c>
      <c r="F618" s="46" t="s">
        <v>262</v>
      </c>
      <c r="G618" s="48">
        <v>60</v>
      </c>
      <c r="H618" s="61">
        <v>0</v>
      </c>
      <c r="I618" s="49">
        <v>0</v>
      </c>
      <c r="J618" s="49">
        <v>0</v>
      </c>
      <c r="K618" s="49">
        <v>0</v>
      </c>
      <c r="L618" s="49">
        <f>SUM(H618:K618)</f>
        <v>0</v>
      </c>
      <c r="M618" s="49">
        <f t="shared" si="198"/>
        <v>0</v>
      </c>
      <c r="N618" s="62">
        <v>10</v>
      </c>
      <c r="O618" s="49">
        <v>1</v>
      </c>
      <c r="P618" s="49">
        <v>0</v>
      </c>
      <c r="Q618" s="49">
        <v>0</v>
      </c>
      <c r="R618" s="49">
        <v>1</v>
      </c>
      <c r="S618" s="49">
        <f t="shared" si="199"/>
        <v>12</v>
      </c>
      <c r="T618" s="49">
        <f t="shared" si="200"/>
        <v>12</v>
      </c>
      <c r="U618" s="62">
        <v>10</v>
      </c>
      <c r="V618" s="49">
        <v>0</v>
      </c>
      <c r="W618" s="49">
        <v>0</v>
      </c>
      <c r="X618" s="49">
        <f t="shared" si="201"/>
        <v>10</v>
      </c>
      <c r="Y618" s="49">
        <f t="shared" si="202"/>
        <v>10</v>
      </c>
      <c r="Z618" s="49">
        <v>12</v>
      </c>
      <c r="AA618" s="49">
        <v>1</v>
      </c>
      <c r="AB618" s="49">
        <v>0</v>
      </c>
      <c r="AC618" s="49">
        <v>1</v>
      </c>
      <c r="AD618" s="49">
        <f t="shared" si="203"/>
        <v>14</v>
      </c>
      <c r="AE618" s="49">
        <f t="shared" si="204"/>
        <v>14</v>
      </c>
      <c r="AF618" s="49">
        <f t="shared" si="205"/>
        <v>36</v>
      </c>
      <c r="AG618" s="49">
        <f t="shared" si="205"/>
        <v>36</v>
      </c>
      <c r="AH618" s="49">
        <f t="shared" si="206"/>
        <v>36</v>
      </c>
      <c r="AI618" s="49">
        <f t="shared" si="207"/>
        <v>36</v>
      </c>
      <c r="AJ618" s="84">
        <f t="shared" si="197"/>
        <v>1</v>
      </c>
    </row>
    <row r="619" spans="1:36" s="64" customFormat="1">
      <c r="A619" s="46" t="s">
        <v>335</v>
      </c>
      <c r="B619" s="46" t="s">
        <v>597</v>
      </c>
      <c r="C619" s="75" t="s">
        <v>598</v>
      </c>
      <c r="D619" s="46" t="str">
        <f t="shared" si="191"/>
        <v>VXXWWNFB----.NFEBARH(V903)</v>
      </c>
      <c r="E619" s="46" t="s">
        <v>262</v>
      </c>
      <c r="F619" s="46" t="s">
        <v>262</v>
      </c>
      <c r="G619" s="48">
        <v>45</v>
      </c>
      <c r="H619" s="61">
        <v>0</v>
      </c>
      <c r="I619" s="49">
        <v>0</v>
      </c>
      <c r="J619" s="49">
        <v>0</v>
      </c>
      <c r="K619" s="49">
        <v>0</v>
      </c>
      <c r="L619" s="49">
        <f t="shared" ref="L619:L624" si="208">SUM(H619:K619)</f>
        <v>0</v>
      </c>
      <c r="M619" s="49">
        <f t="shared" si="198"/>
        <v>0</v>
      </c>
      <c r="N619" s="62">
        <v>18</v>
      </c>
      <c r="O619" s="49">
        <v>1</v>
      </c>
      <c r="P619" s="49">
        <v>1</v>
      </c>
      <c r="Q619" s="49">
        <v>0</v>
      </c>
      <c r="R619" s="49">
        <v>2</v>
      </c>
      <c r="S619" s="49">
        <f t="shared" si="199"/>
        <v>22</v>
      </c>
      <c r="T619" s="49">
        <f t="shared" si="200"/>
        <v>29.333333333333332</v>
      </c>
      <c r="U619" s="62">
        <v>12</v>
      </c>
      <c r="V619" s="49">
        <v>0</v>
      </c>
      <c r="W619" s="49">
        <v>0</v>
      </c>
      <c r="X619" s="49">
        <f t="shared" si="201"/>
        <v>12</v>
      </c>
      <c r="Y619" s="49">
        <f t="shared" si="202"/>
        <v>16</v>
      </c>
      <c r="Z619" s="49">
        <v>12</v>
      </c>
      <c r="AA619" s="49">
        <v>1</v>
      </c>
      <c r="AB619" s="49">
        <v>0</v>
      </c>
      <c r="AC619" s="49">
        <v>1</v>
      </c>
      <c r="AD619" s="49">
        <f t="shared" si="203"/>
        <v>14</v>
      </c>
      <c r="AE619" s="49">
        <f t="shared" si="204"/>
        <v>18.666666666666668</v>
      </c>
      <c r="AF619" s="49">
        <f t="shared" si="205"/>
        <v>48</v>
      </c>
      <c r="AG619" s="49">
        <f t="shared" si="205"/>
        <v>64</v>
      </c>
      <c r="AH619" s="49">
        <f t="shared" si="206"/>
        <v>48</v>
      </c>
      <c r="AI619" s="49">
        <f t="shared" si="207"/>
        <v>64</v>
      </c>
      <c r="AJ619" s="84">
        <f t="shared" si="197"/>
        <v>1.3333333333333333</v>
      </c>
    </row>
    <row r="620" spans="1:36" s="64" customFormat="1">
      <c r="A620" s="42" t="s">
        <v>335</v>
      </c>
      <c r="B620" s="42" t="s">
        <v>597</v>
      </c>
      <c r="C620" s="83" t="s">
        <v>599</v>
      </c>
      <c r="D620" s="42" t="str">
        <f t="shared" si="191"/>
        <v>VXXWWNF2----.NFEBAR5 (V903)</v>
      </c>
      <c r="E620" s="42" t="s">
        <v>262</v>
      </c>
      <c r="F620" s="42" t="s">
        <v>262</v>
      </c>
      <c r="G620" s="44">
        <v>45</v>
      </c>
      <c r="H620" s="65">
        <v>0</v>
      </c>
      <c r="I620" s="45">
        <v>0</v>
      </c>
      <c r="J620" s="45">
        <v>0</v>
      </c>
      <c r="K620" s="45">
        <v>0</v>
      </c>
      <c r="L620" s="45">
        <f t="shared" si="208"/>
        <v>0</v>
      </c>
      <c r="M620" s="45">
        <f t="shared" si="198"/>
        <v>0</v>
      </c>
      <c r="N620" s="66">
        <v>18</v>
      </c>
      <c r="O620" s="45">
        <v>1</v>
      </c>
      <c r="P620" s="45">
        <v>1</v>
      </c>
      <c r="Q620" s="45">
        <v>0</v>
      </c>
      <c r="R620" s="45">
        <v>2</v>
      </c>
      <c r="S620" s="45">
        <f t="shared" si="199"/>
        <v>22</v>
      </c>
      <c r="T620" s="45">
        <f t="shared" si="200"/>
        <v>29.333333333333332</v>
      </c>
      <c r="U620" s="66">
        <v>12</v>
      </c>
      <c r="V620" s="45">
        <v>0</v>
      </c>
      <c r="W620" s="45">
        <v>0</v>
      </c>
      <c r="X620" s="45">
        <f t="shared" si="201"/>
        <v>12</v>
      </c>
      <c r="Y620" s="45">
        <f t="shared" si="202"/>
        <v>16</v>
      </c>
      <c r="Z620" s="45">
        <v>12</v>
      </c>
      <c r="AA620" s="45">
        <v>1</v>
      </c>
      <c r="AB620" s="45">
        <v>0</v>
      </c>
      <c r="AC620" s="45">
        <v>1</v>
      </c>
      <c r="AD620" s="45">
        <f t="shared" si="203"/>
        <v>14</v>
      </c>
      <c r="AE620" s="45">
        <f t="shared" si="204"/>
        <v>18.666666666666668</v>
      </c>
      <c r="AF620" s="45">
        <f t="shared" si="205"/>
        <v>48</v>
      </c>
      <c r="AG620" s="45">
        <f t="shared" si="205"/>
        <v>64</v>
      </c>
      <c r="AH620" s="45">
        <f t="shared" si="206"/>
        <v>48</v>
      </c>
      <c r="AI620" s="45">
        <f t="shared" si="207"/>
        <v>64</v>
      </c>
      <c r="AJ620" s="84">
        <f t="shared" si="197"/>
        <v>1.3333333333333333</v>
      </c>
    </row>
    <row r="621" spans="1:36" s="64" customFormat="1">
      <c r="A621" s="42" t="s">
        <v>335</v>
      </c>
      <c r="B621" s="42" t="s">
        <v>597</v>
      </c>
      <c r="C621" s="83" t="s">
        <v>134</v>
      </c>
      <c r="D621" s="42" t="str">
        <f t="shared" si="191"/>
        <v>VXXWWNF2----.NFEBAR3(V903)</v>
      </c>
      <c r="E621" s="42" t="s">
        <v>262</v>
      </c>
      <c r="F621" s="42" t="s">
        <v>262</v>
      </c>
      <c r="G621" s="44">
        <v>45</v>
      </c>
      <c r="H621" s="65">
        <v>0</v>
      </c>
      <c r="I621" s="45">
        <v>0</v>
      </c>
      <c r="J621" s="45">
        <v>0</v>
      </c>
      <c r="K621" s="45">
        <v>0</v>
      </c>
      <c r="L621" s="45">
        <f t="shared" si="208"/>
        <v>0</v>
      </c>
      <c r="M621" s="45">
        <f t="shared" si="198"/>
        <v>0</v>
      </c>
      <c r="N621" s="66">
        <v>18</v>
      </c>
      <c r="O621" s="45">
        <v>1</v>
      </c>
      <c r="P621" s="45">
        <v>1</v>
      </c>
      <c r="Q621" s="45">
        <v>0</v>
      </c>
      <c r="R621" s="45">
        <v>2</v>
      </c>
      <c r="S621" s="45">
        <f t="shared" si="199"/>
        <v>22</v>
      </c>
      <c r="T621" s="45">
        <f t="shared" si="200"/>
        <v>29.333333333333332</v>
      </c>
      <c r="U621" s="66">
        <v>12</v>
      </c>
      <c r="V621" s="45">
        <v>0</v>
      </c>
      <c r="W621" s="45">
        <v>0</v>
      </c>
      <c r="X621" s="45">
        <f t="shared" si="201"/>
        <v>12</v>
      </c>
      <c r="Y621" s="45">
        <f t="shared" si="202"/>
        <v>16</v>
      </c>
      <c r="Z621" s="45">
        <v>12</v>
      </c>
      <c r="AA621" s="45">
        <v>1</v>
      </c>
      <c r="AB621" s="45">
        <v>0</v>
      </c>
      <c r="AC621" s="45">
        <v>1</v>
      </c>
      <c r="AD621" s="45">
        <f t="shared" si="203"/>
        <v>14</v>
      </c>
      <c r="AE621" s="45">
        <f t="shared" si="204"/>
        <v>18.666666666666668</v>
      </c>
      <c r="AF621" s="45">
        <f t="shared" si="205"/>
        <v>48</v>
      </c>
      <c r="AG621" s="45">
        <f t="shared" si="205"/>
        <v>64</v>
      </c>
      <c r="AH621" s="45">
        <f t="shared" si="206"/>
        <v>48</v>
      </c>
      <c r="AI621" s="45">
        <f t="shared" si="207"/>
        <v>64</v>
      </c>
      <c r="AJ621" s="84">
        <f t="shared" si="197"/>
        <v>1.3333333333333333</v>
      </c>
    </row>
    <row r="622" spans="1:36" s="64" customFormat="1">
      <c r="A622" s="42" t="s">
        <v>335</v>
      </c>
      <c r="B622" s="42" t="s">
        <v>600</v>
      </c>
      <c r="C622" s="83" t="s">
        <v>248</v>
      </c>
      <c r="D622" s="42" t="str">
        <f t="shared" si="191"/>
        <v>VXXTWOLC----.OWRHEA1(V903)</v>
      </c>
      <c r="E622" s="42" t="s">
        <v>262</v>
      </c>
      <c r="F622" s="42" t="s">
        <v>262</v>
      </c>
      <c r="G622" s="44">
        <v>20</v>
      </c>
      <c r="H622" s="65">
        <v>0</v>
      </c>
      <c r="I622" s="45">
        <v>0</v>
      </c>
      <c r="J622" s="45">
        <v>0</v>
      </c>
      <c r="K622" s="45">
        <v>0</v>
      </c>
      <c r="L622" s="45">
        <f t="shared" si="208"/>
        <v>0</v>
      </c>
      <c r="M622" s="45">
        <f t="shared" si="198"/>
        <v>0</v>
      </c>
      <c r="N622" s="66">
        <v>9</v>
      </c>
      <c r="O622" s="45">
        <v>0</v>
      </c>
      <c r="P622" s="45">
        <v>1</v>
      </c>
      <c r="Q622" s="45">
        <v>0</v>
      </c>
      <c r="R622" s="45">
        <v>1</v>
      </c>
      <c r="S622" s="45">
        <f t="shared" si="199"/>
        <v>11</v>
      </c>
      <c r="T622" s="45">
        <f t="shared" si="200"/>
        <v>33</v>
      </c>
      <c r="U622" s="66">
        <v>7</v>
      </c>
      <c r="V622" s="45">
        <v>0</v>
      </c>
      <c r="W622" s="45">
        <v>0</v>
      </c>
      <c r="X622" s="45">
        <f t="shared" si="201"/>
        <v>7</v>
      </c>
      <c r="Y622" s="45">
        <f t="shared" si="202"/>
        <v>21</v>
      </c>
      <c r="Z622" s="45">
        <v>7</v>
      </c>
      <c r="AA622" s="45">
        <v>1</v>
      </c>
      <c r="AB622" s="45">
        <v>0</v>
      </c>
      <c r="AC622" s="45">
        <v>1</v>
      </c>
      <c r="AD622" s="45">
        <f t="shared" si="203"/>
        <v>9</v>
      </c>
      <c r="AE622" s="45">
        <f t="shared" si="204"/>
        <v>27</v>
      </c>
      <c r="AF622" s="45">
        <f t="shared" si="205"/>
        <v>27</v>
      </c>
      <c r="AG622" s="45">
        <f t="shared" si="205"/>
        <v>81</v>
      </c>
      <c r="AH622" s="45">
        <f t="shared" si="206"/>
        <v>27</v>
      </c>
      <c r="AI622" s="45">
        <f t="shared" si="207"/>
        <v>81</v>
      </c>
      <c r="AJ622" s="84">
        <f t="shared" si="197"/>
        <v>3</v>
      </c>
    </row>
    <row r="623" spans="1:36" s="64" customFormat="1">
      <c r="A623" s="42" t="s">
        <v>335</v>
      </c>
      <c r="B623" s="42" t="s">
        <v>600</v>
      </c>
      <c r="C623" s="83" t="s">
        <v>241</v>
      </c>
      <c r="D623" s="42" t="str">
        <f t="shared" si="191"/>
        <v>VXXUSOL2----.OWRHEA1(V903)</v>
      </c>
      <c r="E623" s="42" t="s">
        <v>262</v>
      </c>
      <c r="F623" s="42" t="s">
        <v>262</v>
      </c>
      <c r="G623" s="44">
        <v>20</v>
      </c>
      <c r="H623" s="65">
        <v>0</v>
      </c>
      <c r="I623" s="45">
        <v>0</v>
      </c>
      <c r="J623" s="45">
        <v>0</v>
      </c>
      <c r="K623" s="45">
        <v>0</v>
      </c>
      <c r="L623" s="45">
        <f t="shared" si="208"/>
        <v>0</v>
      </c>
      <c r="M623" s="45">
        <f t="shared" si="198"/>
        <v>0</v>
      </c>
      <c r="N623" s="66">
        <v>9</v>
      </c>
      <c r="O623" s="45">
        <v>0</v>
      </c>
      <c r="P623" s="45">
        <v>1</v>
      </c>
      <c r="Q623" s="45">
        <v>0</v>
      </c>
      <c r="R623" s="45">
        <v>1</v>
      </c>
      <c r="S623" s="45">
        <f t="shared" si="199"/>
        <v>11</v>
      </c>
      <c r="T623" s="45">
        <f t="shared" si="200"/>
        <v>33</v>
      </c>
      <c r="U623" s="66">
        <v>7</v>
      </c>
      <c r="V623" s="45">
        <v>0</v>
      </c>
      <c r="W623" s="45">
        <v>0</v>
      </c>
      <c r="X623" s="45">
        <f t="shared" si="201"/>
        <v>7</v>
      </c>
      <c r="Y623" s="45">
        <f t="shared" si="202"/>
        <v>21</v>
      </c>
      <c r="Z623" s="45">
        <v>7</v>
      </c>
      <c r="AA623" s="45">
        <v>1</v>
      </c>
      <c r="AB623" s="45">
        <v>0</v>
      </c>
      <c r="AC623" s="45">
        <v>1</v>
      </c>
      <c r="AD623" s="45">
        <f t="shared" si="203"/>
        <v>9</v>
      </c>
      <c r="AE623" s="45">
        <f t="shared" si="204"/>
        <v>27</v>
      </c>
      <c r="AF623" s="45">
        <f t="shared" si="205"/>
        <v>27</v>
      </c>
      <c r="AG623" s="45">
        <f t="shared" si="205"/>
        <v>81</v>
      </c>
      <c r="AH623" s="45">
        <f t="shared" si="206"/>
        <v>27</v>
      </c>
      <c r="AI623" s="45">
        <f t="shared" si="207"/>
        <v>81</v>
      </c>
      <c r="AJ623" s="84">
        <f t="shared" si="197"/>
        <v>3</v>
      </c>
    </row>
    <row r="624" spans="1:36" s="64" customFormat="1">
      <c r="A624" s="42" t="s">
        <v>335</v>
      </c>
      <c r="B624" s="42" t="s">
        <v>601</v>
      </c>
      <c r="C624" s="83" t="s">
        <v>242</v>
      </c>
      <c r="D624" s="42" t="str">
        <f t="shared" si="191"/>
        <v>V10USOL22CA-.PARROT1(V903)</v>
      </c>
      <c r="E624" s="42" t="s">
        <v>262</v>
      </c>
      <c r="F624" s="42" t="s">
        <v>262</v>
      </c>
      <c r="G624" s="44">
        <v>40</v>
      </c>
      <c r="H624" s="65">
        <v>0</v>
      </c>
      <c r="I624" s="45">
        <v>0</v>
      </c>
      <c r="J624" s="45">
        <v>0</v>
      </c>
      <c r="K624" s="45">
        <v>0</v>
      </c>
      <c r="L624" s="45">
        <f t="shared" si="208"/>
        <v>0</v>
      </c>
      <c r="M624" s="45">
        <f t="shared" si="198"/>
        <v>0</v>
      </c>
      <c r="N624" s="66">
        <v>9</v>
      </c>
      <c r="O624" s="45">
        <v>0</v>
      </c>
      <c r="P624" s="45">
        <v>1</v>
      </c>
      <c r="Q624" s="45">
        <v>0</v>
      </c>
      <c r="R624" s="45">
        <v>1</v>
      </c>
      <c r="S624" s="45">
        <f t="shared" si="199"/>
        <v>11</v>
      </c>
      <c r="T624" s="45">
        <f t="shared" si="200"/>
        <v>16.5</v>
      </c>
      <c r="U624" s="66">
        <v>7</v>
      </c>
      <c r="V624" s="45">
        <v>0</v>
      </c>
      <c r="W624" s="45">
        <v>0</v>
      </c>
      <c r="X624" s="45">
        <f t="shared" si="201"/>
        <v>7</v>
      </c>
      <c r="Y624" s="45">
        <f t="shared" si="202"/>
        <v>10.5</v>
      </c>
      <c r="Z624" s="45">
        <v>7</v>
      </c>
      <c r="AA624" s="45">
        <v>1</v>
      </c>
      <c r="AB624" s="45">
        <v>0</v>
      </c>
      <c r="AC624" s="45">
        <v>0</v>
      </c>
      <c r="AD624" s="45">
        <f t="shared" si="203"/>
        <v>8</v>
      </c>
      <c r="AE624" s="45">
        <f t="shared" si="204"/>
        <v>12</v>
      </c>
      <c r="AF624" s="45">
        <f t="shared" si="205"/>
        <v>26</v>
      </c>
      <c r="AG624" s="45">
        <f t="shared" si="205"/>
        <v>39</v>
      </c>
      <c r="AH624" s="45">
        <f t="shared" si="206"/>
        <v>26</v>
      </c>
      <c r="AI624" s="45">
        <f t="shared" si="207"/>
        <v>39</v>
      </c>
      <c r="AJ624" s="84">
        <f t="shared" si="197"/>
        <v>1.5</v>
      </c>
    </row>
  </sheetData>
  <autoFilter ref="A6:AI624" xr:uid="{00000000-0009-0000-0000-000002000000}"/>
  <mergeCells count="35">
    <mergeCell ref="F3:F6"/>
    <mergeCell ref="A3:A6"/>
    <mergeCell ref="B3:B6"/>
    <mergeCell ref="C3:C6"/>
    <mergeCell ref="D3:D6"/>
    <mergeCell ref="E3:E6"/>
    <mergeCell ref="G3:G6"/>
    <mergeCell ref="H3:M3"/>
    <mergeCell ref="N3:AG3"/>
    <mergeCell ref="H4:M4"/>
    <mergeCell ref="N4:T4"/>
    <mergeCell ref="U4:Y4"/>
    <mergeCell ref="Z4:AE4"/>
    <mergeCell ref="AF4:AF6"/>
    <mergeCell ref="H5:H6"/>
    <mergeCell ref="I5:K5"/>
    <mergeCell ref="L5:L6"/>
    <mergeCell ref="M5:M6"/>
    <mergeCell ref="N5:N6"/>
    <mergeCell ref="AE5:AE6"/>
    <mergeCell ref="O5:R5"/>
    <mergeCell ref="S5:S6"/>
    <mergeCell ref="T5:T6"/>
    <mergeCell ref="AJ560:AJ564"/>
    <mergeCell ref="AJ585:AJ589"/>
    <mergeCell ref="V5:W5"/>
    <mergeCell ref="X5:X6"/>
    <mergeCell ref="Y5:Y6"/>
    <mergeCell ref="Z5:Z6"/>
    <mergeCell ref="AA5:AC5"/>
    <mergeCell ref="AD5:AD6"/>
    <mergeCell ref="AG4:AG6"/>
    <mergeCell ref="AH3:AH6"/>
    <mergeCell ref="AI3:AI6"/>
    <mergeCell ref="U5:U6"/>
  </mergeCells>
  <phoneticPr fontId="95" type="noConversion"/>
  <conditionalFormatting sqref="C39">
    <cfRule type="duplicateValues" dxfId="200" priority="199"/>
    <cfRule type="duplicateValues" dxfId="199" priority="200"/>
    <cfRule type="duplicateValues" dxfId="198" priority="201"/>
  </conditionalFormatting>
  <conditionalFormatting sqref="C40">
    <cfRule type="duplicateValues" dxfId="197" priority="159"/>
    <cfRule type="duplicateValues" dxfId="196" priority="157"/>
    <cfRule type="duplicateValues" dxfId="195" priority="158"/>
  </conditionalFormatting>
  <conditionalFormatting sqref="C41">
    <cfRule type="duplicateValues" dxfId="194" priority="149"/>
    <cfRule type="duplicateValues" dxfId="193" priority="148"/>
    <cfRule type="duplicateValues" dxfId="192" priority="150"/>
  </conditionalFormatting>
  <conditionalFormatting sqref="C42">
    <cfRule type="duplicateValues" dxfId="191" priority="198"/>
    <cfRule type="duplicateValues" dxfId="190" priority="197"/>
    <cfRule type="duplicateValues" dxfId="189" priority="196"/>
  </conditionalFormatting>
  <conditionalFormatting sqref="C43">
    <cfRule type="duplicateValues" dxfId="188" priority="7"/>
    <cfRule type="duplicateValues" dxfId="187" priority="8"/>
    <cfRule type="duplicateValues" dxfId="186" priority="9"/>
  </conditionalFormatting>
  <conditionalFormatting sqref="C44">
    <cfRule type="duplicateValues" dxfId="185" priority="191"/>
    <cfRule type="duplicateValues" dxfId="184" priority="192"/>
    <cfRule type="duplicateValues" dxfId="183" priority="190"/>
  </conditionalFormatting>
  <conditionalFormatting sqref="C45">
    <cfRule type="duplicateValues" dxfId="182" priority="31"/>
    <cfRule type="duplicateValues" dxfId="181" priority="33"/>
    <cfRule type="duplicateValues" dxfId="180" priority="32"/>
  </conditionalFormatting>
  <conditionalFormatting sqref="C46">
    <cfRule type="duplicateValues" dxfId="179" priority="136"/>
    <cfRule type="duplicateValues" dxfId="178" priority="138"/>
    <cfRule type="duplicateValues" dxfId="177" priority="137"/>
  </conditionalFormatting>
  <conditionalFormatting sqref="C47 C49">
    <cfRule type="duplicateValues" dxfId="176" priority="189"/>
  </conditionalFormatting>
  <conditionalFormatting sqref="C47">
    <cfRule type="duplicateValues" dxfId="175" priority="188"/>
    <cfRule type="duplicateValues" dxfId="174" priority="187"/>
  </conditionalFormatting>
  <conditionalFormatting sqref="C48">
    <cfRule type="duplicateValues" dxfId="173" priority="135"/>
    <cfRule type="duplicateValues" dxfId="172" priority="133"/>
    <cfRule type="duplicateValues" dxfId="171" priority="134"/>
  </conditionalFormatting>
  <conditionalFormatting sqref="C50">
    <cfRule type="duplicateValues" dxfId="170" priority="124"/>
    <cfRule type="duplicateValues" dxfId="169" priority="126"/>
    <cfRule type="duplicateValues" dxfId="168" priority="125"/>
  </conditionalFormatting>
  <conditionalFormatting sqref="C51">
    <cfRule type="duplicateValues" dxfId="167" priority="193"/>
    <cfRule type="duplicateValues" dxfId="166" priority="194"/>
    <cfRule type="duplicateValues" dxfId="165" priority="195"/>
  </conditionalFormatting>
  <conditionalFormatting sqref="C52">
    <cfRule type="duplicateValues" dxfId="164" priority="163"/>
    <cfRule type="duplicateValues" dxfId="163" priority="164"/>
    <cfRule type="duplicateValues" dxfId="162" priority="165"/>
  </conditionalFormatting>
  <conditionalFormatting sqref="C53">
    <cfRule type="duplicateValues" dxfId="161" priority="113"/>
    <cfRule type="duplicateValues" dxfId="160" priority="112"/>
    <cfRule type="duplicateValues" dxfId="159" priority="114"/>
  </conditionalFormatting>
  <conditionalFormatting sqref="C54">
    <cfRule type="duplicateValues" dxfId="158" priority="111"/>
    <cfRule type="duplicateValues" dxfId="157" priority="110"/>
    <cfRule type="duplicateValues" dxfId="156" priority="109"/>
  </conditionalFormatting>
  <conditionalFormatting sqref="C55">
    <cfRule type="duplicateValues" dxfId="155" priority="147"/>
    <cfRule type="duplicateValues" dxfId="154" priority="145"/>
    <cfRule type="duplicateValues" dxfId="153" priority="146"/>
  </conditionalFormatting>
  <conditionalFormatting sqref="C56">
    <cfRule type="duplicateValues" dxfId="152" priority="105"/>
    <cfRule type="duplicateValues" dxfId="151" priority="104"/>
    <cfRule type="duplicateValues" dxfId="150" priority="103"/>
  </conditionalFormatting>
  <conditionalFormatting sqref="C57">
    <cfRule type="duplicateValues" dxfId="149" priority="121"/>
    <cfRule type="duplicateValues" dxfId="148" priority="123"/>
    <cfRule type="duplicateValues" dxfId="147" priority="122"/>
  </conditionalFormatting>
  <conditionalFormatting sqref="C58">
    <cfRule type="duplicateValues" dxfId="146" priority="23"/>
    <cfRule type="duplicateValues" dxfId="145" priority="22"/>
    <cfRule type="duplicateValues" dxfId="144" priority="24"/>
  </conditionalFormatting>
  <conditionalFormatting sqref="C59">
    <cfRule type="duplicateValues" dxfId="143" priority="167"/>
    <cfRule type="duplicateValues" dxfId="142" priority="166"/>
    <cfRule type="duplicateValues" dxfId="141" priority="168"/>
  </conditionalFormatting>
  <conditionalFormatting sqref="C60">
    <cfRule type="duplicateValues" dxfId="140" priority="40"/>
    <cfRule type="duplicateValues" dxfId="139" priority="41"/>
    <cfRule type="duplicateValues" dxfId="138" priority="42"/>
  </conditionalFormatting>
  <conditionalFormatting sqref="C61">
    <cfRule type="duplicateValues" dxfId="137" priority="21"/>
    <cfRule type="duplicateValues" dxfId="136" priority="20"/>
    <cfRule type="duplicateValues" dxfId="135" priority="19"/>
  </conditionalFormatting>
  <conditionalFormatting sqref="C64">
    <cfRule type="duplicateValues" dxfId="134" priority="186"/>
    <cfRule type="duplicateValues" dxfId="133" priority="185"/>
    <cfRule type="duplicateValues" dxfId="132" priority="184"/>
  </conditionalFormatting>
  <conditionalFormatting sqref="C65">
    <cfRule type="duplicateValues" dxfId="131" priority="156"/>
    <cfRule type="duplicateValues" dxfId="130" priority="155"/>
    <cfRule type="duplicateValues" dxfId="129" priority="154"/>
  </conditionalFormatting>
  <conditionalFormatting sqref="C66">
    <cfRule type="duplicateValues" dxfId="128" priority="153"/>
    <cfRule type="duplicateValues" dxfId="127" priority="151"/>
    <cfRule type="duplicateValues" dxfId="126" priority="152"/>
  </conditionalFormatting>
  <conditionalFormatting sqref="C67">
    <cfRule type="duplicateValues" dxfId="125" priority="174"/>
    <cfRule type="duplicateValues" dxfId="124" priority="172"/>
    <cfRule type="duplicateValues" dxfId="123" priority="173"/>
  </conditionalFormatting>
  <conditionalFormatting sqref="C68">
    <cfRule type="duplicateValues" dxfId="122" priority="10"/>
    <cfRule type="duplicateValues" dxfId="121" priority="12"/>
    <cfRule type="duplicateValues" dxfId="120" priority="11"/>
  </conditionalFormatting>
  <conditionalFormatting sqref="C69">
    <cfRule type="duplicateValues" dxfId="119" priority="179"/>
    <cfRule type="duplicateValues" dxfId="118" priority="180"/>
    <cfRule type="duplicateValues" dxfId="117" priority="178"/>
  </conditionalFormatting>
  <conditionalFormatting sqref="C70">
    <cfRule type="duplicateValues" dxfId="116" priority="35"/>
    <cfRule type="duplicateValues" dxfId="115" priority="36"/>
    <cfRule type="duplicateValues" dxfId="114" priority="34"/>
  </conditionalFormatting>
  <conditionalFormatting sqref="C71">
    <cfRule type="duplicateValues" dxfId="113" priority="139"/>
    <cfRule type="duplicateValues" dxfId="112" priority="140"/>
    <cfRule type="duplicateValues" dxfId="111" priority="141"/>
  </conditionalFormatting>
  <conditionalFormatting sqref="C72 C74">
    <cfRule type="duplicateValues" dxfId="110" priority="177"/>
  </conditionalFormatting>
  <conditionalFormatting sqref="C72">
    <cfRule type="duplicateValues" dxfId="109" priority="175"/>
    <cfRule type="duplicateValues" dxfId="108" priority="176"/>
  </conditionalFormatting>
  <conditionalFormatting sqref="C73">
    <cfRule type="duplicateValues" dxfId="107" priority="132"/>
    <cfRule type="duplicateValues" dxfId="106" priority="131"/>
    <cfRule type="duplicateValues" dxfId="105" priority="130"/>
  </conditionalFormatting>
  <conditionalFormatting sqref="C75">
    <cfRule type="duplicateValues" dxfId="104" priority="127"/>
    <cfRule type="duplicateValues" dxfId="103" priority="128"/>
    <cfRule type="duplicateValues" dxfId="102" priority="129"/>
  </conditionalFormatting>
  <conditionalFormatting sqref="C76">
    <cfRule type="duplicateValues" dxfId="101" priority="181"/>
    <cfRule type="duplicateValues" dxfId="100" priority="182"/>
    <cfRule type="duplicateValues" dxfId="99" priority="183"/>
  </conditionalFormatting>
  <conditionalFormatting sqref="C77">
    <cfRule type="duplicateValues" dxfId="98" priority="162"/>
    <cfRule type="duplicateValues" dxfId="97" priority="161"/>
    <cfRule type="duplicateValues" dxfId="96" priority="160"/>
  </conditionalFormatting>
  <conditionalFormatting sqref="C78">
    <cfRule type="duplicateValues" dxfId="95" priority="115"/>
    <cfRule type="duplicateValues" dxfId="94" priority="117"/>
    <cfRule type="duplicateValues" dxfId="93" priority="116"/>
  </conditionalFormatting>
  <conditionalFormatting sqref="C79">
    <cfRule type="duplicateValues" dxfId="92" priority="107"/>
    <cfRule type="duplicateValues" dxfId="91" priority="106"/>
    <cfRule type="duplicateValues" dxfId="90" priority="108"/>
  </conditionalFormatting>
  <conditionalFormatting sqref="C80">
    <cfRule type="duplicateValues" dxfId="89" priority="144"/>
    <cfRule type="duplicateValues" dxfId="88" priority="143"/>
    <cfRule type="duplicateValues" dxfId="87" priority="142"/>
  </conditionalFormatting>
  <conditionalFormatting sqref="C81">
    <cfRule type="duplicateValues" dxfId="86" priority="100"/>
    <cfRule type="duplicateValues" dxfId="85" priority="101"/>
    <cfRule type="duplicateValues" dxfId="84" priority="102"/>
  </conditionalFormatting>
  <conditionalFormatting sqref="C82">
    <cfRule type="duplicateValues" dxfId="83" priority="118"/>
    <cfRule type="duplicateValues" dxfId="82" priority="119"/>
    <cfRule type="duplicateValues" dxfId="81" priority="120"/>
  </conditionalFormatting>
  <conditionalFormatting sqref="C83">
    <cfRule type="duplicateValues" dxfId="80" priority="26"/>
    <cfRule type="duplicateValues" dxfId="79" priority="25"/>
    <cfRule type="duplicateValues" dxfId="78" priority="27"/>
  </conditionalFormatting>
  <conditionalFormatting sqref="C84">
    <cfRule type="duplicateValues" dxfId="77" priority="171"/>
    <cfRule type="duplicateValues" dxfId="76" priority="169"/>
    <cfRule type="duplicateValues" dxfId="75" priority="170"/>
  </conditionalFormatting>
  <conditionalFormatting sqref="C85">
    <cfRule type="duplicateValues" dxfId="74" priority="43"/>
    <cfRule type="duplicateValues" dxfId="73" priority="44"/>
    <cfRule type="duplicateValues" dxfId="72" priority="45"/>
  </conditionalFormatting>
  <conditionalFormatting sqref="C86">
    <cfRule type="duplicateValues" dxfId="71" priority="2"/>
    <cfRule type="duplicateValues" dxfId="70" priority="3"/>
    <cfRule type="duplicateValues" dxfId="69" priority="1"/>
  </conditionalFormatting>
  <conditionalFormatting sqref="C87">
    <cfRule type="duplicateValues" dxfId="68" priority="4"/>
    <cfRule type="duplicateValues" dxfId="67" priority="5"/>
    <cfRule type="duplicateValues" dxfId="66" priority="6"/>
  </conditionalFormatting>
  <conditionalFormatting sqref="C90">
    <cfRule type="duplicateValues" dxfId="65" priority="97"/>
    <cfRule type="duplicateValues" dxfId="64" priority="98"/>
    <cfRule type="duplicateValues" dxfId="63" priority="99"/>
  </conditionalFormatting>
  <conditionalFormatting sqref="C91">
    <cfRule type="duplicateValues" dxfId="62" priority="78"/>
    <cfRule type="duplicateValues" dxfId="61" priority="77"/>
    <cfRule type="duplicateValues" dxfId="60" priority="76"/>
  </conditionalFormatting>
  <conditionalFormatting sqref="C92">
    <cfRule type="duplicateValues" dxfId="59" priority="74"/>
    <cfRule type="duplicateValues" dxfId="58" priority="75"/>
    <cfRule type="duplicateValues" dxfId="57" priority="73"/>
  </conditionalFormatting>
  <conditionalFormatting sqref="C93">
    <cfRule type="duplicateValues" dxfId="56" priority="13"/>
    <cfRule type="duplicateValues" dxfId="55" priority="15"/>
    <cfRule type="duplicateValues" dxfId="54" priority="14"/>
  </conditionalFormatting>
  <conditionalFormatting sqref="C94">
    <cfRule type="duplicateValues" dxfId="53" priority="85"/>
    <cfRule type="duplicateValues" dxfId="52" priority="86"/>
    <cfRule type="duplicateValues" dxfId="51" priority="87"/>
  </conditionalFormatting>
  <conditionalFormatting sqref="C95">
    <cfRule type="duplicateValues" dxfId="50" priority="92"/>
    <cfRule type="duplicateValues" dxfId="49" priority="91"/>
    <cfRule type="duplicateValues" dxfId="48" priority="93"/>
  </conditionalFormatting>
  <conditionalFormatting sqref="C96">
    <cfRule type="duplicateValues" dxfId="47" priority="37"/>
    <cfRule type="duplicateValues" dxfId="46" priority="39"/>
    <cfRule type="duplicateValues" dxfId="45" priority="38"/>
  </conditionalFormatting>
  <conditionalFormatting sqref="C97">
    <cfRule type="duplicateValues" dxfId="44" priority="68"/>
    <cfRule type="duplicateValues" dxfId="43" priority="67"/>
    <cfRule type="duplicateValues" dxfId="42" priority="69"/>
  </conditionalFormatting>
  <conditionalFormatting sqref="C98 C100">
    <cfRule type="duplicateValues" dxfId="41" priority="90"/>
  </conditionalFormatting>
  <conditionalFormatting sqref="C98">
    <cfRule type="duplicateValues" dxfId="40" priority="89"/>
    <cfRule type="duplicateValues" dxfId="39" priority="88"/>
  </conditionalFormatting>
  <conditionalFormatting sqref="C99">
    <cfRule type="duplicateValues" dxfId="38" priority="65"/>
    <cfRule type="duplicateValues" dxfId="37" priority="66"/>
    <cfRule type="duplicateValues" dxfId="36" priority="64"/>
  </conditionalFormatting>
  <conditionalFormatting sqref="C101">
    <cfRule type="duplicateValues" dxfId="35" priority="63"/>
    <cfRule type="duplicateValues" dxfId="34" priority="62"/>
    <cfRule type="duplicateValues" dxfId="33" priority="61"/>
  </conditionalFormatting>
  <conditionalFormatting sqref="C102">
    <cfRule type="duplicateValues" dxfId="32" priority="95"/>
    <cfRule type="duplicateValues" dxfId="31" priority="94"/>
    <cfRule type="duplicateValues" dxfId="30" priority="96"/>
  </conditionalFormatting>
  <conditionalFormatting sqref="C103">
    <cfRule type="duplicateValues" dxfId="29" priority="81"/>
    <cfRule type="duplicateValues" dxfId="28" priority="80"/>
    <cfRule type="duplicateValues" dxfId="27" priority="79"/>
  </conditionalFormatting>
  <conditionalFormatting sqref="C104">
    <cfRule type="duplicateValues" dxfId="26" priority="55"/>
    <cfRule type="duplicateValues" dxfId="25" priority="57"/>
    <cfRule type="duplicateValues" dxfId="24" priority="56"/>
  </conditionalFormatting>
  <conditionalFormatting sqref="C105">
    <cfRule type="duplicateValues" dxfId="23" priority="53"/>
    <cfRule type="duplicateValues" dxfId="22" priority="54"/>
    <cfRule type="duplicateValues" dxfId="21" priority="52"/>
  </conditionalFormatting>
  <conditionalFormatting sqref="C106">
    <cfRule type="duplicateValues" dxfId="20" priority="72"/>
    <cfRule type="duplicateValues" dxfId="19" priority="71"/>
    <cfRule type="duplicateValues" dxfId="18" priority="70"/>
  </conditionalFormatting>
  <conditionalFormatting sqref="C107">
    <cfRule type="duplicateValues" dxfId="17" priority="51"/>
    <cfRule type="duplicateValues" dxfId="16" priority="50"/>
    <cfRule type="duplicateValues" dxfId="15" priority="49"/>
  </conditionalFormatting>
  <conditionalFormatting sqref="C108">
    <cfRule type="duplicateValues" dxfId="14" priority="29"/>
    <cfRule type="duplicateValues" dxfId="13" priority="30"/>
    <cfRule type="duplicateValues" dxfId="12" priority="28"/>
  </conditionalFormatting>
  <conditionalFormatting sqref="C109">
    <cfRule type="duplicateValues" dxfId="11" priority="58"/>
    <cfRule type="duplicateValues" dxfId="10" priority="59"/>
    <cfRule type="duplicateValues" dxfId="9" priority="60"/>
  </conditionalFormatting>
  <conditionalFormatting sqref="C110">
    <cfRule type="duplicateValues" dxfId="8" priority="83"/>
    <cfRule type="duplicateValues" dxfId="7" priority="84"/>
    <cfRule type="duplicateValues" dxfId="6" priority="82"/>
  </conditionalFormatting>
  <conditionalFormatting sqref="C111">
    <cfRule type="duplicateValues" dxfId="5" priority="48"/>
    <cfRule type="duplicateValues" dxfId="4" priority="47"/>
    <cfRule type="duplicateValues" dxfId="3" priority="46"/>
  </conditionalFormatting>
  <conditionalFormatting sqref="C112">
    <cfRule type="duplicateValues" dxfId="2" priority="16"/>
    <cfRule type="duplicateValues" dxfId="1" priority="17"/>
    <cfRule type="duplicateValues" dxfId="0" priority="18"/>
  </conditionalFormatting>
  <printOptions horizontalCentered="1"/>
  <pageMargins left="0" right="0" top="0" bottom="0" header="0.51180555555555496" footer="0.51180555555555496"/>
  <pageSetup paperSize="9" scale="44" firstPageNumber="0" fitToHeight="2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2FAD4EA9EDC54085DB06E94962C4A3" ma:contentTypeVersion="4" ma:contentTypeDescription="Create a new document." ma:contentTypeScope="" ma:versionID="49809889d76da00d50490ef61094464c">
  <xsd:schema xmlns:xsd="http://www.w3.org/2001/XMLSchema" xmlns:xs="http://www.w3.org/2001/XMLSchema" xmlns:p="http://schemas.microsoft.com/office/2006/metadata/properties" xmlns:ns3="36b2f1d9-bfec-4b59-8388-32c84576819e" targetNamespace="http://schemas.microsoft.com/office/2006/metadata/properties" ma:root="true" ma:fieldsID="7fd8424b6b9d2f4df801cdc4e3287f92" ns3:_="">
    <xsd:import namespace="36b2f1d9-bfec-4b59-8388-32c8457681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2f1d9-bfec-4b59-8388-32c8457681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b2f1d9-bfec-4b59-8388-32c84576819e" xsi:nil="true"/>
  </documentManagement>
</p:properties>
</file>

<file path=customXml/itemProps1.xml><?xml version="1.0" encoding="utf-8"?>
<ds:datastoreItem xmlns:ds="http://schemas.openxmlformats.org/officeDocument/2006/customXml" ds:itemID="{BE57BA08-DE16-4070-9690-B09C820AB0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17EC39-DEC7-40FF-9DA9-3AD2CD028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b2f1d9-bfec-4b59-8388-32c8457681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183582-4B6D-435F-B311-B2BAD7B50BDF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36b2f1d9-bfec-4b59-8388-32c84576819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DPS原始</vt:lpstr>
      <vt:lpstr>DPS整理后</vt:lpstr>
      <vt:lpstr>AVTC标准工时</vt:lpstr>
      <vt:lpstr>AVTC标准工时!Print_Area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Thị Huyền (武氏玄)</dc:creator>
  <cp:lastModifiedBy>Antoney Lung (龍璽安)</cp:lastModifiedBy>
  <cp:lastPrinted>2026-07-13T06:43:34Z</cp:lastPrinted>
  <dcterms:created xsi:type="dcterms:W3CDTF">2026-06-17T02:06:07Z</dcterms:created>
  <dcterms:modified xsi:type="dcterms:W3CDTF">2026-08-07T09:05:34Z</dcterms:modified>
</cp:coreProperties>
</file>